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brayangarcia/Documents/GitHub/Brynex/"/>
    </mc:Choice>
  </mc:AlternateContent>
  <xr:revisionPtr revIDLastSave="0" documentId="13_ncr:1_{5B9C1D88-CC9B-974D-A6D5-6646586C81B7}" xr6:coauthVersionLast="47" xr6:coauthVersionMax="47" xr10:uidLastSave="{00000000-0000-0000-0000-000000000000}"/>
  <bookViews>
    <workbookView xWindow="1180" yWindow="-20300" windowWidth="30240" windowHeight="17880" tabRatio="667" activeTab="9" xr2:uid="{00000000-000D-0000-FFFF-FFFF00000000}"/>
  </bookViews>
  <sheets>
    <sheet name="BRAYAN" sheetId="4" r:id="rId1"/>
    <sheet name="GASTOS" sheetId="5" r:id="rId2"/>
    <sheet name="PROYECTOS" sheetId="30" r:id="rId3"/>
    <sheet name="APP" sheetId="34" r:id="rId4"/>
    <sheet name="INFORME GASTOS" sheetId="26" r:id="rId5"/>
    <sheet name="PRESTAMOS" sheetId="25" r:id="rId6"/>
    <sheet name="cuenta" sheetId="12" r:id="rId7"/>
    <sheet name="mensual" sheetId="1" r:id="rId8"/>
    <sheet name="INTERESES" sheetId="11" r:id="rId9"/>
    <sheet name="Vantage" sheetId="38" r:id="rId10"/>
  </sheets>
  <definedNames>
    <definedName name="_xlnm._FilterDatabase" localSheetId="1" hidden="1">GASTOS!$A$1:$Q$5332</definedName>
    <definedName name="_xlnm._FilterDatabase" localSheetId="2" hidden="1">PROYECTOS!$A$1:$M$99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614" i="1" l="1"/>
  <c r="F3587" i="1"/>
  <c r="F3603" i="1"/>
  <c r="F3599" i="1"/>
  <c r="F3598" i="1"/>
  <c r="F3586" i="1"/>
  <c r="F3627" i="1" l="1"/>
  <c r="E3584" i="1" s="1"/>
  <c r="E3627" i="1" s="1"/>
  <c r="E3628" i="1" s="1"/>
  <c r="I83" i="30" l="1"/>
  <c r="J81" i="30"/>
  <c r="J80" i="30"/>
  <c r="J79" i="30"/>
  <c r="J78" i="30"/>
  <c r="J77" i="30"/>
  <c r="J76" i="30"/>
  <c r="J75" i="30"/>
  <c r="B5194" i="5"/>
  <c r="C5194" i="5"/>
  <c r="B5195" i="5"/>
  <c r="C5195" i="5"/>
  <c r="B5196" i="5"/>
  <c r="C5196" i="5"/>
  <c r="B5197" i="5"/>
  <c r="C5197" i="5"/>
  <c r="B5198" i="5"/>
  <c r="C5198" i="5"/>
  <c r="B5199" i="5"/>
  <c r="C5199" i="5"/>
  <c r="B5200" i="5"/>
  <c r="C5200" i="5"/>
  <c r="B5201" i="5"/>
  <c r="C5201" i="5"/>
  <c r="B5202" i="5"/>
  <c r="C5202" i="5"/>
  <c r="B5203" i="5"/>
  <c r="C5203" i="5"/>
  <c r="B5204" i="5"/>
  <c r="C5204" i="5"/>
  <c r="B5205" i="5"/>
  <c r="C5205" i="5"/>
  <c r="B5206" i="5"/>
  <c r="C5206" i="5"/>
  <c r="B5207" i="5"/>
  <c r="C5207" i="5"/>
  <c r="B5208" i="5"/>
  <c r="C5208" i="5"/>
  <c r="B5209" i="5"/>
  <c r="C5209" i="5"/>
  <c r="B5210" i="5"/>
  <c r="C5210" i="5"/>
  <c r="B5211" i="5"/>
  <c r="C5211" i="5"/>
  <c r="B5212" i="5"/>
  <c r="C5212" i="5"/>
  <c r="B5213" i="5"/>
  <c r="C5213" i="5"/>
  <c r="B5214" i="5"/>
  <c r="C5214" i="5"/>
  <c r="B5215" i="5"/>
  <c r="C5215" i="5"/>
  <c r="B5216" i="5"/>
  <c r="C5216" i="5"/>
  <c r="B5217" i="5"/>
  <c r="C5217" i="5"/>
  <c r="B5218" i="5"/>
  <c r="C5218" i="5"/>
  <c r="B5219" i="5"/>
  <c r="C5219" i="5"/>
  <c r="B5220" i="5"/>
  <c r="C5220" i="5"/>
  <c r="B5221" i="5"/>
  <c r="C5221" i="5"/>
  <c r="B5222" i="5"/>
  <c r="C5222" i="5"/>
  <c r="B5223" i="5"/>
  <c r="C5223" i="5"/>
  <c r="B5224" i="5"/>
  <c r="C5224" i="5"/>
  <c r="B5225" i="5"/>
  <c r="C5225" i="5"/>
  <c r="B5226" i="5"/>
  <c r="C5226" i="5"/>
  <c r="B5227" i="5"/>
  <c r="C5227" i="5"/>
  <c r="B5228" i="5"/>
  <c r="C5228" i="5"/>
  <c r="B5229" i="5"/>
  <c r="C5229" i="5"/>
  <c r="B5230" i="5"/>
  <c r="C5230" i="5"/>
  <c r="B5231" i="5"/>
  <c r="C5231" i="5"/>
  <c r="B5232" i="5"/>
  <c r="C5232" i="5"/>
  <c r="B5233" i="5"/>
  <c r="C5233" i="5"/>
  <c r="B5234" i="5"/>
  <c r="C5234" i="5"/>
  <c r="B5235" i="5"/>
  <c r="C5235" i="5"/>
  <c r="B5236" i="5"/>
  <c r="C5236" i="5"/>
  <c r="B5237" i="5"/>
  <c r="C5237" i="5"/>
  <c r="B5238" i="5"/>
  <c r="C5238" i="5"/>
  <c r="B5239" i="5"/>
  <c r="C5239" i="5"/>
  <c r="B5240" i="5"/>
  <c r="C5240" i="5"/>
  <c r="B5241" i="5"/>
  <c r="C5241" i="5"/>
  <c r="B5242" i="5"/>
  <c r="C5242" i="5"/>
  <c r="B5243" i="5"/>
  <c r="C5243" i="5"/>
  <c r="B5244" i="5"/>
  <c r="C5244" i="5"/>
  <c r="B5245" i="5"/>
  <c r="C5245" i="5"/>
  <c r="B5246" i="5"/>
  <c r="C5246" i="5"/>
  <c r="B5247" i="5"/>
  <c r="C5247" i="5"/>
  <c r="B5248" i="5"/>
  <c r="C5248" i="5"/>
  <c r="B5249" i="5"/>
  <c r="C5249" i="5"/>
  <c r="B5250" i="5"/>
  <c r="C5250" i="5"/>
  <c r="B5251" i="5"/>
  <c r="C5251" i="5"/>
  <c r="B5252" i="5"/>
  <c r="C5252" i="5"/>
  <c r="B5253" i="5"/>
  <c r="C5253" i="5"/>
  <c r="B5254" i="5"/>
  <c r="C5254" i="5"/>
  <c r="B5255" i="5"/>
  <c r="C5255" i="5"/>
  <c r="B5256" i="5"/>
  <c r="C5256" i="5"/>
  <c r="B5257" i="5"/>
  <c r="C5257" i="5"/>
  <c r="B5258" i="5"/>
  <c r="C5258" i="5"/>
  <c r="B5259" i="5"/>
  <c r="C5259" i="5"/>
  <c r="B5260" i="5"/>
  <c r="C5260" i="5"/>
  <c r="B5261" i="5"/>
  <c r="C5261" i="5"/>
  <c r="B5262" i="5"/>
  <c r="C5262" i="5"/>
  <c r="B5263" i="5"/>
  <c r="C5263" i="5"/>
  <c r="B5264" i="5"/>
  <c r="C5264" i="5"/>
  <c r="B5265" i="5"/>
  <c r="C5265" i="5"/>
  <c r="B5266" i="5"/>
  <c r="C5266" i="5"/>
  <c r="B5267" i="5"/>
  <c r="C5267" i="5"/>
  <c r="B5268" i="5"/>
  <c r="C5268" i="5"/>
  <c r="B5269" i="5"/>
  <c r="C5269" i="5"/>
  <c r="B5270" i="5"/>
  <c r="C5270" i="5"/>
  <c r="B5271" i="5"/>
  <c r="C5271" i="5"/>
  <c r="B5272" i="5"/>
  <c r="C5272" i="5"/>
  <c r="B5273" i="5"/>
  <c r="C5273" i="5"/>
  <c r="B5274" i="5"/>
  <c r="C5274" i="5"/>
  <c r="B5275" i="5"/>
  <c r="C5275" i="5"/>
  <c r="B5276" i="5"/>
  <c r="C5276" i="5"/>
  <c r="B5277" i="5"/>
  <c r="C5277" i="5"/>
  <c r="C67" i="34"/>
  <c r="J83" i="30" l="1"/>
  <c r="BW52" i="4"/>
  <c r="BX52" i="4"/>
  <c r="BY52" i="4"/>
  <c r="BZ52" i="4"/>
  <c r="CA52" i="4"/>
  <c r="CB52" i="4"/>
  <c r="CC52" i="4"/>
  <c r="CC57" i="4" s="1"/>
  <c r="F3525" i="1" l="1"/>
  <c r="F3556" i="1"/>
  <c r="F3542" i="1"/>
  <c r="F3538" i="1"/>
  <c r="F3537" i="1"/>
  <c r="F3461" i="1"/>
  <c r="F3478" i="1"/>
  <c r="F3439" i="1"/>
  <c r="B4952" i="5"/>
  <c r="C4952" i="5"/>
  <c r="B4953" i="5"/>
  <c r="C4953" i="5"/>
  <c r="B4954" i="5"/>
  <c r="C4954" i="5"/>
  <c r="B4955" i="5"/>
  <c r="C4955" i="5"/>
  <c r="B4956" i="5"/>
  <c r="C4956" i="5"/>
  <c r="B4957" i="5"/>
  <c r="C4957" i="5"/>
  <c r="B4958" i="5"/>
  <c r="C4958" i="5"/>
  <c r="B4959" i="5"/>
  <c r="C4959" i="5"/>
  <c r="B4960" i="5"/>
  <c r="C4960" i="5"/>
  <c r="B4961" i="5"/>
  <c r="C4961" i="5"/>
  <c r="B4962" i="5"/>
  <c r="C4962" i="5"/>
  <c r="B4963" i="5"/>
  <c r="C4963" i="5"/>
  <c r="B4964" i="5"/>
  <c r="C4964" i="5"/>
  <c r="B4965" i="5"/>
  <c r="C4965" i="5"/>
  <c r="B4966" i="5"/>
  <c r="C4966" i="5"/>
  <c r="B4967" i="5"/>
  <c r="C4967" i="5"/>
  <c r="B4968" i="5"/>
  <c r="C4968" i="5"/>
  <c r="B4969" i="5"/>
  <c r="C4969" i="5"/>
  <c r="B4970" i="5"/>
  <c r="C4970" i="5"/>
  <c r="B4971" i="5"/>
  <c r="C4971" i="5"/>
  <c r="B4972" i="5"/>
  <c r="C4972" i="5"/>
  <c r="B4973" i="5"/>
  <c r="C4973" i="5"/>
  <c r="B4974" i="5"/>
  <c r="C4974" i="5"/>
  <c r="B4975" i="5"/>
  <c r="C4975" i="5"/>
  <c r="B4976" i="5"/>
  <c r="C4976" i="5"/>
  <c r="B4977" i="5"/>
  <c r="C4977" i="5"/>
  <c r="B4978" i="5"/>
  <c r="C4978" i="5"/>
  <c r="B4979" i="5"/>
  <c r="C4979" i="5"/>
  <c r="B4980" i="5"/>
  <c r="C4980" i="5"/>
  <c r="B4981" i="5"/>
  <c r="C4981" i="5"/>
  <c r="B4982" i="5"/>
  <c r="C4982" i="5"/>
  <c r="B4983" i="5"/>
  <c r="C4983" i="5"/>
  <c r="B4984" i="5"/>
  <c r="C4984" i="5"/>
  <c r="B4985" i="5"/>
  <c r="C4985" i="5"/>
  <c r="B4986" i="5"/>
  <c r="C4986" i="5"/>
  <c r="B4987" i="5"/>
  <c r="C4987" i="5"/>
  <c r="B4988" i="5"/>
  <c r="C4988" i="5"/>
  <c r="B4989" i="5"/>
  <c r="C4989" i="5"/>
  <c r="B4990" i="5"/>
  <c r="C4990" i="5"/>
  <c r="B4991" i="5"/>
  <c r="C4991" i="5"/>
  <c r="B4992" i="5"/>
  <c r="C4992" i="5"/>
  <c r="B4993" i="5"/>
  <c r="C4993" i="5"/>
  <c r="B4994" i="5"/>
  <c r="C4994" i="5"/>
  <c r="B4995" i="5"/>
  <c r="C4995" i="5"/>
  <c r="B4996" i="5"/>
  <c r="C4996" i="5"/>
  <c r="B4997" i="5"/>
  <c r="C4997" i="5"/>
  <c r="B4998" i="5"/>
  <c r="C4998" i="5"/>
  <c r="B4999" i="5"/>
  <c r="C4999" i="5"/>
  <c r="B5000" i="5"/>
  <c r="C5000" i="5"/>
  <c r="B5001" i="5"/>
  <c r="C5001" i="5"/>
  <c r="B5002" i="5"/>
  <c r="C5002" i="5"/>
  <c r="B5003" i="5"/>
  <c r="C5003" i="5"/>
  <c r="B5004" i="5"/>
  <c r="C5004" i="5"/>
  <c r="B5005" i="5"/>
  <c r="C5005" i="5"/>
  <c r="B5006" i="5"/>
  <c r="C5006" i="5"/>
  <c r="B5007" i="5"/>
  <c r="C5007" i="5"/>
  <c r="B5008" i="5"/>
  <c r="C5008" i="5"/>
  <c r="B5009" i="5"/>
  <c r="C5009" i="5"/>
  <c r="B5010" i="5"/>
  <c r="C5010" i="5"/>
  <c r="B5011" i="5"/>
  <c r="C5011" i="5"/>
  <c r="B5012" i="5"/>
  <c r="C5012" i="5"/>
  <c r="B5013" i="5"/>
  <c r="C5013" i="5"/>
  <c r="B5014" i="5"/>
  <c r="C5014" i="5"/>
  <c r="B5015" i="5"/>
  <c r="C5015" i="5"/>
  <c r="B5016" i="5"/>
  <c r="C5016" i="5"/>
  <c r="B5017" i="5"/>
  <c r="C5017" i="5"/>
  <c r="B5018" i="5"/>
  <c r="C5018" i="5"/>
  <c r="B5019" i="5"/>
  <c r="C5019" i="5"/>
  <c r="B5020" i="5"/>
  <c r="C5020" i="5"/>
  <c r="B5021" i="5"/>
  <c r="C5021" i="5"/>
  <c r="B5022" i="5"/>
  <c r="C5022" i="5"/>
  <c r="B5023" i="5"/>
  <c r="C5023" i="5"/>
  <c r="B5024" i="5"/>
  <c r="C5024" i="5"/>
  <c r="B5025" i="5"/>
  <c r="C5025" i="5"/>
  <c r="B5026" i="5"/>
  <c r="C5026" i="5"/>
  <c r="B5027" i="5"/>
  <c r="C5027" i="5"/>
  <c r="B5028" i="5"/>
  <c r="C5028" i="5"/>
  <c r="B5029" i="5"/>
  <c r="C5029" i="5"/>
  <c r="B5030" i="5"/>
  <c r="C5030" i="5"/>
  <c r="B5031" i="5"/>
  <c r="C5031" i="5"/>
  <c r="B5032" i="5"/>
  <c r="C5032" i="5"/>
  <c r="B5033" i="5"/>
  <c r="C5033" i="5"/>
  <c r="B5034" i="5"/>
  <c r="C5034" i="5"/>
  <c r="B5035" i="5"/>
  <c r="C5035" i="5"/>
  <c r="B5036" i="5"/>
  <c r="C5036" i="5"/>
  <c r="B5037" i="5"/>
  <c r="C5037" i="5"/>
  <c r="B5038" i="5"/>
  <c r="C5038" i="5"/>
  <c r="B5039" i="5"/>
  <c r="C5039" i="5"/>
  <c r="B5040" i="5"/>
  <c r="C5040" i="5"/>
  <c r="B5041" i="5"/>
  <c r="C5041" i="5"/>
  <c r="B5042" i="5"/>
  <c r="C5042" i="5"/>
  <c r="B5043" i="5"/>
  <c r="C5043" i="5"/>
  <c r="B5044" i="5"/>
  <c r="C5044" i="5"/>
  <c r="B5045" i="5"/>
  <c r="C5045" i="5"/>
  <c r="B5046" i="5"/>
  <c r="C5046" i="5"/>
  <c r="B5047" i="5"/>
  <c r="C5047" i="5"/>
  <c r="B5048" i="5"/>
  <c r="C5048" i="5"/>
  <c r="B5049" i="5"/>
  <c r="C5049" i="5"/>
  <c r="B5050" i="5"/>
  <c r="C5050" i="5"/>
  <c r="B5051" i="5"/>
  <c r="C5051" i="5"/>
  <c r="B5052" i="5"/>
  <c r="C5052" i="5"/>
  <c r="B5053" i="5"/>
  <c r="C5053" i="5"/>
  <c r="B5054" i="5"/>
  <c r="C5054" i="5"/>
  <c r="B5055" i="5"/>
  <c r="C5055" i="5"/>
  <c r="B5056" i="5"/>
  <c r="C5056" i="5"/>
  <c r="B5057" i="5"/>
  <c r="C5057" i="5"/>
  <c r="B5058" i="5"/>
  <c r="C5058" i="5"/>
  <c r="B5059" i="5"/>
  <c r="C5059" i="5"/>
  <c r="B5060" i="5"/>
  <c r="C5060" i="5"/>
  <c r="B5061" i="5"/>
  <c r="C5061" i="5"/>
  <c r="B5062" i="5"/>
  <c r="C5062" i="5"/>
  <c r="B5063" i="5"/>
  <c r="C5063" i="5"/>
  <c r="B5064" i="5"/>
  <c r="C5064" i="5"/>
  <c r="B5065" i="5"/>
  <c r="C5065" i="5"/>
  <c r="B5066" i="5"/>
  <c r="C5066" i="5"/>
  <c r="B5067" i="5"/>
  <c r="C5067" i="5"/>
  <c r="B5068" i="5"/>
  <c r="C5068" i="5"/>
  <c r="B5069" i="5"/>
  <c r="C5069" i="5"/>
  <c r="B5070" i="5"/>
  <c r="C5070" i="5"/>
  <c r="B5071" i="5"/>
  <c r="C5071" i="5"/>
  <c r="B5072" i="5"/>
  <c r="C5072" i="5"/>
  <c r="B5073" i="5"/>
  <c r="C5073" i="5"/>
  <c r="B5074" i="5"/>
  <c r="C5074" i="5"/>
  <c r="B5075" i="5"/>
  <c r="C5075" i="5"/>
  <c r="B5076" i="5"/>
  <c r="C5076" i="5"/>
  <c r="B5077" i="5"/>
  <c r="C5077" i="5"/>
  <c r="B5078" i="5"/>
  <c r="C5078" i="5"/>
  <c r="B5079" i="5"/>
  <c r="C5079" i="5"/>
  <c r="B5080" i="5"/>
  <c r="C5080" i="5"/>
  <c r="B5081" i="5"/>
  <c r="C5081" i="5"/>
  <c r="B5082" i="5"/>
  <c r="C5082" i="5"/>
  <c r="B5083" i="5"/>
  <c r="C5083" i="5"/>
  <c r="B5084" i="5"/>
  <c r="C5084" i="5"/>
  <c r="B5085" i="5"/>
  <c r="C5085" i="5"/>
  <c r="B5086" i="5"/>
  <c r="C5086" i="5"/>
  <c r="B5087" i="5"/>
  <c r="C5087" i="5"/>
  <c r="B5088" i="5"/>
  <c r="C5088" i="5"/>
  <c r="B5089" i="5"/>
  <c r="C5089" i="5"/>
  <c r="B5090" i="5"/>
  <c r="C5090" i="5"/>
  <c r="B5091" i="5"/>
  <c r="C5091" i="5"/>
  <c r="B5092" i="5"/>
  <c r="C5092" i="5"/>
  <c r="B5093" i="5"/>
  <c r="C5093" i="5"/>
  <c r="B5094" i="5"/>
  <c r="C5094" i="5"/>
  <c r="B5095" i="5"/>
  <c r="C5095" i="5"/>
  <c r="B5096" i="5"/>
  <c r="C5096" i="5"/>
  <c r="B5097" i="5"/>
  <c r="C5097" i="5"/>
  <c r="B5098" i="5"/>
  <c r="C5098" i="5"/>
  <c r="B5099" i="5"/>
  <c r="C5099" i="5"/>
  <c r="B5100" i="5"/>
  <c r="C5100" i="5"/>
  <c r="B5101" i="5"/>
  <c r="C5101" i="5"/>
  <c r="B5102" i="5"/>
  <c r="C5102" i="5"/>
  <c r="B5103" i="5"/>
  <c r="C5103" i="5"/>
  <c r="B5104" i="5"/>
  <c r="C5104" i="5"/>
  <c r="B5105" i="5"/>
  <c r="C5105" i="5"/>
  <c r="B5106" i="5"/>
  <c r="C5106" i="5"/>
  <c r="B5107" i="5"/>
  <c r="C5107" i="5"/>
  <c r="B5108" i="5"/>
  <c r="C5108" i="5"/>
  <c r="B5109" i="5"/>
  <c r="C5109" i="5"/>
  <c r="B5110" i="5"/>
  <c r="C5110" i="5"/>
  <c r="B5111" i="5"/>
  <c r="C5111" i="5"/>
  <c r="B5112" i="5"/>
  <c r="C5112" i="5"/>
  <c r="B5113" i="5"/>
  <c r="C5113" i="5"/>
  <c r="B5114" i="5"/>
  <c r="C5114" i="5"/>
  <c r="B5115" i="5"/>
  <c r="C5115" i="5"/>
  <c r="B5116" i="5"/>
  <c r="C5116" i="5"/>
  <c r="B5117" i="5"/>
  <c r="C5117" i="5"/>
  <c r="B5118" i="5"/>
  <c r="C5118" i="5"/>
  <c r="B5119" i="5"/>
  <c r="C5119" i="5"/>
  <c r="B5120" i="5"/>
  <c r="C5120" i="5"/>
  <c r="B5121" i="5"/>
  <c r="C5121" i="5"/>
  <c r="B5122" i="5"/>
  <c r="C5122" i="5"/>
  <c r="B5123" i="5"/>
  <c r="C5123" i="5"/>
  <c r="B5124" i="5"/>
  <c r="C5124" i="5"/>
  <c r="B5125" i="5"/>
  <c r="C5125" i="5"/>
  <c r="B5126" i="5"/>
  <c r="C5126" i="5"/>
  <c r="B5127" i="5"/>
  <c r="C5127" i="5"/>
  <c r="B5128" i="5"/>
  <c r="C5128" i="5"/>
  <c r="B5129" i="5"/>
  <c r="C5129" i="5"/>
  <c r="B5130" i="5"/>
  <c r="C5130" i="5"/>
  <c r="B5131" i="5"/>
  <c r="C5131" i="5"/>
  <c r="B5132" i="5"/>
  <c r="C5132" i="5"/>
  <c r="B5133" i="5"/>
  <c r="C5133" i="5"/>
  <c r="B5134" i="5"/>
  <c r="C5134" i="5"/>
  <c r="B5135" i="5"/>
  <c r="C5135" i="5"/>
  <c r="B5136" i="5"/>
  <c r="C5136" i="5"/>
  <c r="B5137" i="5"/>
  <c r="C5137" i="5"/>
  <c r="B5138" i="5"/>
  <c r="C5138" i="5"/>
  <c r="B5139" i="5"/>
  <c r="C5139" i="5"/>
  <c r="B5140" i="5"/>
  <c r="C5140" i="5"/>
  <c r="B5141" i="5"/>
  <c r="C5141" i="5"/>
  <c r="B5142" i="5"/>
  <c r="C5142" i="5"/>
  <c r="B5143" i="5"/>
  <c r="C5143" i="5"/>
  <c r="B5144" i="5"/>
  <c r="C5144" i="5"/>
  <c r="B5145" i="5"/>
  <c r="C5145" i="5"/>
  <c r="B5146" i="5"/>
  <c r="C5146" i="5"/>
  <c r="B5147" i="5"/>
  <c r="C5147" i="5"/>
  <c r="B5148" i="5"/>
  <c r="C5148" i="5"/>
  <c r="B5149" i="5"/>
  <c r="C5149" i="5"/>
  <c r="B5150" i="5"/>
  <c r="C5150" i="5"/>
  <c r="B5151" i="5"/>
  <c r="C5151" i="5"/>
  <c r="B5152" i="5"/>
  <c r="C5152" i="5"/>
  <c r="B5153" i="5"/>
  <c r="C5153" i="5"/>
  <c r="B5154" i="5"/>
  <c r="C5154" i="5"/>
  <c r="B5155" i="5"/>
  <c r="C5155" i="5"/>
  <c r="B5156" i="5"/>
  <c r="C5156" i="5"/>
  <c r="B5157" i="5"/>
  <c r="C5157" i="5"/>
  <c r="B5158" i="5"/>
  <c r="C5158" i="5"/>
  <c r="B5159" i="5"/>
  <c r="C5159" i="5"/>
  <c r="B5160" i="5"/>
  <c r="C5160" i="5"/>
  <c r="B5161" i="5"/>
  <c r="C5161" i="5"/>
  <c r="B5162" i="5"/>
  <c r="C5162" i="5"/>
  <c r="B5163" i="5"/>
  <c r="C5163" i="5"/>
  <c r="B5164" i="5"/>
  <c r="C5164" i="5"/>
  <c r="B5165" i="5"/>
  <c r="C5165" i="5"/>
  <c r="B5166" i="5"/>
  <c r="C5166" i="5"/>
  <c r="B5167" i="5"/>
  <c r="C5167" i="5"/>
  <c r="B5168" i="5"/>
  <c r="C5168" i="5"/>
  <c r="B5169" i="5"/>
  <c r="C5169" i="5"/>
  <c r="B5170" i="5"/>
  <c r="C5170" i="5"/>
  <c r="B5171" i="5"/>
  <c r="C5171" i="5"/>
  <c r="B5172" i="5"/>
  <c r="C5172" i="5"/>
  <c r="B5173" i="5"/>
  <c r="C5173" i="5"/>
  <c r="B5174" i="5"/>
  <c r="C5174" i="5"/>
  <c r="B5175" i="5"/>
  <c r="C5175" i="5"/>
  <c r="B5176" i="5"/>
  <c r="C5176" i="5"/>
  <c r="B5177" i="5"/>
  <c r="C5177" i="5"/>
  <c r="B5178" i="5"/>
  <c r="C5178" i="5"/>
  <c r="B5179" i="5"/>
  <c r="C5179" i="5"/>
  <c r="B5180" i="5"/>
  <c r="C5180" i="5"/>
  <c r="B5181" i="5"/>
  <c r="C5181" i="5"/>
  <c r="B5182" i="5"/>
  <c r="C5182" i="5"/>
  <c r="B5183" i="5"/>
  <c r="C5183" i="5"/>
  <c r="B5184" i="5"/>
  <c r="C5184" i="5"/>
  <c r="B5185" i="5"/>
  <c r="C5185" i="5"/>
  <c r="B5186" i="5"/>
  <c r="C5186" i="5"/>
  <c r="B5187" i="5"/>
  <c r="C5187" i="5"/>
  <c r="B5188" i="5"/>
  <c r="C5188" i="5"/>
  <c r="B5189" i="5"/>
  <c r="C5189" i="5"/>
  <c r="B5190" i="5"/>
  <c r="C5190" i="5"/>
  <c r="B5191" i="5"/>
  <c r="C5191" i="5"/>
  <c r="B5192" i="5"/>
  <c r="C5192" i="5"/>
  <c r="B5193" i="5"/>
  <c r="C5193" i="5"/>
  <c r="B5278" i="5"/>
  <c r="C5278" i="5"/>
  <c r="B5279" i="5"/>
  <c r="C5279" i="5"/>
  <c r="B5280" i="5"/>
  <c r="C5280" i="5"/>
  <c r="B5281" i="5"/>
  <c r="C5281" i="5"/>
  <c r="B5282" i="5"/>
  <c r="C5282" i="5"/>
  <c r="B5283" i="5"/>
  <c r="C5283" i="5"/>
  <c r="B5284" i="5"/>
  <c r="C5284" i="5"/>
  <c r="B5285" i="5"/>
  <c r="C5285" i="5"/>
  <c r="B5286" i="5"/>
  <c r="C5286" i="5"/>
  <c r="F3494" i="1"/>
  <c r="F3473" i="1"/>
  <c r="F3472" i="1"/>
  <c r="F3433" i="1"/>
  <c r="F3432" i="1"/>
  <c r="F3408" i="1"/>
  <c r="M52" i="34"/>
  <c r="M54" i="34" s="1"/>
  <c r="F3568" i="1" l="1"/>
  <c r="E3523" i="1" s="1"/>
  <c r="E3568" i="1" s="1"/>
  <c r="E3569" i="1" s="1"/>
  <c r="F3506" i="1"/>
  <c r="F3443" i="1"/>
  <c r="E3406" i="1" s="1"/>
  <c r="F3341" i="1"/>
  <c r="F3286" i="1"/>
  <c r="F3314" i="1"/>
  <c r="F3315" i="1"/>
  <c r="F3316" i="1"/>
  <c r="F3317" i="1"/>
  <c r="F3382" i="1"/>
  <c r="F3380" i="1"/>
  <c r="E3459" i="1" l="1"/>
  <c r="E3506" i="1" s="1"/>
  <c r="E3507" i="1" s="1"/>
  <c r="E3443" i="1"/>
  <c r="E3444" i="1" s="1"/>
  <c r="F3390" i="1"/>
  <c r="E3339" i="1" s="1"/>
  <c r="E3390" i="1" s="1"/>
  <c r="E3391" i="1" s="1"/>
  <c r="B51" i="34" l="1"/>
  <c r="B50" i="34"/>
  <c r="J21" i="34"/>
  <c r="B52" i="34"/>
  <c r="B53" i="34"/>
  <c r="L43" i="34"/>
  <c r="L40" i="34"/>
  <c r="L39" i="34"/>
  <c r="L37" i="34"/>
  <c r="B54" i="34" l="1"/>
  <c r="C54" i="34" s="1"/>
  <c r="F3321" i="1" l="1"/>
  <c r="E3284" i="1" l="1"/>
  <c r="E3321" i="1" s="1"/>
  <c r="E3322" i="1" s="1"/>
  <c r="M41" i="34" l="1"/>
  <c r="F26" i="34"/>
  <c r="F3256" i="1" l="1"/>
  <c r="F3257" i="1"/>
  <c r="J47" i="34"/>
  <c r="G47" i="34"/>
  <c r="F47" i="34"/>
  <c r="E47" i="34"/>
  <c r="D47" i="34"/>
  <c r="C47" i="34"/>
  <c r="B47" i="34"/>
  <c r="K46" i="34"/>
  <c r="K45" i="34"/>
  <c r="K44" i="34"/>
  <c r="K43" i="34"/>
  <c r="K42" i="34"/>
  <c r="K41" i="34"/>
  <c r="K40" i="34"/>
  <c r="K39" i="34"/>
  <c r="K38" i="34"/>
  <c r="K37" i="34"/>
  <c r="K36" i="34"/>
  <c r="K35" i="34"/>
  <c r="F3121" i="1"/>
  <c r="H3143" i="1"/>
  <c r="B4892" i="5"/>
  <c r="C4892" i="5"/>
  <c r="B4893" i="5"/>
  <c r="C4893" i="5"/>
  <c r="B4894" i="5"/>
  <c r="C4894" i="5"/>
  <c r="B4895" i="5"/>
  <c r="C4895" i="5"/>
  <c r="B4896" i="5"/>
  <c r="C4896" i="5"/>
  <c r="B4897" i="5"/>
  <c r="C4897" i="5"/>
  <c r="B4898" i="5"/>
  <c r="C4898" i="5"/>
  <c r="B4899" i="5"/>
  <c r="C4899" i="5"/>
  <c r="B4900" i="5"/>
  <c r="C4900" i="5"/>
  <c r="B4901" i="5"/>
  <c r="C4901" i="5"/>
  <c r="B4902" i="5"/>
  <c r="C4902" i="5"/>
  <c r="B4903" i="5"/>
  <c r="C4903" i="5"/>
  <c r="B4904" i="5"/>
  <c r="C4904" i="5"/>
  <c r="B4905" i="5"/>
  <c r="C4905" i="5"/>
  <c r="B4906" i="5"/>
  <c r="C4906" i="5"/>
  <c r="B4907" i="5"/>
  <c r="C4907" i="5"/>
  <c r="B4908" i="5"/>
  <c r="C4908" i="5"/>
  <c r="B4909" i="5"/>
  <c r="C4909" i="5"/>
  <c r="B4910" i="5"/>
  <c r="C4910" i="5"/>
  <c r="B4911" i="5"/>
  <c r="C4911" i="5"/>
  <c r="B4912" i="5"/>
  <c r="C4912" i="5"/>
  <c r="B4913" i="5"/>
  <c r="C4913" i="5"/>
  <c r="B4914" i="5"/>
  <c r="C4914" i="5"/>
  <c r="B4915" i="5"/>
  <c r="C4915" i="5"/>
  <c r="B4916" i="5"/>
  <c r="C4916" i="5"/>
  <c r="B4917" i="5"/>
  <c r="C4917" i="5"/>
  <c r="B4918" i="5"/>
  <c r="C4918" i="5"/>
  <c r="B4919" i="5"/>
  <c r="C4919" i="5"/>
  <c r="B4920" i="5"/>
  <c r="C4920" i="5"/>
  <c r="B4921" i="5"/>
  <c r="C4921" i="5"/>
  <c r="B4922" i="5"/>
  <c r="C4922" i="5"/>
  <c r="B4923" i="5"/>
  <c r="C4923" i="5"/>
  <c r="B4924" i="5"/>
  <c r="C4924" i="5"/>
  <c r="B4925" i="5"/>
  <c r="C4925" i="5"/>
  <c r="B4926" i="5"/>
  <c r="C4926" i="5"/>
  <c r="B4927" i="5"/>
  <c r="C4927" i="5"/>
  <c r="B4928" i="5"/>
  <c r="C4928" i="5"/>
  <c r="B4929" i="5"/>
  <c r="C4929" i="5"/>
  <c r="B4930" i="5"/>
  <c r="C4930" i="5"/>
  <c r="B4931" i="5"/>
  <c r="C4931" i="5"/>
  <c r="B4932" i="5"/>
  <c r="C4932" i="5"/>
  <c r="B4933" i="5"/>
  <c r="C4933" i="5"/>
  <c r="B4934" i="5"/>
  <c r="C4934" i="5"/>
  <c r="B4935" i="5"/>
  <c r="C4935" i="5"/>
  <c r="B4936" i="5"/>
  <c r="C4936" i="5"/>
  <c r="B4937" i="5"/>
  <c r="C4937" i="5"/>
  <c r="B4938" i="5"/>
  <c r="C4938" i="5"/>
  <c r="B4939" i="5"/>
  <c r="C4939" i="5"/>
  <c r="B4940" i="5"/>
  <c r="C4940" i="5"/>
  <c r="B4941" i="5"/>
  <c r="C4941" i="5"/>
  <c r="B4942" i="5"/>
  <c r="C4942" i="5"/>
  <c r="B4943" i="5"/>
  <c r="C4943" i="5"/>
  <c r="B4944" i="5"/>
  <c r="C4944" i="5"/>
  <c r="B4945" i="5"/>
  <c r="C4945" i="5"/>
  <c r="B4946" i="5"/>
  <c r="C4946" i="5"/>
  <c r="B4947" i="5"/>
  <c r="C4947" i="5"/>
  <c r="B4948" i="5"/>
  <c r="C4948" i="5"/>
  <c r="B4949" i="5"/>
  <c r="C4949" i="5"/>
  <c r="B4950" i="5"/>
  <c r="C4950" i="5"/>
  <c r="B4951" i="5"/>
  <c r="C4951" i="5"/>
  <c r="B6" i="5"/>
  <c r="C6" i="5"/>
  <c r="B7" i="5"/>
  <c r="C7" i="5"/>
  <c r="B8" i="5"/>
  <c r="C8" i="5"/>
  <c r="B9" i="5"/>
  <c r="C9" i="5"/>
  <c r="B10" i="5"/>
  <c r="C10" i="5"/>
  <c r="B11" i="5"/>
  <c r="C11" i="5"/>
  <c r="B12" i="5"/>
  <c r="C12" i="5"/>
  <c r="B13" i="5"/>
  <c r="C13" i="5"/>
  <c r="B14" i="5"/>
  <c r="C14" i="5"/>
  <c r="B15" i="5"/>
  <c r="C15" i="5"/>
  <c r="B16" i="5"/>
  <c r="C16" i="5"/>
  <c r="B17" i="5"/>
  <c r="C17" i="5"/>
  <c r="B18" i="5"/>
  <c r="C18" i="5"/>
  <c r="B19" i="5"/>
  <c r="C19" i="5"/>
  <c r="B20" i="5"/>
  <c r="C20" i="5"/>
  <c r="B21" i="5"/>
  <c r="C21" i="5"/>
  <c r="B22" i="5"/>
  <c r="C22" i="5"/>
  <c r="B23" i="5"/>
  <c r="C23" i="5"/>
  <c r="B24" i="5"/>
  <c r="C24" i="5"/>
  <c r="B25" i="5"/>
  <c r="C25" i="5"/>
  <c r="B26" i="5"/>
  <c r="C26" i="5"/>
  <c r="B27" i="5"/>
  <c r="C27" i="5"/>
  <c r="B28" i="5"/>
  <c r="C28" i="5"/>
  <c r="B29" i="5"/>
  <c r="C29" i="5"/>
  <c r="B30" i="5"/>
  <c r="C30" i="5"/>
  <c r="B31" i="5"/>
  <c r="C31" i="5"/>
  <c r="B32" i="5"/>
  <c r="C32" i="5"/>
  <c r="B33" i="5"/>
  <c r="C33" i="5"/>
  <c r="B34" i="5"/>
  <c r="C34" i="5"/>
  <c r="B35" i="5"/>
  <c r="C35" i="5"/>
  <c r="B36" i="5"/>
  <c r="C36" i="5"/>
  <c r="B37" i="5"/>
  <c r="C37" i="5"/>
  <c r="B38" i="5"/>
  <c r="C38" i="5"/>
  <c r="B39" i="5"/>
  <c r="C39" i="5"/>
  <c r="B40" i="5"/>
  <c r="C40" i="5"/>
  <c r="B41" i="5"/>
  <c r="C41" i="5"/>
  <c r="B42" i="5"/>
  <c r="C42" i="5"/>
  <c r="B43" i="5"/>
  <c r="C43" i="5"/>
  <c r="B44" i="5"/>
  <c r="C44" i="5"/>
  <c r="B45" i="5"/>
  <c r="C45" i="5"/>
  <c r="B46" i="5"/>
  <c r="C46" i="5"/>
  <c r="B47" i="5"/>
  <c r="C47" i="5"/>
  <c r="B48" i="5"/>
  <c r="C48" i="5"/>
  <c r="B49" i="5"/>
  <c r="C49" i="5"/>
  <c r="B50" i="5"/>
  <c r="C50" i="5"/>
  <c r="B51" i="5"/>
  <c r="C51" i="5"/>
  <c r="B52" i="5"/>
  <c r="C52" i="5"/>
  <c r="B53" i="5"/>
  <c r="C53" i="5"/>
  <c r="B54" i="5"/>
  <c r="C54" i="5"/>
  <c r="B55" i="5"/>
  <c r="C55" i="5"/>
  <c r="B56" i="5"/>
  <c r="C56" i="5"/>
  <c r="B57" i="5"/>
  <c r="C57" i="5"/>
  <c r="B58" i="5"/>
  <c r="C58" i="5"/>
  <c r="B59" i="5"/>
  <c r="C59" i="5"/>
  <c r="B60" i="5"/>
  <c r="C60" i="5"/>
  <c r="B61" i="5"/>
  <c r="C61" i="5"/>
  <c r="B62" i="5"/>
  <c r="C62" i="5"/>
  <c r="B63" i="5"/>
  <c r="C63" i="5"/>
  <c r="B64" i="5"/>
  <c r="C64" i="5"/>
  <c r="B65" i="5"/>
  <c r="C65" i="5"/>
  <c r="B66" i="5"/>
  <c r="C66" i="5"/>
  <c r="B67" i="5"/>
  <c r="C67" i="5"/>
  <c r="B68" i="5"/>
  <c r="C68" i="5"/>
  <c r="B69" i="5"/>
  <c r="C69" i="5"/>
  <c r="B70" i="5"/>
  <c r="C70" i="5"/>
  <c r="B71" i="5"/>
  <c r="C71" i="5"/>
  <c r="B72" i="5"/>
  <c r="C72" i="5"/>
  <c r="B73" i="5"/>
  <c r="C73" i="5"/>
  <c r="B74" i="5"/>
  <c r="C74" i="5"/>
  <c r="B75" i="5"/>
  <c r="C75" i="5"/>
  <c r="B76" i="5"/>
  <c r="C76" i="5"/>
  <c r="B77" i="5"/>
  <c r="C77" i="5"/>
  <c r="B78" i="5"/>
  <c r="C78" i="5"/>
  <c r="B79" i="5"/>
  <c r="C79" i="5"/>
  <c r="B80" i="5"/>
  <c r="C80" i="5"/>
  <c r="B81" i="5"/>
  <c r="C81" i="5"/>
  <c r="B82" i="5"/>
  <c r="C82" i="5"/>
  <c r="B83" i="5"/>
  <c r="C83" i="5"/>
  <c r="B84" i="5"/>
  <c r="C84" i="5"/>
  <c r="B85" i="5"/>
  <c r="C85" i="5"/>
  <c r="B86" i="5"/>
  <c r="C86" i="5"/>
  <c r="B87" i="5"/>
  <c r="C87" i="5"/>
  <c r="B88" i="5"/>
  <c r="C88" i="5"/>
  <c r="B89" i="5"/>
  <c r="C89" i="5"/>
  <c r="B90" i="5"/>
  <c r="C90" i="5"/>
  <c r="B91" i="5"/>
  <c r="C91" i="5"/>
  <c r="B92" i="5"/>
  <c r="C92" i="5"/>
  <c r="B93" i="5"/>
  <c r="C93" i="5"/>
  <c r="B94" i="5"/>
  <c r="C94" i="5"/>
  <c r="B95" i="5"/>
  <c r="C95" i="5"/>
  <c r="B96" i="5"/>
  <c r="C96" i="5"/>
  <c r="B97" i="5"/>
  <c r="C97" i="5"/>
  <c r="B98" i="5"/>
  <c r="C98" i="5"/>
  <c r="B99" i="5"/>
  <c r="C99" i="5"/>
  <c r="B100" i="5"/>
  <c r="C100" i="5"/>
  <c r="B101" i="5"/>
  <c r="C101" i="5"/>
  <c r="B102" i="5"/>
  <c r="C102" i="5"/>
  <c r="B103" i="5"/>
  <c r="C103" i="5"/>
  <c r="B104" i="5"/>
  <c r="C104" i="5"/>
  <c r="B105" i="5"/>
  <c r="C105" i="5"/>
  <c r="B106" i="5"/>
  <c r="C106" i="5"/>
  <c r="B107" i="5"/>
  <c r="C107" i="5"/>
  <c r="B108" i="5"/>
  <c r="C108" i="5"/>
  <c r="B109" i="5"/>
  <c r="C109" i="5"/>
  <c r="B110" i="5"/>
  <c r="C110" i="5"/>
  <c r="B111" i="5"/>
  <c r="C111" i="5"/>
  <c r="B112" i="5"/>
  <c r="C112" i="5"/>
  <c r="B113" i="5"/>
  <c r="C113" i="5"/>
  <c r="B114" i="5"/>
  <c r="C114" i="5"/>
  <c r="B115" i="5"/>
  <c r="C115" i="5"/>
  <c r="B116" i="5"/>
  <c r="C116" i="5"/>
  <c r="B117" i="5"/>
  <c r="C117" i="5"/>
  <c r="B118" i="5"/>
  <c r="C118" i="5"/>
  <c r="B119" i="5"/>
  <c r="C119" i="5"/>
  <c r="B120" i="5"/>
  <c r="C120" i="5"/>
  <c r="B121" i="5"/>
  <c r="C121" i="5"/>
  <c r="B122" i="5"/>
  <c r="C122" i="5"/>
  <c r="B123" i="5"/>
  <c r="C123" i="5"/>
  <c r="B124" i="5"/>
  <c r="C124" i="5"/>
  <c r="B125" i="5"/>
  <c r="C125" i="5"/>
  <c r="B126" i="5"/>
  <c r="C126" i="5"/>
  <c r="B127" i="5"/>
  <c r="C127" i="5"/>
  <c r="B128" i="5"/>
  <c r="C128" i="5"/>
  <c r="B129" i="5"/>
  <c r="C129" i="5"/>
  <c r="B130" i="5"/>
  <c r="C130" i="5"/>
  <c r="B131" i="5"/>
  <c r="C131" i="5"/>
  <c r="B132" i="5"/>
  <c r="C132" i="5"/>
  <c r="B133" i="5"/>
  <c r="C133" i="5"/>
  <c r="B134" i="5"/>
  <c r="C134" i="5"/>
  <c r="B135" i="5"/>
  <c r="C135" i="5"/>
  <c r="B136" i="5"/>
  <c r="C136" i="5"/>
  <c r="B137" i="5"/>
  <c r="C137" i="5"/>
  <c r="B138" i="5"/>
  <c r="C138" i="5"/>
  <c r="B139" i="5"/>
  <c r="C139" i="5"/>
  <c r="B140" i="5"/>
  <c r="C140" i="5"/>
  <c r="B141" i="5"/>
  <c r="C141" i="5"/>
  <c r="B142" i="5"/>
  <c r="C142" i="5"/>
  <c r="B143" i="5"/>
  <c r="C143" i="5"/>
  <c r="B144" i="5"/>
  <c r="C144" i="5"/>
  <c r="B145" i="5"/>
  <c r="C145" i="5"/>
  <c r="B146" i="5"/>
  <c r="C146" i="5"/>
  <c r="B147" i="5"/>
  <c r="C147" i="5"/>
  <c r="B148" i="5"/>
  <c r="C148" i="5"/>
  <c r="B149" i="5"/>
  <c r="C149" i="5"/>
  <c r="B150" i="5"/>
  <c r="C150" i="5"/>
  <c r="B151" i="5"/>
  <c r="C151" i="5"/>
  <c r="B152" i="5"/>
  <c r="C152" i="5"/>
  <c r="B153" i="5"/>
  <c r="C153" i="5"/>
  <c r="B154" i="5"/>
  <c r="C154" i="5"/>
  <c r="B155" i="5"/>
  <c r="C155" i="5"/>
  <c r="B156" i="5"/>
  <c r="C156" i="5"/>
  <c r="B157" i="5"/>
  <c r="C157" i="5"/>
  <c r="B158" i="5"/>
  <c r="C158" i="5"/>
  <c r="B159" i="5"/>
  <c r="C159" i="5"/>
  <c r="B160" i="5"/>
  <c r="C160" i="5"/>
  <c r="B161" i="5"/>
  <c r="C161" i="5"/>
  <c r="B162" i="5"/>
  <c r="C162" i="5"/>
  <c r="B163" i="5"/>
  <c r="C163" i="5"/>
  <c r="B164" i="5"/>
  <c r="C164" i="5"/>
  <c r="B165" i="5"/>
  <c r="C165" i="5"/>
  <c r="B166" i="5"/>
  <c r="C166" i="5"/>
  <c r="B167" i="5"/>
  <c r="C167" i="5"/>
  <c r="B168" i="5"/>
  <c r="C168" i="5"/>
  <c r="B169" i="5"/>
  <c r="C169" i="5"/>
  <c r="B170" i="5"/>
  <c r="C170" i="5"/>
  <c r="B171" i="5"/>
  <c r="C171" i="5"/>
  <c r="B172" i="5"/>
  <c r="C172" i="5"/>
  <c r="B173" i="5"/>
  <c r="C173" i="5"/>
  <c r="B174" i="5"/>
  <c r="C174" i="5"/>
  <c r="B175" i="5"/>
  <c r="C175" i="5"/>
  <c r="B176" i="5"/>
  <c r="C176" i="5"/>
  <c r="B177" i="5"/>
  <c r="C177" i="5"/>
  <c r="B178" i="5"/>
  <c r="C178" i="5"/>
  <c r="B179" i="5"/>
  <c r="C179" i="5"/>
  <c r="B180" i="5"/>
  <c r="C180" i="5"/>
  <c r="B181" i="5"/>
  <c r="C181" i="5"/>
  <c r="B182" i="5"/>
  <c r="C182" i="5"/>
  <c r="B183" i="5"/>
  <c r="C183" i="5"/>
  <c r="B184" i="5"/>
  <c r="C184" i="5"/>
  <c r="B185" i="5"/>
  <c r="C185" i="5"/>
  <c r="B186" i="5"/>
  <c r="C186" i="5"/>
  <c r="B187" i="5"/>
  <c r="C187" i="5"/>
  <c r="B188" i="5"/>
  <c r="C188" i="5"/>
  <c r="B189" i="5"/>
  <c r="C189" i="5"/>
  <c r="B190" i="5"/>
  <c r="C190" i="5"/>
  <c r="B191" i="5"/>
  <c r="C191" i="5"/>
  <c r="B192" i="5"/>
  <c r="C192" i="5"/>
  <c r="B193" i="5"/>
  <c r="C193" i="5"/>
  <c r="B194" i="5"/>
  <c r="C194" i="5"/>
  <c r="B195" i="5"/>
  <c r="C195" i="5"/>
  <c r="B196" i="5"/>
  <c r="C196" i="5"/>
  <c r="B197" i="5"/>
  <c r="C197" i="5"/>
  <c r="B198" i="5"/>
  <c r="C198" i="5"/>
  <c r="B199" i="5"/>
  <c r="C199" i="5"/>
  <c r="B200" i="5"/>
  <c r="C200" i="5"/>
  <c r="B201" i="5"/>
  <c r="C201" i="5"/>
  <c r="B202" i="5"/>
  <c r="C202" i="5"/>
  <c r="B203" i="5"/>
  <c r="C203" i="5"/>
  <c r="B204" i="5"/>
  <c r="C204" i="5"/>
  <c r="B205" i="5"/>
  <c r="C205" i="5"/>
  <c r="B206" i="5"/>
  <c r="C206" i="5"/>
  <c r="B207" i="5"/>
  <c r="C207" i="5"/>
  <c r="B208" i="5"/>
  <c r="C208" i="5"/>
  <c r="B209" i="5"/>
  <c r="C209" i="5"/>
  <c r="B210" i="5"/>
  <c r="C210" i="5"/>
  <c r="B211" i="5"/>
  <c r="C211" i="5"/>
  <c r="B212" i="5"/>
  <c r="C212" i="5"/>
  <c r="B213" i="5"/>
  <c r="C213" i="5"/>
  <c r="B214" i="5"/>
  <c r="C214" i="5"/>
  <c r="B215" i="5"/>
  <c r="C215" i="5"/>
  <c r="B216" i="5"/>
  <c r="C216" i="5"/>
  <c r="B217" i="5"/>
  <c r="C217" i="5"/>
  <c r="B218" i="5"/>
  <c r="C218" i="5"/>
  <c r="B219" i="5"/>
  <c r="C219" i="5"/>
  <c r="B220" i="5"/>
  <c r="C220" i="5"/>
  <c r="B221" i="5"/>
  <c r="C221" i="5"/>
  <c r="B222" i="5"/>
  <c r="C222" i="5"/>
  <c r="B223" i="5"/>
  <c r="C223" i="5"/>
  <c r="B224" i="5"/>
  <c r="C224" i="5"/>
  <c r="B225" i="5"/>
  <c r="C225" i="5"/>
  <c r="B226" i="5"/>
  <c r="C226" i="5"/>
  <c r="B227" i="5"/>
  <c r="C227" i="5"/>
  <c r="B228" i="5"/>
  <c r="C228" i="5"/>
  <c r="B229" i="5"/>
  <c r="C229" i="5"/>
  <c r="B230" i="5"/>
  <c r="C230" i="5"/>
  <c r="B231" i="5"/>
  <c r="C231" i="5"/>
  <c r="B232" i="5"/>
  <c r="C232" i="5"/>
  <c r="B233" i="5"/>
  <c r="C233" i="5"/>
  <c r="B234" i="5"/>
  <c r="C234" i="5"/>
  <c r="B235" i="5"/>
  <c r="C235" i="5"/>
  <c r="B236" i="5"/>
  <c r="C236" i="5"/>
  <c r="B237" i="5"/>
  <c r="C237" i="5"/>
  <c r="B238" i="5"/>
  <c r="C238" i="5"/>
  <c r="B239" i="5"/>
  <c r="C239" i="5"/>
  <c r="B240" i="5"/>
  <c r="C240" i="5"/>
  <c r="B241" i="5"/>
  <c r="C241" i="5"/>
  <c r="B242" i="5"/>
  <c r="C242" i="5"/>
  <c r="B243" i="5"/>
  <c r="C243" i="5"/>
  <c r="B244" i="5"/>
  <c r="C244" i="5"/>
  <c r="B245" i="5"/>
  <c r="C245" i="5"/>
  <c r="B246" i="5"/>
  <c r="C246" i="5"/>
  <c r="B247" i="5"/>
  <c r="C247" i="5"/>
  <c r="B248" i="5"/>
  <c r="C248" i="5"/>
  <c r="B249" i="5"/>
  <c r="C249" i="5"/>
  <c r="B250" i="5"/>
  <c r="C250" i="5"/>
  <c r="B251" i="5"/>
  <c r="C251" i="5"/>
  <c r="B252" i="5"/>
  <c r="C252" i="5"/>
  <c r="B253" i="5"/>
  <c r="C253" i="5"/>
  <c r="B254" i="5"/>
  <c r="C254" i="5"/>
  <c r="B255" i="5"/>
  <c r="C255" i="5"/>
  <c r="B256" i="5"/>
  <c r="C256" i="5"/>
  <c r="B257" i="5"/>
  <c r="C257" i="5"/>
  <c r="B258" i="5"/>
  <c r="C258" i="5"/>
  <c r="B259" i="5"/>
  <c r="C259" i="5"/>
  <c r="B260" i="5"/>
  <c r="C260" i="5"/>
  <c r="B261" i="5"/>
  <c r="C261" i="5"/>
  <c r="B262" i="5"/>
  <c r="C262" i="5"/>
  <c r="B263" i="5"/>
  <c r="C263" i="5"/>
  <c r="B264" i="5"/>
  <c r="C264" i="5"/>
  <c r="B265" i="5"/>
  <c r="C265" i="5"/>
  <c r="B266" i="5"/>
  <c r="C266" i="5"/>
  <c r="B267" i="5"/>
  <c r="C267" i="5"/>
  <c r="B268" i="5"/>
  <c r="C268" i="5"/>
  <c r="B269" i="5"/>
  <c r="C269" i="5"/>
  <c r="B270" i="5"/>
  <c r="C270" i="5"/>
  <c r="B271" i="5"/>
  <c r="C271" i="5"/>
  <c r="B272" i="5"/>
  <c r="C272" i="5"/>
  <c r="B273" i="5"/>
  <c r="C273" i="5"/>
  <c r="B274" i="5"/>
  <c r="C274" i="5"/>
  <c r="B275" i="5"/>
  <c r="C275" i="5"/>
  <c r="B276" i="5"/>
  <c r="C276" i="5"/>
  <c r="B277" i="5"/>
  <c r="C277" i="5"/>
  <c r="B278" i="5"/>
  <c r="C278" i="5"/>
  <c r="B279" i="5"/>
  <c r="C279" i="5"/>
  <c r="B280" i="5"/>
  <c r="C280" i="5"/>
  <c r="B281" i="5"/>
  <c r="C281" i="5"/>
  <c r="B282" i="5"/>
  <c r="C282" i="5"/>
  <c r="B283" i="5"/>
  <c r="C283" i="5"/>
  <c r="B284" i="5"/>
  <c r="C284" i="5"/>
  <c r="B285" i="5"/>
  <c r="C285" i="5"/>
  <c r="B286" i="5"/>
  <c r="C286" i="5"/>
  <c r="B287" i="5"/>
  <c r="C287" i="5"/>
  <c r="B288" i="5"/>
  <c r="C288" i="5"/>
  <c r="B289" i="5"/>
  <c r="C289" i="5"/>
  <c r="B290" i="5"/>
  <c r="C290" i="5"/>
  <c r="B291" i="5"/>
  <c r="C291" i="5"/>
  <c r="B292" i="5"/>
  <c r="C292" i="5"/>
  <c r="B293" i="5"/>
  <c r="C293" i="5"/>
  <c r="B294" i="5"/>
  <c r="C294" i="5"/>
  <c r="B295" i="5"/>
  <c r="C295" i="5"/>
  <c r="B296" i="5"/>
  <c r="C296" i="5"/>
  <c r="B297" i="5"/>
  <c r="C297" i="5"/>
  <c r="B298" i="5"/>
  <c r="C298" i="5"/>
  <c r="B299" i="5"/>
  <c r="C299" i="5"/>
  <c r="B300" i="5"/>
  <c r="C300" i="5"/>
  <c r="B301" i="5"/>
  <c r="C301" i="5"/>
  <c r="B302" i="5"/>
  <c r="C302" i="5"/>
  <c r="B303" i="5"/>
  <c r="C303" i="5"/>
  <c r="B304" i="5"/>
  <c r="C304" i="5"/>
  <c r="B305" i="5"/>
  <c r="C305" i="5"/>
  <c r="B306" i="5"/>
  <c r="C306" i="5"/>
  <c r="B307" i="5"/>
  <c r="C307" i="5"/>
  <c r="B308" i="5"/>
  <c r="C308" i="5"/>
  <c r="B309" i="5"/>
  <c r="C309" i="5"/>
  <c r="B310" i="5"/>
  <c r="C310" i="5"/>
  <c r="B311" i="5"/>
  <c r="C311" i="5"/>
  <c r="B312" i="5"/>
  <c r="C312" i="5"/>
  <c r="B313" i="5"/>
  <c r="C313" i="5"/>
  <c r="B314" i="5"/>
  <c r="C314" i="5"/>
  <c r="B315" i="5"/>
  <c r="C315" i="5"/>
  <c r="B316" i="5"/>
  <c r="C316" i="5"/>
  <c r="B317" i="5"/>
  <c r="C317" i="5"/>
  <c r="B318" i="5"/>
  <c r="C318" i="5"/>
  <c r="B319" i="5"/>
  <c r="C319" i="5"/>
  <c r="B320" i="5"/>
  <c r="C320" i="5"/>
  <c r="B321" i="5"/>
  <c r="C321" i="5"/>
  <c r="B322" i="5"/>
  <c r="C322" i="5"/>
  <c r="B323" i="5"/>
  <c r="C323" i="5"/>
  <c r="B324" i="5"/>
  <c r="C324" i="5"/>
  <c r="B325" i="5"/>
  <c r="C325" i="5"/>
  <c r="B326" i="5"/>
  <c r="C326" i="5"/>
  <c r="B327" i="5"/>
  <c r="C327" i="5"/>
  <c r="B328" i="5"/>
  <c r="C328" i="5"/>
  <c r="B329" i="5"/>
  <c r="C329" i="5"/>
  <c r="B330" i="5"/>
  <c r="C330" i="5"/>
  <c r="B331" i="5"/>
  <c r="C331" i="5"/>
  <c r="B332" i="5"/>
  <c r="C332" i="5"/>
  <c r="B333" i="5"/>
  <c r="C333" i="5"/>
  <c r="B334" i="5"/>
  <c r="C334" i="5"/>
  <c r="B335" i="5"/>
  <c r="C335" i="5"/>
  <c r="B336" i="5"/>
  <c r="C336" i="5"/>
  <c r="B337" i="5"/>
  <c r="C337" i="5"/>
  <c r="B338" i="5"/>
  <c r="C338" i="5"/>
  <c r="B339" i="5"/>
  <c r="C339" i="5"/>
  <c r="B340" i="5"/>
  <c r="C340" i="5"/>
  <c r="B341" i="5"/>
  <c r="C341" i="5"/>
  <c r="B342" i="5"/>
  <c r="C342" i="5"/>
  <c r="B343" i="5"/>
  <c r="C343" i="5"/>
  <c r="B344" i="5"/>
  <c r="C344" i="5"/>
  <c r="B345" i="5"/>
  <c r="C345" i="5"/>
  <c r="B346" i="5"/>
  <c r="C346" i="5"/>
  <c r="B347" i="5"/>
  <c r="C347" i="5"/>
  <c r="B348" i="5"/>
  <c r="C348" i="5"/>
  <c r="B349" i="5"/>
  <c r="C349" i="5"/>
  <c r="B350" i="5"/>
  <c r="C350" i="5"/>
  <c r="B351" i="5"/>
  <c r="C351" i="5"/>
  <c r="B352" i="5"/>
  <c r="C352" i="5"/>
  <c r="B353" i="5"/>
  <c r="C353" i="5"/>
  <c r="B354" i="5"/>
  <c r="C354" i="5"/>
  <c r="B355" i="5"/>
  <c r="C355" i="5"/>
  <c r="B356" i="5"/>
  <c r="C356" i="5"/>
  <c r="B357" i="5"/>
  <c r="C357" i="5"/>
  <c r="B358" i="5"/>
  <c r="C358" i="5"/>
  <c r="B359" i="5"/>
  <c r="C359" i="5"/>
  <c r="B360" i="5"/>
  <c r="C360" i="5"/>
  <c r="B361" i="5"/>
  <c r="C361" i="5"/>
  <c r="B362" i="5"/>
  <c r="C362" i="5"/>
  <c r="B363" i="5"/>
  <c r="C363" i="5"/>
  <c r="B364" i="5"/>
  <c r="C364" i="5"/>
  <c r="B365" i="5"/>
  <c r="C365" i="5"/>
  <c r="B366" i="5"/>
  <c r="C366" i="5"/>
  <c r="B367" i="5"/>
  <c r="C367" i="5"/>
  <c r="B368" i="5"/>
  <c r="C368" i="5"/>
  <c r="B369" i="5"/>
  <c r="C369" i="5"/>
  <c r="B370" i="5"/>
  <c r="C370" i="5"/>
  <c r="B371" i="5"/>
  <c r="C371" i="5"/>
  <c r="B372" i="5"/>
  <c r="C372" i="5"/>
  <c r="B373" i="5"/>
  <c r="C373" i="5"/>
  <c r="B374" i="5"/>
  <c r="C374" i="5"/>
  <c r="B375" i="5"/>
  <c r="C375" i="5"/>
  <c r="B376" i="5"/>
  <c r="C376" i="5"/>
  <c r="B377" i="5"/>
  <c r="C377" i="5"/>
  <c r="B378" i="5"/>
  <c r="C378" i="5"/>
  <c r="B379" i="5"/>
  <c r="C379" i="5"/>
  <c r="B380" i="5"/>
  <c r="C380" i="5"/>
  <c r="B381" i="5"/>
  <c r="C381" i="5"/>
  <c r="B382" i="5"/>
  <c r="C382" i="5"/>
  <c r="B383" i="5"/>
  <c r="C383" i="5"/>
  <c r="B384" i="5"/>
  <c r="C384" i="5"/>
  <c r="B385" i="5"/>
  <c r="C385" i="5"/>
  <c r="B386" i="5"/>
  <c r="C386" i="5"/>
  <c r="B387" i="5"/>
  <c r="C387" i="5"/>
  <c r="B388" i="5"/>
  <c r="C388" i="5"/>
  <c r="B389" i="5"/>
  <c r="C389" i="5"/>
  <c r="B390" i="5"/>
  <c r="C390" i="5"/>
  <c r="B391" i="5"/>
  <c r="C391" i="5"/>
  <c r="B392" i="5"/>
  <c r="C392" i="5"/>
  <c r="B393" i="5"/>
  <c r="C393" i="5"/>
  <c r="B394" i="5"/>
  <c r="C394" i="5"/>
  <c r="B395" i="5"/>
  <c r="C395" i="5"/>
  <c r="B396" i="5"/>
  <c r="C396" i="5"/>
  <c r="B397" i="5"/>
  <c r="C397" i="5"/>
  <c r="B398" i="5"/>
  <c r="C398" i="5"/>
  <c r="B399" i="5"/>
  <c r="C399" i="5"/>
  <c r="B400" i="5"/>
  <c r="C400" i="5"/>
  <c r="B401" i="5"/>
  <c r="C401" i="5"/>
  <c r="B402" i="5"/>
  <c r="C402" i="5"/>
  <c r="B403" i="5"/>
  <c r="C403" i="5"/>
  <c r="B404" i="5"/>
  <c r="C404" i="5"/>
  <c r="B405" i="5"/>
  <c r="C405" i="5"/>
  <c r="B406" i="5"/>
  <c r="C406" i="5"/>
  <c r="B407" i="5"/>
  <c r="C407" i="5"/>
  <c r="B408" i="5"/>
  <c r="C408" i="5"/>
  <c r="B409" i="5"/>
  <c r="C409" i="5"/>
  <c r="B410" i="5"/>
  <c r="C410" i="5"/>
  <c r="B411" i="5"/>
  <c r="C411" i="5"/>
  <c r="B412" i="5"/>
  <c r="C412" i="5"/>
  <c r="B413" i="5"/>
  <c r="C413" i="5"/>
  <c r="B414" i="5"/>
  <c r="C414" i="5"/>
  <c r="B415" i="5"/>
  <c r="C415" i="5"/>
  <c r="B416" i="5"/>
  <c r="C416" i="5"/>
  <c r="B417" i="5"/>
  <c r="C417" i="5"/>
  <c r="B418" i="5"/>
  <c r="C418" i="5"/>
  <c r="B419" i="5"/>
  <c r="C419" i="5"/>
  <c r="B420" i="5"/>
  <c r="C420" i="5"/>
  <c r="B421" i="5"/>
  <c r="C421" i="5"/>
  <c r="B422" i="5"/>
  <c r="C422" i="5"/>
  <c r="B423" i="5"/>
  <c r="C423" i="5"/>
  <c r="B424" i="5"/>
  <c r="C424" i="5"/>
  <c r="B425" i="5"/>
  <c r="C425" i="5"/>
  <c r="B426" i="5"/>
  <c r="C426" i="5"/>
  <c r="B427" i="5"/>
  <c r="C427" i="5"/>
  <c r="B428" i="5"/>
  <c r="C428" i="5"/>
  <c r="B429" i="5"/>
  <c r="C429" i="5"/>
  <c r="B430" i="5"/>
  <c r="C430" i="5"/>
  <c r="B431" i="5"/>
  <c r="C431" i="5"/>
  <c r="B432" i="5"/>
  <c r="C432" i="5"/>
  <c r="B433" i="5"/>
  <c r="C433" i="5"/>
  <c r="B434" i="5"/>
  <c r="C434" i="5"/>
  <c r="B435" i="5"/>
  <c r="C435" i="5"/>
  <c r="B436" i="5"/>
  <c r="C436" i="5"/>
  <c r="B437" i="5"/>
  <c r="C437" i="5"/>
  <c r="B438" i="5"/>
  <c r="C438" i="5"/>
  <c r="B439" i="5"/>
  <c r="C439" i="5"/>
  <c r="B440" i="5"/>
  <c r="C440" i="5"/>
  <c r="B441" i="5"/>
  <c r="C441" i="5"/>
  <c r="B442" i="5"/>
  <c r="C442" i="5"/>
  <c r="B443" i="5"/>
  <c r="C443" i="5"/>
  <c r="B444" i="5"/>
  <c r="C444" i="5"/>
  <c r="B445" i="5"/>
  <c r="C445" i="5"/>
  <c r="B446" i="5"/>
  <c r="C446" i="5"/>
  <c r="B447" i="5"/>
  <c r="C447" i="5"/>
  <c r="B448" i="5"/>
  <c r="C448" i="5"/>
  <c r="B449" i="5"/>
  <c r="C449" i="5"/>
  <c r="B450" i="5"/>
  <c r="C450" i="5"/>
  <c r="B451" i="5"/>
  <c r="C451" i="5"/>
  <c r="B452" i="5"/>
  <c r="C452" i="5"/>
  <c r="B453" i="5"/>
  <c r="C453" i="5"/>
  <c r="B454" i="5"/>
  <c r="C454" i="5"/>
  <c r="B455" i="5"/>
  <c r="C455" i="5"/>
  <c r="B456" i="5"/>
  <c r="C456" i="5"/>
  <c r="B457" i="5"/>
  <c r="C457" i="5"/>
  <c r="B458" i="5"/>
  <c r="C458" i="5"/>
  <c r="B459" i="5"/>
  <c r="C459" i="5"/>
  <c r="B460" i="5"/>
  <c r="C460" i="5"/>
  <c r="B461" i="5"/>
  <c r="C461" i="5"/>
  <c r="B462" i="5"/>
  <c r="C462" i="5"/>
  <c r="B463" i="5"/>
  <c r="C463" i="5"/>
  <c r="B464" i="5"/>
  <c r="C464" i="5"/>
  <c r="B465" i="5"/>
  <c r="C465" i="5"/>
  <c r="B466" i="5"/>
  <c r="C466" i="5"/>
  <c r="B467" i="5"/>
  <c r="C467" i="5"/>
  <c r="B468" i="5"/>
  <c r="C468" i="5"/>
  <c r="B469" i="5"/>
  <c r="C469" i="5"/>
  <c r="B470" i="5"/>
  <c r="C470" i="5"/>
  <c r="B471" i="5"/>
  <c r="C471" i="5"/>
  <c r="B472" i="5"/>
  <c r="C472" i="5"/>
  <c r="B473" i="5"/>
  <c r="C473" i="5"/>
  <c r="B474" i="5"/>
  <c r="C474" i="5"/>
  <c r="B475" i="5"/>
  <c r="C475" i="5"/>
  <c r="B476" i="5"/>
  <c r="C476" i="5"/>
  <c r="B477" i="5"/>
  <c r="C477" i="5"/>
  <c r="B478" i="5"/>
  <c r="C478" i="5"/>
  <c r="B479" i="5"/>
  <c r="C479" i="5"/>
  <c r="B480" i="5"/>
  <c r="C480" i="5"/>
  <c r="B481" i="5"/>
  <c r="C481" i="5"/>
  <c r="B482" i="5"/>
  <c r="C482" i="5"/>
  <c r="B483" i="5"/>
  <c r="C483" i="5"/>
  <c r="B484" i="5"/>
  <c r="C484" i="5"/>
  <c r="B485" i="5"/>
  <c r="C485" i="5"/>
  <c r="B486" i="5"/>
  <c r="C486" i="5"/>
  <c r="B487" i="5"/>
  <c r="C487" i="5"/>
  <c r="B488" i="5"/>
  <c r="C488" i="5"/>
  <c r="B489" i="5"/>
  <c r="C489" i="5"/>
  <c r="B490" i="5"/>
  <c r="C490" i="5"/>
  <c r="B491" i="5"/>
  <c r="C491" i="5"/>
  <c r="B492" i="5"/>
  <c r="C492" i="5"/>
  <c r="B493" i="5"/>
  <c r="C493" i="5"/>
  <c r="B494" i="5"/>
  <c r="C494" i="5"/>
  <c r="B495" i="5"/>
  <c r="C495" i="5"/>
  <c r="B496" i="5"/>
  <c r="C496" i="5"/>
  <c r="B497" i="5"/>
  <c r="C497" i="5"/>
  <c r="B498" i="5"/>
  <c r="C498" i="5"/>
  <c r="B499" i="5"/>
  <c r="C499" i="5"/>
  <c r="B500" i="5"/>
  <c r="C500" i="5"/>
  <c r="B501" i="5"/>
  <c r="C501" i="5"/>
  <c r="B502" i="5"/>
  <c r="C502" i="5"/>
  <c r="B503" i="5"/>
  <c r="C503" i="5"/>
  <c r="B504" i="5"/>
  <c r="C504" i="5"/>
  <c r="B505" i="5"/>
  <c r="C505" i="5"/>
  <c r="B506" i="5"/>
  <c r="C506" i="5"/>
  <c r="B507" i="5"/>
  <c r="C507" i="5"/>
  <c r="B508" i="5"/>
  <c r="C508" i="5"/>
  <c r="B509" i="5"/>
  <c r="C509" i="5"/>
  <c r="B510" i="5"/>
  <c r="C510" i="5"/>
  <c r="B511" i="5"/>
  <c r="C511" i="5"/>
  <c r="B512" i="5"/>
  <c r="C512" i="5"/>
  <c r="B513" i="5"/>
  <c r="C513" i="5"/>
  <c r="B514" i="5"/>
  <c r="C514" i="5"/>
  <c r="B515" i="5"/>
  <c r="C515" i="5"/>
  <c r="B516" i="5"/>
  <c r="C516" i="5"/>
  <c r="B517" i="5"/>
  <c r="C517" i="5"/>
  <c r="B518" i="5"/>
  <c r="C518" i="5"/>
  <c r="B519" i="5"/>
  <c r="C519" i="5"/>
  <c r="B520" i="5"/>
  <c r="C520" i="5"/>
  <c r="B521" i="5"/>
  <c r="C521" i="5"/>
  <c r="B522" i="5"/>
  <c r="C522" i="5"/>
  <c r="B523" i="5"/>
  <c r="C523" i="5"/>
  <c r="B524" i="5"/>
  <c r="C524" i="5"/>
  <c r="B525" i="5"/>
  <c r="C525" i="5"/>
  <c r="B526" i="5"/>
  <c r="C526" i="5"/>
  <c r="B527" i="5"/>
  <c r="C527" i="5"/>
  <c r="B528" i="5"/>
  <c r="C528" i="5"/>
  <c r="B529" i="5"/>
  <c r="C529" i="5"/>
  <c r="B530" i="5"/>
  <c r="C530" i="5"/>
  <c r="B531" i="5"/>
  <c r="C531" i="5"/>
  <c r="B532" i="5"/>
  <c r="C532" i="5"/>
  <c r="B533" i="5"/>
  <c r="C533" i="5"/>
  <c r="B534" i="5"/>
  <c r="C534" i="5"/>
  <c r="B535" i="5"/>
  <c r="C535" i="5"/>
  <c r="B536" i="5"/>
  <c r="C536" i="5"/>
  <c r="B537" i="5"/>
  <c r="C537" i="5"/>
  <c r="B538" i="5"/>
  <c r="C538" i="5"/>
  <c r="B539" i="5"/>
  <c r="C539" i="5"/>
  <c r="B540" i="5"/>
  <c r="C540" i="5"/>
  <c r="B541" i="5"/>
  <c r="C541" i="5"/>
  <c r="B542" i="5"/>
  <c r="C542" i="5"/>
  <c r="B543" i="5"/>
  <c r="C543" i="5"/>
  <c r="B544" i="5"/>
  <c r="C544" i="5"/>
  <c r="B545" i="5"/>
  <c r="C545" i="5"/>
  <c r="B546" i="5"/>
  <c r="C546" i="5"/>
  <c r="B547" i="5"/>
  <c r="C547" i="5"/>
  <c r="B548" i="5"/>
  <c r="C548" i="5"/>
  <c r="B549" i="5"/>
  <c r="C549" i="5"/>
  <c r="B550" i="5"/>
  <c r="C550" i="5"/>
  <c r="B551" i="5"/>
  <c r="C551" i="5"/>
  <c r="B552" i="5"/>
  <c r="C552" i="5"/>
  <c r="B553" i="5"/>
  <c r="C553" i="5"/>
  <c r="B554" i="5"/>
  <c r="C554" i="5"/>
  <c r="B555" i="5"/>
  <c r="C555" i="5"/>
  <c r="B556" i="5"/>
  <c r="C556" i="5"/>
  <c r="B557" i="5"/>
  <c r="C557" i="5"/>
  <c r="B558" i="5"/>
  <c r="C558" i="5"/>
  <c r="B559" i="5"/>
  <c r="C559" i="5"/>
  <c r="B560" i="5"/>
  <c r="C560" i="5"/>
  <c r="B561" i="5"/>
  <c r="C561" i="5"/>
  <c r="B562" i="5"/>
  <c r="C562" i="5"/>
  <c r="B563" i="5"/>
  <c r="C563" i="5"/>
  <c r="B564" i="5"/>
  <c r="C564" i="5"/>
  <c r="B565" i="5"/>
  <c r="C565" i="5"/>
  <c r="B566" i="5"/>
  <c r="C566" i="5"/>
  <c r="B567" i="5"/>
  <c r="C567" i="5"/>
  <c r="B568" i="5"/>
  <c r="C568" i="5"/>
  <c r="B569" i="5"/>
  <c r="C569" i="5"/>
  <c r="B570" i="5"/>
  <c r="C570" i="5"/>
  <c r="B571" i="5"/>
  <c r="C571" i="5"/>
  <c r="B572" i="5"/>
  <c r="C572" i="5"/>
  <c r="B573" i="5"/>
  <c r="C573" i="5"/>
  <c r="B574" i="5"/>
  <c r="C574" i="5"/>
  <c r="B575" i="5"/>
  <c r="C575" i="5"/>
  <c r="B576" i="5"/>
  <c r="C576" i="5"/>
  <c r="B577" i="5"/>
  <c r="C577" i="5"/>
  <c r="B578" i="5"/>
  <c r="C578" i="5"/>
  <c r="B579" i="5"/>
  <c r="C579" i="5"/>
  <c r="B580" i="5"/>
  <c r="C580" i="5"/>
  <c r="B581" i="5"/>
  <c r="C581" i="5"/>
  <c r="B582" i="5"/>
  <c r="C582" i="5"/>
  <c r="B583" i="5"/>
  <c r="C583" i="5"/>
  <c r="B584" i="5"/>
  <c r="C584" i="5"/>
  <c r="B585" i="5"/>
  <c r="C585" i="5"/>
  <c r="B586" i="5"/>
  <c r="C586" i="5"/>
  <c r="B587" i="5"/>
  <c r="C587" i="5"/>
  <c r="B588" i="5"/>
  <c r="C588" i="5"/>
  <c r="B589" i="5"/>
  <c r="C589" i="5"/>
  <c r="B590" i="5"/>
  <c r="C590" i="5"/>
  <c r="B591" i="5"/>
  <c r="C591" i="5"/>
  <c r="B592" i="5"/>
  <c r="C592" i="5"/>
  <c r="B593" i="5"/>
  <c r="C593" i="5"/>
  <c r="B594" i="5"/>
  <c r="C594" i="5"/>
  <c r="B595" i="5"/>
  <c r="C595" i="5"/>
  <c r="B596" i="5"/>
  <c r="C596" i="5"/>
  <c r="B597" i="5"/>
  <c r="C597" i="5"/>
  <c r="B598" i="5"/>
  <c r="C598" i="5"/>
  <c r="B599" i="5"/>
  <c r="C599" i="5"/>
  <c r="B600" i="5"/>
  <c r="C600" i="5"/>
  <c r="B601" i="5"/>
  <c r="C601" i="5"/>
  <c r="B602" i="5"/>
  <c r="C602" i="5"/>
  <c r="B603" i="5"/>
  <c r="C603" i="5"/>
  <c r="B604" i="5"/>
  <c r="C604" i="5"/>
  <c r="B605" i="5"/>
  <c r="C605" i="5"/>
  <c r="B606" i="5"/>
  <c r="C606" i="5"/>
  <c r="B607" i="5"/>
  <c r="C607" i="5"/>
  <c r="B608" i="5"/>
  <c r="C608" i="5"/>
  <c r="B609" i="5"/>
  <c r="C609" i="5"/>
  <c r="B610" i="5"/>
  <c r="C610" i="5"/>
  <c r="B611" i="5"/>
  <c r="C611" i="5"/>
  <c r="B612" i="5"/>
  <c r="C612" i="5"/>
  <c r="B613" i="5"/>
  <c r="C613" i="5"/>
  <c r="B614" i="5"/>
  <c r="C614" i="5"/>
  <c r="B615" i="5"/>
  <c r="C615" i="5"/>
  <c r="B616" i="5"/>
  <c r="C616" i="5"/>
  <c r="B617" i="5"/>
  <c r="C617" i="5"/>
  <c r="B618" i="5"/>
  <c r="C618" i="5"/>
  <c r="B619" i="5"/>
  <c r="C619" i="5"/>
  <c r="B620" i="5"/>
  <c r="C620" i="5"/>
  <c r="B621" i="5"/>
  <c r="C621" i="5"/>
  <c r="B622" i="5"/>
  <c r="C622" i="5"/>
  <c r="B623" i="5"/>
  <c r="C623" i="5"/>
  <c r="B624" i="5"/>
  <c r="C624" i="5"/>
  <c r="B625" i="5"/>
  <c r="C625" i="5"/>
  <c r="B626" i="5"/>
  <c r="C626" i="5"/>
  <c r="B627" i="5"/>
  <c r="C627" i="5"/>
  <c r="B628" i="5"/>
  <c r="C628" i="5"/>
  <c r="B629" i="5"/>
  <c r="C629" i="5"/>
  <c r="B630" i="5"/>
  <c r="C630" i="5"/>
  <c r="B631" i="5"/>
  <c r="C631" i="5"/>
  <c r="B632" i="5"/>
  <c r="C632" i="5"/>
  <c r="B633" i="5"/>
  <c r="C633" i="5"/>
  <c r="B634" i="5"/>
  <c r="C634" i="5"/>
  <c r="B635" i="5"/>
  <c r="C635" i="5"/>
  <c r="B636" i="5"/>
  <c r="C636" i="5"/>
  <c r="B637" i="5"/>
  <c r="C637" i="5"/>
  <c r="B638" i="5"/>
  <c r="C638" i="5"/>
  <c r="B639" i="5"/>
  <c r="C639" i="5"/>
  <c r="B640" i="5"/>
  <c r="C640" i="5"/>
  <c r="B641" i="5"/>
  <c r="C641" i="5"/>
  <c r="B642" i="5"/>
  <c r="C642" i="5"/>
  <c r="B643" i="5"/>
  <c r="C643" i="5"/>
  <c r="B644" i="5"/>
  <c r="C644" i="5"/>
  <c r="B645" i="5"/>
  <c r="C645" i="5"/>
  <c r="B646" i="5"/>
  <c r="C646" i="5"/>
  <c r="B647" i="5"/>
  <c r="C647" i="5"/>
  <c r="B648" i="5"/>
  <c r="C648" i="5"/>
  <c r="B649" i="5"/>
  <c r="C649" i="5"/>
  <c r="B650" i="5"/>
  <c r="C650" i="5"/>
  <c r="B651" i="5"/>
  <c r="C651" i="5"/>
  <c r="B652" i="5"/>
  <c r="C652" i="5"/>
  <c r="B653" i="5"/>
  <c r="C653" i="5"/>
  <c r="B654" i="5"/>
  <c r="C654" i="5"/>
  <c r="B655" i="5"/>
  <c r="C655" i="5"/>
  <c r="B656" i="5"/>
  <c r="C656" i="5"/>
  <c r="B657" i="5"/>
  <c r="C657" i="5"/>
  <c r="B658" i="5"/>
  <c r="C658" i="5"/>
  <c r="B659" i="5"/>
  <c r="C659" i="5"/>
  <c r="B660" i="5"/>
  <c r="C660" i="5"/>
  <c r="B661" i="5"/>
  <c r="C661" i="5"/>
  <c r="B662" i="5"/>
  <c r="C662" i="5"/>
  <c r="B663" i="5"/>
  <c r="C663" i="5"/>
  <c r="B664" i="5"/>
  <c r="C664" i="5"/>
  <c r="B665" i="5"/>
  <c r="C665" i="5"/>
  <c r="B666" i="5"/>
  <c r="C666" i="5"/>
  <c r="B667" i="5"/>
  <c r="C667" i="5"/>
  <c r="B668" i="5"/>
  <c r="C668" i="5"/>
  <c r="B669" i="5"/>
  <c r="C669" i="5"/>
  <c r="B670" i="5"/>
  <c r="C670" i="5"/>
  <c r="B671" i="5"/>
  <c r="C671" i="5"/>
  <c r="B672" i="5"/>
  <c r="C672" i="5"/>
  <c r="B673" i="5"/>
  <c r="C673" i="5"/>
  <c r="B674" i="5"/>
  <c r="C674" i="5"/>
  <c r="B675" i="5"/>
  <c r="C675" i="5"/>
  <c r="B676" i="5"/>
  <c r="C676" i="5"/>
  <c r="B677" i="5"/>
  <c r="C677" i="5"/>
  <c r="B678" i="5"/>
  <c r="C678" i="5"/>
  <c r="B679" i="5"/>
  <c r="C679" i="5"/>
  <c r="B680" i="5"/>
  <c r="C680" i="5"/>
  <c r="B681" i="5"/>
  <c r="C681" i="5"/>
  <c r="B682" i="5"/>
  <c r="C682" i="5"/>
  <c r="B683" i="5"/>
  <c r="C683" i="5"/>
  <c r="B684" i="5"/>
  <c r="C684" i="5"/>
  <c r="B685" i="5"/>
  <c r="C685" i="5"/>
  <c r="B686" i="5"/>
  <c r="C686" i="5"/>
  <c r="B687" i="5"/>
  <c r="C687" i="5"/>
  <c r="B688" i="5"/>
  <c r="C688" i="5"/>
  <c r="B689" i="5"/>
  <c r="C689" i="5"/>
  <c r="B690" i="5"/>
  <c r="C690" i="5"/>
  <c r="B691" i="5"/>
  <c r="C691" i="5"/>
  <c r="B692" i="5"/>
  <c r="C692" i="5"/>
  <c r="B693" i="5"/>
  <c r="C693" i="5"/>
  <c r="B694" i="5"/>
  <c r="C694" i="5"/>
  <c r="B695" i="5"/>
  <c r="C695" i="5"/>
  <c r="B696" i="5"/>
  <c r="C696" i="5"/>
  <c r="B697" i="5"/>
  <c r="C697" i="5"/>
  <c r="B698" i="5"/>
  <c r="C698" i="5"/>
  <c r="B699" i="5"/>
  <c r="C699" i="5"/>
  <c r="B700" i="5"/>
  <c r="C700" i="5"/>
  <c r="B701" i="5"/>
  <c r="C701" i="5"/>
  <c r="B702" i="5"/>
  <c r="C702" i="5"/>
  <c r="B703" i="5"/>
  <c r="C703" i="5"/>
  <c r="B704" i="5"/>
  <c r="C704" i="5"/>
  <c r="B705" i="5"/>
  <c r="C705" i="5"/>
  <c r="B706" i="5"/>
  <c r="C706" i="5"/>
  <c r="B707" i="5"/>
  <c r="C707" i="5"/>
  <c r="B708" i="5"/>
  <c r="C708" i="5"/>
  <c r="B709" i="5"/>
  <c r="C709" i="5"/>
  <c r="B710" i="5"/>
  <c r="C710" i="5"/>
  <c r="B711" i="5"/>
  <c r="C711" i="5"/>
  <c r="B712" i="5"/>
  <c r="C712" i="5"/>
  <c r="B713" i="5"/>
  <c r="C713" i="5"/>
  <c r="B714" i="5"/>
  <c r="C714" i="5"/>
  <c r="B715" i="5"/>
  <c r="C715" i="5"/>
  <c r="B716" i="5"/>
  <c r="C716" i="5"/>
  <c r="B717" i="5"/>
  <c r="C717" i="5"/>
  <c r="B718" i="5"/>
  <c r="C718" i="5"/>
  <c r="B719" i="5"/>
  <c r="C719" i="5"/>
  <c r="B720" i="5"/>
  <c r="C720" i="5"/>
  <c r="B721" i="5"/>
  <c r="C721" i="5"/>
  <c r="B722" i="5"/>
  <c r="C722" i="5"/>
  <c r="B723" i="5"/>
  <c r="C723" i="5"/>
  <c r="B724" i="5"/>
  <c r="C724" i="5"/>
  <c r="B725" i="5"/>
  <c r="C725" i="5"/>
  <c r="B726" i="5"/>
  <c r="C726" i="5"/>
  <c r="B727" i="5"/>
  <c r="C727" i="5"/>
  <c r="B728" i="5"/>
  <c r="C728" i="5"/>
  <c r="B729" i="5"/>
  <c r="C729" i="5"/>
  <c r="B730" i="5"/>
  <c r="C730" i="5"/>
  <c r="B731" i="5"/>
  <c r="C731" i="5"/>
  <c r="B732" i="5"/>
  <c r="C732" i="5"/>
  <c r="B733" i="5"/>
  <c r="C733" i="5"/>
  <c r="B734" i="5"/>
  <c r="C734" i="5"/>
  <c r="B735" i="5"/>
  <c r="C735" i="5"/>
  <c r="B736" i="5"/>
  <c r="C736" i="5"/>
  <c r="B737" i="5"/>
  <c r="C737" i="5"/>
  <c r="B738" i="5"/>
  <c r="C738" i="5"/>
  <c r="B739" i="5"/>
  <c r="C739" i="5"/>
  <c r="B740" i="5"/>
  <c r="C740" i="5"/>
  <c r="B741" i="5"/>
  <c r="C741" i="5"/>
  <c r="B742" i="5"/>
  <c r="C742" i="5"/>
  <c r="B743" i="5"/>
  <c r="C743" i="5"/>
  <c r="B744" i="5"/>
  <c r="C744" i="5"/>
  <c r="B745" i="5"/>
  <c r="C745" i="5"/>
  <c r="B746" i="5"/>
  <c r="C746" i="5"/>
  <c r="B747" i="5"/>
  <c r="C747" i="5"/>
  <c r="B748" i="5"/>
  <c r="C748" i="5"/>
  <c r="B749" i="5"/>
  <c r="C749" i="5"/>
  <c r="B750" i="5"/>
  <c r="C750" i="5"/>
  <c r="B751" i="5"/>
  <c r="C751" i="5"/>
  <c r="B752" i="5"/>
  <c r="C752" i="5"/>
  <c r="B753" i="5"/>
  <c r="C753" i="5"/>
  <c r="B754" i="5"/>
  <c r="C754" i="5"/>
  <c r="B755" i="5"/>
  <c r="C755" i="5"/>
  <c r="B756" i="5"/>
  <c r="C756" i="5"/>
  <c r="B757" i="5"/>
  <c r="C757" i="5"/>
  <c r="B758" i="5"/>
  <c r="C758" i="5"/>
  <c r="B759" i="5"/>
  <c r="C759" i="5"/>
  <c r="B760" i="5"/>
  <c r="C760" i="5"/>
  <c r="B761" i="5"/>
  <c r="C761" i="5"/>
  <c r="B762" i="5"/>
  <c r="C762" i="5"/>
  <c r="B763" i="5"/>
  <c r="C763" i="5"/>
  <c r="B764" i="5"/>
  <c r="C764" i="5"/>
  <c r="B765" i="5"/>
  <c r="C765" i="5"/>
  <c r="B766" i="5"/>
  <c r="C766" i="5"/>
  <c r="B767" i="5"/>
  <c r="C767" i="5"/>
  <c r="B768" i="5"/>
  <c r="C768" i="5"/>
  <c r="B769" i="5"/>
  <c r="C769" i="5"/>
  <c r="B770" i="5"/>
  <c r="C770" i="5"/>
  <c r="B771" i="5"/>
  <c r="C771" i="5"/>
  <c r="B772" i="5"/>
  <c r="C772" i="5"/>
  <c r="B773" i="5"/>
  <c r="C773" i="5"/>
  <c r="B774" i="5"/>
  <c r="C774" i="5"/>
  <c r="B775" i="5"/>
  <c r="C775" i="5"/>
  <c r="B776" i="5"/>
  <c r="C776" i="5"/>
  <c r="B777" i="5"/>
  <c r="C777" i="5"/>
  <c r="B778" i="5"/>
  <c r="C778" i="5"/>
  <c r="B779" i="5"/>
  <c r="C779" i="5"/>
  <c r="B780" i="5"/>
  <c r="C780" i="5"/>
  <c r="B781" i="5"/>
  <c r="C781" i="5"/>
  <c r="B782" i="5"/>
  <c r="C782" i="5"/>
  <c r="B783" i="5"/>
  <c r="C783" i="5"/>
  <c r="B784" i="5"/>
  <c r="C784" i="5"/>
  <c r="B785" i="5"/>
  <c r="C785" i="5"/>
  <c r="B786" i="5"/>
  <c r="C786" i="5"/>
  <c r="B787" i="5"/>
  <c r="C787" i="5"/>
  <c r="B788" i="5"/>
  <c r="C788" i="5"/>
  <c r="B789" i="5"/>
  <c r="C789" i="5"/>
  <c r="B790" i="5"/>
  <c r="C790" i="5"/>
  <c r="B791" i="5"/>
  <c r="C791" i="5"/>
  <c r="B792" i="5"/>
  <c r="C792" i="5"/>
  <c r="B793" i="5"/>
  <c r="C793" i="5"/>
  <c r="B794" i="5"/>
  <c r="C794" i="5"/>
  <c r="B795" i="5"/>
  <c r="C795" i="5"/>
  <c r="B796" i="5"/>
  <c r="C796" i="5"/>
  <c r="B797" i="5"/>
  <c r="C797" i="5"/>
  <c r="B798" i="5"/>
  <c r="C798" i="5"/>
  <c r="B799" i="5"/>
  <c r="C799" i="5"/>
  <c r="B800" i="5"/>
  <c r="C800" i="5"/>
  <c r="B801" i="5"/>
  <c r="C801" i="5"/>
  <c r="B802" i="5"/>
  <c r="C802" i="5"/>
  <c r="B803" i="5"/>
  <c r="C803" i="5"/>
  <c r="B804" i="5"/>
  <c r="C804" i="5"/>
  <c r="B805" i="5"/>
  <c r="C805" i="5"/>
  <c r="B806" i="5"/>
  <c r="C806" i="5"/>
  <c r="B807" i="5"/>
  <c r="C807" i="5"/>
  <c r="B808" i="5"/>
  <c r="C808" i="5"/>
  <c r="B809" i="5"/>
  <c r="C809" i="5"/>
  <c r="B810" i="5"/>
  <c r="C810" i="5"/>
  <c r="B811" i="5"/>
  <c r="C811" i="5"/>
  <c r="B812" i="5"/>
  <c r="C812" i="5"/>
  <c r="B813" i="5"/>
  <c r="C813" i="5"/>
  <c r="B814" i="5"/>
  <c r="C814" i="5"/>
  <c r="B815" i="5"/>
  <c r="C815" i="5"/>
  <c r="B816" i="5"/>
  <c r="C816" i="5"/>
  <c r="B817" i="5"/>
  <c r="C817" i="5"/>
  <c r="B818" i="5"/>
  <c r="C818" i="5"/>
  <c r="B819" i="5"/>
  <c r="C819" i="5"/>
  <c r="B820" i="5"/>
  <c r="C820" i="5"/>
  <c r="B821" i="5"/>
  <c r="C821" i="5"/>
  <c r="B822" i="5"/>
  <c r="C822" i="5"/>
  <c r="B823" i="5"/>
  <c r="C823" i="5"/>
  <c r="B824" i="5"/>
  <c r="C824" i="5"/>
  <c r="B825" i="5"/>
  <c r="C825" i="5"/>
  <c r="B826" i="5"/>
  <c r="C826" i="5"/>
  <c r="B827" i="5"/>
  <c r="C827" i="5"/>
  <c r="B828" i="5"/>
  <c r="C828" i="5"/>
  <c r="B829" i="5"/>
  <c r="C829" i="5"/>
  <c r="B830" i="5"/>
  <c r="C830" i="5"/>
  <c r="B831" i="5"/>
  <c r="C831" i="5"/>
  <c r="B832" i="5"/>
  <c r="C832" i="5"/>
  <c r="B833" i="5"/>
  <c r="C833" i="5"/>
  <c r="B834" i="5"/>
  <c r="C834" i="5"/>
  <c r="B835" i="5"/>
  <c r="C835" i="5"/>
  <c r="B836" i="5"/>
  <c r="C836" i="5"/>
  <c r="B837" i="5"/>
  <c r="C837" i="5"/>
  <c r="B838" i="5"/>
  <c r="C838" i="5"/>
  <c r="B839" i="5"/>
  <c r="C839" i="5"/>
  <c r="B840" i="5"/>
  <c r="C840" i="5"/>
  <c r="B841" i="5"/>
  <c r="C841" i="5"/>
  <c r="B842" i="5"/>
  <c r="C842" i="5"/>
  <c r="B843" i="5"/>
  <c r="C843" i="5"/>
  <c r="B844" i="5"/>
  <c r="C844" i="5"/>
  <c r="B845" i="5"/>
  <c r="C845" i="5"/>
  <c r="B846" i="5"/>
  <c r="C846" i="5"/>
  <c r="B847" i="5"/>
  <c r="C847" i="5"/>
  <c r="B848" i="5"/>
  <c r="C848" i="5"/>
  <c r="B849" i="5"/>
  <c r="C849" i="5"/>
  <c r="B850" i="5"/>
  <c r="C850" i="5"/>
  <c r="B851" i="5"/>
  <c r="C851" i="5"/>
  <c r="B852" i="5"/>
  <c r="C852" i="5"/>
  <c r="B853" i="5"/>
  <c r="C853" i="5"/>
  <c r="B854" i="5"/>
  <c r="C854" i="5"/>
  <c r="B855" i="5"/>
  <c r="C855" i="5"/>
  <c r="B856" i="5"/>
  <c r="C856" i="5"/>
  <c r="B857" i="5"/>
  <c r="C857" i="5"/>
  <c r="B858" i="5"/>
  <c r="C858" i="5"/>
  <c r="B859" i="5"/>
  <c r="C859" i="5"/>
  <c r="B860" i="5"/>
  <c r="C860" i="5"/>
  <c r="B861" i="5"/>
  <c r="C861" i="5"/>
  <c r="B862" i="5"/>
  <c r="C862" i="5"/>
  <c r="B863" i="5"/>
  <c r="C863" i="5"/>
  <c r="B864" i="5"/>
  <c r="C864" i="5"/>
  <c r="B865" i="5"/>
  <c r="C865" i="5"/>
  <c r="B866" i="5"/>
  <c r="C866" i="5"/>
  <c r="B867" i="5"/>
  <c r="C867" i="5"/>
  <c r="B868" i="5"/>
  <c r="C868" i="5"/>
  <c r="B869" i="5"/>
  <c r="C869" i="5"/>
  <c r="B870" i="5"/>
  <c r="C870" i="5"/>
  <c r="B871" i="5"/>
  <c r="C871" i="5"/>
  <c r="B872" i="5"/>
  <c r="C872" i="5"/>
  <c r="B873" i="5"/>
  <c r="C873" i="5"/>
  <c r="B874" i="5"/>
  <c r="C874" i="5"/>
  <c r="B875" i="5"/>
  <c r="C875" i="5"/>
  <c r="B876" i="5"/>
  <c r="C876" i="5"/>
  <c r="B877" i="5"/>
  <c r="C877" i="5"/>
  <c r="B878" i="5"/>
  <c r="C878" i="5"/>
  <c r="B879" i="5"/>
  <c r="C879" i="5"/>
  <c r="B880" i="5"/>
  <c r="C880" i="5"/>
  <c r="B881" i="5"/>
  <c r="C881" i="5"/>
  <c r="B882" i="5"/>
  <c r="C882" i="5"/>
  <c r="B883" i="5"/>
  <c r="C883" i="5"/>
  <c r="B884" i="5"/>
  <c r="C884" i="5"/>
  <c r="B885" i="5"/>
  <c r="C885" i="5"/>
  <c r="B886" i="5"/>
  <c r="C886" i="5"/>
  <c r="B887" i="5"/>
  <c r="C887" i="5"/>
  <c r="B888" i="5"/>
  <c r="C888" i="5"/>
  <c r="B889" i="5"/>
  <c r="C889" i="5"/>
  <c r="B890" i="5"/>
  <c r="C890" i="5"/>
  <c r="B891" i="5"/>
  <c r="C891" i="5"/>
  <c r="B892" i="5"/>
  <c r="C892" i="5"/>
  <c r="B893" i="5"/>
  <c r="C893" i="5"/>
  <c r="B894" i="5"/>
  <c r="C894" i="5"/>
  <c r="B895" i="5"/>
  <c r="C895" i="5"/>
  <c r="B896" i="5"/>
  <c r="C896" i="5"/>
  <c r="B897" i="5"/>
  <c r="C897" i="5"/>
  <c r="B898" i="5"/>
  <c r="C898" i="5"/>
  <c r="B899" i="5"/>
  <c r="C899" i="5"/>
  <c r="B900" i="5"/>
  <c r="C900" i="5"/>
  <c r="B901" i="5"/>
  <c r="C901" i="5"/>
  <c r="B902" i="5"/>
  <c r="C902" i="5"/>
  <c r="B903" i="5"/>
  <c r="C903" i="5"/>
  <c r="B904" i="5"/>
  <c r="C904" i="5"/>
  <c r="B905" i="5"/>
  <c r="C905" i="5"/>
  <c r="B906" i="5"/>
  <c r="C906" i="5"/>
  <c r="B907" i="5"/>
  <c r="C907" i="5"/>
  <c r="B908" i="5"/>
  <c r="C908" i="5"/>
  <c r="B909" i="5"/>
  <c r="C909" i="5"/>
  <c r="B910" i="5"/>
  <c r="C910" i="5"/>
  <c r="B911" i="5"/>
  <c r="C911" i="5"/>
  <c r="B912" i="5"/>
  <c r="C912" i="5"/>
  <c r="B913" i="5"/>
  <c r="C913" i="5"/>
  <c r="B914" i="5"/>
  <c r="C914" i="5"/>
  <c r="B915" i="5"/>
  <c r="C915" i="5"/>
  <c r="B916" i="5"/>
  <c r="C916" i="5"/>
  <c r="B917" i="5"/>
  <c r="C917" i="5"/>
  <c r="B918" i="5"/>
  <c r="C918" i="5"/>
  <c r="B919" i="5"/>
  <c r="C919" i="5"/>
  <c r="B920" i="5"/>
  <c r="C920" i="5"/>
  <c r="B921" i="5"/>
  <c r="C921" i="5"/>
  <c r="B922" i="5"/>
  <c r="C922" i="5"/>
  <c r="B923" i="5"/>
  <c r="C923" i="5"/>
  <c r="B924" i="5"/>
  <c r="C924" i="5"/>
  <c r="B925" i="5"/>
  <c r="C925" i="5"/>
  <c r="B926" i="5"/>
  <c r="C926" i="5"/>
  <c r="B927" i="5"/>
  <c r="C927" i="5"/>
  <c r="B928" i="5"/>
  <c r="C928" i="5"/>
  <c r="B929" i="5"/>
  <c r="C929" i="5"/>
  <c r="B930" i="5"/>
  <c r="C930" i="5"/>
  <c r="B931" i="5"/>
  <c r="C931" i="5"/>
  <c r="B932" i="5"/>
  <c r="C932" i="5"/>
  <c r="B933" i="5"/>
  <c r="C933" i="5"/>
  <c r="B934" i="5"/>
  <c r="C934" i="5"/>
  <c r="B935" i="5"/>
  <c r="C935" i="5"/>
  <c r="B936" i="5"/>
  <c r="C936" i="5"/>
  <c r="B937" i="5"/>
  <c r="C937" i="5"/>
  <c r="B938" i="5"/>
  <c r="C938" i="5"/>
  <c r="B939" i="5"/>
  <c r="C939" i="5"/>
  <c r="B940" i="5"/>
  <c r="C940" i="5"/>
  <c r="B941" i="5"/>
  <c r="C941" i="5"/>
  <c r="B942" i="5"/>
  <c r="C942" i="5"/>
  <c r="B943" i="5"/>
  <c r="C943" i="5"/>
  <c r="B944" i="5"/>
  <c r="C944" i="5"/>
  <c r="B945" i="5"/>
  <c r="C945" i="5"/>
  <c r="B946" i="5"/>
  <c r="C946" i="5"/>
  <c r="B947" i="5"/>
  <c r="C947" i="5"/>
  <c r="B948" i="5"/>
  <c r="C948" i="5"/>
  <c r="B949" i="5"/>
  <c r="C949" i="5"/>
  <c r="B950" i="5"/>
  <c r="C950" i="5"/>
  <c r="B951" i="5"/>
  <c r="C951" i="5"/>
  <c r="B952" i="5"/>
  <c r="C952" i="5"/>
  <c r="B953" i="5"/>
  <c r="C953" i="5"/>
  <c r="B954" i="5"/>
  <c r="C954" i="5"/>
  <c r="B955" i="5"/>
  <c r="C955" i="5"/>
  <c r="B956" i="5"/>
  <c r="C956" i="5"/>
  <c r="B957" i="5"/>
  <c r="C957" i="5"/>
  <c r="B958" i="5"/>
  <c r="C958" i="5"/>
  <c r="B959" i="5"/>
  <c r="C959" i="5"/>
  <c r="B960" i="5"/>
  <c r="C960" i="5"/>
  <c r="B961" i="5"/>
  <c r="C961" i="5"/>
  <c r="B962" i="5"/>
  <c r="C962" i="5"/>
  <c r="B963" i="5"/>
  <c r="C963" i="5"/>
  <c r="B964" i="5"/>
  <c r="C964" i="5"/>
  <c r="B965" i="5"/>
  <c r="C965" i="5"/>
  <c r="B966" i="5"/>
  <c r="C966" i="5"/>
  <c r="B967" i="5"/>
  <c r="C967" i="5"/>
  <c r="B968" i="5"/>
  <c r="C968" i="5"/>
  <c r="B969" i="5"/>
  <c r="C969" i="5"/>
  <c r="B970" i="5"/>
  <c r="C970" i="5"/>
  <c r="B971" i="5"/>
  <c r="C971" i="5"/>
  <c r="B972" i="5"/>
  <c r="C972" i="5"/>
  <c r="B973" i="5"/>
  <c r="C973" i="5"/>
  <c r="B974" i="5"/>
  <c r="C974" i="5"/>
  <c r="B975" i="5"/>
  <c r="C975" i="5"/>
  <c r="B976" i="5"/>
  <c r="C976" i="5"/>
  <c r="B977" i="5"/>
  <c r="C977" i="5"/>
  <c r="B978" i="5"/>
  <c r="C978" i="5"/>
  <c r="B979" i="5"/>
  <c r="C979" i="5"/>
  <c r="B980" i="5"/>
  <c r="C980" i="5"/>
  <c r="B981" i="5"/>
  <c r="C981" i="5"/>
  <c r="B982" i="5"/>
  <c r="C982" i="5"/>
  <c r="B983" i="5"/>
  <c r="C983" i="5"/>
  <c r="B984" i="5"/>
  <c r="C984" i="5"/>
  <c r="B985" i="5"/>
  <c r="C985" i="5"/>
  <c r="B986" i="5"/>
  <c r="C986" i="5"/>
  <c r="B987" i="5"/>
  <c r="C987" i="5"/>
  <c r="B988" i="5"/>
  <c r="C988" i="5"/>
  <c r="B989" i="5"/>
  <c r="C989" i="5"/>
  <c r="B990" i="5"/>
  <c r="C990" i="5"/>
  <c r="B991" i="5"/>
  <c r="C991" i="5"/>
  <c r="B992" i="5"/>
  <c r="C992" i="5"/>
  <c r="B993" i="5"/>
  <c r="C993" i="5"/>
  <c r="B994" i="5"/>
  <c r="C994" i="5"/>
  <c r="B995" i="5"/>
  <c r="C995" i="5"/>
  <c r="B996" i="5"/>
  <c r="C996" i="5"/>
  <c r="B997" i="5"/>
  <c r="C997" i="5"/>
  <c r="B998" i="5"/>
  <c r="C998" i="5"/>
  <c r="B999" i="5"/>
  <c r="C999" i="5"/>
  <c r="B1000" i="5"/>
  <c r="C1000" i="5"/>
  <c r="B1001" i="5"/>
  <c r="C1001" i="5"/>
  <c r="B1002" i="5"/>
  <c r="C1002" i="5"/>
  <c r="B1003" i="5"/>
  <c r="C1003" i="5"/>
  <c r="B1004" i="5"/>
  <c r="C1004" i="5"/>
  <c r="B1005" i="5"/>
  <c r="C1005" i="5"/>
  <c r="B1006" i="5"/>
  <c r="C1006" i="5"/>
  <c r="B1007" i="5"/>
  <c r="C1007" i="5"/>
  <c r="B1008" i="5"/>
  <c r="C1008" i="5"/>
  <c r="B1009" i="5"/>
  <c r="C1009" i="5"/>
  <c r="B1010" i="5"/>
  <c r="C1010" i="5"/>
  <c r="B1011" i="5"/>
  <c r="C1011" i="5"/>
  <c r="B1012" i="5"/>
  <c r="C1012" i="5"/>
  <c r="B1013" i="5"/>
  <c r="C1013" i="5"/>
  <c r="B1014" i="5"/>
  <c r="C1014" i="5"/>
  <c r="B1015" i="5"/>
  <c r="C1015" i="5"/>
  <c r="B1016" i="5"/>
  <c r="C1016" i="5"/>
  <c r="B1017" i="5"/>
  <c r="C1017" i="5"/>
  <c r="B1018" i="5"/>
  <c r="C1018" i="5"/>
  <c r="B1019" i="5"/>
  <c r="C1019" i="5"/>
  <c r="B1020" i="5"/>
  <c r="C1020" i="5"/>
  <c r="B1021" i="5"/>
  <c r="C1021" i="5"/>
  <c r="B1022" i="5"/>
  <c r="C1022" i="5"/>
  <c r="B1023" i="5"/>
  <c r="C1023" i="5"/>
  <c r="B1024" i="5"/>
  <c r="C1024" i="5"/>
  <c r="B1025" i="5"/>
  <c r="C1025" i="5"/>
  <c r="B1026" i="5"/>
  <c r="C1026" i="5"/>
  <c r="B1027" i="5"/>
  <c r="C1027" i="5"/>
  <c r="B1028" i="5"/>
  <c r="C1028" i="5"/>
  <c r="B1029" i="5"/>
  <c r="C1029" i="5"/>
  <c r="B1030" i="5"/>
  <c r="C1030" i="5"/>
  <c r="B1031" i="5"/>
  <c r="C1031" i="5"/>
  <c r="B1032" i="5"/>
  <c r="C1032" i="5"/>
  <c r="B1033" i="5"/>
  <c r="C1033" i="5"/>
  <c r="B1034" i="5"/>
  <c r="C1034" i="5"/>
  <c r="B1035" i="5"/>
  <c r="C1035" i="5"/>
  <c r="B1036" i="5"/>
  <c r="C1036" i="5"/>
  <c r="B1037" i="5"/>
  <c r="C1037" i="5"/>
  <c r="B1038" i="5"/>
  <c r="C1038" i="5"/>
  <c r="B1039" i="5"/>
  <c r="C1039" i="5"/>
  <c r="B1040" i="5"/>
  <c r="C1040" i="5"/>
  <c r="B1041" i="5"/>
  <c r="C1041" i="5"/>
  <c r="B1042" i="5"/>
  <c r="C1042" i="5"/>
  <c r="B1043" i="5"/>
  <c r="C1043" i="5"/>
  <c r="B1044" i="5"/>
  <c r="C1044" i="5"/>
  <c r="B1045" i="5"/>
  <c r="C1045" i="5"/>
  <c r="B1046" i="5"/>
  <c r="C1046" i="5"/>
  <c r="B1047" i="5"/>
  <c r="C1047" i="5"/>
  <c r="B1048" i="5"/>
  <c r="C1048" i="5"/>
  <c r="B1049" i="5"/>
  <c r="C1049" i="5"/>
  <c r="B1050" i="5"/>
  <c r="C1050" i="5"/>
  <c r="B1051" i="5"/>
  <c r="C1051" i="5"/>
  <c r="B1052" i="5"/>
  <c r="C1052" i="5"/>
  <c r="B1053" i="5"/>
  <c r="C1053" i="5"/>
  <c r="B1054" i="5"/>
  <c r="C1054" i="5"/>
  <c r="B1055" i="5"/>
  <c r="C1055" i="5"/>
  <c r="B1056" i="5"/>
  <c r="C1056" i="5"/>
  <c r="B1057" i="5"/>
  <c r="C1057" i="5"/>
  <c r="B1058" i="5"/>
  <c r="C1058" i="5"/>
  <c r="B1059" i="5"/>
  <c r="C1059" i="5"/>
  <c r="B1060" i="5"/>
  <c r="C1060" i="5"/>
  <c r="B1061" i="5"/>
  <c r="C1061" i="5"/>
  <c r="B1062" i="5"/>
  <c r="C1062" i="5"/>
  <c r="B1063" i="5"/>
  <c r="C1063" i="5"/>
  <c r="B1064" i="5"/>
  <c r="C1064" i="5"/>
  <c r="B1065" i="5"/>
  <c r="C1065" i="5"/>
  <c r="B1066" i="5"/>
  <c r="C1066" i="5"/>
  <c r="B1067" i="5"/>
  <c r="C1067" i="5"/>
  <c r="B1068" i="5"/>
  <c r="C1068" i="5"/>
  <c r="B1069" i="5"/>
  <c r="C1069" i="5"/>
  <c r="B1070" i="5"/>
  <c r="C1070" i="5"/>
  <c r="B1071" i="5"/>
  <c r="C1071" i="5"/>
  <c r="B1072" i="5"/>
  <c r="C1072" i="5"/>
  <c r="B1073" i="5"/>
  <c r="C1073" i="5"/>
  <c r="B1074" i="5"/>
  <c r="C1074" i="5"/>
  <c r="B1075" i="5"/>
  <c r="C1075" i="5"/>
  <c r="B1076" i="5"/>
  <c r="C1076" i="5"/>
  <c r="B1077" i="5"/>
  <c r="C1077" i="5"/>
  <c r="B1078" i="5"/>
  <c r="C1078" i="5"/>
  <c r="B1079" i="5"/>
  <c r="C1079" i="5"/>
  <c r="B1080" i="5"/>
  <c r="C1080" i="5"/>
  <c r="B1081" i="5"/>
  <c r="C1081" i="5"/>
  <c r="B1082" i="5"/>
  <c r="C1082" i="5"/>
  <c r="B1083" i="5"/>
  <c r="C1083" i="5"/>
  <c r="B1084" i="5"/>
  <c r="C1084" i="5"/>
  <c r="B1085" i="5"/>
  <c r="C1085" i="5"/>
  <c r="B1086" i="5"/>
  <c r="C1086" i="5"/>
  <c r="B1087" i="5"/>
  <c r="C1087" i="5"/>
  <c r="B1088" i="5"/>
  <c r="C1088" i="5"/>
  <c r="B1089" i="5"/>
  <c r="C1089" i="5"/>
  <c r="B1090" i="5"/>
  <c r="C1090" i="5"/>
  <c r="B1091" i="5"/>
  <c r="C1091" i="5"/>
  <c r="B1092" i="5"/>
  <c r="C1092" i="5"/>
  <c r="B1093" i="5"/>
  <c r="C1093" i="5"/>
  <c r="B1094" i="5"/>
  <c r="C1094" i="5"/>
  <c r="B1095" i="5"/>
  <c r="C1095" i="5"/>
  <c r="B1096" i="5"/>
  <c r="C1096" i="5"/>
  <c r="B1097" i="5"/>
  <c r="C1097" i="5"/>
  <c r="B1098" i="5"/>
  <c r="C1098" i="5"/>
  <c r="B1099" i="5"/>
  <c r="C1099" i="5"/>
  <c r="B1100" i="5"/>
  <c r="C1100" i="5"/>
  <c r="B1101" i="5"/>
  <c r="C1101" i="5"/>
  <c r="B1102" i="5"/>
  <c r="C1102" i="5"/>
  <c r="B1103" i="5"/>
  <c r="C1103" i="5"/>
  <c r="B1104" i="5"/>
  <c r="C1104" i="5"/>
  <c r="B1105" i="5"/>
  <c r="C1105" i="5"/>
  <c r="B1106" i="5"/>
  <c r="C1106" i="5"/>
  <c r="B1107" i="5"/>
  <c r="C1107" i="5"/>
  <c r="B1108" i="5"/>
  <c r="C1108" i="5"/>
  <c r="B1109" i="5"/>
  <c r="C1109" i="5"/>
  <c r="B1110" i="5"/>
  <c r="C1110" i="5"/>
  <c r="B1111" i="5"/>
  <c r="C1111" i="5"/>
  <c r="B1112" i="5"/>
  <c r="C1112" i="5"/>
  <c r="B1113" i="5"/>
  <c r="C1113" i="5"/>
  <c r="B1114" i="5"/>
  <c r="C1114" i="5"/>
  <c r="B1115" i="5"/>
  <c r="C1115" i="5"/>
  <c r="B1116" i="5"/>
  <c r="C1116" i="5"/>
  <c r="B1117" i="5"/>
  <c r="C1117" i="5"/>
  <c r="B1118" i="5"/>
  <c r="C1118" i="5"/>
  <c r="B1119" i="5"/>
  <c r="C1119" i="5"/>
  <c r="B1120" i="5"/>
  <c r="C1120" i="5"/>
  <c r="B1121" i="5"/>
  <c r="C1121" i="5"/>
  <c r="B1122" i="5"/>
  <c r="C1122" i="5"/>
  <c r="B1123" i="5"/>
  <c r="C1123" i="5"/>
  <c r="B1124" i="5"/>
  <c r="C1124" i="5"/>
  <c r="B1125" i="5"/>
  <c r="C1125" i="5"/>
  <c r="B1126" i="5"/>
  <c r="C1126" i="5"/>
  <c r="B1127" i="5"/>
  <c r="C1127" i="5"/>
  <c r="B1128" i="5"/>
  <c r="C1128" i="5"/>
  <c r="B1129" i="5"/>
  <c r="C1129" i="5"/>
  <c r="B1130" i="5"/>
  <c r="C1130" i="5"/>
  <c r="B1131" i="5"/>
  <c r="C1131" i="5"/>
  <c r="B1132" i="5"/>
  <c r="C1132" i="5"/>
  <c r="B1133" i="5"/>
  <c r="C1133" i="5"/>
  <c r="B1134" i="5"/>
  <c r="C1134" i="5"/>
  <c r="B1135" i="5"/>
  <c r="C1135" i="5"/>
  <c r="B1136" i="5"/>
  <c r="C1136" i="5"/>
  <c r="B1137" i="5"/>
  <c r="C1137" i="5"/>
  <c r="B1138" i="5"/>
  <c r="C1138" i="5"/>
  <c r="B1139" i="5"/>
  <c r="C1139" i="5"/>
  <c r="B1140" i="5"/>
  <c r="C1140" i="5"/>
  <c r="B1141" i="5"/>
  <c r="C1141" i="5"/>
  <c r="B1142" i="5"/>
  <c r="C1142" i="5"/>
  <c r="B1143" i="5"/>
  <c r="C1143" i="5"/>
  <c r="B1144" i="5"/>
  <c r="C1144" i="5"/>
  <c r="B1145" i="5"/>
  <c r="C1145" i="5"/>
  <c r="B1146" i="5"/>
  <c r="C1146" i="5"/>
  <c r="B1147" i="5"/>
  <c r="C1147" i="5"/>
  <c r="B1148" i="5"/>
  <c r="C1148" i="5"/>
  <c r="B1149" i="5"/>
  <c r="C1149" i="5"/>
  <c r="B1150" i="5"/>
  <c r="C1150" i="5"/>
  <c r="B1151" i="5"/>
  <c r="C1151" i="5"/>
  <c r="B1152" i="5"/>
  <c r="C1152" i="5"/>
  <c r="B1153" i="5"/>
  <c r="C1153" i="5"/>
  <c r="B1154" i="5"/>
  <c r="C1154" i="5"/>
  <c r="B1155" i="5"/>
  <c r="C1155" i="5"/>
  <c r="B1156" i="5"/>
  <c r="C1156" i="5"/>
  <c r="B1157" i="5"/>
  <c r="C1157" i="5"/>
  <c r="B1158" i="5"/>
  <c r="C1158" i="5"/>
  <c r="B1159" i="5"/>
  <c r="C1159" i="5"/>
  <c r="B1160" i="5"/>
  <c r="C1160" i="5"/>
  <c r="B1161" i="5"/>
  <c r="C1161" i="5"/>
  <c r="B1162" i="5"/>
  <c r="C1162" i="5"/>
  <c r="B1163" i="5"/>
  <c r="C1163" i="5"/>
  <c r="B1164" i="5"/>
  <c r="C1164" i="5"/>
  <c r="B1165" i="5"/>
  <c r="C1165" i="5"/>
  <c r="B1166" i="5"/>
  <c r="C1166" i="5"/>
  <c r="B1167" i="5"/>
  <c r="C1167" i="5"/>
  <c r="B1168" i="5"/>
  <c r="C1168" i="5"/>
  <c r="B1169" i="5"/>
  <c r="C1169" i="5"/>
  <c r="B1170" i="5"/>
  <c r="C1170" i="5"/>
  <c r="B1171" i="5"/>
  <c r="C1171" i="5"/>
  <c r="B1172" i="5"/>
  <c r="C1172" i="5"/>
  <c r="B1173" i="5"/>
  <c r="C1173" i="5"/>
  <c r="B1174" i="5"/>
  <c r="C1174" i="5"/>
  <c r="B1175" i="5"/>
  <c r="C1175" i="5"/>
  <c r="B1176" i="5"/>
  <c r="C1176" i="5"/>
  <c r="B1177" i="5"/>
  <c r="C1177" i="5"/>
  <c r="B1178" i="5"/>
  <c r="C1178" i="5"/>
  <c r="B1179" i="5"/>
  <c r="C1179" i="5"/>
  <c r="B1180" i="5"/>
  <c r="C1180" i="5"/>
  <c r="B1181" i="5"/>
  <c r="C1181" i="5"/>
  <c r="B1182" i="5"/>
  <c r="C1182" i="5"/>
  <c r="B1183" i="5"/>
  <c r="C1183" i="5"/>
  <c r="B1184" i="5"/>
  <c r="C1184" i="5"/>
  <c r="B1185" i="5"/>
  <c r="C1185" i="5"/>
  <c r="B1186" i="5"/>
  <c r="C1186" i="5"/>
  <c r="B1187" i="5"/>
  <c r="C1187" i="5"/>
  <c r="B1188" i="5"/>
  <c r="C1188" i="5"/>
  <c r="B1189" i="5"/>
  <c r="C1189" i="5"/>
  <c r="B1190" i="5"/>
  <c r="C1190" i="5"/>
  <c r="B1191" i="5"/>
  <c r="C1191" i="5"/>
  <c r="B1192" i="5"/>
  <c r="C1192" i="5"/>
  <c r="B1193" i="5"/>
  <c r="C1193" i="5"/>
  <c r="B1194" i="5"/>
  <c r="C1194" i="5"/>
  <c r="B1195" i="5"/>
  <c r="C1195" i="5"/>
  <c r="B1196" i="5"/>
  <c r="C1196" i="5"/>
  <c r="B1197" i="5"/>
  <c r="C1197" i="5"/>
  <c r="B1198" i="5"/>
  <c r="C1198" i="5"/>
  <c r="B1199" i="5"/>
  <c r="C1199" i="5"/>
  <c r="B1200" i="5"/>
  <c r="C1200" i="5"/>
  <c r="B1201" i="5"/>
  <c r="C1201" i="5"/>
  <c r="B1202" i="5"/>
  <c r="C1202" i="5"/>
  <c r="B1203" i="5"/>
  <c r="C1203" i="5"/>
  <c r="B1204" i="5"/>
  <c r="C1204" i="5"/>
  <c r="B1205" i="5"/>
  <c r="C1205" i="5"/>
  <c r="B1206" i="5"/>
  <c r="C1206" i="5"/>
  <c r="B1207" i="5"/>
  <c r="C1207" i="5"/>
  <c r="B1208" i="5"/>
  <c r="C1208" i="5"/>
  <c r="B1209" i="5"/>
  <c r="C1209" i="5"/>
  <c r="B1210" i="5"/>
  <c r="C1210" i="5"/>
  <c r="B1211" i="5"/>
  <c r="C1211" i="5"/>
  <c r="B1212" i="5"/>
  <c r="C1212" i="5"/>
  <c r="B1213" i="5"/>
  <c r="C1213" i="5"/>
  <c r="B1214" i="5"/>
  <c r="C1214" i="5"/>
  <c r="B1215" i="5"/>
  <c r="C1215" i="5"/>
  <c r="B1216" i="5"/>
  <c r="C1216" i="5"/>
  <c r="B1217" i="5"/>
  <c r="C1217" i="5"/>
  <c r="B1218" i="5"/>
  <c r="C1218" i="5"/>
  <c r="B1219" i="5"/>
  <c r="C1219" i="5"/>
  <c r="B1220" i="5"/>
  <c r="C1220" i="5"/>
  <c r="B1221" i="5"/>
  <c r="C1221" i="5"/>
  <c r="B1222" i="5"/>
  <c r="C1222" i="5"/>
  <c r="B1223" i="5"/>
  <c r="C1223" i="5"/>
  <c r="B1224" i="5"/>
  <c r="C1224" i="5"/>
  <c r="B1225" i="5"/>
  <c r="C1225" i="5"/>
  <c r="B1226" i="5"/>
  <c r="C1226" i="5"/>
  <c r="B1227" i="5"/>
  <c r="C1227" i="5"/>
  <c r="B1228" i="5"/>
  <c r="C1228" i="5"/>
  <c r="B1229" i="5"/>
  <c r="C1229" i="5"/>
  <c r="B1230" i="5"/>
  <c r="C1230" i="5"/>
  <c r="B1231" i="5"/>
  <c r="C1231" i="5"/>
  <c r="B1232" i="5"/>
  <c r="C1232" i="5"/>
  <c r="B1233" i="5"/>
  <c r="C1233" i="5"/>
  <c r="B1234" i="5"/>
  <c r="C1234" i="5"/>
  <c r="B1235" i="5"/>
  <c r="C1235" i="5"/>
  <c r="B1236" i="5"/>
  <c r="C1236" i="5"/>
  <c r="B1237" i="5"/>
  <c r="C1237" i="5"/>
  <c r="B1238" i="5"/>
  <c r="C1238" i="5"/>
  <c r="B1239" i="5"/>
  <c r="C1239" i="5"/>
  <c r="B1240" i="5"/>
  <c r="C1240" i="5"/>
  <c r="B1241" i="5"/>
  <c r="C1241" i="5"/>
  <c r="B1242" i="5"/>
  <c r="C1242" i="5"/>
  <c r="B1243" i="5"/>
  <c r="C1243" i="5"/>
  <c r="B1244" i="5"/>
  <c r="C1244" i="5"/>
  <c r="B1245" i="5"/>
  <c r="C1245" i="5"/>
  <c r="B1246" i="5"/>
  <c r="C1246" i="5"/>
  <c r="B1247" i="5"/>
  <c r="C1247" i="5"/>
  <c r="B1248" i="5"/>
  <c r="C1248" i="5"/>
  <c r="B1249" i="5"/>
  <c r="C1249" i="5"/>
  <c r="B1250" i="5"/>
  <c r="C1250" i="5"/>
  <c r="B1251" i="5"/>
  <c r="C1251" i="5"/>
  <c r="B1252" i="5"/>
  <c r="C1252" i="5"/>
  <c r="B1253" i="5"/>
  <c r="C1253" i="5"/>
  <c r="B1254" i="5"/>
  <c r="C1254" i="5"/>
  <c r="B1255" i="5"/>
  <c r="C1255" i="5"/>
  <c r="B1256" i="5"/>
  <c r="C1256" i="5"/>
  <c r="B1257" i="5"/>
  <c r="C1257" i="5"/>
  <c r="B1258" i="5"/>
  <c r="C1258" i="5"/>
  <c r="B1259" i="5"/>
  <c r="C1259" i="5"/>
  <c r="B1260" i="5"/>
  <c r="C1260" i="5"/>
  <c r="B1261" i="5"/>
  <c r="C1261" i="5"/>
  <c r="B1262" i="5"/>
  <c r="C1262" i="5"/>
  <c r="B1263" i="5"/>
  <c r="C1263" i="5"/>
  <c r="B1264" i="5"/>
  <c r="C1264" i="5"/>
  <c r="B1265" i="5"/>
  <c r="C1265" i="5"/>
  <c r="B1266" i="5"/>
  <c r="C1266" i="5"/>
  <c r="B1267" i="5"/>
  <c r="C1267" i="5"/>
  <c r="B1268" i="5"/>
  <c r="C1268" i="5"/>
  <c r="B1269" i="5"/>
  <c r="C1269" i="5"/>
  <c r="B1270" i="5"/>
  <c r="C1270" i="5"/>
  <c r="B1271" i="5"/>
  <c r="C1271" i="5"/>
  <c r="B1272" i="5"/>
  <c r="C1272" i="5"/>
  <c r="B1273" i="5"/>
  <c r="C1273" i="5"/>
  <c r="B1274" i="5"/>
  <c r="C1274" i="5"/>
  <c r="B1275" i="5"/>
  <c r="C1275" i="5"/>
  <c r="B1276" i="5"/>
  <c r="C1276" i="5"/>
  <c r="B1277" i="5"/>
  <c r="C1277" i="5"/>
  <c r="B1278" i="5"/>
  <c r="C1278" i="5"/>
  <c r="B1279" i="5"/>
  <c r="C1279" i="5"/>
  <c r="B1280" i="5"/>
  <c r="C1280" i="5"/>
  <c r="B1281" i="5"/>
  <c r="C1281" i="5"/>
  <c r="B1282" i="5"/>
  <c r="C1282" i="5"/>
  <c r="B1283" i="5"/>
  <c r="C1283" i="5"/>
  <c r="B1284" i="5"/>
  <c r="C1284" i="5"/>
  <c r="B1285" i="5"/>
  <c r="C1285" i="5"/>
  <c r="B1286" i="5"/>
  <c r="C1286" i="5"/>
  <c r="B1287" i="5"/>
  <c r="C1287" i="5"/>
  <c r="B1288" i="5"/>
  <c r="C1288" i="5"/>
  <c r="B1289" i="5"/>
  <c r="C1289" i="5"/>
  <c r="B1290" i="5"/>
  <c r="C1290" i="5"/>
  <c r="B1291" i="5"/>
  <c r="C1291" i="5"/>
  <c r="B1292" i="5"/>
  <c r="C1292" i="5"/>
  <c r="B1293" i="5"/>
  <c r="C1293" i="5"/>
  <c r="B1294" i="5"/>
  <c r="C1294" i="5"/>
  <c r="B1295" i="5"/>
  <c r="C1295" i="5"/>
  <c r="B1296" i="5"/>
  <c r="C1296" i="5"/>
  <c r="B1297" i="5"/>
  <c r="C1297" i="5"/>
  <c r="B1298" i="5"/>
  <c r="C1298" i="5"/>
  <c r="B1299" i="5"/>
  <c r="C1299" i="5"/>
  <c r="B1300" i="5"/>
  <c r="C1300" i="5"/>
  <c r="B1301" i="5"/>
  <c r="C1301" i="5"/>
  <c r="B1302" i="5"/>
  <c r="C1302" i="5"/>
  <c r="B1303" i="5"/>
  <c r="C1303" i="5"/>
  <c r="B1304" i="5"/>
  <c r="C1304" i="5"/>
  <c r="B1305" i="5"/>
  <c r="C1305" i="5"/>
  <c r="B1306" i="5"/>
  <c r="C1306" i="5"/>
  <c r="B1307" i="5"/>
  <c r="C1307" i="5"/>
  <c r="B1308" i="5"/>
  <c r="C1308" i="5"/>
  <c r="B1309" i="5"/>
  <c r="C1309" i="5"/>
  <c r="B1310" i="5"/>
  <c r="C1310" i="5"/>
  <c r="B1311" i="5"/>
  <c r="C1311" i="5"/>
  <c r="B1312" i="5"/>
  <c r="C1312" i="5"/>
  <c r="B1313" i="5"/>
  <c r="C1313" i="5"/>
  <c r="B1314" i="5"/>
  <c r="C1314" i="5"/>
  <c r="B1315" i="5"/>
  <c r="C1315" i="5"/>
  <c r="B1316" i="5"/>
  <c r="C1316" i="5"/>
  <c r="B1317" i="5"/>
  <c r="C1317" i="5"/>
  <c r="B1318" i="5"/>
  <c r="C1318" i="5"/>
  <c r="B1319" i="5"/>
  <c r="C1319" i="5"/>
  <c r="B1320" i="5"/>
  <c r="C1320" i="5"/>
  <c r="B1321" i="5"/>
  <c r="C1321" i="5"/>
  <c r="B1322" i="5"/>
  <c r="C1322" i="5"/>
  <c r="B1323" i="5"/>
  <c r="C1323" i="5"/>
  <c r="B1324" i="5"/>
  <c r="C1324" i="5"/>
  <c r="B1325" i="5"/>
  <c r="C1325" i="5"/>
  <c r="B1326" i="5"/>
  <c r="C1326" i="5"/>
  <c r="B1327" i="5"/>
  <c r="C1327" i="5"/>
  <c r="B1328" i="5"/>
  <c r="C1328" i="5"/>
  <c r="B1329" i="5"/>
  <c r="C1329" i="5"/>
  <c r="B1330" i="5"/>
  <c r="C1330" i="5"/>
  <c r="B1331" i="5"/>
  <c r="C1331" i="5"/>
  <c r="B1332" i="5"/>
  <c r="C1332" i="5"/>
  <c r="B1333" i="5"/>
  <c r="C1333" i="5"/>
  <c r="B1334" i="5"/>
  <c r="C1334" i="5"/>
  <c r="B1335" i="5"/>
  <c r="C1335" i="5"/>
  <c r="B1336" i="5"/>
  <c r="C1336" i="5"/>
  <c r="B1337" i="5"/>
  <c r="C1337" i="5"/>
  <c r="B1338" i="5"/>
  <c r="C1338" i="5"/>
  <c r="B1339" i="5"/>
  <c r="C1339" i="5"/>
  <c r="B1340" i="5"/>
  <c r="C1340" i="5"/>
  <c r="B1341" i="5"/>
  <c r="C1341" i="5"/>
  <c r="B1342" i="5"/>
  <c r="C1342" i="5"/>
  <c r="B1343" i="5"/>
  <c r="C1343" i="5"/>
  <c r="B1344" i="5"/>
  <c r="C1344" i="5"/>
  <c r="B1345" i="5"/>
  <c r="C1345" i="5"/>
  <c r="B1346" i="5"/>
  <c r="C1346" i="5"/>
  <c r="B1347" i="5"/>
  <c r="C1347" i="5"/>
  <c r="B1348" i="5"/>
  <c r="C1348" i="5"/>
  <c r="B1349" i="5"/>
  <c r="C1349" i="5"/>
  <c r="B1350" i="5"/>
  <c r="C1350" i="5"/>
  <c r="B1351" i="5"/>
  <c r="C1351" i="5"/>
  <c r="B1352" i="5"/>
  <c r="C1352" i="5"/>
  <c r="B1353" i="5"/>
  <c r="C1353" i="5"/>
  <c r="B1354" i="5"/>
  <c r="C1354" i="5"/>
  <c r="B1355" i="5"/>
  <c r="C1355" i="5"/>
  <c r="B1356" i="5"/>
  <c r="C1356" i="5"/>
  <c r="B1357" i="5"/>
  <c r="C1357" i="5"/>
  <c r="B1358" i="5"/>
  <c r="C1358" i="5"/>
  <c r="B1359" i="5"/>
  <c r="C1359" i="5"/>
  <c r="B1360" i="5"/>
  <c r="C1360" i="5"/>
  <c r="B1361" i="5"/>
  <c r="C1361" i="5"/>
  <c r="B1362" i="5"/>
  <c r="C1362" i="5"/>
  <c r="B1363" i="5"/>
  <c r="C1363" i="5"/>
  <c r="B1364" i="5"/>
  <c r="C1364" i="5"/>
  <c r="B1365" i="5"/>
  <c r="C1365" i="5"/>
  <c r="B1366" i="5"/>
  <c r="C1366" i="5"/>
  <c r="B1367" i="5"/>
  <c r="C1367" i="5"/>
  <c r="B1368" i="5"/>
  <c r="C1368" i="5"/>
  <c r="B1369" i="5"/>
  <c r="C1369" i="5"/>
  <c r="B1370" i="5"/>
  <c r="C1370" i="5"/>
  <c r="B1371" i="5"/>
  <c r="C1371" i="5"/>
  <c r="B1372" i="5"/>
  <c r="C1372" i="5"/>
  <c r="B1373" i="5"/>
  <c r="C1373" i="5"/>
  <c r="B1374" i="5"/>
  <c r="C1374" i="5"/>
  <c r="B1375" i="5"/>
  <c r="C1375" i="5"/>
  <c r="B1376" i="5"/>
  <c r="C1376" i="5"/>
  <c r="B1377" i="5"/>
  <c r="C1377" i="5"/>
  <c r="B1378" i="5"/>
  <c r="C1378" i="5"/>
  <c r="B1379" i="5"/>
  <c r="C1379" i="5"/>
  <c r="B1380" i="5"/>
  <c r="C1380" i="5"/>
  <c r="B1381" i="5"/>
  <c r="C1381" i="5"/>
  <c r="B1382" i="5"/>
  <c r="C1382" i="5"/>
  <c r="B1383" i="5"/>
  <c r="C1383" i="5"/>
  <c r="B1384" i="5"/>
  <c r="C1384" i="5"/>
  <c r="B1385" i="5"/>
  <c r="C1385" i="5"/>
  <c r="B1386" i="5"/>
  <c r="C1386" i="5"/>
  <c r="B1387" i="5"/>
  <c r="C1387" i="5"/>
  <c r="B1388" i="5"/>
  <c r="C1388" i="5"/>
  <c r="B1389" i="5"/>
  <c r="C1389" i="5"/>
  <c r="B1390" i="5"/>
  <c r="C1390" i="5"/>
  <c r="B1391" i="5"/>
  <c r="C1391" i="5"/>
  <c r="B1392" i="5"/>
  <c r="C1392" i="5"/>
  <c r="B1393" i="5"/>
  <c r="C1393" i="5"/>
  <c r="B1394" i="5"/>
  <c r="C1394" i="5"/>
  <c r="B1395" i="5"/>
  <c r="C1395" i="5"/>
  <c r="B1396" i="5"/>
  <c r="C1396" i="5"/>
  <c r="B1397" i="5"/>
  <c r="C1397" i="5"/>
  <c r="B1398" i="5"/>
  <c r="C1398" i="5"/>
  <c r="B1399" i="5"/>
  <c r="C1399" i="5"/>
  <c r="B1400" i="5"/>
  <c r="C1400" i="5"/>
  <c r="B1401" i="5"/>
  <c r="C1401" i="5"/>
  <c r="B1402" i="5"/>
  <c r="C1402" i="5"/>
  <c r="B1403" i="5"/>
  <c r="C1403" i="5"/>
  <c r="B1404" i="5"/>
  <c r="C1404" i="5"/>
  <c r="B1405" i="5"/>
  <c r="C1405" i="5"/>
  <c r="B1406" i="5"/>
  <c r="C1406" i="5"/>
  <c r="B1407" i="5"/>
  <c r="C1407" i="5"/>
  <c r="B1408" i="5"/>
  <c r="C1408" i="5"/>
  <c r="B1409" i="5"/>
  <c r="C1409" i="5"/>
  <c r="B1410" i="5"/>
  <c r="C1410" i="5"/>
  <c r="B1411" i="5"/>
  <c r="C1411" i="5"/>
  <c r="B1412" i="5"/>
  <c r="C1412" i="5"/>
  <c r="B1413" i="5"/>
  <c r="C1413" i="5"/>
  <c r="B1414" i="5"/>
  <c r="C1414" i="5"/>
  <c r="B1415" i="5"/>
  <c r="C1415" i="5"/>
  <c r="B1416" i="5"/>
  <c r="C1416" i="5"/>
  <c r="B1417" i="5"/>
  <c r="C1417" i="5"/>
  <c r="B1418" i="5"/>
  <c r="C1418" i="5"/>
  <c r="B1419" i="5"/>
  <c r="C1419" i="5"/>
  <c r="B1420" i="5"/>
  <c r="C1420" i="5"/>
  <c r="B1421" i="5"/>
  <c r="C1421" i="5"/>
  <c r="B1422" i="5"/>
  <c r="C1422" i="5"/>
  <c r="B1423" i="5"/>
  <c r="C1423" i="5"/>
  <c r="B1424" i="5"/>
  <c r="C1424" i="5"/>
  <c r="B1425" i="5"/>
  <c r="C1425" i="5"/>
  <c r="B1426" i="5"/>
  <c r="C1426" i="5"/>
  <c r="B1427" i="5"/>
  <c r="C1427" i="5"/>
  <c r="B1428" i="5"/>
  <c r="C1428" i="5"/>
  <c r="B1429" i="5"/>
  <c r="C1429" i="5"/>
  <c r="B1430" i="5"/>
  <c r="C1430" i="5"/>
  <c r="B1431" i="5"/>
  <c r="C1431" i="5"/>
  <c r="B1432" i="5"/>
  <c r="C1432" i="5"/>
  <c r="B1433" i="5"/>
  <c r="C1433" i="5"/>
  <c r="B1434" i="5"/>
  <c r="C1434" i="5"/>
  <c r="B1435" i="5"/>
  <c r="C1435" i="5"/>
  <c r="B1436" i="5"/>
  <c r="C1436" i="5"/>
  <c r="B1437" i="5"/>
  <c r="C1437" i="5"/>
  <c r="B1438" i="5"/>
  <c r="C1438" i="5"/>
  <c r="B1439" i="5"/>
  <c r="C1439" i="5"/>
  <c r="B1440" i="5"/>
  <c r="C1440" i="5"/>
  <c r="B1441" i="5"/>
  <c r="C1441" i="5"/>
  <c r="B1442" i="5"/>
  <c r="C1442" i="5"/>
  <c r="B1443" i="5"/>
  <c r="C1443" i="5"/>
  <c r="B1444" i="5"/>
  <c r="C1444" i="5"/>
  <c r="B1445" i="5"/>
  <c r="C1445" i="5"/>
  <c r="B1446" i="5"/>
  <c r="C1446" i="5"/>
  <c r="B1447" i="5"/>
  <c r="C1447" i="5"/>
  <c r="B1448" i="5"/>
  <c r="C1448" i="5"/>
  <c r="B1449" i="5"/>
  <c r="C1449" i="5"/>
  <c r="B1450" i="5"/>
  <c r="C1450" i="5"/>
  <c r="B1451" i="5"/>
  <c r="C1451" i="5"/>
  <c r="B1452" i="5"/>
  <c r="C1452" i="5"/>
  <c r="B1453" i="5"/>
  <c r="C1453" i="5"/>
  <c r="B1454" i="5"/>
  <c r="C1454" i="5"/>
  <c r="B1455" i="5"/>
  <c r="C1455" i="5"/>
  <c r="B1456" i="5"/>
  <c r="C1456" i="5"/>
  <c r="B1457" i="5"/>
  <c r="C1457" i="5"/>
  <c r="B1458" i="5"/>
  <c r="C1458" i="5"/>
  <c r="B1459" i="5"/>
  <c r="C1459" i="5"/>
  <c r="B1460" i="5"/>
  <c r="C1460" i="5"/>
  <c r="B1461" i="5"/>
  <c r="C1461" i="5"/>
  <c r="B1462" i="5"/>
  <c r="C1462" i="5"/>
  <c r="B1463" i="5"/>
  <c r="C1463" i="5"/>
  <c r="B1464" i="5"/>
  <c r="C1464" i="5"/>
  <c r="B1465" i="5"/>
  <c r="C1465" i="5"/>
  <c r="B1466" i="5"/>
  <c r="C1466" i="5"/>
  <c r="B1467" i="5"/>
  <c r="C1467" i="5"/>
  <c r="B1468" i="5"/>
  <c r="C1468" i="5"/>
  <c r="B1469" i="5"/>
  <c r="C1469" i="5"/>
  <c r="B1470" i="5"/>
  <c r="C1470" i="5"/>
  <c r="B1471" i="5"/>
  <c r="C1471" i="5"/>
  <c r="B1472" i="5"/>
  <c r="C1472" i="5"/>
  <c r="B1473" i="5"/>
  <c r="C1473" i="5"/>
  <c r="B1474" i="5"/>
  <c r="C1474" i="5"/>
  <c r="B1475" i="5"/>
  <c r="C1475" i="5"/>
  <c r="B1476" i="5"/>
  <c r="C1476" i="5"/>
  <c r="B1477" i="5"/>
  <c r="C1477" i="5"/>
  <c r="B1478" i="5"/>
  <c r="C1478" i="5"/>
  <c r="B1479" i="5"/>
  <c r="C1479" i="5"/>
  <c r="B1480" i="5"/>
  <c r="C1480" i="5"/>
  <c r="B1481" i="5"/>
  <c r="C1481" i="5"/>
  <c r="B1482" i="5"/>
  <c r="C1482" i="5"/>
  <c r="B1483" i="5"/>
  <c r="C1483" i="5"/>
  <c r="B1484" i="5"/>
  <c r="C1484" i="5"/>
  <c r="B1485" i="5"/>
  <c r="C1485" i="5"/>
  <c r="B1486" i="5"/>
  <c r="C1486" i="5"/>
  <c r="B1487" i="5"/>
  <c r="C1487" i="5"/>
  <c r="B1488" i="5"/>
  <c r="C1488" i="5"/>
  <c r="B1489" i="5"/>
  <c r="C1489" i="5"/>
  <c r="B1490" i="5"/>
  <c r="C1490" i="5"/>
  <c r="B1491" i="5"/>
  <c r="C1491" i="5"/>
  <c r="B1492" i="5"/>
  <c r="C1492" i="5"/>
  <c r="B1493" i="5"/>
  <c r="C1493" i="5"/>
  <c r="B1494" i="5"/>
  <c r="C1494" i="5"/>
  <c r="B1495" i="5"/>
  <c r="C1495" i="5"/>
  <c r="B1496" i="5"/>
  <c r="C1496" i="5"/>
  <c r="B1497" i="5"/>
  <c r="C1497" i="5"/>
  <c r="B1498" i="5"/>
  <c r="C1498" i="5"/>
  <c r="B1499" i="5"/>
  <c r="C1499" i="5"/>
  <c r="B1500" i="5"/>
  <c r="C1500" i="5"/>
  <c r="B1501" i="5"/>
  <c r="C1501" i="5"/>
  <c r="B1502" i="5"/>
  <c r="C1502" i="5"/>
  <c r="B1503" i="5"/>
  <c r="C1503" i="5"/>
  <c r="B1504" i="5"/>
  <c r="C1504" i="5"/>
  <c r="B1505" i="5"/>
  <c r="C1505" i="5"/>
  <c r="B1506" i="5"/>
  <c r="C1506" i="5"/>
  <c r="B1507" i="5"/>
  <c r="C1507" i="5"/>
  <c r="B1508" i="5"/>
  <c r="C1508" i="5"/>
  <c r="B1509" i="5"/>
  <c r="C1509" i="5"/>
  <c r="B1510" i="5"/>
  <c r="C1510" i="5"/>
  <c r="B1511" i="5"/>
  <c r="C1511" i="5"/>
  <c r="B1512" i="5"/>
  <c r="C1512" i="5"/>
  <c r="B1513" i="5"/>
  <c r="C1513" i="5"/>
  <c r="B1514" i="5"/>
  <c r="C1514" i="5"/>
  <c r="B1515" i="5"/>
  <c r="C1515" i="5"/>
  <c r="B1516" i="5"/>
  <c r="C1516" i="5"/>
  <c r="B1517" i="5"/>
  <c r="C1517" i="5"/>
  <c r="B1518" i="5"/>
  <c r="C1518" i="5"/>
  <c r="B1519" i="5"/>
  <c r="C1519" i="5"/>
  <c r="B1520" i="5"/>
  <c r="C1520" i="5"/>
  <c r="B1521" i="5"/>
  <c r="C1521" i="5"/>
  <c r="B1522" i="5"/>
  <c r="C1522" i="5"/>
  <c r="B1523" i="5"/>
  <c r="C1523" i="5"/>
  <c r="B1524" i="5"/>
  <c r="C1524" i="5"/>
  <c r="B1525" i="5"/>
  <c r="C1525" i="5"/>
  <c r="B1526" i="5"/>
  <c r="C1526" i="5"/>
  <c r="B1527" i="5"/>
  <c r="C1527" i="5"/>
  <c r="B1528" i="5"/>
  <c r="C1528" i="5"/>
  <c r="B1529" i="5"/>
  <c r="C1529" i="5"/>
  <c r="B1530" i="5"/>
  <c r="C1530" i="5"/>
  <c r="B1531" i="5"/>
  <c r="C1531" i="5"/>
  <c r="B1532" i="5"/>
  <c r="C1532" i="5"/>
  <c r="B1533" i="5"/>
  <c r="C1533" i="5"/>
  <c r="B1534" i="5"/>
  <c r="C1534" i="5"/>
  <c r="B1535" i="5"/>
  <c r="C1535" i="5"/>
  <c r="B1536" i="5"/>
  <c r="C1536" i="5"/>
  <c r="B1537" i="5"/>
  <c r="C1537" i="5"/>
  <c r="B1538" i="5"/>
  <c r="C1538" i="5"/>
  <c r="B1539" i="5"/>
  <c r="C1539" i="5"/>
  <c r="B1540" i="5"/>
  <c r="C1540" i="5"/>
  <c r="B1541" i="5"/>
  <c r="C1541" i="5"/>
  <c r="B1542" i="5"/>
  <c r="C1542" i="5"/>
  <c r="B1543" i="5"/>
  <c r="C1543" i="5"/>
  <c r="B1544" i="5"/>
  <c r="C1544" i="5"/>
  <c r="B1545" i="5"/>
  <c r="C1545" i="5"/>
  <c r="B1546" i="5"/>
  <c r="C1546" i="5"/>
  <c r="B1547" i="5"/>
  <c r="C1547" i="5"/>
  <c r="B1548" i="5"/>
  <c r="C1548" i="5"/>
  <c r="B1549" i="5"/>
  <c r="C1549" i="5"/>
  <c r="B1550" i="5"/>
  <c r="C1550" i="5"/>
  <c r="B1551" i="5"/>
  <c r="C1551" i="5"/>
  <c r="B1552" i="5"/>
  <c r="C1552" i="5"/>
  <c r="B1553" i="5"/>
  <c r="C1553" i="5"/>
  <c r="B1554" i="5"/>
  <c r="C1554" i="5"/>
  <c r="B1555" i="5"/>
  <c r="C1555" i="5"/>
  <c r="B1556" i="5"/>
  <c r="C1556" i="5"/>
  <c r="B1557" i="5"/>
  <c r="C1557" i="5"/>
  <c r="B1558" i="5"/>
  <c r="C1558" i="5"/>
  <c r="B1559" i="5"/>
  <c r="C1559" i="5"/>
  <c r="B1560" i="5"/>
  <c r="C1560" i="5"/>
  <c r="B1561" i="5"/>
  <c r="C1561" i="5"/>
  <c r="B1562" i="5"/>
  <c r="C1562" i="5"/>
  <c r="B1563" i="5"/>
  <c r="C1563" i="5"/>
  <c r="B1564" i="5"/>
  <c r="C1564" i="5"/>
  <c r="B1565" i="5"/>
  <c r="C1565" i="5"/>
  <c r="B1566" i="5"/>
  <c r="C1566" i="5"/>
  <c r="B1567" i="5"/>
  <c r="C1567" i="5"/>
  <c r="B1568" i="5"/>
  <c r="C1568" i="5"/>
  <c r="B1569" i="5"/>
  <c r="C1569" i="5"/>
  <c r="B1570" i="5"/>
  <c r="C1570" i="5"/>
  <c r="B1571" i="5"/>
  <c r="C1571" i="5"/>
  <c r="B1572" i="5"/>
  <c r="C1572" i="5"/>
  <c r="B1573" i="5"/>
  <c r="C1573" i="5"/>
  <c r="B1574" i="5"/>
  <c r="C1574" i="5"/>
  <c r="B1575" i="5"/>
  <c r="C1575" i="5"/>
  <c r="B1576" i="5"/>
  <c r="C1576" i="5"/>
  <c r="B1577" i="5"/>
  <c r="C1577" i="5"/>
  <c r="B1578" i="5"/>
  <c r="C1578" i="5"/>
  <c r="B1579" i="5"/>
  <c r="C1579" i="5"/>
  <c r="B1580" i="5"/>
  <c r="C1580" i="5"/>
  <c r="B1581" i="5"/>
  <c r="C1581" i="5"/>
  <c r="B1582" i="5"/>
  <c r="C1582" i="5"/>
  <c r="B1583" i="5"/>
  <c r="C1583" i="5"/>
  <c r="B1584" i="5"/>
  <c r="C1584" i="5"/>
  <c r="B1585" i="5"/>
  <c r="C1585" i="5"/>
  <c r="B1586" i="5"/>
  <c r="C1586" i="5"/>
  <c r="B1587" i="5"/>
  <c r="C1587" i="5"/>
  <c r="B1588" i="5"/>
  <c r="C1588" i="5"/>
  <c r="B1589" i="5"/>
  <c r="C1589" i="5"/>
  <c r="B1590" i="5"/>
  <c r="C1590" i="5"/>
  <c r="B1591" i="5"/>
  <c r="C1591" i="5"/>
  <c r="B1592" i="5"/>
  <c r="C1592" i="5"/>
  <c r="B1593" i="5"/>
  <c r="C1593" i="5"/>
  <c r="B1594" i="5"/>
  <c r="C1594" i="5"/>
  <c r="B1595" i="5"/>
  <c r="C1595" i="5"/>
  <c r="B1596" i="5"/>
  <c r="C1596" i="5"/>
  <c r="B1597" i="5"/>
  <c r="C1597" i="5"/>
  <c r="B1598" i="5"/>
  <c r="C1598" i="5"/>
  <c r="B1599" i="5"/>
  <c r="C1599" i="5"/>
  <c r="B1600" i="5"/>
  <c r="C1600" i="5"/>
  <c r="B1601" i="5"/>
  <c r="C1601" i="5"/>
  <c r="B1602" i="5"/>
  <c r="C1602" i="5"/>
  <c r="B1603" i="5"/>
  <c r="C1603" i="5"/>
  <c r="B1604" i="5"/>
  <c r="C1604" i="5"/>
  <c r="B1605" i="5"/>
  <c r="C1605" i="5"/>
  <c r="B1606" i="5"/>
  <c r="C1606" i="5"/>
  <c r="B1607" i="5"/>
  <c r="C1607" i="5"/>
  <c r="B1608" i="5"/>
  <c r="C1608" i="5"/>
  <c r="B1609" i="5"/>
  <c r="C1609" i="5"/>
  <c r="B1610" i="5"/>
  <c r="C1610" i="5"/>
  <c r="B1611" i="5"/>
  <c r="C1611" i="5"/>
  <c r="B1612" i="5"/>
  <c r="C1612" i="5"/>
  <c r="B1613" i="5"/>
  <c r="C1613" i="5"/>
  <c r="B1614" i="5"/>
  <c r="C1614" i="5"/>
  <c r="B1615" i="5"/>
  <c r="C1615" i="5"/>
  <c r="B1616" i="5"/>
  <c r="C1616" i="5"/>
  <c r="B1617" i="5"/>
  <c r="C1617" i="5"/>
  <c r="B1618" i="5"/>
  <c r="C1618" i="5"/>
  <c r="B1619" i="5"/>
  <c r="C1619" i="5"/>
  <c r="B1620" i="5"/>
  <c r="C1620" i="5"/>
  <c r="B1621" i="5"/>
  <c r="C1621" i="5"/>
  <c r="B1622" i="5"/>
  <c r="C1622" i="5"/>
  <c r="B1623" i="5"/>
  <c r="C1623" i="5"/>
  <c r="B1624" i="5"/>
  <c r="C1624" i="5"/>
  <c r="B1625" i="5"/>
  <c r="C1625" i="5"/>
  <c r="B1626" i="5"/>
  <c r="C1626" i="5"/>
  <c r="B1627" i="5"/>
  <c r="C1627" i="5"/>
  <c r="B1628" i="5"/>
  <c r="C1628" i="5"/>
  <c r="B1629" i="5"/>
  <c r="C1629" i="5"/>
  <c r="B1630" i="5"/>
  <c r="C1630" i="5"/>
  <c r="B1631" i="5"/>
  <c r="C1631" i="5"/>
  <c r="B1632" i="5"/>
  <c r="C1632" i="5"/>
  <c r="B1633" i="5"/>
  <c r="C1633" i="5"/>
  <c r="B1634" i="5"/>
  <c r="C1634" i="5"/>
  <c r="B1635" i="5"/>
  <c r="C1635" i="5"/>
  <c r="B1636" i="5"/>
  <c r="C1636" i="5"/>
  <c r="B1637" i="5"/>
  <c r="C1637" i="5"/>
  <c r="B1638" i="5"/>
  <c r="C1638" i="5"/>
  <c r="B1639" i="5"/>
  <c r="C1639" i="5"/>
  <c r="B1640" i="5"/>
  <c r="C1640" i="5"/>
  <c r="B1641" i="5"/>
  <c r="C1641" i="5"/>
  <c r="B1642" i="5"/>
  <c r="C1642" i="5"/>
  <c r="B1643" i="5"/>
  <c r="C1643" i="5"/>
  <c r="B1644" i="5"/>
  <c r="C1644" i="5"/>
  <c r="B1645" i="5"/>
  <c r="C1645" i="5"/>
  <c r="B1646" i="5"/>
  <c r="C1646" i="5"/>
  <c r="B1647" i="5"/>
  <c r="C1647" i="5"/>
  <c r="B1648" i="5"/>
  <c r="C1648" i="5"/>
  <c r="B1649" i="5"/>
  <c r="C1649" i="5"/>
  <c r="B1650" i="5"/>
  <c r="C1650" i="5"/>
  <c r="B1651" i="5"/>
  <c r="C1651" i="5"/>
  <c r="B1652" i="5"/>
  <c r="C1652" i="5"/>
  <c r="B1653" i="5"/>
  <c r="C1653" i="5"/>
  <c r="B1654" i="5"/>
  <c r="C1654" i="5"/>
  <c r="B1655" i="5"/>
  <c r="C1655" i="5"/>
  <c r="B1656" i="5"/>
  <c r="C1656" i="5"/>
  <c r="B1657" i="5"/>
  <c r="C1657" i="5"/>
  <c r="B1658" i="5"/>
  <c r="C1658" i="5"/>
  <c r="B1659" i="5"/>
  <c r="C1659" i="5"/>
  <c r="B1660" i="5"/>
  <c r="C1660" i="5"/>
  <c r="B1661" i="5"/>
  <c r="C1661" i="5"/>
  <c r="B1662" i="5"/>
  <c r="C1662" i="5"/>
  <c r="B1663" i="5"/>
  <c r="C1663" i="5"/>
  <c r="B1664" i="5"/>
  <c r="C1664" i="5"/>
  <c r="B1665" i="5"/>
  <c r="C1665" i="5"/>
  <c r="B1666" i="5"/>
  <c r="C1666" i="5"/>
  <c r="B1667" i="5"/>
  <c r="C1667" i="5"/>
  <c r="B1668" i="5"/>
  <c r="C1668" i="5"/>
  <c r="B1669" i="5"/>
  <c r="C1669" i="5"/>
  <c r="B1670" i="5"/>
  <c r="C1670" i="5"/>
  <c r="B1671" i="5"/>
  <c r="C1671" i="5"/>
  <c r="B1672" i="5"/>
  <c r="C1672" i="5"/>
  <c r="B1673" i="5"/>
  <c r="C1673" i="5"/>
  <c r="B1674" i="5"/>
  <c r="C1674" i="5"/>
  <c r="B1675" i="5"/>
  <c r="C1675" i="5"/>
  <c r="B1676" i="5"/>
  <c r="C1676" i="5"/>
  <c r="B1677" i="5"/>
  <c r="C1677" i="5"/>
  <c r="B1678" i="5"/>
  <c r="C1678" i="5"/>
  <c r="B1679" i="5"/>
  <c r="C1679" i="5"/>
  <c r="B1680" i="5"/>
  <c r="C1680" i="5"/>
  <c r="B1681" i="5"/>
  <c r="C1681" i="5"/>
  <c r="B1682" i="5"/>
  <c r="C1682" i="5"/>
  <c r="B1683" i="5"/>
  <c r="C1683" i="5"/>
  <c r="B1684" i="5"/>
  <c r="C1684" i="5"/>
  <c r="B1685" i="5"/>
  <c r="C1685" i="5"/>
  <c r="B1686" i="5"/>
  <c r="C1686" i="5"/>
  <c r="B1687" i="5"/>
  <c r="C1687" i="5"/>
  <c r="B1688" i="5"/>
  <c r="C1688" i="5"/>
  <c r="B1689" i="5"/>
  <c r="C1689" i="5"/>
  <c r="B1690" i="5"/>
  <c r="C1690" i="5"/>
  <c r="B1691" i="5"/>
  <c r="C1691" i="5"/>
  <c r="B1692" i="5"/>
  <c r="C1692" i="5"/>
  <c r="B1693" i="5"/>
  <c r="C1693" i="5"/>
  <c r="B1694" i="5"/>
  <c r="C1694" i="5"/>
  <c r="B1695" i="5"/>
  <c r="C1695" i="5"/>
  <c r="B1696" i="5"/>
  <c r="C1696" i="5"/>
  <c r="B1697" i="5"/>
  <c r="C1697" i="5"/>
  <c r="B1698" i="5"/>
  <c r="C1698" i="5"/>
  <c r="B1699" i="5"/>
  <c r="C1699" i="5"/>
  <c r="B1700" i="5"/>
  <c r="C1700" i="5"/>
  <c r="B1701" i="5"/>
  <c r="C1701" i="5"/>
  <c r="B1702" i="5"/>
  <c r="C1702" i="5"/>
  <c r="B1703" i="5"/>
  <c r="C1703" i="5"/>
  <c r="B1704" i="5"/>
  <c r="C1704" i="5"/>
  <c r="B1705" i="5"/>
  <c r="C1705" i="5"/>
  <c r="B1706" i="5"/>
  <c r="C1706" i="5"/>
  <c r="B1707" i="5"/>
  <c r="C1707" i="5"/>
  <c r="B1708" i="5"/>
  <c r="C1708" i="5"/>
  <c r="B1709" i="5"/>
  <c r="C1709" i="5"/>
  <c r="B1710" i="5"/>
  <c r="C1710" i="5"/>
  <c r="B1711" i="5"/>
  <c r="C1711" i="5"/>
  <c r="B1712" i="5"/>
  <c r="C1712" i="5"/>
  <c r="B1713" i="5"/>
  <c r="C1713" i="5"/>
  <c r="B1714" i="5"/>
  <c r="C1714" i="5"/>
  <c r="B1715" i="5"/>
  <c r="C1715" i="5"/>
  <c r="B1716" i="5"/>
  <c r="C1716" i="5"/>
  <c r="B1717" i="5"/>
  <c r="C1717" i="5"/>
  <c r="B1718" i="5"/>
  <c r="C1718" i="5"/>
  <c r="B1719" i="5"/>
  <c r="C1719" i="5"/>
  <c r="B1720" i="5"/>
  <c r="C1720" i="5"/>
  <c r="B1721" i="5"/>
  <c r="C1721" i="5"/>
  <c r="B1722" i="5"/>
  <c r="C1722" i="5"/>
  <c r="B1723" i="5"/>
  <c r="C1723" i="5"/>
  <c r="B1724" i="5"/>
  <c r="C1724" i="5"/>
  <c r="B1725" i="5"/>
  <c r="C1725" i="5"/>
  <c r="B1726" i="5"/>
  <c r="C1726" i="5"/>
  <c r="B1727" i="5"/>
  <c r="C1727" i="5"/>
  <c r="B1728" i="5"/>
  <c r="C1728" i="5"/>
  <c r="B1729" i="5"/>
  <c r="C1729" i="5"/>
  <c r="B1730" i="5"/>
  <c r="C1730" i="5"/>
  <c r="B1731" i="5"/>
  <c r="C1731" i="5"/>
  <c r="B1732" i="5"/>
  <c r="C1732" i="5"/>
  <c r="B1733" i="5"/>
  <c r="C1733" i="5"/>
  <c r="B1734" i="5"/>
  <c r="C1734" i="5"/>
  <c r="B1735" i="5"/>
  <c r="C1735" i="5"/>
  <c r="B1736" i="5"/>
  <c r="C1736" i="5"/>
  <c r="B1737" i="5"/>
  <c r="C1737" i="5"/>
  <c r="B1738" i="5"/>
  <c r="C1738" i="5"/>
  <c r="B1739" i="5"/>
  <c r="C1739" i="5"/>
  <c r="B1740" i="5"/>
  <c r="C1740" i="5"/>
  <c r="B1741" i="5"/>
  <c r="C1741" i="5"/>
  <c r="B1742" i="5"/>
  <c r="C1742" i="5"/>
  <c r="B1743" i="5"/>
  <c r="C1743" i="5"/>
  <c r="B1744" i="5"/>
  <c r="C1744" i="5"/>
  <c r="B1745" i="5"/>
  <c r="C1745" i="5"/>
  <c r="B1746" i="5"/>
  <c r="C1746" i="5"/>
  <c r="B1747" i="5"/>
  <c r="C1747" i="5"/>
  <c r="B1748" i="5"/>
  <c r="C1748" i="5"/>
  <c r="B1749" i="5"/>
  <c r="C1749" i="5"/>
  <c r="B1750" i="5"/>
  <c r="C1750" i="5"/>
  <c r="B1751" i="5"/>
  <c r="C1751" i="5"/>
  <c r="B1752" i="5"/>
  <c r="C1752" i="5"/>
  <c r="B1753" i="5"/>
  <c r="C1753" i="5"/>
  <c r="B1754" i="5"/>
  <c r="C1754" i="5"/>
  <c r="B1755" i="5"/>
  <c r="C1755" i="5"/>
  <c r="B1756" i="5"/>
  <c r="C1756" i="5"/>
  <c r="B1757" i="5"/>
  <c r="C1757" i="5"/>
  <c r="B1758" i="5"/>
  <c r="C1758" i="5"/>
  <c r="B1759" i="5"/>
  <c r="C1759" i="5"/>
  <c r="B1760" i="5"/>
  <c r="C1760" i="5"/>
  <c r="B1761" i="5"/>
  <c r="C1761" i="5"/>
  <c r="B1762" i="5"/>
  <c r="C1762" i="5"/>
  <c r="B1763" i="5"/>
  <c r="C1763" i="5"/>
  <c r="B1764" i="5"/>
  <c r="C1764" i="5"/>
  <c r="B1765" i="5"/>
  <c r="C1765" i="5"/>
  <c r="B1766" i="5"/>
  <c r="C1766" i="5"/>
  <c r="B1767" i="5"/>
  <c r="C1767" i="5"/>
  <c r="B1768" i="5"/>
  <c r="C1768" i="5"/>
  <c r="B1769" i="5"/>
  <c r="C1769" i="5"/>
  <c r="B1770" i="5"/>
  <c r="C1770" i="5"/>
  <c r="B1771" i="5"/>
  <c r="C1771" i="5"/>
  <c r="B1772" i="5"/>
  <c r="C1772" i="5"/>
  <c r="B1773" i="5"/>
  <c r="C1773" i="5"/>
  <c r="B1774" i="5"/>
  <c r="C1774" i="5"/>
  <c r="B1775" i="5"/>
  <c r="C1775" i="5"/>
  <c r="B1776" i="5"/>
  <c r="C1776" i="5"/>
  <c r="B1777" i="5"/>
  <c r="C1777" i="5"/>
  <c r="B1778" i="5"/>
  <c r="C1778" i="5"/>
  <c r="B1779" i="5"/>
  <c r="C1779" i="5"/>
  <c r="B1780" i="5"/>
  <c r="C1780" i="5"/>
  <c r="B1781" i="5"/>
  <c r="C1781" i="5"/>
  <c r="B1782" i="5"/>
  <c r="C1782" i="5"/>
  <c r="B1783" i="5"/>
  <c r="C1783" i="5"/>
  <c r="B1784" i="5"/>
  <c r="C1784" i="5"/>
  <c r="B1785" i="5"/>
  <c r="C1785" i="5"/>
  <c r="B1786" i="5"/>
  <c r="C1786" i="5"/>
  <c r="B1787" i="5"/>
  <c r="C1787" i="5"/>
  <c r="B1788" i="5"/>
  <c r="C1788" i="5"/>
  <c r="B1789" i="5"/>
  <c r="C1789" i="5"/>
  <c r="B1790" i="5"/>
  <c r="C1790" i="5"/>
  <c r="B1791" i="5"/>
  <c r="C1791" i="5"/>
  <c r="B1792" i="5"/>
  <c r="C1792" i="5"/>
  <c r="B1793" i="5"/>
  <c r="C1793" i="5"/>
  <c r="B1794" i="5"/>
  <c r="C1794" i="5"/>
  <c r="B1795" i="5"/>
  <c r="C1795" i="5"/>
  <c r="B1796" i="5"/>
  <c r="C1796" i="5"/>
  <c r="B1797" i="5"/>
  <c r="C1797" i="5"/>
  <c r="B1798" i="5"/>
  <c r="C1798" i="5"/>
  <c r="B1799" i="5"/>
  <c r="C1799" i="5"/>
  <c r="B1800" i="5"/>
  <c r="C1800" i="5"/>
  <c r="B1801" i="5"/>
  <c r="C1801" i="5"/>
  <c r="B1802" i="5"/>
  <c r="C1802" i="5"/>
  <c r="B1803" i="5"/>
  <c r="C1803" i="5"/>
  <c r="B1804" i="5"/>
  <c r="C1804" i="5"/>
  <c r="B1805" i="5"/>
  <c r="C1805" i="5"/>
  <c r="B1806" i="5"/>
  <c r="C1806" i="5"/>
  <c r="B1807" i="5"/>
  <c r="C1807" i="5"/>
  <c r="B1808" i="5"/>
  <c r="C1808" i="5"/>
  <c r="B1809" i="5"/>
  <c r="C1809" i="5"/>
  <c r="B1810" i="5"/>
  <c r="C1810" i="5"/>
  <c r="B1811" i="5"/>
  <c r="C1811" i="5"/>
  <c r="B1812" i="5"/>
  <c r="C1812" i="5"/>
  <c r="B1813" i="5"/>
  <c r="C1813" i="5"/>
  <c r="B1814" i="5"/>
  <c r="C1814" i="5"/>
  <c r="B1815" i="5"/>
  <c r="C1815" i="5"/>
  <c r="B1816" i="5"/>
  <c r="C1816" i="5"/>
  <c r="B1817" i="5"/>
  <c r="C1817" i="5"/>
  <c r="B1818" i="5"/>
  <c r="C1818" i="5"/>
  <c r="B1819" i="5"/>
  <c r="C1819" i="5"/>
  <c r="B1820" i="5"/>
  <c r="C1820" i="5"/>
  <c r="B1821" i="5"/>
  <c r="C1821" i="5"/>
  <c r="B1822" i="5"/>
  <c r="C1822" i="5"/>
  <c r="B1823" i="5"/>
  <c r="C1823" i="5"/>
  <c r="B1824" i="5"/>
  <c r="C1824" i="5"/>
  <c r="B1825" i="5"/>
  <c r="C1825" i="5"/>
  <c r="B1826" i="5"/>
  <c r="C1826" i="5"/>
  <c r="B1827" i="5"/>
  <c r="C1827" i="5"/>
  <c r="B1828" i="5"/>
  <c r="C1828" i="5"/>
  <c r="B1829" i="5"/>
  <c r="C1829" i="5"/>
  <c r="B1830" i="5"/>
  <c r="C1830" i="5"/>
  <c r="B1831" i="5"/>
  <c r="C1831" i="5"/>
  <c r="B1832" i="5"/>
  <c r="C1832" i="5"/>
  <c r="B1833" i="5"/>
  <c r="C1833" i="5"/>
  <c r="B1834" i="5"/>
  <c r="C1834" i="5"/>
  <c r="B1835" i="5"/>
  <c r="C1835" i="5"/>
  <c r="B1836" i="5"/>
  <c r="C1836" i="5"/>
  <c r="B1837" i="5"/>
  <c r="C1837" i="5"/>
  <c r="B1838" i="5"/>
  <c r="C1838" i="5"/>
  <c r="B1839" i="5"/>
  <c r="C1839" i="5"/>
  <c r="B1840" i="5"/>
  <c r="C1840" i="5"/>
  <c r="B1841" i="5"/>
  <c r="C1841" i="5"/>
  <c r="B1842" i="5"/>
  <c r="C1842" i="5"/>
  <c r="B1843" i="5"/>
  <c r="C1843" i="5"/>
  <c r="B1844" i="5"/>
  <c r="C1844" i="5"/>
  <c r="B1845" i="5"/>
  <c r="C1845" i="5"/>
  <c r="B1846" i="5"/>
  <c r="C1846" i="5"/>
  <c r="B1847" i="5"/>
  <c r="C1847" i="5"/>
  <c r="B1848" i="5"/>
  <c r="C1848" i="5"/>
  <c r="B1849" i="5"/>
  <c r="C1849" i="5"/>
  <c r="B1850" i="5"/>
  <c r="C1850" i="5"/>
  <c r="B1851" i="5"/>
  <c r="C1851" i="5"/>
  <c r="B1852" i="5"/>
  <c r="C1852" i="5"/>
  <c r="B1853" i="5"/>
  <c r="C1853" i="5"/>
  <c r="B1854" i="5"/>
  <c r="C1854" i="5"/>
  <c r="B1855" i="5"/>
  <c r="C1855" i="5"/>
  <c r="B1856" i="5"/>
  <c r="C1856" i="5"/>
  <c r="B1857" i="5"/>
  <c r="C1857" i="5"/>
  <c r="B1858" i="5"/>
  <c r="C1858" i="5"/>
  <c r="B1859" i="5"/>
  <c r="C1859" i="5"/>
  <c r="B1860" i="5"/>
  <c r="C1860" i="5"/>
  <c r="B1861" i="5"/>
  <c r="C1861" i="5"/>
  <c r="B1862" i="5"/>
  <c r="C1862" i="5"/>
  <c r="B1863" i="5"/>
  <c r="C1863" i="5"/>
  <c r="B1864" i="5"/>
  <c r="C1864" i="5"/>
  <c r="B1865" i="5"/>
  <c r="C1865" i="5"/>
  <c r="B1866" i="5"/>
  <c r="C1866" i="5"/>
  <c r="B1867" i="5"/>
  <c r="C1867" i="5"/>
  <c r="B1868" i="5"/>
  <c r="C1868" i="5"/>
  <c r="B1869" i="5"/>
  <c r="C1869" i="5"/>
  <c r="B1870" i="5"/>
  <c r="C1870" i="5"/>
  <c r="B1871" i="5"/>
  <c r="C1871" i="5"/>
  <c r="B1872" i="5"/>
  <c r="C1872" i="5"/>
  <c r="B1873" i="5"/>
  <c r="C1873" i="5"/>
  <c r="B1874" i="5"/>
  <c r="C1874" i="5"/>
  <c r="B1875" i="5"/>
  <c r="C1875" i="5"/>
  <c r="B1876" i="5"/>
  <c r="C1876" i="5"/>
  <c r="B1877" i="5"/>
  <c r="C1877" i="5"/>
  <c r="B1878" i="5"/>
  <c r="C1878" i="5"/>
  <c r="B1879" i="5"/>
  <c r="C1879" i="5"/>
  <c r="B1880" i="5"/>
  <c r="C1880" i="5"/>
  <c r="B1881" i="5"/>
  <c r="C1881" i="5"/>
  <c r="B1882" i="5"/>
  <c r="C1882" i="5"/>
  <c r="B1883" i="5"/>
  <c r="C1883" i="5"/>
  <c r="B1884" i="5"/>
  <c r="C1884" i="5"/>
  <c r="B1885" i="5"/>
  <c r="C1885" i="5"/>
  <c r="B1886" i="5"/>
  <c r="C1886" i="5"/>
  <c r="B1887" i="5"/>
  <c r="C1887" i="5"/>
  <c r="B1888" i="5"/>
  <c r="C1888" i="5"/>
  <c r="B1889" i="5"/>
  <c r="C1889" i="5"/>
  <c r="B1890" i="5"/>
  <c r="C1890" i="5"/>
  <c r="B1891" i="5"/>
  <c r="C1891" i="5"/>
  <c r="B1892" i="5"/>
  <c r="C1892" i="5"/>
  <c r="B1893" i="5"/>
  <c r="C1893" i="5"/>
  <c r="B1894" i="5"/>
  <c r="C1894" i="5"/>
  <c r="B1895" i="5"/>
  <c r="C1895" i="5"/>
  <c r="B1896" i="5"/>
  <c r="C1896" i="5"/>
  <c r="B1897" i="5"/>
  <c r="C1897" i="5"/>
  <c r="B1898" i="5"/>
  <c r="C1898" i="5"/>
  <c r="B1899" i="5"/>
  <c r="C1899" i="5"/>
  <c r="B1900" i="5"/>
  <c r="C1900" i="5"/>
  <c r="B1901" i="5"/>
  <c r="C1901" i="5"/>
  <c r="B1902" i="5"/>
  <c r="C1902" i="5"/>
  <c r="B1903" i="5"/>
  <c r="C1903" i="5"/>
  <c r="B1904" i="5"/>
  <c r="C1904" i="5"/>
  <c r="B1905" i="5"/>
  <c r="C1905" i="5"/>
  <c r="B1906" i="5"/>
  <c r="C1906" i="5"/>
  <c r="B1907" i="5"/>
  <c r="C1907" i="5"/>
  <c r="B1908" i="5"/>
  <c r="C1908" i="5"/>
  <c r="B1909" i="5"/>
  <c r="C1909" i="5"/>
  <c r="B1910" i="5"/>
  <c r="C1910" i="5"/>
  <c r="B1911" i="5"/>
  <c r="C1911" i="5"/>
  <c r="B1912" i="5"/>
  <c r="C1912" i="5"/>
  <c r="B1913" i="5"/>
  <c r="C1913" i="5"/>
  <c r="B1914" i="5"/>
  <c r="C1914" i="5"/>
  <c r="B1915" i="5"/>
  <c r="C1915" i="5"/>
  <c r="B1916" i="5"/>
  <c r="C1916" i="5"/>
  <c r="B1917" i="5"/>
  <c r="C1917" i="5"/>
  <c r="B1918" i="5"/>
  <c r="C1918" i="5"/>
  <c r="B1919" i="5"/>
  <c r="C1919" i="5"/>
  <c r="B1920" i="5"/>
  <c r="C1920" i="5"/>
  <c r="B1921" i="5"/>
  <c r="C1921" i="5"/>
  <c r="B1922" i="5"/>
  <c r="C1922" i="5"/>
  <c r="B1923" i="5"/>
  <c r="C1923" i="5"/>
  <c r="B1924" i="5"/>
  <c r="C1924" i="5"/>
  <c r="B1925" i="5"/>
  <c r="C1925" i="5"/>
  <c r="B1926" i="5"/>
  <c r="C1926" i="5"/>
  <c r="B1927" i="5"/>
  <c r="C1927" i="5"/>
  <c r="B1928" i="5"/>
  <c r="C1928" i="5"/>
  <c r="B1929" i="5"/>
  <c r="C1929" i="5"/>
  <c r="B1930" i="5"/>
  <c r="C1930" i="5"/>
  <c r="B1931" i="5"/>
  <c r="C1931" i="5"/>
  <c r="B1932" i="5"/>
  <c r="C1932" i="5"/>
  <c r="B1933" i="5"/>
  <c r="C1933" i="5"/>
  <c r="B1934" i="5"/>
  <c r="C1934" i="5"/>
  <c r="B1935" i="5"/>
  <c r="C1935" i="5"/>
  <c r="B1936" i="5"/>
  <c r="C1936" i="5"/>
  <c r="B1937" i="5"/>
  <c r="C1937" i="5"/>
  <c r="B1938" i="5"/>
  <c r="C1938" i="5"/>
  <c r="B1939" i="5"/>
  <c r="C1939" i="5"/>
  <c r="B1940" i="5"/>
  <c r="C1940" i="5"/>
  <c r="B1941" i="5"/>
  <c r="C1941" i="5"/>
  <c r="B1942" i="5"/>
  <c r="C1942" i="5"/>
  <c r="B1943" i="5"/>
  <c r="C1943" i="5"/>
  <c r="B1944" i="5"/>
  <c r="C1944" i="5"/>
  <c r="B1945" i="5"/>
  <c r="C1945" i="5"/>
  <c r="B1946" i="5"/>
  <c r="C1946" i="5"/>
  <c r="B1947" i="5"/>
  <c r="C1947" i="5"/>
  <c r="B1948" i="5"/>
  <c r="C1948" i="5"/>
  <c r="B1949" i="5"/>
  <c r="C1949" i="5"/>
  <c r="B1950" i="5"/>
  <c r="C1950" i="5"/>
  <c r="B1951" i="5"/>
  <c r="C1951" i="5"/>
  <c r="B1952" i="5"/>
  <c r="C1952" i="5"/>
  <c r="B1953" i="5"/>
  <c r="C1953" i="5"/>
  <c r="B1954" i="5"/>
  <c r="C1954" i="5"/>
  <c r="B1955" i="5"/>
  <c r="C1955" i="5"/>
  <c r="B1956" i="5"/>
  <c r="C1956" i="5"/>
  <c r="B1957" i="5"/>
  <c r="C1957" i="5"/>
  <c r="B1958" i="5"/>
  <c r="C1958" i="5"/>
  <c r="B1959" i="5"/>
  <c r="C1959" i="5"/>
  <c r="B1960" i="5"/>
  <c r="C1960" i="5"/>
  <c r="B1961" i="5"/>
  <c r="C1961" i="5"/>
  <c r="B1962" i="5"/>
  <c r="C1962" i="5"/>
  <c r="B1963" i="5"/>
  <c r="C1963" i="5"/>
  <c r="B1964" i="5"/>
  <c r="C1964" i="5"/>
  <c r="B1965" i="5"/>
  <c r="C1965" i="5"/>
  <c r="B1966" i="5"/>
  <c r="C1966" i="5"/>
  <c r="B1967" i="5"/>
  <c r="C1967" i="5"/>
  <c r="B1968" i="5"/>
  <c r="C1968" i="5"/>
  <c r="B1969" i="5"/>
  <c r="C1969" i="5"/>
  <c r="B1970" i="5"/>
  <c r="C1970" i="5"/>
  <c r="B1971" i="5"/>
  <c r="C1971" i="5"/>
  <c r="B1972" i="5"/>
  <c r="C1972" i="5"/>
  <c r="B1973" i="5"/>
  <c r="C1973" i="5"/>
  <c r="B1974" i="5"/>
  <c r="C1974" i="5"/>
  <c r="B1975" i="5"/>
  <c r="C1975" i="5"/>
  <c r="B1976" i="5"/>
  <c r="C1976" i="5"/>
  <c r="B1977" i="5"/>
  <c r="C1977" i="5"/>
  <c r="B1978" i="5"/>
  <c r="C1978" i="5"/>
  <c r="B1979" i="5"/>
  <c r="C1979" i="5"/>
  <c r="B1980" i="5"/>
  <c r="C1980" i="5"/>
  <c r="B1981" i="5"/>
  <c r="C1981" i="5"/>
  <c r="B1982" i="5"/>
  <c r="C1982" i="5"/>
  <c r="B1983" i="5"/>
  <c r="C1983" i="5"/>
  <c r="B1984" i="5"/>
  <c r="C1984" i="5"/>
  <c r="B1985" i="5"/>
  <c r="C1985" i="5"/>
  <c r="B1986" i="5"/>
  <c r="C1986" i="5"/>
  <c r="B1987" i="5"/>
  <c r="C1987" i="5"/>
  <c r="B1988" i="5"/>
  <c r="C1988" i="5"/>
  <c r="B1989" i="5"/>
  <c r="C1989" i="5"/>
  <c r="B1990" i="5"/>
  <c r="C1990" i="5"/>
  <c r="B1991" i="5"/>
  <c r="C1991" i="5"/>
  <c r="B1992" i="5"/>
  <c r="C1992" i="5"/>
  <c r="B1993" i="5"/>
  <c r="C1993" i="5"/>
  <c r="B1994" i="5"/>
  <c r="C1994" i="5"/>
  <c r="B1995" i="5"/>
  <c r="C1995" i="5"/>
  <c r="B1996" i="5"/>
  <c r="C1996" i="5"/>
  <c r="B1997" i="5"/>
  <c r="C1997" i="5"/>
  <c r="B1998" i="5"/>
  <c r="C1998" i="5"/>
  <c r="B1999" i="5"/>
  <c r="C1999" i="5"/>
  <c r="B2000" i="5"/>
  <c r="C2000" i="5"/>
  <c r="B2001" i="5"/>
  <c r="C2001" i="5"/>
  <c r="B2002" i="5"/>
  <c r="C2002" i="5"/>
  <c r="B2003" i="5"/>
  <c r="C2003" i="5"/>
  <c r="B2004" i="5"/>
  <c r="C2004" i="5"/>
  <c r="B2005" i="5"/>
  <c r="C2005" i="5"/>
  <c r="B2006" i="5"/>
  <c r="C2006" i="5"/>
  <c r="B2007" i="5"/>
  <c r="C2007" i="5"/>
  <c r="B2008" i="5"/>
  <c r="C2008" i="5"/>
  <c r="B2009" i="5"/>
  <c r="C2009" i="5"/>
  <c r="B2010" i="5"/>
  <c r="C2010" i="5"/>
  <c r="B2011" i="5"/>
  <c r="C2011" i="5"/>
  <c r="B2012" i="5"/>
  <c r="C2012" i="5"/>
  <c r="B2013" i="5"/>
  <c r="C2013" i="5"/>
  <c r="B2014" i="5"/>
  <c r="C2014" i="5"/>
  <c r="B2015" i="5"/>
  <c r="C2015" i="5"/>
  <c r="B2016" i="5"/>
  <c r="C2016" i="5"/>
  <c r="B2017" i="5"/>
  <c r="C2017" i="5"/>
  <c r="B2018" i="5"/>
  <c r="C2018" i="5"/>
  <c r="B2019" i="5"/>
  <c r="C2019" i="5"/>
  <c r="B2020" i="5"/>
  <c r="C2020" i="5"/>
  <c r="B2021" i="5"/>
  <c r="C2021" i="5"/>
  <c r="B2022" i="5"/>
  <c r="C2022" i="5"/>
  <c r="B2023" i="5"/>
  <c r="C2023" i="5"/>
  <c r="B2024" i="5"/>
  <c r="C2024" i="5"/>
  <c r="B2025" i="5"/>
  <c r="C2025" i="5"/>
  <c r="B2026" i="5"/>
  <c r="C2026" i="5"/>
  <c r="B2027" i="5"/>
  <c r="C2027" i="5"/>
  <c r="B2028" i="5"/>
  <c r="C2028" i="5"/>
  <c r="B2029" i="5"/>
  <c r="C2029" i="5"/>
  <c r="B2030" i="5"/>
  <c r="C2030" i="5"/>
  <c r="B2031" i="5"/>
  <c r="C2031" i="5"/>
  <c r="B2032" i="5"/>
  <c r="C2032" i="5"/>
  <c r="B2033" i="5"/>
  <c r="C2033" i="5"/>
  <c r="B2034" i="5"/>
  <c r="C2034" i="5"/>
  <c r="B2035" i="5"/>
  <c r="C2035" i="5"/>
  <c r="B2036" i="5"/>
  <c r="C2036" i="5"/>
  <c r="B2037" i="5"/>
  <c r="C2037" i="5"/>
  <c r="B2038" i="5"/>
  <c r="C2038" i="5"/>
  <c r="B2039" i="5"/>
  <c r="C2039" i="5"/>
  <c r="B2040" i="5"/>
  <c r="C2040" i="5"/>
  <c r="B2041" i="5"/>
  <c r="C2041" i="5"/>
  <c r="B2042" i="5"/>
  <c r="C2042" i="5"/>
  <c r="B2043" i="5"/>
  <c r="C2043" i="5"/>
  <c r="B2044" i="5"/>
  <c r="C2044" i="5"/>
  <c r="B2045" i="5"/>
  <c r="C2045" i="5"/>
  <c r="B2046" i="5"/>
  <c r="C2046" i="5"/>
  <c r="B2047" i="5"/>
  <c r="C2047" i="5"/>
  <c r="B2048" i="5"/>
  <c r="C2048" i="5"/>
  <c r="B2049" i="5"/>
  <c r="C2049" i="5"/>
  <c r="B2050" i="5"/>
  <c r="C2050" i="5"/>
  <c r="B2051" i="5"/>
  <c r="C2051" i="5"/>
  <c r="B2052" i="5"/>
  <c r="C2052" i="5"/>
  <c r="B2053" i="5"/>
  <c r="C2053" i="5"/>
  <c r="B2054" i="5"/>
  <c r="C2054" i="5"/>
  <c r="B2055" i="5"/>
  <c r="C2055" i="5"/>
  <c r="B2056" i="5"/>
  <c r="C2056" i="5"/>
  <c r="B2057" i="5"/>
  <c r="C2057" i="5"/>
  <c r="B2058" i="5"/>
  <c r="C2058" i="5"/>
  <c r="B2059" i="5"/>
  <c r="C2059" i="5"/>
  <c r="B2060" i="5"/>
  <c r="C2060" i="5"/>
  <c r="B2061" i="5"/>
  <c r="C2061" i="5"/>
  <c r="B2062" i="5"/>
  <c r="C2062" i="5"/>
  <c r="B2063" i="5"/>
  <c r="C2063" i="5"/>
  <c r="B2064" i="5"/>
  <c r="C2064" i="5"/>
  <c r="B2065" i="5"/>
  <c r="C2065" i="5"/>
  <c r="B2066" i="5"/>
  <c r="C2066" i="5"/>
  <c r="B2067" i="5"/>
  <c r="C2067" i="5"/>
  <c r="B2068" i="5"/>
  <c r="C2068" i="5"/>
  <c r="B2069" i="5"/>
  <c r="C2069" i="5"/>
  <c r="B2070" i="5"/>
  <c r="C2070" i="5"/>
  <c r="B2071" i="5"/>
  <c r="C2071" i="5"/>
  <c r="B2072" i="5"/>
  <c r="C2072" i="5"/>
  <c r="B2073" i="5"/>
  <c r="C2073" i="5"/>
  <c r="B2074" i="5"/>
  <c r="C2074" i="5"/>
  <c r="B2075" i="5"/>
  <c r="C2075" i="5"/>
  <c r="B2076" i="5"/>
  <c r="C2076" i="5"/>
  <c r="B2077" i="5"/>
  <c r="C2077" i="5"/>
  <c r="B2078" i="5"/>
  <c r="C2078" i="5"/>
  <c r="B2079" i="5"/>
  <c r="C2079" i="5"/>
  <c r="B2080" i="5"/>
  <c r="C2080" i="5"/>
  <c r="B2081" i="5"/>
  <c r="C2081" i="5"/>
  <c r="B2082" i="5"/>
  <c r="C2082" i="5"/>
  <c r="B2083" i="5"/>
  <c r="C2083" i="5"/>
  <c r="B2084" i="5"/>
  <c r="C2084" i="5"/>
  <c r="B2085" i="5"/>
  <c r="C2085" i="5"/>
  <c r="B2086" i="5"/>
  <c r="C2086" i="5"/>
  <c r="B2087" i="5"/>
  <c r="C2087" i="5"/>
  <c r="B2088" i="5"/>
  <c r="C2088" i="5"/>
  <c r="B2089" i="5"/>
  <c r="C2089" i="5"/>
  <c r="B2090" i="5"/>
  <c r="C2090" i="5"/>
  <c r="B2091" i="5"/>
  <c r="C2091" i="5"/>
  <c r="B2092" i="5"/>
  <c r="C2092" i="5"/>
  <c r="B2093" i="5"/>
  <c r="C2093" i="5"/>
  <c r="B2094" i="5"/>
  <c r="C2094" i="5"/>
  <c r="B2095" i="5"/>
  <c r="C2095" i="5"/>
  <c r="B2096" i="5"/>
  <c r="C2096" i="5"/>
  <c r="B2097" i="5"/>
  <c r="C2097" i="5"/>
  <c r="B2098" i="5"/>
  <c r="C2098" i="5"/>
  <c r="B2099" i="5"/>
  <c r="C2099" i="5"/>
  <c r="B2100" i="5"/>
  <c r="C2100" i="5"/>
  <c r="B2101" i="5"/>
  <c r="C2101" i="5"/>
  <c r="B2102" i="5"/>
  <c r="C2102" i="5"/>
  <c r="B2103" i="5"/>
  <c r="C2103" i="5"/>
  <c r="B2104" i="5"/>
  <c r="C2104" i="5"/>
  <c r="B2105" i="5"/>
  <c r="C2105" i="5"/>
  <c r="B2106" i="5"/>
  <c r="C2106" i="5"/>
  <c r="B2107" i="5"/>
  <c r="C2107" i="5"/>
  <c r="B2108" i="5"/>
  <c r="C2108" i="5"/>
  <c r="B2109" i="5"/>
  <c r="C2109" i="5"/>
  <c r="B2110" i="5"/>
  <c r="C2110" i="5"/>
  <c r="B2111" i="5"/>
  <c r="C2111" i="5"/>
  <c r="B2112" i="5"/>
  <c r="C2112" i="5"/>
  <c r="B2113" i="5"/>
  <c r="C2113" i="5"/>
  <c r="B2114" i="5"/>
  <c r="C2114" i="5"/>
  <c r="B2115" i="5"/>
  <c r="C2115" i="5"/>
  <c r="B2116" i="5"/>
  <c r="C2116" i="5"/>
  <c r="B2117" i="5"/>
  <c r="C2117" i="5"/>
  <c r="B2118" i="5"/>
  <c r="C2118" i="5"/>
  <c r="B2119" i="5"/>
  <c r="C2119" i="5"/>
  <c r="B2120" i="5"/>
  <c r="C2120" i="5"/>
  <c r="B2121" i="5"/>
  <c r="C2121" i="5"/>
  <c r="B2122" i="5"/>
  <c r="C2122" i="5"/>
  <c r="B2123" i="5"/>
  <c r="C2123" i="5"/>
  <c r="B2124" i="5"/>
  <c r="C2124" i="5"/>
  <c r="B2125" i="5"/>
  <c r="C2125" i="5"/>
  <c r="B2126" i="5"/>
  <c r="C2126" i="5"/>
  <c r="B2127" i="5"/>
  <c r="C2127" i="5"/>
  <c r="B2128" i="5"/>
  <c r="C2128" i="5"/>
  <c r="B2129" i="5"/>
  <c r="C2129" i="5"/>
  <c r="B2130" i="5"/>
  <c r="C2130" i="5"/>
  <c r="B2131" i="5"/>
  <c r="C2131" i="5"/>
  <c r="B2132" i="5"/>
  <c r="C2132" i="5"/>
  <c r="B2133" i="5"/>
  <c r="C2133" i="5"/>
  <c r="B2134" i="5"/>
  <c r="C2134" i="5"/>
  <c r="B2135" i="5"/>
  <c r="C2135" i="5"/>
  <c r="B2136" i="5"/>
  <c r="C2136" i="5"/>
  <c r="B2137" i="5"/>
  <c r="C2137" i="5"/>
  <c r="B2138" i="5"/>
  <c r="C2138" i="5"/>
  <c r="B2139" i="5"/>
  <c r="C2139" i="5"/>
  <c r="B2140" i="5"/>
  <c r="C2140" i="5"/>
  <c r="B2141" i="5"/>
  <c r="C2141" i="5"/>
  <c r="B2142" i="5"/>
  <c r="C2142" i="5"/>
  <c r="B2143" i="5"/>
  <c r="C2143" i="5"/>
  <c r="B2144" i="5"/>
  <c r="C2144" i="5"/>
  <c r="B2145" i="5"/>
  <c r="C2145" i="5"/>
  <c r="B2146" i="5"/>
  <c r="C2146" i="5"/>
  <c r="B2147" i="5"/>
  <c r="C2147" i="5"/>
  <c r="B2148" i="5"/>
  <c r="C2148" i="5"/>
  <c r="B2149" i="5"/>
  <c r="C2149" i="5"/>
  <c r="B2150" i="5"/>
  <c r="C2150" i="5"/>
  <c r="B2151" i="5"/>
  <c r="C2151" i="5"/>
  <c r="B2152" i="5"/>
  <c r="C2152" i="5"/>
  <c r="B2153" i="5"/>
  <c r="C2153" i="5"/>
  <c r="B2154" i="5"/>
  <c r="C2154" i="5"/>
  <c r="B2155" i="5"/>
  <c r="C2155" i="5"/>
  <c r="B2156" i="5"/>
  <c r="C2156" i="5"/>
  <c r="B2157" i="5"/>
  <c r="C2157" i="5"/>
  <c r="B2158" i="5"/>
  <c r="C2158" i="5"/>
  <c r="B2159" i="5"/>
  <c r="C2159" i="5"/>
  <c r="B2160" i="5"/>
  <c r="C2160" i="5"/>
  <c r="B2161" i="5"/>
  <c r="C2161" i="5"/>
  <c r="B2162" i="5"/>
  <c r="C2162" i="5"/>
  <c r="B2163" i="5"/>
  <c r="C2163" i="5"/>
  <c r="B2164" i="5"/>
  <c r="C2164" i="5"/>
  <c r="B2165" i="5"/>
  <c r="C2165" i="5"/>
  <c r="B2166" i="5"/>
  <c r="C2166" i="5"/>
  <c r="B2167" i="5"/>
  <c r="C2167" i="5"/>
  <c r="B2168" i="5"/>
  <c r="C2168" i="5"/>
  <c r="B5288" i="5"/>
  <c r="C5288" i="5"/>
  <c r="B5289" i="5"/>
  <c r="C5289" i="5"/>
  <c r="B5290" i="5"/>
  <c r="C5290" i="5"/>
  <c r="B5291" i="5"/>
  <c r="C5291" i="5"/>
  <c r="B5292" i="5"/>
  <c r="C5292" i="5"/>
  <c r="B5293" i="5"/>
  <c r="C5293" i="5"/>
  <c r="B5294" i="5"/>
  <c r="C5294" i="5"/>
  <c r="B5295" i="5"/>
  <c r="C5295" i="5"/>
  <c r="B5296" i="5"/>
  <c r="C5296" i="5"/>
  <c r="B5297" i="5"/>
  <c r="C5297" i="5"/>
  <c r="B5298" i="5"/>
  <c r="C5298" i="5"/>
  <c r="B5299" i="5"/>
  <c r="C5299" i="5"/>
  <c r="B5300" i="5"/>
  <c r="C5300" i="5"/>
  <c r="B5301" i="5"/>
  <c r="C5301" i="5"/>
  <c r="B5302" i="5"/>
  <c r="C5302" i="5"/>
  <c r="B5303" i="5"/>
  <c r="C5303" i="5"/>
  <c r="B5304" i="5"/>
  <c r="C5304" i="5"/>
  <c r="B5305" i="5"/>
  <c r="C5305" i="5"/>
  <c r="B5306" i="5"/>
  <c r="C5306" i="5"/>
  <c r="B5307" i="5"/>
  <c r="C5307" i="5"/>
  <c r="B5308" i="5"/>
  <c r="C5308" i="5"/>
  <c r="B5309" i="5"/>
  <c r="C5309" i="5"/>
  <c r="B5310" i="5"/>
  <c r="C5310" i="5"/>
  <c r="B5311" i="5"/>
  <c r="C5311" i="5"/>
  <c r="B5312" i="5"/>
  <c r="C5312" i="5"/>
  <c r="B5313" i="5"/>
  <c r="C5313" i="5"/>
  <c r="B5314" i="5"/>
  <c r="C5314" i="5"/>
  <c r="B5315" i="5"/>
  <c r="C5315" i="5"/>
  <c r="B5316" i="5"/>
  <c r="C5316" i="5"/>
  <c r="B5317" i="5"/>
  <c r="C5317" i="5"/>
  <c r="B5318" i="5"/>
  <c r="C5318" i="5"/>
  <c r="B5319" i="5"/>
  <c r="C5319" i="5"/>
  <c r="B5320" i="5"/>
  <c r="C5320" i="5"/>
  <c r="B4884" i="5"/>
  <c r="C4884" i="5"/>
  <c r="B4885" i="5"/>
  <c r="C4885" i="5"/>
  <c r="B4886" i="5"/>
  <c r="C4886" i="5"/>
  <c r="B4887" i="5"/>
  <c r="C4887" i="5"/>
  <c r="B4888" i="5"/>
  <c r="C4888" i="5"/>
  <c r="B4889" i="5"/>
  <c r="C4889" i="5"/>
  <c r="B4890" i="5"/>
  <c r="C4890" i="5"/>
  <c r="B4891" i="5"/>
  <c r="C4891" i="5"/>
  <c r="B5287" i="5"/>
  <c r="C5287" i="5"/>
  <c r="C56" i="34" l="1"/>
  <c r="C60" i="34" s="1"/>
  <c r="F3266" i="1"/>
  <c r="E3235" i="1" s="1"/>
  <c r="E3266" i="1" s="1"/>
  <c r="E3267" i="1" s="1"/>
  <c r="E3269" i="1" s="1"/>
  <c r="K47" i="34"/>
  <c r="F3147" i="1"/>
  <c r="F3112" i="1"/>
  <c r="F3206" i="1"/>
  <c r="F3173" i="1"/>
  <c r="F3172" i="1"/>
  <c r="F3171" i="1"/>
  <c r="F3170" i="1"/>
  <c r="F3169" i="1"/>
  <c r="F3168" i="1"/>
  <c r="F3167" i="1"/>
  <c r="F3166" i="1"/>
  <c r="F3165" i="1"/>
  <c r="F3164" i="1"/>
  <c r="F3163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7" i="1"/>
  <c r="F3208" i="1"/>
  <c r="F3209" i="1"/>
  <c r="F3210" i="1"/>
  <c r="F3211" i="1"/>
  <c r="F3212" i="1"/>
  <c r="F3111" i="1"/>
  <c r="F3110" i="1"/>
  <c r="F3109" i="1"/>
  <c r="F3108" i="1"/>
  <c r="F3107" i="1"/>
  <c r="F3106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62" i="1"/>
  <c r="F3161" i="1"/>
  <c r="F3160" i="1"/>
  <c r="F3159" i="1"/>
  <c r="F3158" i="1"/>
  <c r="F3157" i="1"/>
  <c r="F3156" i="1"/>
  <c r="F3142" i="1"/>
  <c r="F3137" i="1"/>
  <c r="F3155" i="1"/>
  <c r="F3154" i="1"/>
  <c r="F3153" i="1"/>
  <c r="F3152" i="1"/>
  <c r="F3151" i="1"/>
  <c r="F3150" i="1"/>
  <c r="F3097" i="1"/>
  <c r="E3051" i="1"/>
  <c r="E3044" i="1"/>
  <c r="E3043" i="1"/>
  <c r="F2999" i="1"/>
  <c r="F2998" i="1"/>
  <c r="F3021" i="1"/>
  <c r="F3022" i="1"/>
  <c r="F3023" i="1"/>
  <c r="F3010" i="1"/>
  <c r="F3011" i="1"/>
  <c r="F3012" i="1"/>
  <c r="F3013" i="1"/>
  <c r="F3014" i="1"/>
  <c r="F3015" i="1"/>
  <c r="F3016" i="1"/>
  <c r="F3017" i="1"/>
  <c r="F3018" i="1"/>
  <c r="F3019" i="1"/>
  <c r="F3020" i="1"/>
  <c r="F3009" i="1"/>
  <c r="F3002" i="1"/>
  <c r="F3003" i="1"/>
  <c r="F3004" i="1"/>
  <c r="F3005" i="1"/>
  <c r="F3006" i="1"/>
  <c r="F3007" i="1"/>
  <c r="F3001" i="1"/>
  <c r="F2993" i="1"/>
  <c r="B4834" i="5"/>
  <c r="C4834" i="5"/>
  <c r="B4835" i="5"/>
  <c r="C4835" i="5"/>
  <c r="B4836" i="5"/>
  <c r="C4836" i="5"/>
  <c r="B4837" i="5"/>
  <c r="C4837" i="5"/>
  <c r="B4838" i="5"/>
  <c r="C4838" i="5"/>
  <c r="B4839" i="5"/>
  <c r="C4839" i="5"/>
  <c r="B4840" i="5"/>
  <c r="C4840" i="5"/>
  <c r="B4841" i="5"/>
  <c r="C4841" i="5"/>
  <c r="B4842" i="5"/>
  <c r="C4842" i="5"/>
  <c r="B4843" i="5"/>
  <c r="C4843" i="5"/>
  <c r="B4844" i="5"/>
  <c r="C4844" i="5"/>
  <c r="B4845" i="5"/>
  <c r="C4845" i="5"/>
  <c r="B4846" i="5"/>
  <c r="C4846" i="5"/>
  <c r="B4847" i="5"/>
  <c r="C4847" i="5"/>
  <c r="B4848" i="5"/>
  <c r="C4848" i="5"/>
  <c r="B4849" i="5"/>
  <c r="C4849" i="5"/>
  <c r="B4850" i="5"/>
  <c r="C4850" i="5"/>
  <c r="B4851" i="5"/>
  <c r="C4851" i="5"/>
  <c r="B4852" i="5"/>
  <c r="C4852" i="5"/>
  <c r="B4853" i="5"/>
  <c r="C4853" i="5"/>
  <c r="B4854" i="5"/>
  <c r="C4854" i="5"/>
  <c r="B4855" i="5"/>
  <c r="C4855" i="5"/>
  <c r="B4856" i="5"/>
  <c r="C4856" i="5"/>
  <c r="B4857" i="5"/>
  <c r="C4857" i="5"/>
  <c r="B4858" i="5"/>
  <c r="C4858" i="5"/>
  <c r="B4859" i="5"/>
  <c r="C4859" i="5"/>
  <c r="B4860" i="5"/>
  <c r="C4860" i="5"/>
  <c r="B4861" i="5"/>
  <c r="C4861" i="5"/>
  <c r="B4862" i="5"/>
  <c r="C4862" i="5"/>
  <c r="B4863" i="5"/>
  <c r="C4863" i="5"/>
  <c r="B4864" i="5"/>
  <c r="C4864" i="5"/>
  <c r="B4865" i="5"/>
  <c r="C4865" i="5"/>
  <c r="B4866" i="5"/>
  <c r="C4866" i="5"/>
  <c r="B4867" i="5"/>
  <c r="C4867" i="5"/>
  <c r="B4868" i="5"/>
  <c r="C4868" i="5"/>
  <c r="B4869" i="5"/>
  <c r="C4869" i="5"/>
  <c r="B4870" i="5"/>
  <c r="C4870" i="5"/>
  <c r="B4871" i="5"/>
  <c r="C4871" i="5"/>
  <c r="B4872" i="5"/>
  <c r="C4872" i="5"/>
  <c r="B4873" i="5"/>
  <c r="C4873" i="5"/>
  <c r="B4874" i="5"/>
  <c r="C4874" i="5"/>
  <c r="B4875" i="5"/>
  <c r="C4875" i="5"/>
  <c r="B4876" i="5"/>
  <c r="C4876" i="5"/>
  <c r="B4877" i="5"/>
  <c r="C4877" i="5"/>
  <c r="B4878" i="5"/>
  <c r="C4878" i="5"/>
  <c r="B4879" i="5"/>
  <c r="C4879" i="5"/>
  <c r="B4880" i="5"/>
  <c r="C4880" i="5"/>
  <c r="F3030" i="1"/>
  <c r="F3029" i="1"/>
  <c r="F3028" i="1"/>
  <c r="F3027" i="1"/>
  <c r="F3026" i="1"/>
  <c r="F2983" i="1"/>
  <c r="F2982" i="1"/>
  <c r="F2981" i="1"/>
  <c r="F2980" i="1"/>
  <c r="F2979" i="1"/>
  <c r="F2978" i="1"/>
  <c r="F2963" i="1"/>
  <c r="E2916" i="1"/>
  <c r="E2908" i="1"/>
  <c r="E2907" i="1"/>
  <c r="F2892" i="1"/>
  <c r="F2891" i="1"/>
  <c r="B26" i="34"/>
  <c r="C26" i="34" s="1"/>
  <c r="B22" i="34"/>
  <c r="C22" i="34" s="1"/>
  <c r="F2875" i="1"/>
  <c r="F2874" i="1"/>
  <c r="F2872" i="1"/>
  <c r="F2873" i="1"/>
  <c r="F2871" i="1"/>
  <c r="F2870" i="1"/>
  <c r="B4778" i="5"/>
  <c r="C4778" i="5"/>
  <c r="B4779" i="5"/>
  <c r="C4779" i="5"/>
  <c r="B4780" i="5"/>
  <c r="C4780" i="5"/>
  <c r="B4781" i="5"/>
  <c r="C4781" i="5"/>
  <c r="B4782" i="5"/>
  <c r="C4782" i="5"/>
  <c r="B4783" i="5"/>
  <c r="C4783" i="5"/>
  <c r="B4784" i="5"/>
  <c r="C4784" i="5"/>
  <c r="B4785" i="5"/>
  <c r="C4785" i="5"/>
  <c r="B4786" i="5"/>
  <c r="C4786" i="5"/>
  <c r="B4787" i="5"/>
  <c r="C4787" i="5"/>
  <c r="B4788" i="5"/>
  <c r="C4788" i="5"/>
  <c r="B4789" i="5"/>
  <c r="C4789" i="5"/>
  <c r="B4790" i="5"/>
  <c r="C4790" i="5"/>
  <c r="B4791" i="5"/>
  <c r="C4791" i="5"/>
  <c r="B4792" i="5"/>
  <c r="C4792" i="5"/>
  <c r="B4793" i="5"/>
  <c r="C4793" i="5"/>
  <c r="B4794" i="5"/>
  <c r="C4794" i="5"/>
  <c r="B4795" i="5"/>
  <c r="C4795" i="5"/>
  <c r="B4796" i="5"/>
  <c r="C4796" i="5"/>
  <c r="B4797" i="5"/>
  <c r="C4797" i="5"/>
  <c r="B4798" i="5"/>
  <c r="C4798" i="5"/>
  <c r="B4799" i="5"/>
  <c r="C4799" i="5"/>
  <c r="B4800" i="5"/>
  <c r="C4800" i="5"/>
  <c r="B4801" i="5"/>
  <c r="C4801" i="5"/>
  <c r="B4802" i="5"/>
  <c r="C4802" i="5"/>
  <c r="B4803" i="5"/>
  <c r="C4803" i="5"/>
  <c r="B4804" i="5"/>
  <c r="C4804" i="5"/>
  <c r="B4805" i="5"/>
  <c r="C4805" i="5"/>
  <c r="B4806" i="5"/>
  <c r="C4806" i="5"/>
  <c r="B4807" i="5"/>
  <c r="C4807" i="5"/>
  <c r="B4808" i="5"/>
  <c r="C4808" i="5"/>
  <c r="B4809" i="5"/>
  <c r="C4809" i="5"/>
  <c r="B4810" i="5"/>
  <c r="C4810" i="5"/>
  <c r="B4811" i="5"/>
  <c r="C4811" i="5"/>
  <c r="B4812" i="5"/>
  <c r="C4812" i="5"/>
  <c r="B4813" i="5"/>
  <c r="C4813" i="5"/>
  <c r="B4814" i="5"/>
  <c r="C4814" i="5"/>
  <c r="B4815" i="5"/>
  <c r="C4815" i="5"/>
  <c r="B4816" i="5"/>
  <c r="C4816" i="5"/>
  <c r="B4817" i="5"/>
  <c r="C4817" i="5"/>
  <c r="B4818" i="5"/>
  <c r="C4818" i="5"/>
  <c r="B4819" i="5"/>
  <c r="C4819" i="5"/>
  <c r="B4820" i="5"/>
  <c r="C4820" i="5"/>
  <c r="B4821" i="5"/>
  <c r="C4821" i="5"/>
  <c r="B4822" i="5"/>
  <c r="C4822" i="5"/>
  <c r="B4823" i="5"/>
  <c r="C4823" i="5"/>
  <c r="B4824" i="5"/>
  <c r="C4824" i="5"/>
  <c r="B4825" i="5"/>
  <c r="C4825" i="5"/>
  <c r="B4826" i="5"/>
  <c r="C4826" i="5"/>
  <c r="B4827" i="5"/>
  <c r="C4827" i="5"/>
  <c r="B4828" i="5"/>
  <c r="C4828" i="5"/>
  <c r="B4829" i="5"/>
  <c r="C4829" i="5"/>
  <c r="B4830" i="5"/>
  <c r="C4830" i="5"/>
  <c r="B4831" i="5"/>
  <c r="C4831" i="5"/>
  <c r="B4832" i="5"/>
  <c r="C4832" i="5"/>
  <c r="B4833" i="5"/>
  <c r="C4833" i="5"/>
  <c r="B4881" i="5"/>
  <c r="C4881" i="5"/>
  <c r="B4882" i="5"/>
  <c r="C4882" i="5"/>
  <c r="B4883" i="5"/>
  <c r="C4883" i="5"/>
  <c r="F3217" i="1" l="1"/>
  <c r="E3217" i="1"/>
  <c r="E3218" i="1" s="1"/>
  <c r="E3032" i="1"/>
  <c r="E3033" i="1" s="1"/>
  <c r="F3032" i="1"/>
  <c r="B4624" i="5"/>
  <c r="C4624" i="5"/>
  <c r="B4693" i="5"/>
  <c r="C4693" i="5"/>
  <c r="B4704" i="5"/>
  <c r="C4704" i="5"/>
  <c r="B4705" i="5"/>
  <c r="C4705" i="5"/>
  <c r="B4706" i="5"/>
  <c r="C4706" i="5"/>
  <c r="B4707" i="5"/>
  <c r="C4707" i="5"/>
  <c r="B4708" i="5"/>
  <c r="C4708" i="5"/>
  <c r="B4709" i="5"/>
  <c r="C4709" i="5"/>
  <c r="B4710" i="5"/>
  <c r="C4710" i="5"/>
  <c r="B4711" i="5"/>
  <c r="C4711" i="5"/>
  <c r="B4712" i="5"/>
  <c r="C4712" i="5"/>
  <c r="B4713" i="5"/>
  <c r="C4713" i="5"/>
  <c r="B4714" i="5"/>
  <c r="C4714" i="5"/>
  <c r="B4715" i="5"/>
  <c r="C4715" i="5"/>
  <c r="B4716" i="5"/>
  <c r="C4716" i="5"/>
  <c r="B4717" i="5"/>
  <c r="C4717" i="5"/>
  <c r="B4718" i="5"/>
  <c r="C4718" i="5"/>
  <c r="B4719" i="5"/>
  <c r="C4719" i="5"/>
  <c r="B4720" i="5"/>
  <c r="C4720" i="5"/>
  <c r="B4721" i="5"/>
  <c r="C4721" i="5"/>
  <c r="B4722" i="5"/>
  <c r="C4722" i="5"/>
  <c r="B4723" i="5"/>
  <c r="C4723" i="5"/>
  <c r="B4724" i="5"/>
  <c r="C4724" i="5"/>
  <c r="B4725" i="5"/>
  <c r="C4725" i="5"/>
  <c r="B4726" i="5"/>
  <c r="C4726" i="5"/>
  <c r="B4727" i="5"/>
  <c r="C4727" i="5"/>
  <c r="B4728" i="5"/>
  <c r="C4728" i="5"/>
  <c r="B4729" i="5"/>
  <c r="C4729" i="5"/>
  <c r="B4730" i="5"/>
  <c r="C4730" i="5"/>
  <c r="B4731" i="5"/>
  <c r="C4731" i="5"/>
  <c r="B4732" i="5"/>
  <c r="C4732" i="5"/>
  <c r="B4733" i="5"/>
  <c r="C4733" i="5"/>
  <c r="B4734" i="5"/>
  <c r="C4734" i="5"/>
  <c r="B4735" i="5"/>
  <c r="C4735" i="5"/>
  <c r="B4736" i="5"/>
  <c r="C4736" i="5"/>
  <c r="B4737" i="5"/>
  <c r="C4737" i="5"/>
  <c r="B4738" i="5"/>
  <c r="C4738" i="5"/>
  <c r="B4739" i="5"/>
  <c r="C4739" i="5"/>
  <c r="B4740" i="5"/>
  <c r="C4740" i="5"/>
  <c r="B4741" i="5"/>
  <c r="C4741" i="5"/>
  <c r="B4742" i="5"/>
  <c r="C4742" i="5"/>
  <c r="B4743" i="5"/>
  <c r="C4743" i="5"/>
  <c r="B4744" i="5"/>
  <c r="C4744" i="5"/>
  <c r="B4745" i="5"/>
  <c r="C4745" i="5"/>
  <c r="B4746" i="5"/>
  <c r="C4746" i="5"/>
  <c r="B4747" i="5"/>
  <c r="C4747" i="5"/>
  <c r="B4748" i="5"/>
  <c r="C4748" i="5"/>
  <c r="B4749" i="5"/>
  <c r="C4749" i="5"/>
  <c r="B4750" i="5"/>
  <c r="C4750" i="5"/>
  <c r="B4751" i="5"/>
  <c r="C4751" i="5"/>
  <c r="B4752" i="5"/>
  <c r="C4752" i="5"/>
  <c r="B4753" i="5"/>
  <c r="C4753" i="5"/>
  <c r="B4754" i="5"/>
  <c r="C4754" i="5"/>
  <c r="B4755" i="5"/>
  <c r="C4755" i="5"/>
  <c r="B4756" i="5"/>
  <c r="C4756" i="5"/>
  <c r="B4757" i="5"/>
  <c r="C4757" i="5"/>
  <c r="B4758" i="5"/>
  <c r="C4758" i="5"/>
  <c r="B4759" i="5"/>
  <c r="C4759" i="5"/>
  <c r="B4760" i="5"/>
  <c r="C4760" i="5"/>
  <c r="B4761" i="5"/>
  <c r="C4761" i="5"/>
  <c r="B4762" i="5"/>
  <c r="C4762" i="5"/>
  <c r="B4763" i="5"/>
  <c r="C4763" i="5"/>
  <c r="B4764" i="5"/>
  <c r="C4764" i="5"/>
  <c r="B4765" i="5"/>
  <c r="C4765" i="5"/>
  <c r="B4766" i="5"/>
  <c r="C4766" i="5"/>
  <c r="B4767" i="5"/>
  <c r="C4767" i="5"/>
  <c r="B4768" i="5"/>
  <c r="C4768" i="5"/>
  <c r="B4769" i="5"/>
  <c r="C4769" i="5"/>
  <c r="B4770" i="5"/>
  <c r="C4770" i="5"/>
  <c r="B4771" i="5"/>
  <c r="C4771" i="5"/>
  <c r="B4772" i="5"/>
  <c r="C4772" i="5"/>
  <c r="B4773" i="5"/>
  <c r="C4773" i="5"/>
  <c r="B4774" i="5"/>
  <c r="C4774" i="5"/>
  <c r="B4775" i="5"/>
  <c r="C4775" i="5"/>
  <c r="B4776" i="5"/>
  <c r="C4776" i="5"/>
  <c r="B4777" i="5"/>
  <c r="C4777" i="5"/>
  <c r="F2890" i="1"/>
  <c r="F2889" i="1"/>
  <c r="F2888" i="1"/>
  <c r="F2855" i="1"/>
  <c r="E2805" i="1"/>
  <c r="E2796" i="1"/>
  <c r="E2795" i="1"/>
  <c r="F2894" i="1" l="1"/>
  <c r="E2894" i="1"/>
  <c r="E2895" i="1" s="1"/>
  <c r="K3" i="34" l="1"/>
  <c r="K4" i="34"/>
  <c r="K5" i="34"/>
  <c r="K6" i="34"/>
  <c r="K7" i="34"/>
  <c r="K8" i="34"/>
  <c r="K9" i="34"/>
  <c r="K10" i="34"/>
  <c r="K11" i="34"/>
  <c r="K12" i="34"/>
  <c r="K13" i="34"/>
  <c r="K2" i="34"/>
  <c r="F14" i="34"/>
  <c r="G14" i="34"/>
  <c r="J14" i="34"/>
  <c r="C14" i="34"/>
  <c r="D14" i="34"/>
  <c r="E14" i="34"/>
  <c r="B14" i="34"/>
  <c r="C29" i="34" l="1"/>
  <c r="M47" i="34" s="1"/>
  <c r="K14" i="34"/>
  <c r="F2780" i="1"/>
  <c r="F2779" i="1"/>
  <c r="F2778" i="1"/>
  <c r="F2772" i="1"/>
  <c r="E2725" i="1"/>
  <c r="E2718" i="1"/>
  <c r="E2717" i="1"/>
  <c r="E2701" i="1"/>
  <c r="F2703" i="1"/>
  <c r="F2702" i="1"/>
  <c r="F2622" i="1"/>
  <c r="F2621" i="1"/>
  <c r="F2529" i="1"/>
  <c r="F2532" i="1" s="1"/>
  <c r="F2615" i="1"/>
  <c r="B4640" i="5"/>
  <c r="C4640" i="5"/>
  <c r="B4641" i="5"/>
  <c r="C4641" i="5"/>
  <c r="B4642" i="5"/>
  <c r="C4642" i="5"/>
  <c r="B4643" i="5"/>
  <c r="C4643" i="5"/>
  <c r="B4644" i="5"/>
  <c r="C4644" i="5"/>
  <c r="B4645" i="5"/>
  <c r="C4645" i="5"/>
  <c r="B4646" i="5"/>
  <c r="C4646" i="5"/>
  <c r="B4647" i="5"/>
  <c r="C4647" i="5"/>
  <c r="B4648" i="5"/>
  <c r="C4648" i="5"/>
  <c r="B4649" i="5"/>
  <c r="C4649" i="5"/>
  <c r="B4650" i="5"/>
  <c r="C4650" i="5"/>
  <c r="B4651" i="5"/>
  <c r="C4651" i="5"/>
  <c r="B4652" i="5"/>
  <c r="C4652" i="5"/>
  <c r="B4653" i="5"/>
  <c r="C4653" i="5"/>
  <c r="B4654" i="5"/>
  <c r="C4654" i="5"/>
  <c r="B4655" i="5"/>
  <c r="C4655" i="5"/>
  <c r="B4656" i="5"/>
  <c r="C4656" i="5"/>
  <c r="B4657" i="5"/>
  <c r="C4657" i="5"/>
  <c r="B4658" i="5"/>
  <c r="C4658" i="5"/>
  <c r="B4659" i="5"/>
  <c r="C4659" i="5"/>
  <c r="B4660" i="5"/>
  <c r="C4660" i="5"/>
  <c r="B4661" i="5"/>
  <c r="C4661" i="5"/>
  <c r="B4662" i="5"/>
  <c r="C4662" i="5"/>
  <c r="B4663" i="5"/>
  <c r="C4663" i="5"/>
  <c r="B4664" i="5"/>
  <c r="C4664" i="5"/>
  <c r="B4665" i="5"/>
  <c r="C4665" i="5"/>
  <c r="B4666" i="5"/>
  <c r="C4666" i="5"/>
  <c r="B4667" i="5"/>
  <c r="C4667" i="5"/>
  <c r="B4668" i="5"/>
  <c r="C4668" i="5"/>
  <c r="B4669" i="5"/>
  <c r="C4669" i="5"/>
  <c r="B4670" i="5"/>
  <c r="C4670" i="5"/>
  <c r="B4671" i="5"/>
  <c r="C4671" i="5"/>
  <c r="B4672" i="5"/>
  <c r="C4672" i="5"/>
  <c r="B4673" i="5"/>
  <c r="C4673" i="5"/>
  <c r="B4674" i="5"/>
  <c r="C4674" i="5"/>
  <c r="B4675" i="5"/>
  <c r="C4675" i="5"/>
  <c r="B4676" i="5"/>
  <c r="C4676" i="5"/>
  <c r="B4677" i="5"/>
  <c r="C4677" i="5"/>
  <c r="B4678" i="5"/>
  <c r="C4678" i="5"/>
  <c r="B4679" i="5"/>
  <c r="C4679" i="5"/>
  <c r="B4680" i="5"/>
  <c r="C4680" i="5"/>
  <c r="B4681" i="5"/>
  <c r="C4681" i="5"/>
  <c r="B4682" i="5"/>
  <c r="C4682" i="5"/>
  <c r="B4683" i="5"/>
  <c r="C4683" i="5"/>
  <c r="B4684" i="5"/>
  <c r="C4684" i="5"/>
  <c r="B4685" i="5"/>
  <c r="C4685" i="5"/>
  <c r="B4686" i="5"/>
  <c r="C4686" i="5"/>
  <c r="B4687" i="5"/>
  <c r="C4687" i="5"/>
  <c r="B4688" i="5"/>
  <c r="C4688" i="5"/>
  <c r="B4689" i="5"/>
  <c r="C4689" i="5"/>
  <c r="B4690" i="5"/>
  <c r="I19" i="26" s="1"/>
  <c r="C4690" i="5"/>
  <c r="B4691" i="5"/>
  <c r="C4691" i="5"/>
  <c r="B4692" i="5"/>
  <c r="C4692" i="5"/>
  <c r="B4694" i="5"/>
  <c r="C4694" i="5"/>
  <c r="B4695" i="5"/>
  <c r="C4695" i="5"/>
  <c r="B4696" i="5"/>
  <c r="C4696" i="5"/>
  <c r="B4697" i="5"/>
  <c r="C4697" i="5"/>
  <c r="B4698" i="5"/>
  <c r="C4698" i="5"/>
  <c r="B4699" i="5"/>
  <c r="C4699" i="5"/>
  <c r="B4700" i="5"/>
  <c r="C4700" i="5"/>
  <c r="B4701" i="5"/>
  <c r="C4701" i="5"/>
  <c r="B4702" i="5"/>
  <c r="C4702" i="5"/>
  <c r="B4703" i="5"/>
  <c r="C4703" i="5"/>
  <c r="G66" i="26" l="1"/>
  <c r="F66" i="26"/>
  <c r="E66" i="26"/>
  <c r="D66" i="26"/>
  <c r="C66" i="26"/>
  <c r="M66" i="26"/>
  <c r="L66" i="26"/>
  <c r="B66" i="26"/>
  <c r="K66" i="26"/>
  <c r="J66" i="26"/>
  <c r="I66" i="26"/>
  <c r="H66" i="26"/>
  <c r="M19" i="26"/>
  <c r="C59" i="34"/>
  <c r="C61" i="34" s="1"/>
  <c r="C65" i="34" s="1"/>
  <c r="C72" i="34" s="1"/>
  <c r="B19" i="26"/>
  <c r="J43" i="26"/>
  <c r="K43" i="26"/>
  <c r="L43" i="26"/>
  <c r="M43" i="26"/>
  <c r="E19" i="26"/>
  <c r="D19" i="26"/>
  <c r="F2784" i="1"/>
  <c r="E2784" i="1"/>
  <c r="E2785" i="1" s="1"/>
  <c r="L19" i="26"/>
  <c r="C43" i="26"/>
  <c r="C19" i="26"/>
  <c r="G43" i="26"/>
  <c r="I43" i="26"/>
  <c r="H43" i="26"/>
  <c r="F43" i="26"/>
  <c r="B43" i="26"/>
  <c r="E43" i="26"/>
  <c r="D43" i="26"/>
  <c r="K19" i="26"/>
  <c r="J19" i="26"/>
  <c r="H19" i="26"/>
  <c r="G19" i="26"/>
  <c r="F19" i="26"/>
  <c r="F2695" i="1" l="1"/>
  <c r="F2706" i="1" s="1"/>
  <c r="AO34" i="25"/>
  <c r="AO35" i="25"/>
  <c r="AM34" i="25"/>
  <c r="AM35" i="25"/>
  <c r="AK33" i="25"/>
  <c r="AM33" i="25"/>
  <c r="AO33" i="25"/>
  <c r="E2557" i="1"/>
  <c r="AO28" i="25" l="1"/>
  <c r="AO32" i="25"/>
  <c r="AO31" i="25"/>
  <c r="AO30" i="25"/>
  <c r="AO29" i="25"/>
  <c r="AO27" i="25"/>
  <c r="AO26" i="25"/>
  <c r="AO25" i="25"/>
  <c r="AO24" i="25"/>
  <c r="AO22" i="25"/>
  <c r="AO21" i="25"/>
  <c r="AO20" i="25"/>
  <c r="AO19" i="25"/>
  <c r="AO18" i="25"/>
  <c r="AO17" i="25"/>
  <c r="AO15" i="25"/>
  <c r="AO13" i="25"/>
  <c r="AO12" i="25"/>
  <c r="AO11" i="25"/>
  <c r="AO4" i="25"/>
  <c r="AO3" i="25"/>
  <c r="AM32" i="25"/>
  <c r="AM31" i="25"/>
  <c r="AM30" i="25"/>
  <c r="AM29" i="25"/>
  <c r="AM28" i="25"/>
  <c r="AM27" i="25"/>
  <c r="AM26" i="25"/>
  <c r="AM25" i="25"/>
  <c r="AM24" i="25"/>
  <c r="AM22" i="25"/>
  <c r="AM21" i="25"/>
  <c r="AM20" i="25"/>
  <c r="AM19" i="25"/>
  <c r="AM18" i="25"/>
  <c r="AM17" i="25"/>
  <c r="AM15" i="25"/>
  <c r="AM13" i="25"/>
  <c r="AM12" i="25"/>
  <c r="AM11" i="25"/>
  <c r="AM4" i="25"/>
  <c r="AM3" i="25"/>
  <c r="AK32" i="25"/>
  <c r="AK31" i="25"/>
  <c r="AK30" i="25"/>
  <c r="AK29" i="25"/>
  <c r="AK28" i="25"/>
  <c r="AK27" i="25"/>
  <c r="AK26" i="25"/>
  <c r="AK25" i="25"/>
  <c r="AK24" i="25"/>
  <c r="AK22" i="25"/>
  <c r="AK21" i="25"/>
  <c r="AK20" i="25"/>
  <c r="AK19" i="25"/>
  <c r="AK18" i="25"/>
  <c r="AK17" i="25"/>
  <c r="AK15" i="25"/>
  <c r="AK13" i="25"/>
  <c r="AK12" i="25"/>
  <c r="AK11" i="25"/>
  <c r="AK4" i="25"/>
  <c r="AK3" i="25"/>
  <c r="AI32" i="25"/>
  <c r="AI31" i="25"/>
  <c r="AI30" i="25"/>
  <c r="AI29" i="25"/>
  <c r="AI28" i="25"/>
  <c r="AI27" i="25"/>
  <c r="AI26" i="25"/>
  <c r="AI25" i="25"/>
  <c r="AI24" i="25"/>
  <c r="AI22" i="25"/>
  <c r="AI21" i="25"/>
  <c r="AI20" i="25"/>
  <c r="AI19" i="25"/>
  <c r="AI18" i="25"/>
  <c r="AI17" i="25"/>
  <c r="AI15" i="25"/>
  <c r="AI13" i="25"/>
  <c r="AI12" i="25"/>
  <c r="AI11" i="25"/>
  <c r="AI4" i="25"/>
  <c r="AI3" i="25"/>
  <c r="AG32" i="25"/>
  <c r="AG31" i="25"/>
  <c r="AG30" i="25"/>
  <c r="AG29" i="25"/>
  <c r="AG28" i="25"/>
  <c r="AG27" i="25"/>
  <c r="AG26" i="25"/>
  <c r="AG25" i="25"/>
  <c r="AG24" i="25"/>
  <c r="AG22" i="25"/>
  <c r="AG21" i="25"/>
  <c r="AG20" i="25"/>
  <c r="AG19" i="25"/>
  <c r="AG18" i="25"/>
  <c r="AG17" i="25"/>
  <c r="AG15" i="25"/>
  <c r="AG13" i="25"/>
  <c r="AG12" i="25"/>
  <c r="AG11" i="25"/>
  <c r="AG4" i="25"/>
  <c r="AG3" i="25"/>
  <c r="B35" i="25" l="1"/>
  <c r="C35" i="25"/>
  <c r="B36" i="25"/>
  <c r="C36" i="25"/>
  <c r="B37" i="25"/>
  <c r="C37" i="25"/>
  <c r="B38" i="25"/>
  <c r="C38" i="25"/>
  <c r="B39" i="25"/>
  <c r="C39" i="25"/>
  <c r="B40" i="25"/>
  <c r="C40" i="25"/>
  <c r="B41" i="25"/>
  <c r="C41" i="25"/>
  <c r="B31" i="25"/>
  <c r="C31" i="25"/>
  <c r="B32" i="25"/>
  <c r="C32" i="25"/>
  <c r="B33" i="25"/>
  <c r="C33" i="25"/>
  <c r="B34" i="25"/>
  <c r="C34" i="25"/>
  <c r="B4634" i="5"/>
  <c r="C4634" i="5"/>
  <c r="B4635" i="5"/>
  <c r="C4635" i="5"/>
  <c r="B4636" i="5"/>
  <c r="C4636" i="5"/>
  <c r="B4637" i="5"/>
  <c r="C4637" i="5"/>
  <c r="B4638" i="5"/>
  <c r="C4638" i="5"/>
  <c r="B4639" i="5"/>
  <c r="C4639" i="5"/>
  <c r="E2646" i="1"/>
  <c r="E2639" i="1"/>
  <c r="E2638" i="1"/>
  <c r="E2706" i="1" l="1"/>
  <c r="E2707" i="1" s="1"/>
  <c r="F2625" i="1" l="1"/>
  <c r="E2565" i="1"/>
  <c r="E2558" i="1"/>
  <c r="E2625" i="1" l="1"/>
  <c r="E2626" i="1" s="1"/>
  <c r="B4555" i="5"/>
  <c r="C4555" i="5"/>
  <c r="B4556" i="5"/>
  <c r="C4556" i="5"/>
  <c r="B4557" i="5"/>
  <c r="C4557" i="5"/>
  <c r="B4558" i="5"/>
  <c r="C4558" i="5"/>
  <c r="B4559" i="5"/>
  <c r="C4559" i="5"/>
  <c r="B4560" i="5"/>
  <c r="C4560" i="5"/>
  <c r="B4561" i="5"/>
  <c r="C4561" i="5"/>
  <c r="B4562" i="5"/>
  <c r="C4562" i="5"/>
  <c r="B4563" i="5"/>
  <c r="C4563" i="5"/>
  <c r="B4564" i="5"/>
  <c r="C4564" i="5"/>
  <c r="B4565" i="5"/>
  <c r="C4565" i="5"/>
  <c r="B4566" i="5"/>
  <c r="C4566" i="5"/>
  <c r="B4567" i="5"/>
  <c r="C4567" i="5"/>
  <c r="B4568" i="5"/>
  <c r="C4568" i="5"/>
  <c r="B4569" i="5"/>
  <c r="C4569" i="5"/>
  <c r="B4570" i="5"/>
  <c r="C4570" i="5"/>
  <c r="B4571" i="5"/>
  <c r="C4571" i="5"/>
  <c r="B4572" i="5"/>
  <c r="C4572" i="5"/>
  <c r="B4573" i="5"/>
  <c r="C4573" i="5"/>
  <c r="B4574" i="5"/>
  <c r="C4574" i="5"/>
  <c r="B4575" i="5"/>
  <c r="C4575" i="5"/>
  <c r="B4576" i="5"/>
  <c r="C4576" i="5"/>
  <c r="B4577" i="5"/>
  <c r="C4577" i="5"/>
  <c r="B4578" i="5"/>
  <c r="C4578" i="5"/>
  <c r="B4579" i="5"/>
  <c r="C4579" i="5"/>
  <c r="B4580" i="5"/>
  <c r="C4580" i="5"/>
  <c r="B4581" i="5"/>
  <c r="C4581" i="5"/>
  <c r="B4582" i="5"/>
  <c r="C4582" i="5"/>
  <c r="B4583" i="5"/>
  <c r="C4583" i="5"/>
  <c r="B4584" i="5"/>
  <c r="C4584" i="5"/>
  <c r="B4585" i="5"/>
  <c r="C4585" i="5"/>
  <c r="B4586" i="5"/>
  <c r="C4586" i="5"/>
  <c r="B4587" i="5"/>
  <c r="C4587" i="5"/>
  <c r="B4588" i="5"/>
  <c r="C4588" i="5"/>
  <c r="B4589" i="5"/>
  <c r="C4589" i="5"/>
  <c r="B4590" i="5"/>
  <c r="C4590" i="5"/>
  <c r="B4591" i="5"/>
  <c r="C4591" i="5"/>
  <c r="B4592" i="5"/>
  <c r="C4592" i="5"/>
  <c r="B4593" i="5"/>
  <c r="C4593" i="5"/>
  <c r="B4594" i="5"/>
  <c r="C4594" i="5"/>
  <c r="B4595" i="5"/>
  <c r="C4595" i="5"/>
  <c r="B4596" i="5"/>
  <c r="C4596" i="5"/>
  <c r="B4597" i="5"/>
  <c r="C4597" i="5"/>
  <c r="B4598" i="5"/>
  <c r="C4598" i="5"/>
  <c r="B4599" i="5"/>
  <c r="C4599" i="5"/>
  <c r="B4600" i="5"/>
  <c r="C4600" i="5"/>
  <c r="B4601" i="5"/>
  <c r="C4601" i="5"/>
  <c r="B4602" i="5"/>
  <c r="C4602" i="5"/>
  <c r="B4603" i="5"/>
  <c r="C4603" i="5"/>
  <c r="B4604" i="5"/>
  <c r="C4604" i="5"/>
  <c r="B4605" i="5"/>
  <c r="C4605" i="5"/>
  <c r="B4606" i="5"/>
  <c r="C4606" i="5"/>
  <c r="B4607" i="5"/>
  <c r="C4607" i="5"/>
  <c r="B4608" i="5"/>
  <c r="C4608" i="5"/>
  <c r="B4609" i="5"/>
  <c r="C4609" i="5"/>
  <c r="B4610" i="5"/>
  <c r="C4610" i="5"/>
  <c r="B4611" i="5"/>
  <c r="C4611" i="5"/>
  <c r="B4612" i="5"/>
  <c r="C4612" i="5"/>
  <c r="B4613" i="5"/>
  <c r="C4613" i="5"/>
  <c r="B4614" i="5"/>
  <c r="C4614" i="5"/>
  <c r="B4615" i="5"/>
  <c r="C4615" i="5"/>
  <c r="B4616" i="5"/>
  <c r="C4616" i="5"/>
  <c r="B4617" i="5"/>
  <c r="C4617" i="5"/>
  <c r="B4618" i="5"/>
  <c r="C4618" i="5"/>
  <c r="B4619" i="5"/>
  <c r="C4619" i="5"/>
  <c r="B4620" i="5"/>
  <c r="C4620" i="5"/>
  <c r="B4621" i="5"/>
  <c r="C4621" i="5"/>
  <c r="B4622" i="5"/>
  <c r="C4622" i="5"/>
  <c r="B4623" i="5"/>
  <c r="C4623" i="5"/>
  <c r="B4625" i="5"/>
  <c r="C4625" i="5"/>
  <c r="B4626" i="5"/>
  <c r="C4626" i="5"/>
  <c r="B4627" i="5"/>
  <c r="C4627" i="5"/>
  <c r="B4628" i="5"/>
  <c r="C4628" i="5"/>
  <c r="B4629" i="5"/>
  <c r="C4629" i="5"/>
  <c r="B4630" i="5"/>
  <c r="C4630" i="5"/>
  <c r="B4631" i="5"/>
  <c r="C4631" i="5"/>
  <c r="B4632" i="5"/>
  <c r="C4632" i="5"/>
  <c r="B4633" i="5"/>
  <c r="C4633" i="5"/>
  <c r="F2545" i="1" l="1"/>
  <c r="E2483" i="1"/>
  <c r="E2476" i="1"/>
  <c r="E2474" i="1"/>
  <c r="E2545" i="1" l="1"/>
  <c r="E2532" i="1"/>
  <c r="E2533" i="1" s="1"/>
  <c r="B4551" i="5"/>
  <c r="C4551" i="5"/>
  <c r="B4552" i="5"/>
  <c r="C4552" i="5"/>
  <c r="B4553" i="5"/>
  <c r="C4553" i="5"/>
  <c r="B4554" i="5"/>
  <c r="C4554" i="5"/>
  <c r="B4491" i="5"/>
  <c r="C4491" i="5"/>
  <c r="B4492" i="5"/>
  <c r="C4492" i="5"/>
  <c r="B4493" i="5"/>
  <c r="C4493" i="5"/>
  <c r="B4494" i="5"/>
  <c r="C4494" i="5"/>
  <c r="B4495" i="5"/>
  <c r="C4495" i="5"/>
  <c r="B4496" i="5"/>
  <c r="C4496" i="5"/>
  <c r="B4497" i="5"/>
  <c r="C4497" i="5"/>
  <c r="B4498" i="5"/>
  <c r="C4498" i="5"/>
  <c r="B4499" i="5"/>
  <c r="C4499" i="5"/>
  <c r="B4500" i="5"/>
  <c r="C4500" i="5"/>
  <c r="B4501" i="5"/>
  <c r="C4501" i="5"/>
  <c r="B4502" i="5"/>
  <c r="C4502" i="5"/>
  <c r="B4503" i="5"/>
  <c r="C4503" i="5"/>
  <c r="B4504" i="5"/>
  <c r="C4504" i="5"/>
  <c r="B4505" i="5"/>
  <c r="C4505" i="5"/>
  <c r="B4506" i="5"/>
  <c r="C4506" i="5"/>
  <c r="B4507" i="5"/>
  <c r="C4507" i="5"/>
  <c r="B4508" i="5"/>
  <c r="C4508" i="5"/>
  <c r="B4509" i="5"/>
  <c r="C4509" i="5"/>
  <c r="B4510" i="5"/>
  <c r="C4510" i="5"/>
  <c r="B4511" i="5"/>
  <c r="C4511" i="5"/>
  <c r="B4512" i="5"/>
  <c r="C4512" i="5"/>
  <c r="B4513" i="5"/>
  <c r="C4513" i="5"/>
  <c r="B4514" i="5"/>
  <c r="C4514" i="5"/>
  <c r="B4515" i="5"/>
  <c r="C4515" i="5"/>
  <c r="B4516" i="5"/>
  <c r="C4516" i="5"/>
  <c r="B4517" i="5"/>
  <c r="C4517" i="5"/>
  <c r="B4518" i="5"/>
  <c r="C4518" i="5"/>
  <c r="B4519" i="5"/>
  <c r="C4519" i="5"/>
  <c r="B4520" i="5"/>
  <c r="C4520" i="5"/>
  <c r="B4521" i="5"/>
  <c r="C4521" i="5"/>
  <c r="B4522" i="5"/>
  <c r="C4522" i="5"/>
  <c r="B4523" i="5"/>
  <c r="C4523" i="5"/>
  <c r="B4524" i="5"/>
  <c r="C4524" i="5"/>
  <c r="B4525" i="5"/>
  <c r="C4525" i="5"/>
  <c r="B4526" i="5"/>
  <c r="C4526" i="5"/>
  <c r="B4527" i="5"/>
  <c r="C4527" i="5"/>
  <c r="B4528" i="5"/>
  <c r="C4528" i="5"/>
  <c r="B4529" i="5"/>
  <c r="C4529" i="5"/>
  <c r="B4530" i="5"/>
  <c r="C4530" i="5"/>
  <c r="B4531" i="5"/>
  <c r="C4531" i="5"/>
  <c r="B4532" i="5"/>
  <c r="C4532" i="5"/>
  <c r="B4533" i="5"/>
  <c r="C4533" i="5"/>
  <c r="B4534" i="5"/>
  <c r="C4534" i="5"/>
  <c r="B4535" i="5"/>
  <c r="C4535" i="5"/>
  <c r="B4536" i="5"/>
  <c r="C4536" i="5"/>
  <c r="B4537" i="5"/>
  <c r="C4537" i="5"/>
  <c r="B4538" i="5"/>
  <c r="C4538" i="5"/>
  <c r="B4539" i="5"/>
  <c r="C4539" i="5"/>
  <c r="B4540" i="5"/>
  <c r="C4540" i="5"/>
  <c r="B4541" i="5"/>
  <c r="C4541" i="5"/>
  <c r="B4542" i="5"/>
  <c r="C4542" i="5"/>
  <c r="B4543" i="5"/>
  <c r="C4543" i="5"/>
  <c r="B4544" i="5"/>
  <c r="C4544" i="5"/>
  <c r="B4545" i="5"/>
  <c r="C4545" i="5"/>
  <c r="B4546" i="5"/>
  <c r="C4546" i="5"/>
  <c r="B4547" i="5"/>
  <c r="C4547" i="5"/>
  <c r="B4548" i="5"/>
  <c r="C4548" i="5"/>
  <c r="B4549" i="5"/>
  <c r="C4549" i="5"/>
  <c r="B4550" i="5"/>
  <c r="C4550" i="5"/>
  <c r="B4468" i="5" l="1"/>
  <c r="C4468" i="5"/>
  <c r="B4386" i="5"/>
  <c r="C4386" i="5"/>
  <c r="B4387" i="5"/>
  <c r="C4387" i="5"/>
  <c r="B4388" i="5"/>
  <c r="C4388" i="5"/>
  <c r="B4389" i="5"/>
  <c r="C4389" i="5"/>
  <c r="B4390" i="5"/>
  <c r="C4390" i="5"/>
  <c r="B4391" i="5"/>
  <c r="C4391" i="5"/>
  <c r="B4392" i="5"/>
  <c r="C4392" i="5"/>
  <c r="B4393" i="5"/>
  <c r="C4393" i="5"/>
  <c r="B4394" i="5"/>
  <c r="C4394" i="5"/>
  <c r="B4395" i="5"/>
  <c r="C4395" i="5"/>
  <c r="B4396" i="5"/>
  <c r="C4396" i="5"/>
  <c r="B4397" i="5"/>
  <c r="C4397" i="5"/>
  <c r="B4398" i="5"/>
  <c r="C4398" i="5"/>
  <c r="B4399" i="5"/>
  <c r="C4399" i="5"/>
  <c r="B4400" i="5"/>
  <c r="C4400" i="5"/>
  <c r="B4401" i="5"/>
  <c r="C4401" i="5"/>
  <c r="B4402" i="5"/>
  <c r="C4402" i="5"/>
  <c r="B4403" i="5"/>
  <c r="C4403" i="5"/>
  <c r="B4404" i="5"/>
  <c r="C4404" i="5"/>
  <c r="B4405" i="5"/>
  <c r="C4405" i="5"/>
  <c r="B4406" i="5"/>
  <c r="C4406" i="5"/>
  <c r="B4407" i="5"/>
  <c r="C4407" i="5"/>
  <c r="B4408" i="5"/>
  <c r="C4408" i="5"/>
  <c r="B4409" i="5"/>
  <c r="C4409" i="5"/>
  <c r="B4410" i="5"/>
  <c r="C4410" i="5"/>
  <c r="B4411" i="5"/>
  <c r="C4411" i="5"/>
  <c r="B4412" i="5"/>
  <c r="C4412" i="5"/>
  <c r="B4413" i="5"/>
  <c r="C4413" i="5"/>
  <c r="B4414" i="5"/>
  <c r="C4414" i="5"/>
  <c r="B4415" i="5"/>
  <c r="C4415" i="5"/>
  <c r="B4416" i="5"/>
  <c r="C4416" i="5"/>
  <c r="B4417" i="5"/>
  <c r="C4417" i="5"/>
  <c r="B4418" i="5"/>
  <c r="C4418" i="5"/>
  <c r="B4419" i="5"/>
  <c r="C4419" i="5"/>
  <c r="B4420" i="5"/>
  <c r="C4420" i="5"/>
  <c r="B4421" i="5"/>
  <c r="C4421" i="5"/>
  <c r="B4422" i="5"/>
  <c r="C4422" i="5"/>
  <c r="B4423" i="5"/>
  <c r="C4423" i="5"/>
  <c r="B4424" i="5"/>
  <c r="C4424" i="5"/>
  <c r="B4425" i="5"/>
  <c r="C4425" i="5"/>
  <c r="B4426" i="5"/>
  <c r="C4426" i="5"/>
  <c r="B4427" i="5"/>
  <c r="C4427" i="5"/>
  <c r="B4428" i="5"/>
  <c r="C4428" i="5"/>
  <c r="B4429" i="5"/>
  <c r="C4429" i="5"/>
  <c r="B4430" i="5"/>
  <c r="C4430" i="5"/>
  <c r="B4431" i="5"/>
  <c r="C4431" i="5"/>
  <c r="B4432" i="5"/>
  <c r="C4432" i="5"/>
  <c r="B4433" i="5"/>
  <c r="C4433" i="5"/>
  <c r="B4434" i="5"/>
  <c r="C4434" i="5"/>
  <c r="B4435" i="5"/>
  <c r="C4435" i="5"/>
  <c r="B4436" i="5"/>
  <c r="C4436" i="5"/>
  <c r="B4437" i="5"/>
  <c r="C4437" i="5"/>
  <c r="B4438" i="5"/>
  <c r="C4438" i="5"/>
  <c r="B4439" i="5"/>
  <c r="C4439" i="5"/>
  <c r="B4440" i="5"/>
  <c r="C4440" i="5"/>
  <c r="B4441" i="5"/>
  <c r="C4441" i="5"/>
  <c r="B4442" i="5"/>
  <c r="C4442" i="5"/>
  <c r="B4443" i="5"/>
  <c r="C4443" i="5"/>
  <c r="B4444" i="5"/>
  <c r="C4444" i="5"/>
  <c r="B4445" i="5"/>
  <c r="C4445" i="5"/>
  <c r="B4446" i="5"/>
  <c r="C4446" i="5"/>
  <c r="B4447" i="5"/>
  <c r="C4447" i="5"/>
  <c r="B4448" i="5"/>
  <c r="C4448" i="5"/>
  <c r="B4449" i="5"/>
  <c r="C4449" i="5"/>
  <c r="B4450" i="5"/>
  <c r="C4450" i="5"/>
  <c r="B4451" i="5"/>
  <c r="C4451" i="5"/>
  <c r="B4452" i="5"/>
  <c r="C4452" i="5"/>
  <c r="B4453" i="5"/>
  <c r="C4453" i="5"/>
  <c r="B4454" i="5"/>
  <c r="C4454" i="5"/>
  <c r="B4455" i="5"/>
  <c r="C4455" i="5"/>
  <c r="B4456" i="5"/>
  <c r="C4456" i="5"/>
  <c r="B4457" i="5"/>
  <c r="C4457" i="5"/>
  <c r="B4458" i="5"/>
  <c r="C4458" i="5"/>
  <c r="B4459" i="5"/>
  <c r="C4459" i="5"/>
  <c r="B4460" i="5"/>
  <c r="C4460" i="5"/>
  <c r="B4461" i="5"/>
  <c r="C4461" i="5"/>
  <c r="B4462" i="5"/>
  <c r="C4462" i="5"/>
  <c r="B4463" i="5"/>
  <c r="C4463" i="5"/>
  <c r="B4464" i="5"/>
  <c r="C4464" i="5"/>
  <c r="B4465" i="5"/>
  <c r="C4465" i="5"/>
  <c r="B4466" i="5"/>
  <c r="C4466" i="5"/>
  <c r="B4467" i="5"/>
  <c r="C4467" i="5"/>
  <c r="B4469" i="5"/>
  <c r="C4469" i="5"/>
  <c r="B4470" i="5"/>
  <c r="C4470" i="5"/>
  <c r="B4471" i="5"/>
  <c r="C4471" i="5"/>
  <c r="B4472" i="5"/>
  <c r="C4472" i="5"/>
  <c r="B4473" i="5"/>
  <c r="C4473" i="5"/>
  <c r="B4474" i="5"/>
  <c r="C4474" i="5"/>
  <c r="B4475" i="5"/>
  <c r="C4475" i="5"/>
  <c r="B4476" i="5"/>
  <c r="C4476" i="5"/>
  <c r="B4477" i="5"/>
  <c r="C4477" i="5"/>
  <c r="B4478" i="5"/>
  <c r="C4478" i="5"/>
  <c r="B4479" i="5"/>
  <c r="C4479" i="5"/>
  <c r="B4480" i="5"/>
  <c r="C4480" i="5"/>
  <c r="B4481" i="5"/>
  <c r="C4481" i="5"/>
  <c r="B4482" i="5"/>
  <c r="C4482" i="5"/>
  <c r="B4483" i="5"/>
  <c r="C4483" i="5"/>
  <c r="B4484" i="5"/>
  <c r="C4484" i="5"/>
  <c r="B4485" i="5"/>
  <c r="C4485" i="5"/>
  <c r="B4486" i="5"/>
  <c r="C4486" i="5"/>
  <c r="B4487" i="5"/>
  <c r="C4487" i="5"/>
  <c r="B4488" i="5"/>
  <c r="C4488" i="5"/>
  <c r="B4489" i="5"/>
  <c r="C4489" i="5"/>
  <c r="B4490" i="5"/>
  <c r="C4490" i="5"/>
  <c r="F2462" i="1"/>
  <c r="E2411" i="1" l="1"/>
  <c r="E2404" i="1"/>
  <c r="E2403" i="1"/>
  <c r="E2402" i="1"/>
  <c r="E2347" i="1"/>
  <c r="E2462" i="1" l="1"/>
  <c r="E2463" i="1" s="1"/>
  <c r="B4307" i="5"/>
  <c r="C4307" i="5"/>
  <c r="B4308" i="5"/>
  <c r="C4308" i="5"/>
  <c r="B4309" i="5"/>
  <c r="C4309" i="5"/>
  <c r="B4310" i="5"/>
  <c r="C4310" i="5"/>
  <c r="B4311" i="5"/>
  <c r="C4311" i="5"/>
  <c r="B4312" i="5"/>
  <c r="C4312" i="5"/>
  <c r="B4313" i="5"/>
  <c r="C4313" i="5"/>
  <c r="B4314" i="5"/>
  <c r="C4314" i="5"/>
  <c r="B4315" i="5"/>
  <c r="C4315" i="5"/>
  <c r="B4316" i="5"/>
  <c r="C4316" i="5"/>
  <c r="B4317" i="5"/>
  <c r="C4317" i="5"/>
  <c r="B4318" i="5"/>
  <c r="C4318" i="5"/>
  <c r="B4319" i="5"/>
  <c r="C4319" i="5"/>
  <c r="B4320" i="5"/>
  <c r="C4320" i="5"/>
  <c r="B4321" i="5"/>
  <c r="C4321" i="5"/>
  <c r="B4322" i="5"/>
  <c r="C4322" i="5"/>
  <c r="B4323" i="5"/>
  <c r="C4323" i="5"/>
  <c r="B4324" i="5"/>
  <c r="C4324" i="5"/>
  <c r="B4325" i="5"/>
  <c r="C4325" i="5"/>
  <c r="B4326" i="5"/>
  <c r="C4326" i="5"/>
  <c r="B4327" i="5"/>
  <c r="C4327" i="5"/>
  <c r="B4328" i="5"/>
  <c r="C4328" i="5"/>
  <c r="B4329" i="5"/>
  <c r="C4329" i="5"/>
  <c r="B4330" i="5"/>
  <c r="C4330" i="5"/>
  <c r="B4331" i="5"/>
  <c r="C4331" i="5"/>
  <c r="B4332" i="5"/>
  <c r="C4332" i="5"/>
  <c r="B4333" i="5"/>
  <c r="C4333" i="5"/>
  <c r="B4334" i="5"/>
  <c r="C4334" i="5"/>
  <c r="B4335" i="5"/>
  <c r="C4335" i="5"/>
  <c r="B4336" i="5"/>
  <c r="C4336" i="5"/>
  <c r="B4337" i="5"/>
  <c r="C4337" i="5"/>
  <c r="B4338" i="5"/>
  <c r="C4338" i="5"/>
  <c r="B4339" i="5"/>
  <c r="C4339" i="5"/>
  <c r="B4340" i="5"/>
  <c r="C4340" i="5"/>
  <c r="B4341" i="5"/>
  <c r="C4341" i="5"/>
  <c r="B4342" i="5"/>
  <c r="C4342" i="5"/>
  <c r="B4343" i="5"/>
  <c r="C4343" i="5"/>
  <c r="B4344" i="5"/>
  <c r="C4344" i="5"/>
  <c r="B4345" i="5"/>
  <c r="C4345" i="5"/>
  <c r="B4346" i="5"/>
  <c r="C4346" i="5"/>
  <c r="B4347" i="5"/>
  <c r="C4347" i="5"/>
  <c r="B4348" i="5"/>
  <c r="C4348" i="5"/>
  <c r="B4349" i="5"/>
  <c r="C4349" i="5"/>
  <c r="B4350" i="5"/>
  <c r="C4350" i="5"/>
  <c r="B4351" i="5"/>
  <c r="C4351" i="5"/>
  <c r="B4352" i="5"/>
  <c r="C4352" i="5"/>
  <c r="B4353" i="5"/>
  <c r="C4353" i="5"/>
  <c r="B4354" i="5"/>
  <c r="C4354" i="5"/>
  <c r="B4355" i="5"/>
  <c r="C4355" i="5"/>
  <c r="B4356" i="5"/>
  <c r="C4356" i="5"/>
  <c r="B4357" i="5"/>
  <c r="C4357" i="5"/>
  <c r="B4358" i="5"/>
  <c r="C4358" i="5"/>
  <c r="B4359" i="5"/>
  <c r="C4359" i="5"/>
  <c r="B4360" i="5"/>
  <c r="C4360" i="5"/>
  <c r="B4361" i="5"/>
  <c r="C4361" i="5"/>
  <c r="B4362" i="5"/>
  <c r="C4362" i="5"/>
  <c r="B4363" i="5"/>
  <c r="C4363" i="5"/>
  <c r="B4364" i="5"/>
  <c r="C4364" i="5"/>
  <c r="B4365" i="5"/>
  <c r="C4365" i="5"/>
  <c r="B4366" i="5"/>
  <c r="C4366" i="5"/>
  <c r="B4367" i="5"/>
  <c r="C4367" i="5"/>
  <c r="B4368" i="5"/>
  <c r="C4368" i="5"/>
  <c r="B4369" i="5"/>
  <c r="C4369" i="5"/>
  <c r="B4370" i="5"/>
  <c r="C4370" i="5"/>
  <c r="B4371" i="5"/>
  <c r="C4371" i="5"/>
  <c r="B4372" i="5"/>
  <c r="C4372" i="5"/>
  <c r="B4373" i="5"/>
  <c r="C4373" i="5"/>
  <c r="B4374" i="5"/>
  <c r="C4374" i="5"/>
  <c r="B4375" i="5"/>
  <c r="C4375" i="5"/>
  <c r="B4376" i="5"/>
  <c r="C4376" i="5"/>
  <c r="B4377" i="5"/>
  <c r="C4377" i="5"/>
  <c r="B4378" i="5"/>
  <c r="C4378" i="5"/>
  <c r="B4379" i="5"/>
  <c r="C4379" i="5"/>
  <c r="B4380" i="5"/>
  <c r="C4380" i="5"/>
  <c r="B4381" i="5"/>
  <c r="C4381" i="5"/>
  <c r="B4382" i="5"/>
  <c r="C4382" i="5"/>
  <c r="B4383" i="5"/>
  <c r="C4383" i="5"/>
  <c r="B4384" i="5"/>
  <c r="C4384" i="5"/>
  <c r="B4385" i="5"/>
  <c r="C4385" i="5"/>
  <c r="B4302" i="5"/>
  <c r="C4302" i="5"/>
  <c r="B4303" i="5"/>
  <c r="C4303" i="5"/>
  <c r="B4304" i="5"/>
  <c r="C4304" i="5"/>
  <c r="B4305" i="5"/>
  <c r="C4305" i="5"/>
  <c r="B4306" i="5"/>
  <c r="C4306" i="5"/>
  <c r="D2314" i="1"/>
  <c r="E2386" i="1"/>
  <c r="D2386" i="1"/>
  <c r="E2355" i="1"/>
  <c r="F2374" i="1"/>
  <c r="E2354" i="1"/>
  <c r="E2348" i="1"/>
  <c r="E2346" i="1"/>
  <c r="E2309" i="1"/>
  <c r="B4257" i="5"/>
  <c r="C4257" i="5"/>
  <c r="B4258" i="5"/>
  <c r="C4258" i="5"/>
  <c r="B4259" i="5"/>
  <c r="C4259" i="5"/>
  <c r="B4260" i="5"/>
  <c r="C4260" i="5"/>
  <c r="B4261" i="5"/>
  <c r="C4261" i="5"/>
  <c r="B4262" i="5"/>
  <c r="C4262" i="5"/>
  <c r="B4263" i="5"/>
  <c r="C4263" i="5"/>
  <c r="B4264" i="5"/>
  <c r="C4264" i="5"/>
  <c r="B4265" i="5"/>
  <c r="C4265" i="5"/>
  <c r="B4266" i="5"/>
  <c r="C4266" i="5"/>
  <c r="B4267" i="5"/>
  <c r="C4267" i="5"/>
  <c r="B4268" i="5"/>
  <c r="C4268" i="5"/>
  <c r="B4269" i="5"/>
  <c r="C4269" i="5"/>
  <c r="B4270" i="5"/>
  <c r="C4270" i="5"/>
  <c r="B4271" i="5"/>
  <c r="C4271" i="5"/>
  <c r="B4272" i="5"/>
  <c r="C4272" i="5"/>
  <c r="B4273" i="5"/>
  <c r="C4273" i="5"/>
  <c r="B4274" i="5"/>
  <c r="C4274" i="5"/>
  <c r="B4275" i="5"/>
  <c r="C4275" i="5"/>
  <c r="B4276" i="5"/>
  <c r="C4276" i="5"/>
  <c r="B4277" i="5"/>
  <c r="C4277" i="5"/>
  <c r="B4278" i="5"/>
  <c r="C4278" i="5"/>
  <c r="B4279" i="5"/>
  <c r="C4279" i="5"/>
  <c r="B4280" i="5"/>
  <c r="C4280" i="5"/>
  <c r="B4281" i="5"/>
  <c r="C4281" i="5"/>
  <c r="B4282" i="5"/>
  <c r="C4282" i="5"/>
  <c r="B4283" i="5"/>
  <c r="C4283" i="5"/>
  <c r="B4284" i="5"/>
  <c r="C4284" i="5"/>
  <c r="B4285" i="5"/>
  <c r="C4285" i="5"/>
  <c r="B4286" i="5"/>
  <c r="C4286" i="5"/>
  <c r="B4287" i="5"/>
  <c r="C4287" i="5"/>
  <c r="B4288" i="5"/>
  <c r="C4288" i="5"/>
  <c r="B4289" i="5"/>
  <c r="C4289" i="5"/>
  <c r="B4290" i="5"/>
  <c r="C4290" i="5"/>
  <c r="B4291" i="5"/>
  <c r="C4291" i="5"/>
  <c r="B4292" i="5"/>
  <c r="C4292" i="5"/>
  <c r="B4293" i="5"/>
  <c r="C4293" i="5"/>
  <c r="B4294" i="5"/>
  <c r="C4294" i="5"/>
  <c r="B4295" i="5"/>
  <c r="C4295" i="5"/>
  <c r="B4296" i="5"/>
  <c r="C4296" i="5"/>
  <c r="B4297" i="5"/>
  <c r="C4297" i="5"/>
  <c r="B4298" i="5"/>
  <c r="C4298" i="5"/>
  <c r="B4299" i="5"/>
  <c r="C4299" i="5"/>
  <c r="B4300" i="5"/>
  <c r="C4300" i="5"/>
  <c r="B4301" i="5"/>
  <c r="C4301" i="5"/>
  <c r="B4234" i="5"/>
  <c r="C4234" i="5"/>
  <c r="B4235" i="5"/>
  <c r="C4235" i="5"/>
  <c r="B4236" i="5"/>
  <c r="C4236" i="5"/>
  <c r="B4237" i="5"/>
  <c r="C4237" i="5"/>
  <c r="B4238" i="5"/>
  <c r="C4238" i="5"/>
  <c r="B4239" i="5"/>
  <c r="C4239" i="5"/>
  <c r="B4240" i="5"/>
  <c r="C4240" i="5"/>
  <c r="B4241" i="5"/>
  <c r="C4241" i="5"/>
  <c r="B4242" i="5"/>
  <c r="C4242" i="5"/>
  <c r="B4243" i="5"/>
  <c r="C4243" i="5"/>
  <c r="B4244" i="5"/>
  <c r="C4244" i="5"/>
  <c r="B4245" i="5"/>
  <c r="C4245" i="5"/>
  <c r="B4246" i="5"/>
  <c r="C4246" i="5"/>
  <c r="B4247" i="5"/>
  <c r="C4247" i="5"/>
  <c r="B4248" i="5"/>
  <c r="C4248" i="5"/>
  <c r="B4249" i="5"/>
  <c r="C4249" i="5"/>
  <c r="B4250" i="5"/>
  <c r="C4250" i="5"/>
  <c r="B4251" i="5"/>
  <c r="C4251" i="5"/>
  <c r="B4252" i="5"/>
  <c r="C4252" i="5"/>
  <c r="B4253" i="5"/>
  <c r="C4253" i="5"/>
  <c r="B4254" i="5"/>
  <c r="C4254" i="5"/>
  <c r="B4255" i="5"/>
  <c r="C4255" i="5"/>
  <c r="B4256" i="5"/>
  <c r="C4256" i="5"/>
  <c r="M21" i="30"/>
  <c r="C96" i="30"/>
  <c r="D96" i="30"/>
  <c r="D98" i="30" l="1"/>
  <c r="I57" i="12" s="1"/>
  <c r="E2374" i="1"/>
  <c r="E2375" i="1" s="1"/>
  <c r="E2300" i="1"/>
  <c r="G2334" i="1"/>
  <c r="F2334" i="1"/>
  <c r="E2307" i="1"/>
  <c r="E2301" i="1"/>
  <c r="B25" i="25"/>
  <c r="C25" i="25"/>
  <c r="AE32" i="25"/>
  <c r="AE31" i="25"/>
  <c r="E2334" i="1" l="1"/>
  <c r="E2335" i="1" s="1"/>
  <c r="AE25" i="25"/>
  <c r="AC25" i="25"/>
  <c r="AA25" i="25"/>
  <c r="AE30" i="25"/>
  <c r="AE29" i="25"/>
  <c r="AE28" i="25"/>
  <c r="AE27" i="25"/>
  <c r="AE26" i="25"/>
  <c r="AE24" i="25"/>
  <c r="AE22" i="25"/>
  <c r="AE21" i="25"/>
  <c r="AE20" i="25"/>
  <c r="AE19" i="25"/>
  <c r="AE18" i="25"/>
  <c r="AE17" i="25"/>
  <c r="AE15" i="25"/>
  <c r="AE13" i="25"/>
  <c r="AE12" i="25"/>
  <c r="AE11" i="25"/>
  <c r="AE4" i="25"/>
  <c r="AE3" i="25"/>
  <c r="AC30" i="25"/>
  <c r="AC29" i="25"/>
  <c r="AC28" i="25"/>
  <c r="AC27" i="25"/>
  <c r="AC26" i="25"/>
  <c r="AC24" i="25"/>
  <c r="AC22" i="25"/>
  <c r="AC21" i="25"/>
  <c r="AC20" i="25"/>
  <c r="AC19" i="25"/>
  <c r="AC18" i="25"/>
  <c r="AC17" i="25"/>
  <c r="AC15" i="25"/>
  <c r="AC13" i="25"/>
  <c r="AC12" i="25"/>
  <c r="AC11" i="25"/>
  <c r="AC4" i="25"/>
  <c r="AC3" i="25"/>
  <c r="AA30" i="25"/>
  <c r="AA29" i="25"/>
  <c r="AA27" i="25"/>
  <c r="AA26" i="25"/>
  <c r="AA24" i="25"/>
  <c r="AA22" i="25"/>
  <c r="AA21" i="25"/>
  <c r="AA20" i="25"/>
  <c r="AA19" i="25"/>
  <c r="AA18" i="25"/>
  <c r="AA17" i="25"/>
  <c r="AA15" i="25"/>
  <c r="AA13" i="25"/>
  <c r="AA12" i="25"/>
  <c r="AA4" i="25"/>
  <c r="AA3" i="25"/>
  <c r="AA11" i="25"/>
  <c r="AA28" i="25"/>
  <c r="Y4" i="25"/>
  <c r="E2253" i="1" l="1"/>
  <c r="B4072" i="5" l="1"/>
  <c r="C4072" i="5"/>
  <c r="B4073" i="5"/>
  <c r="C4073" i="5"/>
  <c r="B4074" i="5"/>
  <c r="C4074" i="5"/>
  <c r="B4075" i="5"/>
  <c r="C4075" i="5"/>
  <c r="B4076" i="5"/>
  <c r="C4076" i="5"/>
  <c r="B4077" i="5"/>
  <c r="C4077" i="5"/>
  <c r="B4078" i="5"/>
  <c r="C4078" i="5"/>
  <c r="B4079" i="5"/>
  <c r="C4079" i="5"/>
  <c r="B4080" i="5"/>
  <c r="C4080" i="5"/>
  <c r="B4081" i="5"/>
  <c r="C4081" i="5"/>
  <c r="B4082" i="5"/>
  <c r="C4082" i="5"/>
  <c r="B4083" i="5"/>
  <c r="C4083" i="5"/>
  <c r="B4084" i="5"/>
  <c r="C4084" i="5"/>
  <c r="B4085" i="5"/>
  <c r="C4085" i="5"/>
  <c r="B4086" i="5"/>
  <c r="C4086" i="5"/>
  <c r="B4087" i="5"/>
  <c r="C4087" i="5"/>
  <c r="B4088" i="5"/>
  <c r="C4088" i="5"/>
  <c r="B4089" i="5"/>
  <c r="C4089" i="5"/>
  <c r="B4090" i="5"/>
  <c r="C4090" i="5"/>
  <c r="B4091" i="5"/>
  <c r="C4091" i="5"/>
  <c r="B4092" i="5"/>
  <c r="C4092" i="5"/>
  <c r="B4093" i="5"/>
  <c r="C4093" i="5"/>
  <c r="B4094" i="5"/>
  <c r="C4094" i="5"/>
  <c r="B4095" i="5"/>
  <c r="C4095" i="5"/>
  <c r="B4096" i="5"/>
  <c r="C4096" i="5"/>
  <c r="B4097" i="5"/>
  <c r="C4097" i="5"/>
  <c r="B4098" i="5"/>
  <c r="C4098" i="5"/>
  <c r="B4099" i="5"/>
  <c r="C4099" i="5"/>
  <c r="B4100" i="5"/>
  <c r="C4100" i="5"/>
  <c r="B4101" i="5"/>
  <c r="C4101" i="5"/>
  <c r="B4102" i="5"/>
  <c r="C4102" i="5"/>
  <c r="B4103" i="5"/>
  <c r="C4103" i="5"/>
  <c r="B4104" i="5"/>
  <c r="C4104" i="5"/>
  <c r="B4105" i="5"/>
  <c r="C4105" i="5"/>
  <c r="B4106" i="5"/>
  <c r="C4106" i="5"/>
  <c r="B4107" i="5"/>
  <c r="C4107" i="5"/>
  <c r="B4108" i="5"/>
  <c r="C4108" i="5"/>
  <c r="B4109" i="5"/>
  <c r="C4109" i="5"/>
  <c r="B4110" i="5"/>
  <c r="C4110" i="5"/>
  <c r="B4111" i="5"/>
  <c r="C4111" i="5"/>
  <c r="B4112" i="5"/>
  <c r="C4112" i="5"/>
  <c r="B4113" i="5"/>
  <c r="C4113" i="5"/>
  <c r="B4114" i="5"/>
  <c r="C4114" i="5"/>
  <c r="B4115" i="5"/>
  <c r="C4115" i="5"/>
  <c r="B4116" i="5"/>
  <c r="C4116" i="5"/>
  <c r="B4117" i="5"/>
  <c r="C4117" i="5"/>
  <c r="B4118" i="5"/>
  <c r="C4118" i="5"/>
  <c r="B4119" i="5"/>
  <c r="C4119" i="5"/>
  <c r="B4120" i="5"/>
  <c r="C4120" i="5"/>
  <c r="B4121" i="5"/>
  <c r="C4121" i="5"/>
  <c r="B4122" i="5"/>
  <c r="C4122" i="5"/>
  <c r="B4123" i="5"/>
  <c r="C4123" i="5"/>
  <c r="B4124" i="5"/>
  <c r="C4124" i="5"/>
  <c r="B4125" i="5"/>
  <c r="C4125" i="5"/>
  <c r="B4126" i="5"/>
  <c r="C4126" i="5"/>
  <c r="B4127" i="5"/>
  <c r="C4127" i="5"/>
  <c r="B4128" i="5"/>
  <c r="C4128" i="5"/>
  <c r="B4129" i="5"/>
  <c r="C4129" i="5"/>
  <c r="B4130" i="5"/>
  <c r="C4130" i="5"/>
  <c r="B4131" i="5"/>
  <c r="C4131" i="5"/>
  <c r="B4132" i="5"/>
  <c r="C4132" i="5"/>
  <c r="B4133" i="5"/>
  <c r="C4133" i="5"/>
  <c r="B4134" i="5"/>
  <c r="C4134" i="5"/>
  <c r="B4135" i="5"/>
  <c r="C4135" i="5"/>
  <c r="B4136" i="5"/>
  <c r="C4136" i="5"/>
  <c r="B4137" i="5"/>
  <c r="C4137" i="5"/>
  <c r="B4138" i="5"/>
  <c r="C4138" i="5"/>
  <c r="B4139" i="5"/>
  <c r="C4139" i="5"/>
  <c r="B4140" i="5"/>
  <c r="C4140" i="5"/>
  <c r="B4141" i="5"/>
  <c r="C4141" i="5"/>
  <c r="B4142" i="5"/>
  <c r="C4142" i="5"/>
  <c r="B4143" i="5"/>
  <c r="C4143" i="5"/>
  <c r="B4144" i="5"/>
  <c r="C4144" i="5"/>
  <c r="B4145" i="5"/>
  <c r="C4145" i="5"/>
  <c r="B4146" i="5"/>
  <c r="C4146" i="5"/>
  <c r="B4147" i="5"/>
  <c r="C4147" i="5"/>
  <c r="B4148" i="5"/>
  <c r="C4148" i="5"/>
  <c r="B4149" i="5"/>
  <c r="C4149" i="5"/>
  <c r="B4150" i="5"/>
  <c r="C4150" i="5"/>
  <c r="B4151" i="5"/>
  <c r="C4151" i="5"/>
  <c r="B4152" i="5"/>
  <c r="C4152" i="5"/>
  <c r="B4153" i="5"/>
  <c r="C4153" i="5"/>
  <c r="B4154" i="5"/>
  <c r="C4154" i="5"/>
  <c r="B4155" i="5"/>
  <c r="C4155" i="5"/>
  <c r="B4156" i="5"/>
  <c r="C4156" i="5"/>
  <c r="B4157" i="5"/>
  <c r="C4157" i="5"/>
  <c r="B4158" i="5"/>
  <c r="C4158" i="5"/>
  <c r="B4159" i="5"/>
  <c r="C4159" i="5"/>
  <c r="B4160" i="5"/>
  <c r="C4160" i="5"/>
  <c r="B4161" i="5"/>
  <c r="C4161" i="5"/>
  <c r="B4162" i="5"/>
  <c r="C4162" i="5"/>
  <c r="B4163" i="5"/>
  <c r="C4163" i="5"/>
  <c r="B4164" i="5"/>
  <c r="C4164" i="5"/>
  <c r="B4165" i="5"/>
  <c r="C4165" i="5"/>
  <c r="B4166" i="5"/>
  <c r="C4166" i="5"/>
  <c r="B4167" i="5"/>
  <c r="C4167" i="5"/>
  <c r="B4168" i="5"/>
  <c r="C4168" i="5"/>
  <c r="B4169" i="5"/>
  <c r="C4169" i="5"/>
  <c r="B4170" i="5"/>
  <c r="C4170" i="5"/>
  <c r="B4171" i="5"/>
  <c r="C4171" i="5"/>
  <c r="B4172" i="5"/>
  <c r="C4172" i="5"/>
  <c r="B4173" i="5"/>
  <c r="C4173" i="5"/>
  <c r="B4174" i="5"/>
  <c r="C4174" i="5"/>
  <c r="B4175" i="5"/>
  <c r="C4175" i="5"/>
  <c r="B4176" i="5"/>
  <c r="C4176" i="5"/>
  <c r="B4177" i="5"/>
  <c r="C4177" i="5"/>
  <c r="B4178" i="5"/>
  <c r="C4178" i="5"/>
  <c r="B4179" i="5"/>
  <c r="C4179" i="5"/>
  <c r="B4180" i="5"/>
  <c r="C4180" i="5"/>
  <c r="B4181" i="5"/>
  <c r="C4181" i="5"/>
  <c r="B4182" i="5"/>
  <c r="C4182" i="5"/>
  <c r="B4183" i="5"/>
  <c r="C4183" i="5"/>
  <c r="B4184" i="5"/>
  <c r="C4184" i="5"/>
  <c r="B4185" i="5"/>
  <c r="C4185" i="5"/>
  <c r="B4186" i="5"/>
  <c r="C4186" i="5"/>
  <c r="B4187" i="5"/>
  <c r="C4187" i="5"/>
  <c r="B4188" i="5"/>
  <c r="C4188" i="5"/>
  <c r="B4189" i="5"/>
  <c r="C4189" i="5"/>
  <c r="B4190" i="5"/>
  <c r="C4190" i="5"/>
  <c r="B4191" i="5"/>
  <c r="C4191" i="5"/>
  <c r="B4192" i="5"/>
  <c r="C4192" i="5"/>
  <c r="B4193" i="5"/>
  <c r="C4193" i="5"/>
  <c r="B4194" i="5"/>
  <c r="C4194" i="5"/>
  <c r="B4195" i="5"/>
  <c r="C4195" i="5"/>
  <c r="B4196" i="5"/>
  <c r="C4196" i="5"/>
  <c r="B4197" i="5"/>
  <c r="C4197" i="5"/>
  <c r="B4198" i="5"/>
  <c r="C4198" i="5"/>
  <c r="B4199" i="5"/>
  <c r="C4199" i="5"/>
  <c r="B4200" i="5"/>
  <c r="C4200" i="5"/>
  <c r="B4201" i="5"/>
  <c r="C4201" i="5"/>
  <c r="B4202" i="5"/>
  <c r="C4202" i="5"/>
  <c r="B4203" i="5"/>
  <c r="C4203" i="5"/>
  <c r="B4204" i="5"/>
  <c r="C4204" i="5"/>
  <c r="B4205" i="5"/>
  <c r="C4205" i="5"/>
  <c r="B4206" i="5"/>
  <c r="C4206" i="5"/>
  <c r="B4207" i="5"/>
  <c r="C4207" i="5"/>
  <c r="B4208" i="5"/>
  <c r="C4208" i="5"/>
  <c r="B4209" i="5"/>
  <c r="C4209" i="5"/>
  <c r="B4210" i="5"/>
  <c r="C4210" i="5"/>
  <c r="B4211" i="5"/>
  <c r="C4211" i="5"/>
  <c r="B4212" i="5"/>
  <c r="C4212" i="5"/>
  <c r="B4213" i="5"/>
  <c r="C4213" i="5"/>
  <c r="B4214" i="5"/>
  <c r="C4214" i="5"/>
  <c r="B4215" i="5"/>
  <c r="C4215" i="5"/>
  <c r="B4216" i="5"/>
  <c r="C4216" i="5"/>
  <c r="B4217" i="5"/>
  <c r="C4217" i="5"/>
  <c r="B4218" i="5"/>
  <c r="C4218" i="5"/>
  <c r="B4219" i="5"/>
  <c r="C4219" i="5"/>
  <c r="B4220" i="5"/>
  <c r="C4220" i="5"/>
  <c r="B4221" i="5"/>
  <c r="C4221" i="5"/>
  <c r="B4222" i="5"/>
  <c r="C4222" i="5"/>
  <c r="B4223" i="5"/>
  <c r="C4223" i="5"/>
  <c r="B4224" i="5"/>
  <c r="C4224" i="5"/>
  <c r="B4225" i="5"/>
  <c r="C4225" i="5"/>
  <c r="B4226" i="5"/>
  <c r="C4226" i="5"/>
  <c r="B4227" i="5"/>
  <c r="C4227" i="5"/>
  <c r="B4228" i="5"/>
  <c r="C4228" i="5"/>
  <c r="B4229" i="5"/>
  <c r="C4229" i="5"/>
  <c r="B4230" i="5"/>
  <c r="C4230" i="5"/>
  <c r="B4231" i="5"/>
  <c r="C4231" i="5"/>
  <c r="B4232" i="5"/>
  <c r="C4232" i="5"/>
  <c r="B4233" i="5"/>
  <c r="C4233" i="5"/>
  <c r="F2262" i="1"/>
  <c r="E2252" i="1"/>
  <c r="G2274" i="1"/>
  <c r="E2259" i="1"/>
  <c r="F2229" i="1"/>
  <c r="F2241" i="1" s="1"/>
  <c r="G2241" i="1"/>
  <c r="E2234" i="1"/>
  <c r="E2274" i="1" l="1"/>
  <c r="E2275" i="1" s="1"/>
  <c r="F2274" i="1"/>
  <c r="E2241" i="1"/>
  <c r="E2242" i="1" s="1"/>
  <c r="Y30" i="25" l="1"/>
  <c r="Y29" i="25"/>
  <c r="Y28" i="25"/>
  <c r="Y26" i="25"/>
  <c r="Y24" i="25"/>
  <c r="Y22" i="25"/>
  <c r="Y21" i="25"/>
  <c r="Y20" i="25"/>
  <c r="Y17" i="25"/>
  <c r="Y16" i="25"/>
  <c r="Y15" i="25"/>
  <c r="Y13" i="25"/>
  <c r="Y11" i="25"/>
  <c r="Y12" i="25"/>
  <c r="B4064" i="5"/>
  <c r="C4064" i="5"/>
  <c r="B4065" i="5"/>
  <c r="C4065" i="5"/>
  <c r="B4066" i="5"/>
  <c r="C4066" i="5"/>
  <c r="B4067" i="5"/>
  <c r="C4067" i="5"/>
  <c r="B4068" i="5"/>
  <c r="C4068" i="5"/>
  <c r="B4069" i="5"/>
  <c r="C4069" i="5"/>
  <c r="B4070" i="5"/>
  <c r="C4070" i="5"/>
  <c r="B4071" i="5"/>
  <c r="C4071" i="5"/>
  <c r="B3972" i="5"/>
  <c r="B3973" i="5"/>
  <c r="B3974" i="5"/>
  <c r="B3975" i="5"/>
  <c r="B3976" i="5"/>
  <c r="B3977" i="5"/>
  <c r="B3978" i="5"/>
  <c r="B3979" i="5"/>
  <c r="B3980" i="5"/>
  <c r="B3981" i="5"/>
  <c r="B3982" i="5"/>
  <c r="B3983" i="5"/>
  <c r="B3984" i="5"/>
  <c r="B3985" i="5"/>
  <c r="B3986" i="5"/>
  <c r="B3987" i="5"/>
  <c r="B3988" i="5"/>
  <c r="B3989" i="5"/>
  <c r="B3990" i="5"/>
  <c r="B3991" i="5"/>
  <c r="B3992" i="5"/>
  <c r="B3993" i="5"/>
  <c r="B3994" i="5"/>
  <c r="B3995" i="5"/>
  <c r="B3996" i="5"/>
  <c r="B3997" i="5"/>
  <c r="B3998" i="5"/>
  <c r="B3999" i="5"/>
  <c r="B4000" i="5"/>
  <c r="B4001" i="5"/>
  <c r="B4002" i="5"/>
  <c r="B4003" i="5"/>
  <c r="B4004" i="5"/>
  <c r="B4005" i="5"/>
  <c r="B4006" i="5"/>
  <c r="B4007" i="5"/>
  <c r="B4008" i="5"/>
  <c r="B4009" i="5"/>
  <c r="B4010" i="5"/>
  <c r="B4011" i="5"/>
  <c r="B4012" i="5"/>
  <c r="B4013" i="5"/>
  <c r="B4014" i="5"/>
  <c r="B4015" i="5"/>
  <c r="B4016" i="5"/>
  <c r="B4017" i="5"/>
  <c r="B4018" i="5"/>
  <c r="B4019" i="5"/>
  <c r="B4020" i="5"/>
  <c r="B4021" i="5"/>
  <c r="B4022" i="5"/>
  <c r="B4023" i="5"/>
  <c r="B4024" i="5"/>
  <c r="B4025" i="5"/>
  <c r="B4026" i="5"/>
  <c r="B4027" i="5"/>
  <c r="B4028" i="5"/>
  <c r="B4029" i="5"/>
  <c r="B4030" i="5"/>
  <c r="B4031" i="5"/>
  <c r="B4032" i="5"/>
  <c r="B4033" i="5"/>
  <c r="B4034" i="5"/>
  <c r="B4035" i="5"/>
  <c r="B4036" i="5"/>
  <c r="B4037" i="5"/>
  <c r="B4038" i="5"/>
  <c r="B4039" i="5"/>
  <c r="B4040" i="5"/>
  <c r="B4041" i="5"/>
  <c r="B4042" i="5"/>
  <c r="B4043" i="5"/>
  <c r="B4044" i="5"/>
  <c r="B4045" i="5"/>
  <c r="B4046" i="5"/>
  <c r="B4047" i="5"/>
  <c r="B4048" i="5"/>
  <c r="B4049" i="5"/>
  <c r="B4050" i="5"/>
  <c r="B4051" i="5"/>
  <c r="B4052" i="5"/>
  <c r="B4053" i="5"/>
  <c r="B4054" i="5"/>
  <c r="B4055" i="5"/>
  <c r="B4056" i="5"/>
  <c r="B4057" i="5"/>
  <c r="B4058" i="5"/>
  <c r="B4059" i="5"/>
  <c r="B4060" i="5"/>
  <c r="B4061" i="5"/>
  <c r="B4062" i="5"/>
  <c r="B4063" i="5"/>
  <c r="C3951" i="5"/>
  <c r="C3952" i="5"/>
  <c r="C3953" i="5"/>
  <c r="C3954" i="5"/>
  <c r="C3955" i="5"/>
  <c r="C3956" i="5"/>
  <c r="C3957" i="5"/>
  <c r="C3958" i="5"/>
  <c r="C3959" i="5"/>
  <c r="C3960" i="5"/>
  <c r="C3961" i="5"/>
  <c r="C3962" i="5"/>
  <c r="C3963" i="5"/>
  <c r="C3964" i="5"/>
  <c r="C3965" i="5"/>
  <c r="C3966" i="5"/>
  <c r="C3967" i="5"/>
  <c r="C3968" i="5"/>
  <c r="C3969" i="5"/>
  <c r="C3970" i="5"/>
  <c r="C3971" i="5"/>
  <c r="C3972" i="5"/>
  <c r="C3973" i="5"/>
  <c r="C3974" i="5"/>
  <c r="C3975" i="5"/>
  <c r="C3976" i="5"/>
  <c r="C3977" i="5"/>
  <c r="C3978" i="5"/>
  <c r="C3979" i="5"/>
  <c r="C3980" i="5"/>
  <c r="C3981" i="5"/>
  <c r="C3982" i="5"/>
  <c r="C3983" i="5"/>
  <c r="C3984" i="5"/>
  <c r="C3985" i="5"/>
  <c r="C3986" i="5"/>
  <c r="C3987" i="5"/>
  <c r="C3988" i="5"/>
  <c r="C3989" i="5"/>
  <c r="C3990" i="5"/>
  <c r="C3991" i="5"/>
  <c r="C3992" i="5"/>
  <c r="C3993" i="5"/>
  <c r="C3994" i="5"/>
  <c r="C3995" i="5"/>
  <c r="C3996" i="5"/>
  <c r="C3997" i="5"/>
  <c r="C3998" i="5"/>
  <c r="C3999" i="5"/>
  <c r="C4000" i="5"/>
  <c r="C4001" i="5"/>
  <c r="C4002" i="5"/>
  <c r="C4003" i="5"/>
  <c r="C4004" i="5"/>
  <c r="C4005" i="5"/>
  <c r="C4006" i="5"/>
  <c r="C4007" i="5"/>
  <c r="C4008" i="5"/>
  <c r="C4009" i="5"/>
  <c r="C4010" i="5"/>
  <c r="C4011" i="5"/>
  <c r="C4012" i="5"/>
  <c r="C4013" i="5"/>
  <c r="C4014" i="5"/>
  <c r="C4015" i="5"/>
  <c r="C4016" i="5"/>
  <c r="C4017" i="5"/>
  <c r="C4018" i="5"/>
  <c r="C4019" i="5"/>
  <c r="C4020" i="5"/>
  <c r="C4021" i="5"/>
  <c r="C4022" i="5"/>
  <c r="C4023" i="5"/>
  <c r="C4024" i="5"/>
  <c r="C4025" i="5"/>
  <c r="C4026" i="5"/>
  <c r="C4027" i="5"/>
  <c r="C4028" i="5"/>
  <c r="C4029" i="5"/>
  <c r="C4030" i="5"/>
  <c r="C4031" i="5"/>
  <c r="C4032" i="5"/>
  <c r="C4033" i="5"/>
  <c r="C4034" i="5"/>
  <c r="C4035" i="5"/>
  <c r="C4036" i="5"/>
  <c r="C4037" i="5"/>
  <c r="C4038" i="5"/>
  <c r="C4039" i="5"/>
  <c r="C4040" i="5"/>
  <c r="C4041" i="5"/>
  <c r="C4042" i="5"/>
  <c r="C4043" i="5"/>
  <c r="C4044" i="5"/>
  <c r="C4045" i="5"/>
  <c r="C4046" i="5"/>
  <c r="C4047" i="5"/>
  <c r="C4048" i="5"/>
  <c r="C4049" i="5"/>
  <c r="C4050" i="5"/>
  <c r="C4051" i="5"/>
  <c r="C4052" i="5"/>
  <c r="C4053" i="5"/>
  <c r="C4054" i="5"/>
  <c r="C4055" i="5"/>
  <c r="C4056" i="5"/>
  <c r="C4057" i="5"/>
  <c r="C4058" i="5"/>
  <c r="C4059" i="5"/>
  <c r="C4060" i="5"/>
  <c r="C4061" i="5"/>
  <c r="C4062" i="5"/>
  <c r="C4063" i="5"/>
  <c r="F30" i="25"/>
  <c r="F2218" i="1" l="1"/>
  <c r="G2218" i="1"/>
  <c r="E2210" i="1"/>
  <c r="E2209" i="1"/>
  <c r="E2208" i="1"/>
  <c r="E2185" i="1"/>
  <c r="D2186" i="1"/>
  <c r="E2186" i="1" s="1"/>
  <c r="E2218" i="1" l="1"/>
  <c r="E2219" i="1" s="1"/>
  <c r="B26" i="25" l="1"/>
  <c r="C26" i="25"/>
  <c r="B27" i="25"/>
  <c r="C27" i="25"/>
  <c r="B28" i="25"/>
  <c r="C28" i="25"/>
  <c r="B29" i="25"/>
  <c r="C29" i="25"/>
  <c r="B30" i="25"/>
  <c r="C30" i="25"/>
  <c r="B3882" i="5"/>
  <c r="C3882" i="5"/>
  <c r="B3883" i="5"/>
  <c r="C3883" i="5"/>
  <c r="B3884" i="5"/>
  <c r="C3884" i="5"/>
  <c r="B3885" i="5"/>
  <c r="C3885" i="5"/>
  <c r="B3886" i="5"/>
  <c r="C3886" i="5"/>
  <c r="B3887" i="5"/>
  <c r="C3887" i="5"/>
  <c r="B3888" i="5"/>
  <c r="C3888" i="5"/>
  <c r="B3889" i="5"/>
  <c r="C3889" i="5"/>
  <c r="B3890" i="5"/>
  <c r="C3890" i="5"/>
  <c r="B3891" i="5"/>
  <c r="C3891" i="5"/>
  <c r="B3892" i="5"/>
  <c r="C3892" i="5"/>
  <c r="B3893" i="5"/>
  <c r="C3893" i="5"/>
  <c r="B3894" i="5"/>
  <c r="C3894" i="5"/>
  <c r="B3895" i="5"/>
  <c r="C3895" i="5"/>
  <c r="B3896" i="5"/>
  <c r="C3896" i="5"/>
  <c r="B3897" i="5"/>
  <c r="C3897" i="5"/>
  <c r="B3898" i="5"/>
  <c r="C3898" i="5"/>
  <c r="B3899" i="5"/>
  <c r="C3899" i="5"/>
  <c r="B3900" i="5"/>
  <c r="C3900" i="5"/>
  <c r="B3901" i="5"/>
  <c r="C3901" i="5"/>
  <c r="B3902" i="5"/>
  <c r="C3902" i="5"/>
  <c r="B3903" i="5"/>
  <c r="C3903" i="5"/>
  <c r="B3904" i="5"/>
  <c r="C3904" i="5"/>
  <c r="B3905" i="5"/>
  <c r="C3905" i="5"/>
  <c r="B3906" i="5"/>
  <c r="C3906" i="5"/>
  <c r="B3907" i="5"/>
  <c r="C3907" i="5"/>
  <c r="B3908" i="5"/>
  <c r="C3908" i="5"/>
  <c r="B3909" i="5"/>
  <c r="C3909" i="5"/>
  <c r="B3910" i="5"/>
  <c r="C3910" i="5"/>
  <c r="B3911" i="5"/>
  <c r="C3911" i="5"/>
  <c r="B3912" i="5"/>
  <c r="C3912" i="5"/>
  <c r="B3913" i="5"/>
  <c r="C3913" i="5"/>
  <c r="B3914" i="5"/>
  <c r="C3914" i="5"/>
  <c r="B3915" i="5"/>
  <c r="C3915" i="5"/>
  <c r="B3916" i="5"/>
  <c r="C3916" i="5"/>
  <c r="B3917" i="5"/>
  <c r="C3917" i="5"/>
  <c r="B3918" i="5"/>
  <c r="C3918" i="5"/>
  <c r="B3919" i="5"/>
  <c r="C3919" i="5"/>
  <c r="B3920" i="5"/>
  <c r="C3920" i="5"/>
  <c r="B3921" i="5"/>
  <c r="C3921" i="5"/>
  <c r="B3922" i="5"/>
  <c r="C3922" i="5"/>
  <c r="B3923" i="5"/>
  <c r="C3923" i="5"/>
  <c r="B3924" i="5"/>
  <c r="C3924" i="5"/>
  <c r="B3925" i="5"/>
  <c r="C3925" i="5"/>
  <c r="B3926" i="5"/>
  <c r="C3926" i="5"/>
  <c r="B3927" i="5"/>
  <c r="C3927" i="5"/>
  <c r="B3928" i="5"/>
  <c r="C3928" i="5"/>
  <c r="B3929" i="5"/>
  <c r="C3929" i="5"/>
  <c r="B3930" i="5"/>
  <c r="C3930" i="5"/>
  <c r="B3931" i="5"/>
  <c r="C3931" i="5"/>
  <c r="B3932" i="5"/>
  <c r="C3932" i="5"/>
  <c r="B3933" i="5"/>
  <c r="C3933" i="5"/>
  <c r="B3934" i="5"/>
  <c r="C3934" i="5"/>
  <c r="B3935" i="5"/>
  <c r="C3935" i="5"/>
  <c r="B3936" i="5"/>
  <c r="C3936" i="5"/>
  <c r="B3937" i="5"/>
  <c r="C3937" i="5"/>
  <c r="B3938" i="5"/>
  <c r="C3938" i="5"/>
  <c r="B3939" i="5"/>
  <c r="C3939" i="5"/>
  <c r="B3940" i="5"/>
  <c r="C3940" i="5"/>
  <c r="B3941" i="5"/>
  <c r="C3941" i="5"/>
  <c r="B3942" i="5"/>
  <c r="C3942" i="5"/>
  <c r="B3943" i="5"/>
  <c r="C3943" i="5"/>
  <c r="B3944" i="5"/>
  <c r="C3944" i="5"/>
  <c r="B3945" i="5"/>
  <c r="C3945" i="5"/>
  <c r="B3946" i="5"/>
  <c r="C3946" i="5"/>
  <c r="B3947" i="5"/>
  <c r="C3947" i="5"/>
  <c r="B3948" i="5"/>
  <c r="C3948" i="5"/>
  <c r="B3949" i="5"/>
  <c r="C3949" i="5"/>
  <c r="B3950" i="5"/>
  <c r="C3950" i="5"/>
  <c r="B3951" i="5"/>
  <c r="B3952" i="5"/>
  <c r="B3953" i="5"/>
  <c r="B3954" i="5"/>
  <c r="B3955" i="5"/>
  <c r="B3956" i="5"/>
  <c r="B3957" i="5"/>
  <c r="B3958" i="5"/>
  <c r="B3959" i="5"/>
  <c r="B3960" i="5"/>
  <c r="B3961" i="5"/>
  <c r="B3962" i="5"/>
  <c r="B3963" i="5"/>
  <c r="B3964" i="5"/>
  <c r="B3965" i="5"/>
  <c r="B3966" i="5"/>
  <c r="B3967" i="5"/>
  <c r="B3968" i="5"/>
  <c r="B3969" i="5"/>
  <c r="B3970" i="5"/>
  <c r="B3971" i="5"/>
  <c r="G2191" i="1"/>
  <c r="E2191" i="1"/>
  <c r="E2192" i="1" s="1"/>
  <c r="F2191" i="1"/>
  <c r="W26" i="25"/>
  <c r="B23" i="25"/>
  <c r="C23" i="25"/>
  <c r="B24" i="25"/>
  <c r="C24" i="25"/>
  <c r="W24" i="25"/>
  <c r="W8" i="25"/>
  <c r="W9" i="25"/>
  <c r="AM9" i="25" s="1"/>
  <c r="W10" i="25"/>
  <c r="W11" i="25"/>
  <c r="W12" i="25"/>
  <c r="W13" i="25"/>
  <c r="W15" i="25"/>
  <c r="W16" i="25"/>
  <c r="W17" i="25"/>
  <c r="W19" i="25"/>
  <c r="W20" i="25"/>
  <c r="W21" i="25"/>
  <c r="W22" i="25"/>
  <c r="W23" i="25"/>
  <c r="X23" i="25" s="1"/>
  <c r="Y23" i="25" s="1"/>
  <c r="Z23" i="25" s="1"/>
  <c r="AA23" i="25" s="1"/>
  <c r="AB23" i="25" s="1"/>
  <c r="W41" i="25"/>
  <c r="W4" i="25"/>
  <c r="W3" i="25"/>
  <c r="AC23" i="25" l="1"/>
  <c r="AD23" i="25" s="1"/>
  <c r="AE23" i="25" s="1"/>
  <c r="AF23" i="25" s="1"/>
  <c r="AG23" i="25" s="1"/>
  <c r="AH23" i="25" s="1"/>
  <c r="AI23" i="25" s="1"/>
  <c r="AJ23" i="25" s="1"/>
  <c r="AK23" i="25" s="1"/>
  <c r="AL23" i="25" s="1"/>
  <c r="AM23" i="25" s="1"/>
  <c r="AN23" i="25" s="1"/>
  <c r="AO23" i="25" s="1"/>
  <c r="G2167" i="1"/>
  <c r="F2167" i="1"/>
  <c r="E2167" i="1"/>
  <c r="E2168" i="1" s="1"/>
  <c r="E2138" i="1" l="1"/>
  <c r="E2137" i="1"/>
  <c r="C3835" i="5"/>
  <c r="C3836" i="5"/>
  <c r="C3837" i="5"/>
  <c r="C3838" i="5"/>
  <c r="C3839" i="5"/>
  <c r="C3840" i="5"/>
  <c r="C3841" i="5"/>
  <c r="C3842" i="5"/>
  <c r="C3843" i="5"/>
  <c r="C3844" i="5"/>
  <c r="C3845" i="5"/>
  <c r="C3846" i="5"/>
  <c r="C3847" i="5"/>
  <c r="C3848" i="5"/>
  <c r="C3849" i="5"/>
  <c r="C3850" i="5"/>
  <c r="C3851" i="5"/>
  <c r="C3852" i="5"/>
  <c r="C3853" i="5"/>
  <c r="C3854" i="5"/>
  <c r="C3855" i="5"/>
  <c r="C3856" i="5"/>
  <c r="C3857" i="5"/>
  <c r="C3858" i="5"/>
  <c r="C3859" i="5"/>
  <c r="C3860" i="5"/>
  <c r="C3861" i="5"/>
  <c r="C3862" i="5"/>
  <c r="C3863" i="5"/>
  <c r="C3864" i="5"/>
  <c r="C3865" i="5"/>
  <c r="C3866" i="5"/>
  <c r="C3867" i="5"/>
  <c r="C3868" i="5"/>
  <c r="C3869" i="5"/>
  <c r="C3870" i="5"/>
  <c r="C3871" i="5"/>
  <c r="C3872" i="5"/>
  <c r="C3873" i="5"/>
  <c r="C3874" i="5"/>
  <c r="C3875" i="5"/>
  <c r="C3876" i="5"/>
  <c r="C3877" i="5"/>
  <c r="C3878" i="5"/>
  <c r="C3879" i="5"/>
  <c r="C3880" i="5"/>
  <c r="C3881" i="5"/>
  <c r="B3842" i="5"/>
  <c r="B3843" i="5"/>
  <c r="B3844" i="5"/>
  <c r="B3845" i="5"/>
  <c r="B3846" i="5"/>
  <c r="B3847" i="5"/>
  <c r="B3848" i="5"/>
  <c r="B3849" i="5"/>
  <c r="B3850" i="5"/>
  <c r="B3851" i="5"/>
  <c r="B3852" i="5"/>
  <c r="B3853" i="5"/>
  <c r="B3854" i="5"/>
  <c r="B3855" i="5"/>
  <c r="B3856" i="5"/>
  <c r="B3857" i="5"/>
  <c r="B3858" i="5"/>
  <c r="B3859" i="5"/>
  <c r="B3860" i="5"/>
  <c r="B3861" i="5"/>
  <c r="B3862" i="5"/>
  <c r="B3863" i="5"/>
  <c r="B3864" i="5"/>
  <c r="B3865" i="5"/>
  <c r="B3866" i="5"/>
  <c r="B3867" i="5"/>
  <c r="B3868" i="5"/>
  <c r="B3869" i="5"/>
  <c r="B3870" i="5"/>
  <c r="B3871" i="5"/>
  <c r="B3837" i="5"/>
  <c r="B3838" i="5"/>
  <c r="B3839" i="5"/>
  <c r="B3840" i="5"/>
  <c r="B3841" i="5"/>
  <c r="B3834" i="5"/>
  <c r="B3835" i="5"/>
  <c r="B3836" i="5"/>
  <c r="B3872" i="5"/>
  <c r="B3873" i="5"/>
  <c r="B3874" i="5"/>
  <c r="B3875" i="5"/>
  <c r="B3876" i="5"/>
  <c r="B3877" i="5"/>
  <c r="B3878" i="5"/>
  <c r="B3879" i="5"/>
  <c r="B3880" i="5"/>
  <c r="B3881" i="5"/>
  <c r="C108" i="12" l="1"/>
  <c r="B3756" i="5"/>
  <c r="C3756" i="5"/>
  <c r="B3757" i="5"/>
  <c r="C3757" i="5"/>
  <c r="B3758" i="5"/>
  <c r="C3758" i="5"/>
  <c r="B3759" i="5"/>
  <c r="C3759" i="5"/>
  <c r="B3760" i="5"/>
  <c r="C3760" i="5"/>
  <c r="B3761" i="5"/>
  <c r="C3761" i="5"/>
  <c r="B3762" i="5"/>
  <c r="C3762" i="5"/>
  <c r="B3763" i="5"/>
  <c r="C3763" i="5"/>
  <c r="B3764" i="5"/>
  <c r="C3764" i="5"/>
  <c r="B3765" i="5"/>
  <c r="C3765" i="5"/>
  <c r="B3766" i="5"/>
  <c r="C3766" i="5"/>
  <c r="B3767" i="5"/>
  <c r="C3767" i="5"/>
  <c r="B3768" i="5"/>
  <c r="C3768" i="5"/>
  <c r="B3769" i="5"/>
  <c r="C3769" i="5"/>
  <c r="B3770" i="5"/>
  <c r="C3770" i="5"/>
  <c r="B3771" i="5"/>
  <c r="C3771" i="5"/>
  <c r="B3772" i="5"/>
  <c r="C3772" i="5"/>
  <c r="B3773" i="5"/>
  <c r="C3773" i="5"/>
  <c r="B3774" i="5"/>
  <c r="C3774" i="5"/>
  <c r="B3775" i="5"/>
  <c r="C3775" i="5"/>
  <c r="B3776" i="5"/>
  <c r="C3776" i="5"/>
  <c r="B3777" i="5"/>
  <c r="C3777" i="5"/>
  <c r="B3778" i="5"/>
  <c r="C3778" i="5"/>
  <c r="B3779" i="5"/>
  <c r="C3779" i="5"/>
  <c r="B3780" i="5"/>
  <c r="C3780" i="5"/>
  <c r="B3781" i="5"/>
  <c r="C3781" i="5"/>
  <c r="B3782" i="5"/>
  <c r="C3782" i="5"/>
  <c r="B3783" i="5"/>
  <c r="C3783" i="5"/>
  <c r="B3784" i="5"/>
  <c r="C3784" i="5"/>
  <c r="B3785" i="5"/>
  <c r="C3785" i="5"/>
  <c r="B3786" i="5"/>
  <c r="C3786" i="5"/>
  <c r="B3787" i="5"/>
  <c r="C3787" i="5"/>
  <c r="B3788" i="5"/>
  <c r="C3788" i="5"/>
  <c r="B3789" i="5"/>
  <c r="C3789" i="5"/>
  <c r="B3790" i="5"/>
  <c r="C3790" i="5"/>
  <c r="B3791" i="5"/>
  <c r="C3791" i="5"/>
  <c r="B3792" i="5"/>
  <c r="C3792" i="5"/>
  <c r="B3793" i="5"/>
  <c r="C3793" i="5"/>
  <c r="B3794" i="5"/>
  <c r="C3794" i="5"/>
  <c r="B3795" i="5"/>
  <c r="C3795" i="5"/>
  <c r="B3796" i="5"/>
  <c r="C3796" i="5"/>
  <c r="B3797" i="5"/>
  <c r="C3797" i="5"/>
  <c r="B3798" i="5"/>
  <c r="C3798" i="5"/>
  <c r="B3799" i="5"/>
  <c r="C3799" i="5"/>
  <c r="B3800" i="5"/>
  <c r="C3800" i="5"/>
  <c r="B3801" i="5"/>
  <c r="C3801" i="5"/>
  <c r="B3802" i="5"/>
  <c r="C3802" i="5"/>
  <c r="B3803" i="5"/>
  <c r="C3803" i="5"/>
  <c r="B3804" i="5"/>
  <c r="C3804" i="5"/>
  <c r="B3805" i="5"/>
  <c r="C3805" i="5"/>
  <c r="B3806" i="5"/>
  <c r="C3806" i="5"/>
  <c r="B3807" i="5"/>
  <c r="C3807" i="5"/>
  <c r="B3808" i="5"/>
  <c r="C3808" i="5"/>
  <c r="B3809" i="5"/>
  <c r="C3809" i="5"/>
  <c r="B3810" i="5"/>
  <c r="C3810" i="5"/>
  <c r="B3811" i="5"/>
  <c r="C3811" i="5"/>
  <c r="B3812" i="5"/>
  <c r="C3812" i="5"/>
  <c r="B3813" i="5"/>
  <c r="C3813" i="5"/>
  <c r="B3814" i="5"/>
  <c r="C3814" i="5"/>
  <c r="B3815" i="5"/>
  <c r="C3815" i="5"/>
  <c r="B3816" i="5"/>
  <c r="C3816" i="5"/>
  <c r="B3817" i="5"/>
  <c r="C3817" i="5"/>
  <c r="B3818" i="5"/>
  <c r="C3818" i="5"/>
  <c r="B3819" i="5"/>
  <c r="C3819" i="5"/>
  <c r="B3820" i="5"/>
  <c r="C3820" i="5"/>
  <c r="B3821" i="5"/>
  <c r="C3821" i="5"/>
  <c r="B3822" i="5"/>
  <c r="C3822" i="5"/>
  <c r="B3823" i="5"/>
  <c r="C3823" i="5"/>
  <c r="B3824" i="5"/>
  <c r="C3824" i="5"/>
  <c r="B3825" i="5"/>
  <c r="C3825" i="5"/>
  <c r="B3826" i="5"/>
  <c r="C3826" i="5"/>
  <c r="B3827" i="5"/>
  <c r="C3827" i="5"/>
  <c r="B3828" i="5"/>
  <c r="C3828" i="5"/>
  <c r="B3829" i="5"/>
  <c r="C3829" i="5"/>
  <c r="B3830" i="5"/>
  <c r="C3830" i="5"/>
  <c r="B3831" i="5"/>
  <c r="C3831" i="5"/>
  <c r="B3832" i="5"/>
  <c r="C3832" i="5"/>
  <c r="B3833" i="5"/>
  <c r="C3833" i="5"/>
  <c r="C3834" i="5"/>
  <c r="F3740" i="5" l="1"/>
  <c r="F5320" i="5" s="1"/>
  <c r="B3740" i="5" l="1"/>
  <c r="C3740" i="5"/>
  <c r="B3741" i="5"/>
  <c r="C3741" i="5"/>
  <c r="B3742" i="5"/>
  <c r="C3742" i="5"/>
  <c r="B3743" i="5"/>
  <c r="C3743" i="5"/>
  <c r="B3744" i="5"/>
  <c r="C3744" i="5"/>
  <c r="B3745" i="5"/>
  <c r="C3745" i="5"/>
  <c r="B3746" i="5"/>
  <c r="C3746" i="5"/>
  <c r="B3747" i="5"/>
  <c r="C3747" i="5"/>
  <c r="B3748" i="5"/>
  <c r="C3748" i="5"/>
  <c r="B3749" i="5"/>
  <c r="C3749" i="5"/>
  <c r="B3750" i="5"/>
  <c r="C3750" i="5"/>
  <c r="B3751" i="5"/>
  <c r="C3751" i="5"/>
  <c r="B3752" i="5"/>
  <c r="C3752" i="5"/>
  <c r="B3753" i="5"/>
  <c r="C3753" i="5"/>
  <c r="B3754" i="5"/>
  <c r="C3754" i="5"/>
  <c r="B3755" i="5"/>
  <c r="C3755" i="5"/>
  <c r="I65" i="26" l="1"/>
  <c r="H65" i="26"/>
  <c r="E65" i="26"/>
  <c r="G65" i="26"/>
  <c r="F65" i="26"/>
  <c r="D65" i="26"/>
  <c r="M65" i="26"/>
  <c r="C65" i="26"/>
  <c r="L65" i="26"/>
  <c r="B65" i="26"/>
  <c r="K65" i="26"/>
  <c r="J65" i="26"/>
  <c r="I42" i="26"/>
  <c r="F42" i="26"/>
  <c r="J42" i="26"/>
  <c r="K42" i="26"/>
  <c r="L42" i="26"/>
  <c r="E42" i="26"/>
  <c r="M42" i="26"/>
  <c r="D42" i="26"/>
  <c r="C42" i="26"/>
  <c r="G42" i="26"/>
  <c r="H42" i="26"/>
  <c r="B42" i="26"/>
  <c r="H18" i="26"/>
  <c r="L18" i="26"/>
  <c r="I18" i="26"/>
  <c r="J18" i="26"/>
  <c r="F18" i="26"/>
  <c r="B18" i="26"/>
  <c r="E18" i="26"/>
  <c r="C18" i="26"/>
  <c r="K18" i="26"/>
  <c r="G18" i="26"/>
  <c r="D18" i="26"/>
  <c r="M18" i="26"/>
  <c r="G2144" i="1"/>
  <c r="F2144" i="1"/>
  <c r="E2144" i="1"/>
  <c r="E2145" i="1" s="1"/>
  <c r="E2081" i="1"/>
  <c r="B22" i="25"/>
  <c r="C22" i="25"/>
  <c r="U4" i="25"/>
  <c r="U7" i="25"/>
  <c r="U8" i="25"/>
  <c r="U9" i="25"/>
  <c r="AK9" i="25" s="1"/>
  <c r="U10" i="25"/>
  <c r="U11" i="25"/>
  <c r="U12" i="25"/>
  <c r="U13" i="25"/>
  <c r="U15" i="25"/>
  <c r="U16" i="25"/>
  <c r="U17" i="25"/>
  <c r="U18" i="25"/>
  <c r="U19" i="25"/>
  <c r="U20" i="25"/>
  <c r="U21" i="25"/>
  <c r="U22" i="25"/>
  <c r="U3" i="25"/>
  <c r="S4" i="25"/>
  <c r="S7" i="25"/>
  <c r="S8" i="25"/>
  <c r="S9" i="25"/>
  <c r="AI9" i="25" s="1"/>
  <c r="S10" i="25"/>
  <c r="S11" i="25"/>
  <c r="S12" i="25"/>
  <c r="S13" i="25"/>
  <c r="S15" i="25"/>
  <c r="S16" i="25"/>
  <c r="S17" i="25"/>
  <c r="S18" i="25"/>
  <c r="S19" i="25"/>
  <c r="S20" i="25"/>
  <c r="S21" i="25"/>
  <c r="S22" i="25"/>
  <c r="S3" i="25"/>
  <c r="B3724" i="5" l="1"/>
  <c r="C3724" i="5"/>
  <c r="B3725" i="5"/>
  <c r="C3725" i="5"/>
  <c r="B3731" i="5"/>
  <c r="C3731" i="5"/>
  <c r="B3732" i="5"/>
  <c r="C3732" i="5"/>
  <c r="B3734" i="5"/>
  <c r="C3734" i="5"/>
  <c r="B3735" i="5"/>
  <c r="C3735" i="5"/>
  <c r="B3736" i="5"/>
  <c r="C3736" i="5"/>
  <c r="B3737" i="5"/>
  <c r="C3737" i="5"/>
  <c r="B3738" i="5"/>
  <c r="C3738" i="5"/>
  <c r="B3739" i="5"/>
  <c r="C3739" i="5"/>
  <c r="B3726" i="5" l="1"/>
  <c r="C3726" i="5"/>
  <c r="B3727" i="5"/>
  <c r="C3727" i="5"/>
  <c r="B3728" i="5"/>
  <c r="C3728" i="5"/>
  <c r="B3729" i="5"/>
  <c r="C3729" i="5"/>
  <c r="B3730" i="5"/>
  <c r="C3730" i="5"/>
  <c r="B3733" i="5"/>
  <c r="C3733" i="5"/>
  <c r="B3640" i="5"/>
  <c r="C3640" i="5"/>
  <c r="B3641" i="5"/>
  <c r="C3641" i="5"/>
  <c r="B3642" i="5"/>
  <c r="C3642" i="5"/>
  <c r="B3643" i="5"/>
  <c r="C3643" i="5"/>
  <c r="B3644" i="5"/>
  <c r="C3644" i="5"/>
  <c r="B3645" i="5"/>
  <c r="C3645" i="5"/>
  <c r="B3646" i="5"/>
  <c r="C3646" i="5"/>
  <c r="B3647" i="5"/>
  <c r="C3647" i="5"/>
  <c r="B3648" i="5"/>
  <c r="C3648" i="5"/>
  <c r="B3649" i="5"/>
  <c r="C3649" i="5"/>
  <c r="B3650" i="5"/>
  <c r="C3650" i="5"/>
  <c r="B3651" i="5"/>
  <c r="C3651" i="5"/>
  <c r="B3652" i="5"/>
  <c r="C3652" i="5"/>
  <c r="B3653" i="5"/>
  <c r="C3653" i="5"/>
  <c r="B3654" i="5"/>
  <c r="C3654" i="5"/>
  <c r="B3655" i="5"/>
  <c r="C3655" i="5"/>
  <c r="B3656" i="5"/>
  <c r="C3656" i="5"/>
  <c r="B3657" i="5"/>
  <c r="C3657" i="5"/>
  <c r="B3658" i="5"/>
  <c r="C3658" i="5"/>
  <c r="B3659" i="5"/>
  <c r="C3659" i="5"/>
  <c r="B3660" i="5"/>
  <c r="C3660" i="5"/>
  <c r="B3661" i="5"/>
  <c r="C3661" i="5"/>
  <c r="B3662" i="5"/>
  <c r="C3662" i="5"/>
  <c r="B3663" i="5"/>
  <c r="C3663" i="5"/>
  <c r="B3664" i="5"/>
  <c r="C3664" i="5"/>
  <c r="B3665" i="5"/>
  <c r="C3665" i="5"/>
  <c r="B3666" i="5"/>
  <c r="C3666" i="5"/>
  <c r="B3667" i="5"/>
  <c r="C3667" i="5"/>
  <c r="B3668" i="5"/>
  <c r="C3668" i="5"/>
  <c r="B3669" i="5"/>
  <c r="C3669" i="5"/>
  <c r="B3670" i="5"/>
  <c r="C3670" i="5"/>
  <c r="B3671" i="5"/>
  <c r="C3671" i="5"/>
  <c r="B3672" i="5"/>
  <c r="C3672" i="5"/>
  <c r="B3673" i="5"/>
  <c r="C3673" i="5"/>
  <c r="B3674" i="5"/>
  <c r="C3674" i="5"/>
  <c r="B3675" i="5"/>
  <c r="C3675" i="5"/>
  <c r="B3676" i="5"/>
  <c r="C3676" i="5"/>
  <c r="B3677" i="5"/>
  <c r="C3677" i="5"/>
  <c r="B3678" i="5"/>
  <c r="C3678" i="5"/>
  <c r="B3679" i="5"/>
  <c r="C3679" i="5"/>
  <c r="B3680" i="5"/>
  <c r="C3680" i="5"/>
  <c r="B3681" i="5"/>
  <c r="C3681" i="5"/>
  <c r="B3682" i="5"/>
  <c r="C3682" i="5"/>
  <c r="B3683" i="5"/>
  <c r="C3683" i="5"/>
  <c r="B3684" i="5"/>
  <c r="C3684" i="5"/>
  <c r="B3685" i="5"/>
  <c r="C3685" i="5"/>
  <c r="B3686" i="5"/>
  <c r="C3686" i="5"/>
  <c r="B3687" i="5"/>
  <c r="C3687" i="5"/>
  <c r="B3688" i="5"/>
  <c r="C3688" i="5"/>
  <c r="B3689" i="5"/>
  <c r="C3689" i="5"/>
  <c r="B3690" i="5"/>
  <c r="C3690" i="5"/>
  <c r="B3691" i="5"/>
  <c r="C3691" i="5"/>
  <c r="B3692" i="5"/>
  <c r="C3692" i="5"/>
  <c r="B3693" i="5"/>
  <c r="C3693" i="5"/>
  <c r="B3694" i="5"/>
  <c r="C3694" i="5"/>
  <c r="B3695" i="5"/>
  <c r="C3695" i="5"/>
  <c r="B3696" i="5"/>
  <c r="C3696" i="5"/>
  <c r="B3697" i="5"/>
  <c r="C3697" i="5"/>
  <c r="B3698" i="5"/>
  <c r="C3698" i="5"/>
  <c r="B3699" i="5"/>
  <c r="C3699" i="5"/>
  <c r="B3700" i="5"/>
  <c r="C3700" i="5"/>
  <c r="B3701" i="5"/>
  <c r="C3701" i="5"/>
  <c r="B3702" i="5"/>
  <c r="C3702" i="5"/>
  <c r="B3703" i="5"/>
  <c r="C3703" i="5"/>
  <c r="B3704" i="5"/>
  <c r="C3704" i="5"/>
  <c r="B3705" i="5"/>
  <c r="C3705" i="5"/>
  <c r="B3706" i="5"/>
  <c r="C3706" i="5"/>
  <c r="B3707" i="5"/>
  <c r="C3707" i="5"/>
  <c r="B3708" i="5"/>
  <c r="C3708" i="5"/>
  <c r="B3709" i="5"/>
  <c r="C3709" i="5"/>
  <c r="B3710" i="5"/>
  <c r="C3710" i="5"/>
  <c r="B3711" i="5"/>
  <c r="C3711" i="5"/>
  <c r="B3712" i="5"/>
  <c r="C3712" i="5"/>
  <c r="B3713" i="5"/>
  <c r="C3713" i="5"/>
  <c r="B3714" i="5"/>
  <c r="C3714" i="5"/>
  <c r="B3715" i="5"/>
  <c r="C3715" i="5"/>
  <c r="B3716" i="5"/>
  <c r="C3716" i="5"/>
  <c r="B3717" i="5"/>
  <c r="C3717" i="5"/>
  <c r="B3718" i="5"/>
  <c r="C3718" i="5"/>
  <c r="B3719" i="5"/>
  <c r="C3719" i="5"/>
  <c r="B3720" i="5"/>
  <c r="C3720" i="5"/>
  <c r="B3721" i="5"/>
  <c r="C3721" i="5"/>
  <c r="B3722" i="5"/>
  <c r="C3722" i="5"/>
  <c r="B3723" i="5"/>
  <c r="C3723" i="5"/>
  <c r="G2120" i="1"/>
  <c r="F2120" i="1"/>
  <c r="E2120" i="1"/>
  <c r="E2121" i="1" s="1"/>
  <c r="G2081" i="1"/>
  <c r="F2081" i="1"/>
  <c r="E2082" i="1"/>
  <c r="G2099" i="1"/>
  <c r="F2099" i="1"/>
  <c r="E2099" i="1"/>
  <c r="E2100" i="1" s="1"/>
  <c r="B3585" i="5"/>
  <c r="C3585" i="5"/>
  <c r="B3586" i="5"/>
  <c r="C3586" i="5"/>
  <c r="B3587" i="5"/>
  <c r="C3587" i="5"/>
  <c r="B3588" i="5"/>
  <c r="C3588" i="5"/>
  <c r="B3589" i="5"/>
  <c r="C3589" i="5"/>
  <c r="B3590" i="5"/>
  <c r="C3590" i="5"/>
  <c r="B3591" i="5"/>
  <c r="C3591" i="5"/>
  <c r="B3592" i="5"/>
  <c r="C3592" i="5"/>
  <c r="B3593" i="5"/>
  <c r="C3593" i="5"/>
  <c r="B3594" i="5"/>
  <c r="C3594" i="5"/>
  <c r="B3595" i="5"/>
  <c r="C3595" i="5"/>
  <c r="B3596" i="5"/>
  <c r="C3596" i="5"/>
  <c r="B3597" i="5"/>
  <c r="C3597" i="5"/>
  <c r="B3598" i="5"/>
  <c r="C3598" i="5"/>
  <c r="B3599" i="5"/>
  <c r="C3599" i="5"/>
  <c r="B3600" i="5"/>
  <c r="C3600" i="5"/>
  <c r="B3601" i="5"/>
  <c r="C3601" i="5"/>
  <c r="B3602" i="5"/>
  <c r="C3602" i="5"/>
  <c r="B3603" i="5"/>
  <c r="C3603" i="5"/>
  <c r="B3604" i="5"/>
  <c r="C3604" i="5"/>
  <c r="B3605" i="5"/>
  <c r="C3605" i="5"/>
  <c r="B3606" i="5"/>
  <c r="C3606" i="5"/>
  <c r="B3607" i="5"/>
  <c r="C3607" i="5"/>
  <c r="B3608" i="5"/>
  <c r="C3608" i="5"/>
  <c r="B3609" i="5"/>
  <c r="C3609" i="5"/>
  <c r="B3610" i="5"/>
  <c r="C3610" i="5"/>
  <c r="B3611" i="5"/>
  <c r="C3611" i="5"/>
  <c r="B3612" i="5"/>
  <c r="C3612" i="5"/>
  <c r="B3613" i="5"/>
  <c r="C3613" i="5"/>
  <c r="B3614" i="5"/>
  <c r="C3614" i="5"/>
  <c r="B3615" i="5"/>
  <c r="C3615" i="5"/>
  <c r="B3616" i="5"/>
  <c r="C3616" i="5"/>
  <c r="B3617" i="5"/>
  <c r="C3617" i="5"/>
  <c r="B3618" i="5"/>
  <c r="C3618" i="5"/>
  <c r="B3619" i="5"/>
  <c r="C3619" i="5"/>
  <c r="B3620" i="5"/>
  <c r="C3620" i="5"/>
  <c r="B3621" i="5"/>
  <c r="C3621" i="5"/>
  <c r="B3622" i="5"/>
  <c r="C3622" i="5"/>
  <c r="B3623" i="5"/>
  <c r="C3623" i="5"/>
  <c r="B3624" i="5"/>
  <c r="C3624" i="5"/>
  <c r="B3625" i="5"/>
  <c r="C3625" i="5"/>
  <c r="B3626" i="5"/>
  <c r="C3626" i="5"/>
  <c r="B3627" i="5"/>
  <c r="C3627" i="5"/>
  <c r="B3628" i="5"/>
  <c r="C3628" i="5"/>
  <c r="B3629" i="5"/>
  <c r="C3629" i="5"/>
  <c r="B3630" i="5"/>
  <c r="C3630" i="5"/>
  <c r="B3631" i="5"/>
  <c r="C3631" i="5"/>
  <c r="B3632" i="5"/>
  <c r="C3632" i="5"/>
  <c r="B3633" i="5"/>
  <c r="C3633" i="5"/>
  <c r="B3634" i="5"/>
  <c r="C3634" i="5"/>
  <c r="B3635" i="5"/>
  <c r="C3635" i="5"/>
  <c r="B3636" i="5"/>
  <c r="C3636" i="5"/>
  <c r="B3584" i="5"/>
  <c r="C3584" i="5"/>
  <c r="M5" i="25" l="1"/>
  <c r="M6" i="25"/>
  <c r="K5" i="25"/>
  <c r="K6" i="25"/>
  <c r="Q20" i="25"/>
  <c r="Q21" i="25"/>
  <c r="Q22" i="25"/>
  <c r="Q4" i="25"/>
  <c r="Q7" i="25"/>
  <c r="Q8" i="25"/>
  <c r="Q9" i="25"/>
  <c r="AG9" i="25" s="1"/>
  <c r="Q10" i="25"/>
  <c r="Q11" i="25"/>
  <c r="Q12" i="25"/>
  <c r="Q13" i="25"/>
  <c r="Q15" i="25"/>
  <c r="Q16" i="25"/>
  <c r="Q17" i="25"/>
  <c r="Q18" i="25"/>
  <c r="Q19" i="25"/>
  <c r="Q3" i="25"/>
  <c r="B3566" i="5" l="1"/>
  <c r="C3566" i="5"/>
  <c r="B3567" i="5"/>
  <c r="C3567" i="5"/>
  <c r="B3568" i="5"/>
  <c r="C3568" i="5"/>
  <c r="B3569" i="5"/>
  <c r="C3569" i="5"/>
  <c r="B3570" i="5"/>
  <c r="C3570" i="5"/>
  <c r="B3571" i="5"/>
  <c r="C3571" i="5"/>
  <c r="B3572" i="5"/>
  <c r="C3572" i="5"/>
  <c r="B3573" i="5"/>
  <c r="C3573" i="5"/>
  <c r="B3574" i="5"/>
  <c r="C3574" i="5"/>
  <c r="B3575" i="5"/>
  <c r="C3575" i="5"/>
  <c r="B3576" i="5"/>
  <c r="C3576" i="5"/>
  <c r="B3577" i="5"/>
  <c r="C3577" i="5"/>
  <c r="B3578" i="5"/>
  <c r="C3578" i="5"/>
  <c r="B3579" i="5"/>
  <c r="C3579" i="5"/>
  <c r="B3580" i="5"/>
  <c r="C3580" i="5"/>
  <c r="B3581" i="5"/>
  <c r="C3581" i="5"/>
  <c r="B3582" i="5"/>
  <c r="C3582" i="5"/>
  <c r="B3583" i="5"/>
  <c r="C3583" i="5"/>
  <c r="B3637" i="5"/>
  <c r="C3637" i="5"/>
  <c r="B3638" i="5"/>
  <c r="C3638" i="5"/>
  <c r="B3639" i="5"/>
  <c r="C3639" i="5"/>
  <c r="E2061" i="1" l="1"/>
  <c r="G2069" i="1" l="1"/>
  <c r="F2069" i="1"/>
  <c r="B21" i="25"/>
  <c r="C21" i="25"/>
  <c r="E2069" i="1" l="1"/>
  <c r="E2070" i="1" s="1"/>
  <c r="B3557" i="5"/>
  <c r="C3557" i="5"/>
  <c r="B3558" i="5"/>
  <c r="C3558" i="5"/>
  <c r="B3559" i="5"/>
  <c r="C3559" i="5"/>
  <c r="B3560" i="5"/>
  <c r="C3560" i="5"/>
  <c r="B3561" i="5"/>
  <c r="C3561" i="5"/>
  <c r="B3562" i="5"/>
  <c r="C3562" i="5"/>
  <c r="B3563" i="5"/>
  <c r="C3563" i="5"/>
  <c r="B3564" i="5"/>
  <c r="C3564" i="5"/>
  <c r="B3522" i="5"/>
  <c r="C3522" i="5"/>
  <c r="B3523" i="5"/>
  <c r="C3523" i="5"/>
  <c r="B3524" i="5"/>
  <c r="C3524" i="5"/>
  <c r="B3525" i="5"/>
  <c r="C3525" i="5"/>
  <c r="B3526" i="5"/>
  <c r="C3526" i="5"/>
  <c r="B3527" i="5"/>
  <c r="C3527" i="5"/>
  <c r="B3528" i="5"/>
  <c r="C3528" i="5"/>
  <c r="B3529" i="5"/>
  <c r="C3529" i="5"/>
  <c r="B3530" i="5"/>
  <c r="C3530" i="5"/>
  <c r="B3531" i="5"/>
  <c r="C3531" i="5"/>
  <c r="B20" i="25" l="1"/>
  <c r="C20" i="25"/>
  <c r="B3556" i="5"/>
  <c r="C3556" i="5"/>
  <c r="B3509" i="5"/>
  <c r="C3509" i="5"/>
  <c r="B3510" i="5"/>
  <c r="C3510" i="5"/>
  <c r="B3511" i="5"/>
  <c r="C3511" i="5"/>
  <c r="B3512" i="5"/>
  <c r="C3512" i="5"/>
  <c r="B3513" i="5"/>
  <c r="C3513" i="5"/>
  <c r="B3514" i="5"/>
  <c r="C3514" i="5"/>
  <c r="B3515" i="5"/>
  <c r="C3515" i="5"/>
  <c r="B3516" i="5"/>
  <c r="C3516" i="5"/>
  <c r="B3517" i="5"/>
  <c r="C3517" i="5"/>
  <c r="B3518" i="5"/>
  <c r="C3518" i="5"/>
  <c r="B3532" i="5"/>
  <c r="C3532" i="5"/>
  <c r="B3533" i="5"/>
  <c r="C3533" i="5"/>
  <c r="B3534" i="5"/>
  <c r="C3534" i="5"/>
  <c r="B3535" i="5"/>
  <c r="C3535" i="5"/>
  <c r="B3536" i="5"/>
  <c r="C3536" i="5"/>
  <c r="B3537" i="5"/>
  <c r="C3537" i="5"/>
  <c r="B3538" i="5"/>
  <c r="C3538" i="5"/>
  <c r="B3539" i="5"/>
  <c r="C3539" i="5"/>
  <c r="B3540" i="5"/>
  <c r="C3540" i="5"/>
  <c r="B3541" i="5"/>
  <c r="C3541" i="5"/>
  <c r="B3542" i="5"/>
  <c r="C3542" i="5"/>
  <c r="B3543" i="5"/>
  <c r="C3543" i="5"/>
  <c r="B3544" i="5"/>
  <c r="C3544" i="5"/>
  <c r="B3545" i="5"/>
  <c r="C3545" i="5"/>
  <c r="B3546" i="5"/>
  <c r="C3546" i="5"/>
  <c r="B3547" i="5"/>
  <c r="C3547" i="5"/>
  <c r="B3548" i="5"/>
  <c r="C3548" i="5"/>
  <c r="B3549" i="5"/>
  <c r="C3549" i="5"/>
  <c r="B3550" i="5"/>
  <c r="C3550" i="5"/>
  <c r="B3551" i="5"/>
  <c r="C3551" i="5"/>
  <c r="B3552" i="5"/>
  <c r="C3552" i="5"/>
  <c r="B3553" i="5"/>
  <c r="C3553" i="5"/>
  <c r="B3554" i="5"/>
  <c r="C3554" i="5"/>
  <c r="B3555" i="5"/>
  <c r="C3555" i="5"/>
  <c r="E2031" i="1"/>
  <c r="O4" i="25" l="1"/>
  <c r="O7" i="25"/>
  <c r="O8" i="25"/>
  <c r="O9" i="25"/>
  <c r="AE9" i="25" s="1"/>
  <c r="O10" i="25"/>
  <c r="O11" i="25"/>
  <c r="O12" i="25"/>
  <c r="O13" i="25"/>
  <c r="O15" i="25"/>
  <c r="O16" i="25"/>
  <c r="O17" i="25"/>
  <c r="O18" i="25"/>
  <c r="O19" i="25"/>
  <c r="O3" i="25"/>
  <c r="B3462" i="5" l="1"/>
  <c r="C3462" i="5"/>
  <c r="B3463" i="5"/>
  <c r="C3463" i="5"/>
  <c r="B3464" i="5"/>
  <c r="C3464" i="5"/>
  <c r="B3465" i="5"/>
  <c r="C3465" i="5"/>
  <c r="B3466" i="5"/>
  <c r="C3466" i="5"/>
  <c r="B3467" i="5"/>
  <c r="C3467" i="5"/>
  <c r="B3468" i="5"/>
  <c r="C3468" i="5"/>
  <c r="B3469" i="5"/>
  <c r="C3469" i="5"/>
  <c r="B3470" i="5"/>
  <c r="C3470" i="5"/>
  <c r="B3471" i="5"/>
  <c r="C3471" i="5"/>
  <c r="B3472" i="5"/>
  <c r="C3472" i="5"/>
  <c r="B3473" i="5"/>
  <c r="C3473" i="5"/>
  <c r="B3474" i="5"/>
  <c r="C3474" i="5"/>
  <c r="B3475" i="5"/>
  <c r="C3475" i="5"/>
  <c r="B3476" i="5"/>
  <c r="C3476" i="5"/>
  <c r="B3477" i="5"/>
  <c r="C3477" i="5"/>
  <c r="B3478" i="5"/>
  <c r="C3478" i="5"/>
  <c r="B3479" i="5"/>
  <c r="C3479" i="5"/>
  <c r="B3480" i="5"/>
  <c r="C3480" i="5"/>
  <c r="B3481" i="5"/>
  <c r="C3481" i="5"/>
  <c r="B3482" i="5"/>
  <c r="C3482" i="5"/>
  <c r="B3483" i="5"/>
  <c r="C3483" i="5"/>
  <c r="B3484" i="5"/>
  <c r="C3484" i="5"/>
  <c r="B3485" i="5"/>
  <c r="C3485" i="5"/>
  <c r="B3486" i="5"/>
  <c r="C3486" i="5"/>
  <c r="B3487" i="5"/>
  <c r="C3487" i="5"/>
  <c r="B3488" i="5"/>
  <c r="C3488" i="5"/>
  <c r="B3489" i="5"/>
  <c r="C3489" i="5"/>
  <c r="B3490" i="5"/>
  <c r="C3490" i="5"/>
  <c r="B3491" i="5"/>
  <c r="C3491" i="5"/>
  <c r="B3492" i="5"/>
  <c r="C3492" i="5"/>
  <c r="B3493" i="5"/>
  <c r="C3493" i="5"/>
  <c r="B3494" i="5"/>
  <c r="C3494" i="5"/>
  <c r="B3495" i="5"/>
  <c r="C3495" i="5"/>
  <c r="B3496" i="5"/>
  <c r="C3496" i="5"/>
  <c r="B3497" i="5"/>
  <c r="C3497" i="5"/>
  <c r="B3498" i="5"/>
  <c r="C3498" i="5"/>
  <c r="B3499" i="5"/>
  <c r="C3499" i="5"/>
  <c r="B3500" i="5"/>
  <c r="C3500" i="5"/>
  <c r="B3501" i="5"/>
  <c r="C3501" i="5"/>
  <c r="B3502" i="5"/>
  <c r="C3502" i="5"/>
  <c r="B3503" i="5"/>
  <c r="C3503" i="5"/>
  <c r="B3504" i="5"/>
  <c r="C3504" i="5"/>
  <c r="B3505" i="5"/>
  <c r="C3505" i="5"/>
  <c r="B3506" i="5"/>
  <c r="C3506" i="5"/>
  <c r="B3507" i="5"/>
  <c r="C3507" i="5"/>
  <c r="G2045" i="1"/>
  <c r="F2045" i="1"/>
  <c r="E2045" i="1"/>
  <c r="E2046" i="1" s="1"/>
  <c r="E2009" i="1"/>
  <c r="E2014" i="1" s="1"/>
  <c r="E2015" i="1" s="1"/>
  <c r="B3401" i="5"/>
  <c r="C3401" i="5"/>
  <c r="B3402" i="5"/>
  <c r="C3402" i="5"/>
  <c r="B3403" i="5"/>
  <c r="C3403" i="5"/>
  <c r="B3404" i="5"/>
  <c r="C3404" i="5"/>
  <c r="B3405" i="5"/>
  <c r="C3405" i="5"/>
  <c r="B3406" i="5"/>
  <c r="C3406" i="5"/>
  <c r="B3407" i="5"/>
  <c r="C3407" i="5"/>
  <c r="B3408" i="5"/>
  <c r="C3408" i="5"/>
  <c r="B3409" i="5"/>
  <c r="C3409" i="5"/>
  <c r="B3410" i="5"/>
  <c r="C3410" i="5"/>
  <c r="B3411" i="5"/>
  <c r="C3411" i="5"/>
  <c r="B3412" i="5"/>
  <c r="C3412" i="5"/>
  <c r="B3413" i="5"/>
  <c r="C3413" i="5"/>
  <c r="B3414" i="5"/>
  <c r="C3414" i="5"/>
  <c r="B3415" i="5"/>
  <c r="C3415" i="5"/>
  <c r="B3416" i="5"/>
  <c r="C3416" i="5"/>
  <c r="B3417" i="5"/>
  <c r="C3417" i="5"/>
  <c r="B3418" i="5"/>
  <c r="C3418" i="5"/>
  <c r="B3419" i="5"/>
  <c r="C3419" i="5"/>
  <c r="B3420" i="5"/>
  <c r="C3420" i="5"/>
  <c r="B3421" i="5"/>
  <c r="C3421" i="5"/>
  <c r="B3422" i="5"/>
  <c r="C3422" i="5"/>
  <c r="B3423" i="5"/>
  <c r="C3423" i="5"/>
  <c r="B3424" i="5"/>
  <c r="C3424" i="5"/>
  <c r="B3425" i="5"/>
  <c r="C3425" i="5"/>
  <c r="B3426" i="5"/>
  <c r="C3426" i="5"/>
  <c r="B3427" i="5"/>
  <c r="C3427" i="5"/>
  <c r="B3428" i="5"/>
  <c r="C3428" i="5"/>
  <c r="B3429" i="5"/>
  <c r="C3429" i="5"/>
  <c r="B3430" i="5"/>
  <c r="C3430" i="5"/>
  <c r="B3431" i="5"/>
  <c r="C3431" i="5"/>
  <c r="B3432" i="5"/>
  <c r="C3432" i="5"/>
  <c r="B3433" i="5"/>
  <c r="C3433" i="5"/>
  <c r="B3434" i="5"/>
  <c r="C3434" i="5"/>
  <c r="B3435" i="5"/>
  <c r="C3435" i="5"/>
  <c r="B3436" i="5"/>
  <c r="C3436" i="5"/>
  <c r="B3437" i="5"/>
  <c r="C3437" i="5"/>
  <c r="B3438" i="5"/>
  <c r="C3438" i="5"/>
  <c r="B3439" i="5"/>
  <c r="C3439" i="5"/>
  <c r="B3440" i="5"/>
  <c r="C3440" i="5"/>
  <c r="B3441" i="5"/>
  <c r="C3441" i="5"/>
  <c r="B3442" i="5"/>
  <c r="C3442" i="5"/>
  <c r="B3443" i="5"/>
  <c r="C3443" i="5"/>
  <c r="B3444" i="5"/>
  <c r="C3444" i="5"/>
  <c r="B3445" i="5"/>
  <c r="C3445" i="5"/>
  <c r="B3446" i="5"/>
  <c r="C3446" i="5"/>
  <c r="B3447" i="5"/>
  <c r="C3447" i="5"/>
  <c r="B3448" i="5"/>
  <c r="C3448" i="5"/>
  <c r="B3449" i="5"/>
  <c r="C3449" i="5"/>
  <c r="B3450" i="5"/>
  <c r="C3450" i="5"/>
  <c r="B3451" i="5"/>
  <c r="C3451" i="5"/>
  <c r="B3452" i="5"/>
  <c r="C3452" i="5"/>
  <c r="B3453" i="5"/>
  <c r="C3453" i="5"/>
  <c r="B3454" i="5"/>
  <c r="C3454" i="5"/>
  <c r="B3455" i="5"/>
  <c r="C3455" i="5"/>
  <c r="B3456" i="5"/>
  <c r="C3456" i="5"/>
  <c r="B3457" i="5"/>
  <c r="C3457" i="5"/>
  <c r="B3458" i="5"/>
  <c r="C3458" i="5"/>
  <c r="B3459" i="5"/>
  <c r="C3459" i="5"/>
  <c r="B3460" i="5"/>
  <c r="C3460" i="5"/>
  <c r="B3461" i="5"/>
  <c r="C3461" i="5"/>
  <c r="B3508" i="5"/>
  <c r="C3508" i="5"/>
  <c r="B3519" i="5"/>
  <c r="C3519" i="5"/>
  <c r="B3520" i="5"/>
  <c r="C3520" i="5"/>
  <c r="B3521" i="5"/>
  <c r="C3521" i="5"/>
  <c r="B3565" i="5"/>
  <c r="C3565" i="5"/>
  <c r="M19" i="25"/>
  <c r="B19" i="25"/>
  <c r="C19" i="25"/>
  <c r="G2014" i="1"/>
  <c r="F2014" i="1"/>
  <c r="M4" i="25"/>
  <c r="M7" i="25"/>
  <c r="M8" i="25"/>
  <c r="M9" i="25"/>
  <c r="AC9" i="25" s="1"/>
  <c r="M10" i="25"/>
  <c r="M11" i="25"/>
  <c r="M12" i="25"/>
  <c r="M13" i="25"/>
  <c r="M14" i="25"/>
  <c r="N14" i="25" s="1"/>
  <c r="M15" i="25"/>
  <c r="M16" i="25"/>
  <c r="M17" i="25"/>
  <c r="M18" i="25"/>
  <c r="M3" i="25"/>
  <c r="L42" i="25"/>
  <c r="B3386" i="5"/>
  <c r="C3386" i="5"/>
  <c r="B3387" i="5"/>
  <c r="C3387" i="5"/>
  <c r="B3388" i="5"/>
  <c r="C3388" i="5"/>
  <c r="B3389" i="5"/>
  <c r="C3389" i="5"/>
  <c r="B3390" i="5"/>
  <c r="C3390" i="5"/>
  <c r="B3391" i="5"/>
  <c r="C3391" i="5"/>
  <c r="B3392" i="5"/>
  <c r="C3392" i="5"/>
  <c r="B3393" i="5"/>
  <c r="C3393" i="5"/>
  <c r="B3394" i="5"/>
  <c r="C3394" i="5"/>
  <c r="B3395" i="5"/>
  <c r="C3395" i="5"/>
  <c r="B3396" i="5"/>
  <c r="C3396" i="5"/>
  <c r="B3397" i="5"/>
  <c r="C3397" i="5"/>
  <c r="B3398" i="5"/>
  <c r="C3398" i="5"/>
  <c r="B3399" i="5"/>
  <c r="C3399" i="5"/>
  <c r="B3400" i="5"/>
  <c r="C3400" i="5"/>
  <c r="B3385" i="5"/>
  <c r="C3385" i="5"/>
  <c r="M42" i="25" l="1"/>
  <c r="N42" i="25"/>
  <c r="O14" i="25"/>
  <c r="B3329" i="5"/>
  <c r="C3329" i="5"/>
  <c r="B3330" i="5"/>
  <c r="C3330" i="5"/>
  <c r="B3331" i="5"/>
  <c r="C3331" i="5"/>
  <c r="B3332" i="5"/>
  <c r="C3332" i="5"/>
  <c r="B3333" i="5"/>
  <c r="C3333" i="5"/>
  <c r="B3334" i="5"/>
  <c r="C3334" i="5"/>
  <c r="B3335" i="5"/>
  <c r="C3335" i="5"/>
  <c r="B3336" i="5"/>
  <c r="C3336" i="5"/>
  <c r="B3337" i="5"/>
  <c r="C3337" i="5"/>
  <c r="B3338" i="5"/>
  <c r="C3338" i="5"/>
  <c r="B3339" i="5"/>
  <c r="C3339" i="5"/>
  <c r="B3340" i="5"/>
  <c r="C3340" i="5"/>
  <c r="B3341" i="5"/>
  <c r="C3341" i="5"/>
  <c r="B3342" i="5"/>
  <c r="C3342" i="5"/>
  <c r="B3343" i="5"/>
  <c r="C3343" i="5"/>
  <c r="B3344" i="5"/>
  <c r="C3344" i="5"/>
  <c r="B3345" i="5"/>
  <c r="C3345" i="5"/>
  <c r="B3346" i="5"/>
  <c r="C3346" i="5"/>
  <c r="B3347" i="5"/>
  <c r="C3347" i="5"/>
  <c r="B3348" i="5"/>
  <c r="C3348" i="5"/>
  <c r="B3349" i="5"/>
  <c r="C3349" i="5"/>
  <c r="B3350" i="5"/>
  <c r="C3350" i="5"/>
  <c r="B3351" i="5"/>
  <c r="C3351" i="5"/>
  <c r="B3352" i="5"/>
  <c r="C3352" i="5"/>
  <c r="B3353" i="5"/>
  <c r="C3353" i="5"/>
  <c r="B3354" i="5"/>
  <c r="C3354" i="5"/>
  <c r="B3355" i="5"/>
  <c r="C3355" i="5"/>
  <c r="B3356" i="5"/>
  <c r="C3356" i="5"/>
  <c r="B3357" i="5"/>
  <c r="C3357" i="5"/>
  <c r="B3358" i="5"/>
  <c r="C3358" i="5"/>
  <c r="B3359" i="5"/>
  <c r="C3359" i="5"/>
  <c r="B3360" i="5"/>
  <c r="C3360" i="5"/>
  <c r="B3361" i="5"/>
  <c r="C3361" i="5"/>
  <c r="B3362" i="5"/>
  <c r="C3362" i="5"/>
  <c r="B3363" i="5"/>
  <c r="C3363" i="5"/>
  <c r="B3364" i="5"/>
  <c r="C3364" i="5"/>
  <c r="B3365" i="5"/>
  <c r="C3365" i="5"/>
  <c r="B3366" i="5"/>
  <c r="C3366" i="5"/>
  <c r="B3367" i="5"/>
  <c r="C3367" i="5"/>
  <c r="B3368" i="5"/>
  <c r="C3368" i="5"/>
  <c r="B3369" i="5"/>
  <c r="C3369" i="5"/>
  <c r="B3370" i="5"/>
  <c r="C3370" i="5"/>
  <c r="B3371" i="5"/>
  <c r="C3371" i="5"/>
  <c r="B3372" i="5"/>
  <c r="C3372" i="5"/>
  <c r="B3373" i="5"/>
  <c r="C3373" i="5"/>
  <c r="B3374" i="5"/>
  <c r="C3374" i="5"/>
  <c r="B3375" i="5"/>
  <c r="C3375" i="5"/>
  <c r="B3376" i="5"/>
  <c r="C3376" i="5"/>
  <c r="B3377" i="5"/>
  <c r="C3377" i="5"/>
  <c r="B3378" i="5"/>
  <c r="C3378" i="5"/>
  <c r="B3379" i="5"/>
  <c r="C3379" i="5"/>
  <c r="B3380" i="5"/>
  <c r="C3380" i="5"/>
  <c r="B3381" i="5"/>
  <c r="C3381" i="5"/>
  <c r="B3382" i="5"/>
  <c r="C3382" i="5"/>
  <c r="B3383" i="5"/>
  <c r="C3383" i="5"/>
  <c r="B3384" i="5"/>
  <c r="C3384" i="5"/>
  <c r="B3320" i="5"/>
  <c r="C3320" i="5"/>
  <c r="B3321" i="5"/>
  <c r="C3321" i="5"/>
  <c r="B3322" i="5"/>
  <c r="C3322" i="5"/>
  <c r="B3323" i="5"/>
  <c r="C3323" i="5"/>
  <c r="B3324" i="5"/>
  <c r="C3324" i="5"/>
  <c r="B3325" i="5"/>
  <c r="C3325" i="5"/>
  <c r="B3326" i="5"/>
  <c r="C3326" i="5"/>
  <c r="B3327" i="5"/>
  <c r="C3327" i="5"/>
  <c r="B3328" i="5"/>
  <c r="C3328" i="5"/>
  <c r="B3271" i="5"/>
  <c r="C3271" i="5"/>
  <c r="B3272" i="5"/>
  <c r="C3272" i="5"/>
  <c r="B3273" i="5"/>
  <c r="C3273" i="5"/>
  <c r="B3274" i="5"/>
  <c r="C3274" i="5"/>
  <c r="B3275" i="5"/>
  <c r="C3275" i="5"/>
  <c r="B3276" i="5"/>
  <c r="C3276" i="5"/>
  <c r="B3277" i="5"/>
  <c r="C3277" i="5"/>
  <c r="B3278" i="5"/>
  <c r="C3278" i="5"/>
  <c r="B3279" i="5"/>
  <c r="C3279" i="5"/>
  <c r="B3280" i="5"/>
  <c r="C3280" i="5"/>
  <c r="B3281" i="5"/>
  <c r="C3281" i="5"/>
  <c r="B3282" i="5"/>
  <c r="C3282" i="5"/>
  <c r="B3283" i="5"/>
  <c r="C3283" i="5"/>
  <c r="B3284" i="5"/>
  <c r="C3284" i="5"/>
  <c r="B3285" i="5"/>
  <c r="C3285" i="5"/>
  <c r="B3286" i="5"/>
  <c r="C3286" i="5"/>
  <c r="B3287" i="5"/>
  <c r="C3287" i="5"/>
  <c r="B3288" i="5"/>
  <c r="C3288" i="5"/>
  <c r="B3289" i="5"/>
  <c r="C3289" i="5"/>
  <c r="B3270" i="5"/>
  <c r="C3270" i="5"/>
  <c r="O42" i="25" l="1"/>
  <c r="P14" i="25"/>
  <c r="K16" i="25"/>
  <c r="K17" i="25"/>
  <c r="K18" i="25"/>
  <c r="B18" i="25"/>
  <c r="C18" i="25"/>
  <c r="P42" i="25" l="1"/>
  <c r="Q14" i="25"/>
  <c r="H42" i="25"/>
  <c r="R14" i="25" l="1"/>
  <c r="Q42" i="25"/>
  <c r="CD52" i="4"/>
  <c r="I16" i="25"/>
  <c r="F17" i="25"/>
  <c r="B17" i="25"/>
  <c r="C17" i="25"/>
  <c r="B16" i="25"/>
  <c r="C16" i="25"/>
  <c r="K4" i="25"/>
  <c r="K7" i="25"/>
  <c r="K8" i="25"/>
  <c r="K9" i="25"/>
  <c r="AA9" i="25" s="1"/>
  <c r="K10" i="25"/>
  <c r="K11" i="25"/>
  <c r="K12" i="25"/>
  <c r="K13" i="25"/>
  <c r="K14" i="25"/>
  <c r="K15" i="25"/>
  <c r="J42" i="25"/>
  <c r="B3212" i="5"/>
  <c r="C3212" i="5"/>
  <c r="R42" i="25" l="1"/>
  <c r="S14" i="25"/>
  <c r="K42" i="25"/>
  <c r="T14" i="25" l="1"/>
  <c r="S42" i="25"/>
  <c r="G1991" i="1"/>
  <c r="F1991" i="1"/>
  <c r="E1991" i="1"/>
  <c r="E1992" i="1" s="1"/>
  <c r="B3239" i="5"/>
  <c r="C3239" i="5"/>
  <c r="B3240" i="5"/>
  <c r="C3240" i="5"/>
  <c r="B3241" i="5"/>
  <c r="C3241" i="5"/>
  <c r="C3158" i="5"/>
  <c r="B3158" i="5"/>
  <c r="C3138" i="5"/>
  <c r="B3138" i="5"/>
  <c r="B15" i="25"/>
  <c r="C15" i="25"/>
  <c r="I15" i="25"/>
  <c r="B3164" i="5"/>
  <c r="C3164" i="5"/>
  <c r="B3165" i="5"/>
  <c r="C3165" i="5"/>
  <c r="B3166" i="5"/>
  <c r="C3166" i="5"/>
  <c r="B3167" i="5"/>
  <c r="C3167" i="5"/>
  <c r="B3168" i="5"/>
  <c r="C3168" i="5"/>
  <c r="B3169" i="5"/>
  <c r="C3169" i="5"/>
  <c r="B3170" i="5"/>
  <c r="C3170" i="5"/>
  <c r="B3171" i="5"/>
  <c r="C3171" i="5"/>
  <c r="B3172" i="5"/>
  <c r="C3172" i="5"/>
  <c r="B3173" i="5"/>
  <c r="C3173" i="5"/>
  <c r="B3174" i="5"/>
  <c r="C3174" i="5"/>
  <c r="B3175" i="5"/>
  <c r="C3175" i="5"/>
  <c r="B3176" i="5"/>
  <c r="C3176" i="5"/>
  <c r="B3177" i="5"/>
  <c r="C3177" i="5"/>
  <c r="B3178" i="5"/>
  <c r="C3178" i="5"/>
  <c r="B3179" i="5"/>
  <c r="C3179" i="5"/>
  <c r="B3180" i="5"/>
  <c r="C3180" i="5"/>
  <c r="B3181" i="5"/>
  <c r="C3181" i="5"/>
  <c r="B3182" i="5"/>
  <c r="C3182" i="5"/>
  <c r="B3183" i="5"/>
  <c r="C3183" i="5"/>
  <c r="B3184" i="5"/>
  <c r="C3184" i="5"/>
  <c r="B3185" i="5"/>
  <c r="C3185" i="5"/>
  <c r="B3186" i="5"/>
  <c r="C3186" i="5"/>
  <c r="B3187" i="5"/>
  <c r="C3187" i="5"/>
  <c r="B3188" i="5"/>
  <c r="C3188" i="5"/>
  <c r="B3189" i="5"/>
  <c r="C3189" i="5"/>
  <c r="B3190" i="5"/>
  <c r="C3190" i="5"/>
  <c r="B3191" i="5"/>
  <c r="C3191" i="5"/>
  <c r="B3192" i="5"/>
  <c r="C3192" i="5"/>
  <c r="B3193" i="5"/>
  <c r="C3193" i="5"/>
  <c r="B3194" i="5"/>
  <c r="C3194" i="5"/>
  <c r="B3195" i="5"/>
  <c r="C3195" i="5"/>
  <c r="B3196" i="5"/>
  <c r="C3196" i="5"/>
  <c r="B3197" i="5"/>
  <c r="C3197" i="5"/>
  <c r="B3198" i="5"/>
  <c r="C3198" i="5"/>
  <c r="B3199" i="5"/>
  <c r="C3199" i="5"/>
  <c r="B3200" i="5"/>
  <c r="C3200" i="5"/>
  <c r="B3201" i="5"/>
  <c r="C3201" i="5"/>
  <c r="B3214" i="5"/>
  <c r="C3214" i="5"/>
  <c r="B3215" i="5"/>
  <c r="C3215" i="5"/>
  <c r="B3216" i="5"/>
  <c r="C3216" i="5"/>
  <c r="B3217" i="5"/>
  <c r="C3217" i="5"/>
  <c r="B3218" i="5"/>
  <c r="C3218" i="5"/>
  <c r="B3219" i="5"/>
  <c r="C3219" i="5"/>
  <c r="B3220" i="5"/>
  <c r="C3220" i="5"/>
  <c r="B3221" i="5"/>
  <c r="C3221" i="5"/>
  <c r="B3222" i="5"/>
  <c r="C3222" i="5"/>
  <c r="B3223" i="5"/>
  <c r="C3223" i="5"/>
  <c r="B3224" i="5"/>
  <c r="C3224" i="5"/>
  <c r="B3225" i="5"/>
  <c r="C3225" i="5"/>
  <c r="B3226" i="5"/>
  <c r="C3226" i="5"/>
  <c r="B3227" i="5"/>
  <c r="C3227" i="5"/>
  <c r="B3228" i="5"/>
  <c r="C3228" i="5"/>
  <c r="B3229" i="5"/>
  <c r="C3229" i="5"/>
  <c r="B3230" i="5"/>
  <c r="C3230" i="5"/>
  <c r="B3231" i="5"/>
  <c r="C3231" i="5"/>
  <c r="B3232" i="5"/>
  <c r="C3232" i="5"/>
  <c r="B3233" i="5"/>
  <c r="C3233" i="5"/>
  <c r="B3234" i="5"/>
  <c r="C3234" i="5"/>
  <c r="B3235" i="5"/>
  <c r="C3235" i="5"/>
  <c r="B3236" i="5"/>
  <c r="C3236" i="5"/>
  <c r="B3237" i="5"/>
  <c r="C3237" i="5"/>
  <c r="B3238" i="5"/>
  <c r="C3238" i="5"/>
  <c r="B3242" i="5"/>
  <c r="C3242" i="5"/>
  <c r="B3243" i="5"/>
  <c r="C3243" i="5"/>
  <c r="B3244" i="5"/>
  <c r="C3244" i="5"/>
  <c r="B3245" i="5"/>
  <c r="C3245" i="5"/>
  <c r="B3246" i="5"/>
  <c r="C3246" i="5"/>
  <c r="B3247" i="5"/>
  <c r="C3247" i="5"/>
  <c r="B3248" i="5"/>
  <c r="C3248" i="5"/>
  <c r="B3249" i="5"/>
  <c r="C3249" i="5"/>
  <c r="B3250" i="5"/>
  <c r="C3250" i="5"/>
  <c r="B3251" i="5"/>
  <c r="C3251" i="5"/>
  <c r="B3252" i="5"/>
  <c r="C3252" i="5"/>
  <c r="B3253" i="5"/>
  <c r="C3253" i="5"/>
  <c r="B3254" i="5"/>
  <c r="C3254" i="5"/>
  <c r="B3255" i="5"/>
  <c r="C3255" i="5"/>
  <c r="B3256" i="5"/>
  <c r="C3256" i="5"/>
  <c r="B3257" i="5"/>
  <c r="C3257" i="5"/>
  <c r="B3258" i="5"/>
  <c r="C3258" i="5"/>
  <c r="B3259" i="5"/>
  <c r="C3259" i="5"/>
  <c r="B3260" i="5"/>
  <c r="C3260" i="5"/>
  <c r="B3261" i="5"/>
  <c r="C3261" i="5"/>
  <c r="B3262" i="5"/>
  <c r="C3262" i="5"/>
  <c r="B3263" i="5"/>
  <c r="C3263" i="5"/>
  <c r="B3264" i="5"/>
  <c r="C3264" i="5"/>
  <c r="B3265" i="5"/>
  <c r="C3265" i="5"/>
  <c r="B3096" i="5"/>
  <c r="C3096" i="5"/>
  <c r="B3097" i="5"/>
  <c r="C3097" i="5"/>
  <c r="B3098" i="5"/>
  <c r="C3098" i="5"/>
  <c r="B3099" i="5"/>
  <c r="C3099" i="5"/>
  <c r="B3100" i="5"/>
  <c r="C3100" i="5"/>
  <c r="B3101" i="5"/>
  <c r="C3101" i="5"/>
  <c r="B3102" i="5"/>
  <c r="C3102" i="5"/>
  <c r="B3103" i="5"/>
  <c r="C3103" i="5"/>
  <c r="B3104" i="5"/>
  <c r="C3104" i="5"/>
  <c r="B3202" i="5"/>
  <c r="C3202" i="5"/>
  <c r="B3203" i="5"/>
  <c r="C3203" i="5"/>
  <c r="B3204" i="5"/>
  <c r="C3204" i="5"/>
  <c r="B3205" i="5"/>
  <c r="C3205" i="5"/>
  <c r="B3206" i="5"/>
  <c r="C3206" i="5"/>
  <c r="B3207" i="5"/>
  <c r="C3207" i="5"/>
  <c r="B3208" i="5"/>
  <c r="C3208" i="5"/>
  <c r="B3209" i="5"/>
  <c r="C3209" i="5"/>
  <c r="B3210" i="5"/>
  <c r="C3210" i="5"/>
  <c r="B3211" i="5"/>
  <c r="C3211" i="5"/>
  <c r="B3213" i="5"/>
  <c r="C3213" i="5"/>
  <c r="B3266" i="5"/>
  <c r="C3266" i="5"/>
  <c r="B3267" i="5"/>
  <c r="C3267" i="5"/>
  <c r="B3268" i="5"/>
  <c r="C3268" i="5"/>
  <c r="B3269" i="5"/>
  <c r="C3269" i="5"/>
  <c r="B3290" i="5"/>
  <c r="C3290" i="5"/>
  <c r="B3291" i="5"/>
  <c r="C3291" i="5"/>
  <c r="B3292" i="5"/>
  <c r="C3292" i="5"/>
  <c r="B3293" i="5"/>
  <c r="C3293" i="5"/>
  <c r="B3294" i="5"/>
  <c r="C3294" i="5"/>
  <c r="B3295" i="5"/>
  <c r="C3295" i="5"/>
  <c r="B3296" i="5"/>
  <c r="C3296" i="5"/>
  <c r="B3297" i="5"/>
  <c r="C3297" i="5"/>
  <c r="B3298" i="5"/>
  <c r="C3298" i="5"/>
  <c r="B3299" i="5"/>
  <c r="C3299" i="5"/>
  <c r="B3300" i="5"/>
  <c r="C3300" i="5"/>
  <c r="B3301" i="5"/>
  <c r="C3301" i="5"/>
  <c r="B3302" i="5"/>
  <c r="C3302" i="5"/>
  <c r="B3303" i="5"/>
  <c r="C3303" i="5"/>
  <c r="B3304" i="5"/>
  <c r="C3304" i="5"/>
  <c r="B3305" i="5"/>
  <c r="C3305" i="5"/>
  <c r="B3306" i="5"/>
  <c r="C3306" i="5"/>
  <c r="B3307" i="5"/>
  <c r="C3307" i="5"/>
  <c r="B3308" i="5"/>
  <c r="C3308" i="5"/>
  <c r="B3309" i="5"/>
  <c r="C3309" i="5"/>
  <c r="B3310" i="5"/>
  <c r="C3310" i="5"/>
  <c r="B3311" i="5"/>
  <c r="C3311" i="5"/>
  <c r="B3312" i="5"/>
  <c r="C3312" i="5"/>
  <c r="B3313" i="5"/>
  <c r="C3313" i="5"/>
  <c r="B3314" i="5"/>
  <c r="C3314" i="5"/>
  <c r="B3315" i="5"/>
  <c r="C3315" i="5"/>
  <c r="B3147" i="5"/>
  <c r="C3147" i="5"/>
  <c r="B3148" i="5"/>
  <c r="C3148" i="5"/>
  <c r="B3149" i="5"/>
  <c r="C3149" i="5"/>
  <c r="B3150" i="5"/>
  <c r="C3150" i="5"/>
  <c r="B3151" i="5"/>
  <c r="C3151" i="5"/>
  <c r="B3152" i="5"/>
  <c r="C3152" i="5"/>
  <c r="B3153" i="5"/>
  <c r="C3153" i="5"/>
  <c r="B3154" i="5"/>
  <c r="C3154" i="5"/>
  <c r="B3155" i="5"/>
  <c r="C3155" i="5"/>
  <c r="B3156" i="5"/>
  <c r="C3156" i="5"/>
  <c r="B3157" i="5"/>
  <c r="C3157" i="5"/>
  <c r="B3159" i="5"/>
  <c r="C3159" i="5"/>
  <c r="B3160" i="5"/>
  <c r="C3160" i="5"/>
  <c r="B3161" i="5"/>
  <c r="C3161" i="5"/>
  <c r="B3162" i="5"/>
  <c r="C3162" i="5"/>
  <c r="B3163" i="5"/>
  <c r="C3163" i="5"/>
  <c r="B3137" i="5"/>
  <c r="C3137" i="5"/>
  <c r="B3139" i="5"/>
  <c r="C3139" i="5"/>
  <c r="B3140" i="5"/>
  <c r="C3140" i="5"/>
  <c r="B3141" i="5"/>
  <c r="C3141" i="5"/>
  <c r="B3142" i="5"/>
  <c r="C3142" i="5"/>
  <c r="B3143" i="5"/>
  <c r="C3143" i="5"/>
  <c r="B3144" i="5"/>
  <c r="C3144" i="5"/>
  <c r="B3145" i="5"/>
  <c r="C3145" i="5"/>
  <c r="B3146" i="5"/>
  <c r="C3146" i="5"/>
  <c r="B3316" i="5"/>
  <c r="C3316" i="5"/>
  <c r="M63" i="26" l="1"/>
  <c r="C63" i="26"/>
  <c r="L63" i="26"/>
  <c r="B63" i="26"/>
  <c r="K63" i="26"/>
  <c r="J63" i="26"/>
  <c r="H63" i="26"/>
  <c r="G63" i="26"/>
  <c r="F63" i="26"/>
  <c r="E63" i="26"/>
  <c r="D63" i="26"/>
  <c r="I63" i="26"/>
  <c r="E62" i="26"/>
  <c r="K62" i="26"/>
  <c r="D62" i="26"/>
  <c r="M62" i="26"/>
  <c r="C62" i="26"/>
  <c r="L62" i="26"/>
  <c r="B62" i="26"/>
  <c r="J62" i="26"/>
  <c r="I62" i="26"/>
  <c r="H62" i="26"/>
  <c r="G62" i="26"/>
  <c r="F62" i="26"/>
  <c r="K40" i="26"/>
  <c r="B40" i="26"/>
  <c r="L40" i="26"/>
  <c r="E40" i="26"/>
  <c r="M40" i="26"/>
  <c r="D40" i="26"/>
  <c r="C40" i="26"/>
  <c r="F40" i="26"/>
  <c r="G40" i="26"/>
  <c r="H40" i="26"/>
  <c r="I40" i="26"/>
  <c r="J40" i="26"/>
  <c r="B15" i="26"/>
  <c r="E39" i="26"/>
  <c r="C39" i="26"/>
  <c r="G39" i="26"/>
  <c r="H39" i="26"/>
  <c r="I39" i="26"/>
  <c r="D39" i="26"/>
  <c r="J39" i="26"/>
  <c r="L39" i="26"/>
  <c r="M39" i="26"/>
  <c r="B39" i="26"/>
  <c r="F39" i="26"/>
  <c r="K39" i="26"/>
  <c r="U14" i="25"/>
  <c r="T42" i="25"/>
  <c r="B16" i="26"/>
  <c r="C3059" i="5"/>
  <c r="B3059" i="5"/>
  <c r="B12" i="25"/>
  <c r="C12" i="25"/>
  <c r="F42" i="25"/>
  <c r="I4" i="25"/>
  <c r="I5" i="25"/>
  <c r="I6" i="25"/>
  <c r="I7" i="25"/>
  <c r="I8" i="25"/>
  <c r="I9" i="25"/>
  <c r="Y9" i="25" s="1"/>
  <c r="AO9" i="25" s="1"/>
  <c r="I10" i="25"/>
  <c r="I11" i="25"/>
  <c r="I12" i="25"/>
  <c r="I13" i="25"/>
  <c r="I14" i="25"/>
  <c r="I3" i="25"/>
  <c r="B10" i="25"/>
  <c r="C10" i="25"/>
  <c r="B11" i="25"/>
  <c r="C11" i="25"/>
  <c r="B7" i="25"/>
  <c r="C7" i="25"/>
  <c r="B4" i="25"/>
  <c r="C4" i="25"/>
  <c r="B5" i="25"/>
  <c r="C5" i="25"/>
  <c r="B6" i="25"/>
  <c r="C6" i="25"/>
  <c r="B8" i="25"/>
  <c r="C8" i="25"/>
  <c r="B3" i="25"/>
  <c r="C3" i="25"/>
  <c r="U42" i="25" l="1"/>
  <c r="V14" i="25"/>
  <c r="I42" i="25"/>
  <c r="C9" i="25"/>
  <c r="B9" i="25"/>
  <c r="C14" i="25"/>
  <c r="B14" i="25"/>
  <c r="C13" i="25"/>
  <c r="B13" i="25"/>
  <c r="E1945" i="1"/>
  <c r="W14" i="25" l="1"/>
  <c r="V42" i="25"/>
  <c r="G1965" i="1"/>
  <c r="F1965" i="1"/>
  <c r="E1965" i="1"/>
  <c r="E1966" i="1" s="1"/>
  <c r="B3135" i="5"/>
  <c r="C3135" i="5"/>
  <c r="B3136" i="5"/>
  <c r="C3136" i="5"/>
  <c r="B3317" i="5"/>
  <c r="C3317" i="5"/>
  <c r="B3318" i="5"/>
  <c r="C3318" i="5"/>
  <c r="B3319" i="5"/>
  <c r="C3319" i="5"/>
  <c r="B3079" i="5"/>
  <c r="C3079" i="5"/>
  <c r="B3080" i="5"/>
  <c r="C3080" i="5"/>
  <c r="B3081" i="5"/>
  <c r="C3081" i="5"/>
  <c r="B3082" i="5"/>
  <c r="C3082" i="5"/>
  <c r="B3083" i="5"/>
  <c r="C3083" i="5"/>
  <c r="B3084" i="5"/>
  <c r="C3084" i="5"/>
  <c r="B3085" i="5"/>
  <c r="C3085" i="5"/>
  <c r="B3086" i="5"/>
  <c r="C3086" i="5"/>
  <c r="B3087" i="5"/>
  <c r="C3087" i="5"/>
  <c r="B3088" i="5"/>
  <c r="C3088" i="5"/>
  <c r="B3089" i="5"/>
  <c r="C3089" i="5"/>
  <c r="B3090" i="5"/>
  <c r="C3090" i="5"/>
  <c r="B3091" i="5"/>
  <c r="C3091" i="5"/>
  <c r="B3092" i="5"/>
  <c r="C3092" i="5"/>
  <c r="B3093" i="5"/>
  <c r="C3093" i="5"/>
  <c r="B3094" i="5"/>
  <c r="C3094" i="5"/>
  <c r="B3095" i="5"/>
  <c r="C3095" i="5"/>
  <c r="B3105" i="5"/>
  <c r="C3105" i="5"/>
  <c r="B3106" i="5"/>
  <c r="C3106" i="5"/>
  <c r="B3107" i="5"/>
  <c r="C3107" i="5"/>
  <c r="B3108" i="5"/>
  <c r="C3108" i="5"/>
  <c r="B3109" i="5"/>
  <c r="C3109" i="5"/>
  <c r="B3110" i="5"/>
  <c r="C3110" i="5"/>
  <c r="B3111" i="5"/>
  <c r="C3111" i="5"/>
  <c r="B3112" i="5"/>
  <c r="C3112" i="5"/>
  <c r="B3113" i="5"/>
  <c r="C3113" i="5"/>
  <c r="B3114" i="5"/>
  <c r="C3114" i="5"/>
  <c r="B3115" i="5"/>
  <c r="C3115" i="5"/>
  <c r="B3116" i="5"/>
  <c r="C3116" i="5"/>
  <c r="B3117" i="5"/>
  <c r="C3117" i="5"/>
  <c r="B3118" i="5"/>
  <c r="C3118" i="5"/>
  <c r="B3119" i="5"/>
  <c r="C3119" i="5"/>
  <c r="B3120" i="5"/>
  <c r="C3120" i="5"/>
  <c r="B3121" i="5"/>
  <c r="C3121" i="5"/>
  <c r="B3122" i="5"/>
  <c r="C3122" i="5"/>
  <c r="B3123" i="5"/>
  <c r="C3123" i="5"/>
  <c r="B3124" i="5"/>
  <c r="C3124" i="5"/>
  <c r="B3125" i="5"/>
  <c r="C3125" i="5"/>
  <c r="B3126" i="5"/>
  <c r="C3126" i="5"/>
  <c r="B3127" i="5"/>
  <c r="C3127" i="5"/>
  <c r="B3128" i="5"/>
  <c r="C3128" i="5"/>
  <c r="B3129" i="5"/>
  <c r="C3129" i="5"/>
  <c r="B3130" i="5"/>
  <c r="C3130" i="5"/>
  <c r="B3131" i="5"/>
  <c r="C3131" i="5"/>
  <c r="B3132" i="5"/>
  <c r="C3132" i="5"/>
  <c r="B3133" i="5"/>
  <c r="C3133" i="5"/>
  <c r="B3134" i="5"/>
  <c r="C3134" i="5"/>
  <c r="K59" i="26" l="1"/>
  <c r="J59" i="26"/>
  <c r="I59" i="26"/>
  <c r="H59" i="26"/>
  <c r="F59" i="26"/>
  <c r="E59" i="26"/>
  <c r="D59" i="26"/>
  <c r="M59" i="26"/>
  <c r="C59" i="26"/>
  <c r="G59" i="26"/>
  <c r="L59" i="26"/>
  <c r="B59" i="26"/>
  <c r="I60" i="26"/>
  <c r="H60" i="26"/>
  <c r="G60" i="26"/>
  <c r="E60" i="26"/>
  <c r="F60" i="26"/>
  <c r="D60" i="26"/>
  <c r="M60" i="26"/>
  <c r="C60" i="26"/>
  <c r="L60" i="26"/>
  <c r="B60" i="26"/>
  <c r="K60" i="26"/>
  <c r="J60" i="26"/>
  <c r="B13" i="26"/>
  <c r="H37" i="26"/>
  <c r="M37" i="26"/>
  <c r="I37" i="26"/>
  <c r="J37" i="26"/>
  <c r="K37" i="26"/>
  <c r="L37" i="26"/>
  <c r="B37" i="26"/>
  <c r="E37" i="26"/>
  <c r="F37" i="26"/>
  <c r="G37" i="26"/>
  <c r="D37" i="26"/>
  <c r="C37" i="26"/>
  <c r="D36" i="26"/>
  <c r="B36" i="26"/>
  <c r="C36" i="26"/>
  <c r="H36" i="26"/>
  <c r="G36" i="26"/>
  <c r="M36" i="26"/>
  <c r="I36" i="26"/>
  <c r="F36" i="26"/>
  <c r="J36" i="26"/>
  <c r="E36" i="26"/>
  <c r="K36" i="26"/>
  <c r="L36" i="26"/>
  <c r="W42" i="25"/>
  <c r="X14" i="25"/>
  <c r="X42" i="25" s="1"/>
  <c r="B12" i="26"/>
  <c r="E1935" i="1"/>
  <c r="E1936" i="1" s="1"/>
  <c r="B3075" i="5"/>
  <c r="C3075" i="5"/>
  <c r="B3076" i="5"/>
  <c r="C3076" i="5"/>
  <c r="B3077" i="5"/>
  <c r="C3077" i="5"/>
  <c r="B3071" i="5"/>
  <c r="C3071" i="5"/>
  <c r="B3072" i="5"/>
  <c r="C3072" i="5"/>
  <c r="B3073" i="5"/>
  <c r="C3073" i="5"/>
  <c r="B3074" i="5"/>
  <c r="C3074" i="5"/>
  <c r="B3078" i="5"/>
  <c r="C3078" i="5"/>
  <c r="Y14" i="25" l="1"/>
  <c r="B3060" i="5"/>
  <c r="C3060" i="5"/>
  <c r="B3061" i="5"/>
  <c r="C3061" i="5"/>
  <c r="B3062" i="5"/>
  <c r="C3062" i="5"/>
  <c r="B3063" i="5"/>
  <c r="C3063" i="5"/>
  <c r="B3064" i="5"/>
  <c r="C3064" i="5"/>
  <c r="B3065" i="5"/>
  <c r="C3065" i="5"/>
  <c r="B3066" i="5"/>
  <c r="C3066" i="5"/>
  <c r="B3067" i="5"/>
  <c r="C3067" i="5"/>
  <c r="B3068" i="5"/>
  <c r="C3068" i="5"/>
  <c r="B3069" i="5"/>
  <c r="C3069" i="5"/>
  <c r="B3070" i="5"/>
  <c r="C3070" i="5"/>
  <c r="C3034" i="5"/>
  <c r="B3034" i="5"/>
  <c r="B3046" i="5"/>
  <c r="C3046" i="5"/>
  <c r="B3047" i="5"/>
  <c r="C3047" i="5"/>
  <c r="B3048" i="5"/>
  <c r="C3048" i="5"/>
  <c r="B3049" i="5"/>
  <c r="C3049" i="5"/>
  <c r="B3050" i="5"/>
  <c r="C3050" i="5"/>
  <c r="B3051" i="5"/>
  <c r="C3051" i="5"/>
  <c r="B3052" i="5"/>
  <c r="C3052" i="5"/>
  <c r="B3053" i="5"/>
  <c r="C3053" i="5"/>
  <c r="B3054" i="5"/>
  <c r="C3054" i="5"/>
  <c r="B3055" i="5"/>
  <c r="C3055" i="5"/>
  <c r="B3056" i="5"/>
  <c r="C3056" i="5"/>
  <c r="B3057" i="5"/>
  <c r="C3057" i="5"/>
  <c r="B3058" i="5"/>
  <c r="C3058" i="5"/>
  <c r="B3027" i="5"/>
  <c r="C3027" i="5"/>
  <c r="B3028" i="5"/>
  <c r="C3028" i="5"/>
  <c r="B3029" i="5"/>
  <c r="C3029" i="5"/>
  <c r="B3030" i="5"/>
  <c r="C3030" i="5"/>
  <c r="B3031" i="5"/>
  <c r="C3031" i="5"/>
  <c r="B3032" i="5"/>
  <c r="C3032" i="5"/>
  <c r="B3033" i="5"/>
  <c r="C3033" i="5"/>
  <c r="B3035" i="5"/>
  <c r="C3035" i="5"/>
  <c r="B3036" i="5"/>
  <c r="C3036" i="5"/>
  <c r="B3037" i="5"/>
  <c r="C3037" i="5"/>
  <c r="B3038" i="5"/>
  <c r="C3038" i="5"/>
  <c r="B3039" i="5"/>
  <c r="C3039" i="5"/>
  <c r="B3040" i="5"/>
  <c r="C3040" i="5"/>
  <c r="B3041" i="5"/>
  <c r="C3041" i="5"/>
  <c r="B3042" i="5"/>
  <c r="C3042" i="5"/>
  <c r="B3043" i="5"/>
  <c r="C3043" i="5"/>
  <c r="B3044" i="5"/>
  <c r="C3044" i="5"/>
  <c r="B3045" i="5"/>
  <c r="C3045" i="5"/>
  <c r="B56" i="26" l="1"/>
  <c r="H56" i="26"/>
  <c r="G56" i="26"/>
  <c r="M56" i="26"/>
  <c r="F56" i="26"/>
  <c r="C56" i="26"/>
  <c r="K56" i="26"/>
  <c r="D56" i="26"/>
  <c r="J56" i="26"/>
  <c r="I56" i="26"/>
  <c r="E56" i="26"/>
  <c r="L56" i="26"/>
  <c r="E52" i="26"/>
  <c r="I52" i="26"/>
  <c r="D52" i="26"/>
  <c r="C52" i="26"/>
  <c r="L52" i="26"/>
  <c r="B52" i="26"/>
  <c r="J52" i="26"/>
  <c r="H52" i="26"/>
  <c r="G52" i="26"/>
  <c r="F52" i="26"/>
  <c r="M52" i="26"/>
  <c r="K52" i="26"/>
  <c r="G51" i="26"/>
  <c r="E51" i="26"/>
  <c r="C51" i="26"/>
  <c r="M51" i="26"/>
  <c r="K51" i="26"/>
  <c r="D51" i="26"/>
  <c r="B51" i="26"/>
  <c r="J51" i="26"/>
  <c r="I51" i="26"/>
  <c r="H51" i="26"/>
  <c r="F51" i="26"/>
  <c r="L51" i="26"/>
  <c r="Y42" i="25"/>
  <c r="Z14" i="25"/>
  <c r="B29" i="26"/>
  <c r="E29" i="26"/>
  <c r="G29" i="26"/>
  <c r="H29" i="26"/>
  <c r="I29" i="26"/>
  <c r="D29" i="26"/>
  <c r="J29" i="26"/>
  <c r="K29" i="26"/>
  <c r="L29" i="26"/>
  <c r="C29" i="26"/>
  <c r="M29" i="26"/>
  <c r="F29" i="26"/>
  <c r="B28" i="26"/>
  <c r="B4" i="26"/>
  <c r="F28" i="26"/>
  <c r="M28" i="26"/>
  <c r="G28" i="26"/>
  <c r="E28" i="26"/>
  <c r="J28" i="26"/>
  <c r="K28" i="26"/>
  <c r="L28" i="26"/>
  <c r="D28" i="26"/>
  <c r="H28" i="26"/>
  <c r="I28" i="26"/>
  <c r="C28" i="26"/>
  <c r="B5" i="26"/>
  <c r="J5" i="26"/>
  <c r="K5" i="26"/>
  <c r="C5" i="26"/>
  <c r="G5" i="26"/>
  <c r="D5" i="26"/>
  <c r="I5" i="26"/>
  <c r="L5" i="26"/>
  <c r="E5" i="26"/>
  <c r="M5" i="26"/>
  <c r="F5" i="26"/>
  <c r="H5" i="26"/>
  <c r="K12" i="26"/>
  <c r="D12" i="26"/>
  <c r="L12" i="26"/>
  <c r="E12" i="26"/>
  <c r="M12" i="26"/>
  <c r="F12" i="26"/>
  <c r="G12" i="26"/>
  <c r="I12" i="26"/>
  <c r="C12" i="26"/>
  <c r="J12" i="26"/>
  <c r="H12" i="26"/>
  <c r="B3018" i="5"/>
  <c r="C3018" i="5"/>
  <c r="B3019" i="5"/>
  <c r="C3019" i="5"/>
  <c r="B3020" i="5"/>
  <c r="C3020" i="5"/>
  <c r="B3021" i="5"/>
  <c r="C3021" i="5"/>
  <c r="B3022" i="5"/>
  <c r="C3022" i="5"/>
  <c r="B3023" i="5"/>
  <c r="C3023" i="5"/>
  <c r="B3024" i="5"/>
  <c r="C3024" i="5"/>
  <c r="B3025" i="5"/>
  <c r="C3025" i="5"/>
  <c r="B3026" i="5"/>
  <c r="C3026" i="5"/>
  <c r="B3006" i="5"/>
  <c r="C3006" i="5"/>
  <c r="B3007" i="5"/>
  <c r="C3007" i="5"/>
  <c r="B3008" i="5"/>
  <c r="C3008" i="5"/>
  <c r="B3009" i="5"/>
  <c r="C3009" i="5"/>
  <c r="B3010" i="5"/>
  <c r="C3010" i="5"/>
  <c r="B3011" i="5"/>
  <c r="C3011" i="5"/>
  <c r="B3014" i="5"/>
  <c r="C3014" i="5"/>
  <c r="B3015" i="5"/>
  <c r="C3015" i="5"/>
  <c r="B3016" i="5"/>
  <c r="C3016" i="5"/>
  <c r="B3017" i="5"/>
  <c r="C3017" i="5"/>
  <c r="G1935" i="1"/>
  <c r="F1935" i="1"/>
  <c r="Z42" i="25" l="1"/>
  <c r="AA14" i="25"/>
  <c r="J1902" i="1"/>
  <c r="E1898" i="1"/>
  <c r="E1910" i="1" s="1"/>
  <c r="E1911" i="1" s="1"/>
  <c r="G1910" i="1"/>
  <c r="F1910" i="1"/>
  <c r="B2994" i="5"/>
  <c r="C2994" i="5"/>
  <c r="B2995" i="5"/>
  <c r="C2995" i="5"/>
  <c r="B2996" i="5"/>
  <c r="C2996" i="5"/>
  <c r="B2997" i="5"/>
  <c r="C2997" i="5"/>
  <c r="B2998" i="5"/>
  <c r="C2998" i="5"/>
  <c r="B2999" i="5"/>
  <c r="C2999" i="5"/>
  <c r="B3000" i="5"/>
  <c r="C3000" i="5"/>
  <c r="B3013" i="5"/>
  <c r="C3013" i="5"/>
  <c r="B3001" i="5"/>
  <c r="C3001" i="5"/>
  <c r="B3002" i="5"/>
  <c r="C3002" i="5"/>
  <c r="B3003" i="5"/>
  <c r="C3003" i="5"/>
  <c r="B3004" i="5"/>
  <c r="C3004" i="5"/>
  <c r="B3005" i="5"/>
  <c r="C3005" i="5"/>
  <c r="B2989" i="5"/>
  <c r="C2989" i="5"/>
  <c r="B2990" i="5"/>
  <c r="C2990" i="5"/>
  <c r="B2991" i="5"/>
  <c r="C2991" i="5"/>
  <c r="G1882" i="1"/>
  <c r="F1882" i="1"/>
  <c r="E1882" i="1"/>
  <c r="E1883" i="1" s="1"/>
  <c r="B2974" i="5"/>
  <c r="C2974" i="5"/>
  <c r="B2975" i="5"/>
  <c r="C2975" i="5"/>
  <c r="B2976" i="5"/>
  <c r="C2976" i="5"/>
  <c r="B2977" i="5"/>
  <c r="C2977" i="5"/>
  <c r="B2978" i="5"/>
  <c r="C2978" i="5"/>
  <c r="B2979" i="5"/>
  <c r="C2979" i="5"/>
  <c r="B2980" i="5"/>
  <c r="C2980" i="5"/>
  <c r="B2981" i="5"/>
  <c r="C2981" i="5"/>
  <c r="B2982" i="5"/>
  <c r="C2982" i="5"/>
  <c r="B2983" i="5"/>
  <c r="C2983" i="5"/>
  <c r="B2984" i="5"/>
  <c r="C2984" i="5"/>
  <c r="B2985" i="5"/>
  <c r="C2985" i="5"/>
  <c r="B2986" i="5"/>
  <c r="C2986" i="5"/>
  <c r="B2987" i="5"/>
  <c r="C2987" i="5"/>
  <c r="B2988" i="5"/>
  <c r="C2988" i="5"/>
  <c r="B2992" i="5"/>
  <c r="C2992" i="5"/>
  <c r="C2932" i="5"/>
  <c r="B2932" i="5"/>
  <c r="B2968" i="5"/>
  <c r="C2968" i="5"/>
  <c r="B2969" i="5"/>
  <c r="C2969" i="5"/>
  <c r="B2970" i="5"/>
  <c r="C2970" i="5"/>
  <c r="B2971" i="5"/>
  <c r="C2971" i="5"/>
  <c r="B2972" i="5"/>
  <c r="C2972" i="5"/>
  <c r="B2973" i="5"/>
  <c r="C2973" i="5"/>
  <c r="B2723" i="5"/>
  <c r="C2723" i="5"/>
  <c r="B2788" i="5"/>
  <c r="C2788" i="5"/>
  <c r="B2993" i="5"/>
  <c r="C2993" i="5"/>
  <c r="B2951" i="5"/>
  <c r="C2951" i="5"/>
  <c r="B2952" i="5"/>
  <c r="C2952" i="5"/>
  <c r="B2953" i="5"/>
  <c r="C2953" i="5"/>
  <c r="B2954" i="5"/>
  <c r="C2954" i="5"/>
  <c r="B2955" i="5"/>
  <c r="C2955" i="5"/>
  <c r="B2956" i="5"/>
  <c r="C2956" i="5"/>
  <c r="B2957" i="5"/>
  <c r="C2957" i="5"/>
  <c r="B2958" i="5"/>
  <c r="C2958" i="5"/>
  <c r="B2959" i="5"/>
  <c r="C2959" i="5"/>
  <c r="B2960" i="5"/>
  <c r="C2960" i="5"/>
  <c r="B2961" i="5"/>
  <c r="C2961" i="5"/>
  <c r="B2962" i="5"/>
  <c r="C2962" i="5"/>
  <c r="E1871" i="1"/>
  <c r="E1872" i="1" s="1"/>
  <c r="B2948" i="5"/>
  <c r="C2948" i="5"/>
  <c r="G1871" i="1"/>
  <c r="F1871" i="1"/>
  <c r="B2939" i="5"/>
  <c r="C2939" i="5"/>
  <c r="B2940" i="5"/>
  <c r="C2940" i="5"/>
  <c r="B2941" i="5"/>
  <c r="C2941" i="5"/>
  <c r="B2942" i="5"/>
  <c r="C2942" i="5"/>
  <c r="B2943" i="5"/>
  <c r="C2943" i="5"/>
  <c r="B2944" i="5"/>
  <c r="C2944" i="5"/>
  <c r="B2945" i="5"/>
  <c r="C2945" i="5"/>
  <c r="B2946" i="5"/>
  <c r="C2946" i="5"/>
  <c r="B2947" i="5"/>
  <c r="C2947" i="5"/>
  <c r="B2949" i="5"/>
  <c r="C2949" i="5"/>
  <c r="B2950" i="5"/>
  <c r="C2950" i="5"/>
  <c r="B2963" i="5"/>
  <c r="C2963" i="5"/>
  <c r="B2964" i="5"/>
  <c r="C2964" i="5"/>
  <c r="B2965" i="5"/>
  <c r="C2965" i="5"/>
  <c r="B2966" i="5"/>
  <c r="C2966" i="5"/>
  <c r="B2967" i="5"/>
  <c r="C2967" i="5"/>
  <c r="B2935" i="5"/>
  <c r="C2935" i="5"/>
  <c r="B2936" i="5"/>
  <c r="C2936" i="5"/>
  <c r="B2937" i="5"/>
  <c r="C2937" i="5"/>
  <c r="B2938" i="5"/>
  <c r="C2938" i="5"/>
  <c r="AB14" i="25" l="1"/>
  <c r="AA42" i="25"/>
  <c r="I52" i="12"/>
  <c r="AB42" i="25" l="1"/>
  <c r="AC14" i="25"/>
  <c r="B2904" i="5"/>
  <c r="C2904" i="5"/>
  <c r="B3012" i="5"/>
  <c r="C3012" i="5"/>
  <c r="B2929" i="5"/>
  <c r="C2929" i="5"/>
  <c r="B2906" i="5"/>
  <c r="C2906" i="5"/>
  <c r="B2907" i="5"/>
  <c r="C2907" i="5"/>
  <c r="B2908" i="5"/>
  <c r="C2908" i="5"/>
  <c r="B2909" i="5"/>
  <c r="C2909" i="5"/>
  <c r="B2930" i="5"/>
  <c r="C2930" i="5"/>
  <c r="B2931" i="5"/>
  <c r="C2931" i="5"/>
  <c r="B2933" i="5"/>
  <c r="C2933" i="5"/>
  <c r="B2934" i="5"/>
  <c r="C2934" i="5"/>
  <c r="B2905" i="5"/>
  <c r="C2905" i="5"/>
  <c r="B2921" i="5"/>
  <c r="C2921" i="5"/>
  <c r="B2922" i="5"/>
  <c r="C2922" i="5"/>
  <c r="B2845" i="5"/>
  <c r="C2845" i="5"/>
  <c r="B2846" i="5"/>
  <c r="C2846" i="5"/>
  <c r="B2847" i="5"/>
  <c r="C2847" i="5"/>
  <c r="B2848" i="5"/>
  <c r="C2848" i="5"/>
  <c r="B2849" i="5"/>
  <c r="C2849" i="5"/>
  <c r="B2850" i="5"/>
  <c r="C2850" i="5"/>
  <c r="B2851" i="5"/>
  <c r="C2851" i="5"/>
  <c r="B2852" i="5"/>
  <c r="C2852" i="5"/>
  <c r="B2853" i="5"/>
  <c r="C2853" i="5"/>
  <c r="B2854" i="5"/>
  <c r="C2854" i="5"/>
  <c r="B2855" i="5"/>
  <c r="C2855" i="5"/>
  <c r="B2856" i="5"/>
  <c r="C2856" i="5"/>
  <c r="B2857" i="5"/>
  <c r="C2857" i="5"/>
  <c r="B2858" i="5"/>
  <c r="C2858" i="5"/>
  <c r="B2859" i="5"/>
  <c r="C2859" i="5"/>
  <c r="B2860" i="5"/>
  <c r="C2860" i="5"/>
  <c r="B2861" i="5"/>
  <c r="C2861" i="5"/>
  <c r="B2923" i="5"/>
  <c r="C2923" i="5"/>
  <c r="B2924" i="5"/>
  <c r="C2924" i="5"/>
  <c r="B2925" i="5"/>
  <c r="C2925" i="5"/>
  <c r="B2926" i="5"/>
  <c r="C2926" i="5"/>
  <c r="B2927" i="5"/>
  <c r="C2927" i="5"/>
  <c r="AD14" i="25" l="1"/>
  <c r="AC42" i="25"/>
  <c r="B2928" i="5"/>
  <c r="C2928" i="5"/>
  <c r="B2888" i="5"/>
  <c r="C2888" i="5"/>
  <c r="B2889" i="5"/>
  <c r="C2889" i="5"/>
  <c r="B2890" i="5"/>
  <c r="C2890" i="5"/>
  <c r="B2891" i="5"/>
  <c r="C2891" i="5"/>
  <c r="B2892" i="5"/>
  <c r="C2892" i="5"/>
  <c r="B2893" i="5"/>
  <c r="C2893" i="5"/>
  <c r="B2894" i="5"/>
  <c r="C2894" i="5"/>
  <c r="B2895" i="5"/>
  <c r="C2895" i="5"/>
  <c r="B2896" i="5"/>
  <c r="C2896" i="5"/>
  <c r="B2897" i="5"/>
  <c r="C2897" i="5"/>
  <c r="B2898" i="5"/>
  <c r="C2898" i="5"/>
  <c r="B2899" i="5"/>
  <c r="C2899" i="5"/>
  <c r="B2900" i="5"/>
  <c r="C2900" i="5"/>
  <c r="B2901" i="5"/>
  <c r="C2901" i="5"/>
  <c r="B2902" i="5"/>
  <c r="C2902" i="5"/>
  <c r="B2903" i="5"/>
  <c r="C2903" i="5"/>
  <c r="B2910" i="5"/>
  <c r="C2910" i="5"/>
  <c r="B2911" i="5"/>
  <c r="C2911" i="5"/>
  <c r="B2912" i="5"/>
  <c r="C2912" i="5"/>
  <c r="B2913" i="5"/>
  <c r="C2913" i="5"/>
  <c r="B2914" i="5"/>
  <c r="C2914" i="5"/>
  <c r="B2915" i="5"/>
  <c r="C2915" i="5"/>
  <c r="B2916" i="5"/>
  <c r="C2916" i="5"/>
  <c r="B2917" i="5"/>
  <c r="C2917" i="5"/>
  <c r="B2918" i="5"/>
  <c r="C2918" i="5"/>
  <c r="B2919" i="5"/>
  <c r="C2919" i="5"/>
  <c r="B2920" i="5"/>
  <c r="C2920" i="5"/>
  <c r="B2866" i="5"/>
  <c r="C2866" i="5"/>
  <c r="B2867" i="5"/>
  <c r="C2867" i="5"/>
  <c r="B2868" i="5"/>
  <c r="C2868" i="5"/>
  <c r="B2869" i="5"/>
  <c r="C2869" i="5"/>
  <c r="B2870" i="5"/>
  <c r="C2870" i="5"/>
  <c r="B2871" i="5"/>
  <c r="C2871" i="5"/>
  <c r="B2872" i="5"/>
  <c r="C2872" i="5"/>
  <c r="B2873" i="5"/>
  <c r="C2873" i="5"/>
  <c r="B2874" i="5"/>
  <c r="C2874" i="5"/>
  <c r="B2875" i="5"/>
  <c r="C2875" i="5"/>
  <c r="B2876" i="5"/>
  <c r="C2876" i="5"/>
  <c r="B2877" i="5"/>
  <c r="C2877" i="5"/>
  <c r="B2878" i="5"/>
  <c r="C2878" i="5"/>
  <c r="B2879" i="5"/>
  <c r="C2879" i="5"/>
  <c r="B2880" i="5"/>
  <c r="C2880" i="5"/>
  <c r="B2881" i="5"/>
  <c r="C2881" i="5"/>
  <c r="B2882" i="5"/>
  <c r="C2882" i="5"/>
  <c r="B2883" i="5"/>
  <c r="C2883" i="5"/>
  <c r="B2884" i="5"/>
  <c r="C2884" i="5"/>
  <c r="B2885" i="5"/>
  <c r="C2885" i="5"/>
  <c r="B2886" i="5"/>
  <c r="C2886" i="5"/>
  <c r="B2887" i="5"/>
  <c r="C2887" i="5"/>
  <c r="A1843" i="1"/>
  <c r="J1841" i="1"/>
  <c r="J1840" i="1"/>
  <c r="D1843" i="1"/>
  <c r="AE14" i="25" l="1"/>
  <c r="AD42" i="25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19" i="1"/>
  <c r="E1796" i="1"/>
  <c r="H1843" i="1"/>
  <c r="G1843" i="1"/>
  <c r="F1843" i="1"/>
  <c r="E1843" i="1"/>
  <c r="AE42" i="25" l="1"/>
  <c r="AF14" i="25"/>
  <c r="J1843" i="1"/>
  <c r="L1808" i="1"/>
  <c r="L1809" i="1" s="1"/>
  <c r="N1808" i="1"/>
  <c r="M1808" i="1"/>
  <c r="G1808" i="1"/>
  <c r="F1808" i="1"/>
  <c r="E1808" i="1"/>
  <c r="E1809" i="1" s="1"/>
  <c r="AG14" i="25" l="1"/>
  <c r="AF42" i="25"/>
  <c r="AH14" i="25" l="1"/>
  <c r="AG42" i="25"/>
  <c r="B2840" i="5"/>
  <c r="C2840" i="5"/>
  <c r="B2841" i="5"/>
  <c r="C2841" i="5"/>
  <c r="B2842" i="5"/>
  <c r="C2842" i="5"/>
  <c r="B2843" i="5"/>
  <c r="C2843" i="5"/>
  <c r="B2844" i="5"/>
  <c r="C2844" i="5"/>
  <c r="B2862" i="5"/>
  <c r="C2862" i="5"/>
  <c r="B2863" i="5"/>
  <c r="C2863" i="5"/>
  <c r="B2864" i="5"/>
  <c r="C2864" i="5"/>
  <c r="B2865" i="5"/>
  <c r="C2865" i="5"/>
  <c r="B2824" i="5"/>
  <c r="C2824" i="5"/>
  <c r="B2825" i="5"/>
  <c r="C2825" i="5"/>
  <c r="B2826" i="5"/>
  <c r="C2826" i="5"/>
  <c r="B2827" i="5"/>
  <c r="C2827" i="5"/>
  <c r="B2828" i="5"/>
  <c r="C2828" i="5"/>
  <c r="B2829" i="5"/>
  <c r="C2829" i="5"/>
  <c r="B2830" i="5"/>
  <c r="C2830" i="5"/>
  <c r="B2831" i="5"/>
  <c r="C2831" i="5"/>
  <c r="B2832" i="5"/>
  <c r="C2832" i="5"/>
  <c r="B2833" i="5"/>
  <c r="C2833" i="5"/>
  <c r="B2834" i="5"/>
  <c r="C2834" i="5"/>
  <c r="B2835" i="5"/>
  <c r="C2835" i="5"/>
  <c r="B2836" i="5"/>
  <c r="C2836" i="5"/>
  <c r="B2837" i="5"/>
  <c r="C2837" i="5"/>
  <c r="B2838" i="5"/>
  <c r="C2838" i="5"/>
  <c r="B2839" i="5"/>
  <c r="C2839" i="5"/>
  <c r="B2805" i="5"/>
  <c r="C2805" i="5"/>
  <c r="B2806" i="5"/>
  <c r="C2806" i="5"/>
  <c r="B2807" i="5"/>
  <c r="C2807" i="5"/>
  <c r="B2808" i="5"/>
  <c r="C2808" i="5"/>
  <c r="B2809" i="5"/>
  <c r="C2809" i="5"/>
  <c r="B2810" i="5"/>
  <c r="C2810" i="5"/>
  <c r="B2811" i="5"/>
  <c r="C2811" i="5"/>
  <c r="B2812" i="5"/>
  <c r="C2812" i="5"/>
  <c r="B2813" i="5"/>
  <c r="C2813" i="5"/>
  <c r="B2814" i="5"/>
  <c r="C2814" i="5"/>
  <c r="B2815" i="5"/>
  <c r="C2815" i="5"/>
  <c r="B2816" i="5"/>
  <c r="C2816" i="5"/>
  <c r="B2817" i="5"/>
  <c r="C2817" i="5"/>
  <c r="B2818" i="5"/>
  <c r="C2818" i="5"/>
  <c r="B2819" i="5"/>
  <c r="C2819" i="5"/>
  <c r="B2820" i="5"/>
  <c r="C2820" i="5"/>
  <c r="B2821" i="5"/>
  <c r="C2821" i="5"/>
  <c r="B2822" i="5"/>
  <c r="C2822" i="5"/>
  <c r="B2823" i="5"/>
  <c r="C2823" i="5"/>
  <c r="B2795" i="5"/>
  <c r="C2795" i="5"/>
  <c r="B2796" i="5"/>
  <c r="C2796" i="5"/>
  <c r="B2797" i="5"/>
  <c r="C2797" i="5"/>
  <c r="B2798" i="5"/>
  <c r="C2798" i="5"/>
  <c r="B2799" i="5"/>
  <c r="C2799" i="5"/>
  <c r="B2800" i="5"/>
  <c r="C2800" i="5"/>
  <c r="B2801" i="5"/>
  <c r="C2801" i="5"/>
  <c r="B2802" i="5"/>
  <c r="C2802" i="5"/>
  <c r="G1777" i="1"/>
  <c r="F1777" i="1"/>
  <c r="E1777" i="1"/>
  <c r="E1778" i="1" s="1"/>
  <c r="F1744" i="1"/>
  <c r="F1748" i="1" s="1"/>
  <c r="E1743" i="1"/>
  <c r="E1748" i="1" s="1"/>
  <c r="E1749" i="1" s="1"/>
  <c r="B2803" i="5"/>
  <c r="C2803" i="5"/>
  <c r="B2804" i="5"/>
  <c r="C2804" i="5"/>
  <c r="B2781" i="5"/>
  <c r="C2781" i="5"/>
  <c r="B2782" i="5"/>
  <c r="C2782" i="5"/>
  <c r="B2783" i="5"/>
  <c r="C2783" i="5"/>
  <c r="B2784" i="5"/>
  <c r="C2784" i="5"/>
  <c r="B2785" i="5"/>
  <c r="C2785" i="5"/>
  <c r="B2786" i="5"/>
  <c r="C2786" i="5"/>
  <c r="B2787" i="5"/>
  <c r="C2787" i="5"/>
  <c r="B2789" i="5"/>
  <c r="C2789" i="5"/>
  <c r="B2790" i="5"/>
  <c r="C2790" i="5"/>
  <c r="B2791" i="5"/>
  <c r="C2791" i="5"/>
  <c r="B2792" i="5"/>
  <c r="C2792" i="5"/>
  <c r="B2793" i="5"/>
  <c r="C2793" i="5"/>
  <c r="B2794" i="5"/>
  <c r="C2794" i="5"/>
  <c r="B2769" i="5"/>
  <c r="C2769" i="5"/>
  <c r="B2770" i="5"/>
  <c r="C2770" i="5"/>
  <c r="B2771" i="5"/>
  <c r="C2771" i="5"/>
  <c r="B2772" i="5"/>
  <c r="C2772" i="5"/>
  <c r="B2773" i="5"/>
  <c r="C2773" i="5"/>
  <c r="B2774" i="5"/>
  <c r="C2774" i="5"/>
  <c r="B2775" i="5"/>
  <c r="C2775" i="5"/>
  <c r="B2776" i="5"/>
  <c r="C2776" i="5"/>
  <c r="B2778" i="5"/>
  <c r="C2778" i="5"/>
  <c r="B2779" i="5"/>
  <c r="C2779" i="5"/>
  <c r="B2780" i="5"/>
  <c r="C2780" i="5"/>
  <c r="B2756" i="5"/>
  <c r="C2756" i="5"/>
  <c r="B2757" i="5"/>
  <c r="C2757" i="5"/>
  <c r="B2758" i="5"/>
  <c r="C2758" i="5"/>
  <c r="B2759" i="5"/>
  <c r="C2759" i="5"/>
  <c r="B2760" i="5"/>
  <c r="C2760" i="5"/>
  <c r="B2761" i="5"/>
  <c r="C2761" i="5"/>
  <c r="B2762" i="5"/>
  <c r="C2762" i="5"/>
  <c r="B2763" i="5"/>
  <c r="C2763" i="5"/>
  <c r="B2764" i="5"/>
  <c r="C2764" i="5"/>
  <c r="B2765" i="5"/>
  <c r="C2765" i="5"/>
  <c r="B2766" i="5"/>
  <c r="C2766" i="5"/>
  <c r="B2767" i="5"/>
  <c r="C2767" i="5"/>
  <c r="B2768" i="5"/>
  <c r="C2768" i="5"/>
  <c r="B2743" i="5"/>
  <c r="C2743" i="5"/>
  <c r="B2744" i="5"/>
  <c r="C2744" i="5"/>
  <c r="B2745" i="5"/>
  <c r="C2745" i="5"/>
  <c r="B2746" i="5"/>
  <c r="C2746" i="5"/>
  <c r="B2747" i="5"/>
  <c r="C2747" i="5"/>
  <c r="B2748" i="5"/>
  <c r="C2748" i="5"/>
  <c r="B2749" i="5"/>
  <c r="C2749" i="5"/>
  <c r="B2750" i="5"/>
  <c r="C2750" i="5"/>
  <c r="B2751" i="5"/>
  <c r="C2751" i="5"/>
  <c r="B2752" i="5"/>
  <c r="C2752" i="5"/>
  <c r="B2753" i="5"/>
  <c r="C2753" i="5"/>
  <c r="B2754" i="5"/>
  <c r="C2754" i="5"/>
  <c r="B2755" i="5"/>
  <c r="C2755" i="5"/>
  <c r="B2725" i="5"/>
  <c r="C2725" i="5"/>
  <c r="B2726" i="5"/>
  <c r="C2726" i="5"/>
  <c r="B2727" i="5"/>
  <c r="C2727" i="5"/>
  <c r="B2728" i="5"/>
  <c r="C2728" i="5"/>
  <c r="B2729" i="5"/>
  <c r="C2729" i="5"/>
  <c r="B2730" i="5"/>
  <c r="C2730" i="5"/>
  <c r="B2731" i="5"/>
  <c r="C2731" i="5"/>
  <c r="B2732" i="5"/>
  <c r="C2732" i="5"/>
  <c r="B2733" i="5"/>
  <c r="C2733" i="5"/>
  <c r="B2734" i="5"/>
  <c r="C2734" i="5"/>
  <c r="B2735" i="5"/>
  <c r="C2735" i="5"/>
  <c r="B2736" i="5"/>
  <c r="C2736" i="5"/>
  <c r="B2737" i="5"/>
  <c r="C2737" i="5"/>
  <c r="B2738" i="5"/>
  <c r="C2738" i="5"/>
  <c r="B2739" i="5"/>
  <c r="C2739" i="5"/>
  <c r="G1748" i="1"/>
  <c r="B2711" i="5"/>
  <c r="C2711" i="5"/>
  <c r="B2712" i="5"/>
  <c r="C2712" i="5"/>
  <c r="B2713" i="5"/>
  <c r="C2713" i="5"/>
  <c r="B2714" i="5"/>
  <c r="C2714" i="5"/>
  <c r="B2715" i="5"/>
  <c r="C2715" i="5"/>
  <c r="B2716" i="5"/>
  <c r="C2716" i="5"/>
  <c r="B2717" i="5"/>
  <c r="C2717" i="5"/>
  <c r="B2718" i="5"/>
  <c r="C2718" i="5"/>
  <c r="B2719" i="5"/>
  <c r="C2719" i="5"/>
  <c r="B2720" i="5"/>
  <c r="C2720" i="5"/>
  <c r="B2721" i="5"/>
  <c r="C2721" i="5"/>
  <c r="B2722" i="5"/>
  <c r="C2722" i="5"/>
  <c r="B2724" i="5"/>
  <c r="C2724" i="5"/>
  <c r="B2740" i="5"/>
  <c r="C2740" i="5"/>
  <c r="B2741" i="5"/>
  <c r="C2741" i="5"/>
  <c r="B2742" i="5"/>
  <c r="C2742" i="5"/>
  <c r="B2703" i="5"/>
  <c r="C2703" i="5"/>
  <c r="B2704" i="5"/>
  <c r="C2704" i="5"/>
  <c r="B2705" i="5"/>
  <c r="C2705" i="5"/>
  <c r="B2706" i="5"/>
  <c r="C2706" i="5"/>
  <c r="B2707" i="5"/>
  <c r="C2707" i="5"/>
  <c r="B2708" i="5"/>
  <c r="C2708" i="5"/>
  <c r="B2709" i="5"/>
  <c r="C2709" i="5"/>
  <c r="B2710" i="5"/>
  <c r="C2710" i="5"/>
  <c r="C2596" i="5"/>
  <c r="B2596" i="5"/>
  <c r="E1691" i="1"/>
  <c r="E1692" i="1" s="1"/>
  <c r="C2660" i="5"/>
  <c r="B2660" i="5"/>
  <c r="B2692" i="5"/>
  <c r="C2692" i="5"/>
  <c r="B2693" i="5"/>
  <c r="C2693" i="5"/>
  <c r="B2694" i="5"/>
  <c r="C2694" i="5"/>
  <c r="B2695" i="5"/>
  <c r="C2695" i="5"/>
  <c r="B2696" i="5"/>
  <c r="C2696" i="5"/>
  <c r="B2697" i="5"/>
  <c r="C2697" i="5"/>
  <c r="B2698" i="5"/>
  <c r="C2698" i="5"/>
  <c r="B2699" i="5"/>
  <c r="C2699" i="5"/>
  <c r="B2700" i="5"/>
  <c r="C2700" i="5"/>
  <c r="B2701" i="5"/>
  <c r="C2701" i="5"/>
  <c r="B2702" i="5"/>
  <c r="C2702" i="5"/>
  <c r="B2676" i="5"/>
  <c r="C2676" i="5"/>
  <c r="B2677" i="5"/>
  <c r="C2677" i="5"/>
  <c r="B2678" i="5"/>
  <c r="C2678" i="5"/>
  <c r="B2679" i="5"/>
  <c r="C2679" i="5"/>
  <c r="B2680" i="5"/>
  <c r="C2680" i="5"/>
  <c r="B2681" i="5"/>
  <c r="C2681" i="5"/>
  <c r="B2682" i="5"/>
  <c r="C2682" i="5"/>
  <c r="B2683" i="5"/>
  <c r="C2683" i="5"/>
  <c r="B2684" i="5"/>
  <c r="C2684" i="5"/>
  <c r="B2685" i="5"/>
  <c r="C2685" i="5"/>
  <c r="B2686" i="5"/>
  <c r="C2686" i="5"/>
  <c r="B2687" i="5"/>
  <c r="C2687" i="5"/>
  <c r="B2688" i="5"/>
  <c r="C2688" i="5"/>
  <c r="B2689" i="5"/>
  <c r="C2689" i="5"/>
  <c r="B2690" i="5"/>
  <c r="C2690" i="5"/>
  <c r="B2691" i="5"/>
  <c r="C2691" i="5"/>
  <c r="B2777" i="5"/>
  <c r="C2777" i="5"/>
  <c r="B2657" i="5"/>
  <c r="C2657" i="5"/>
  <c r="B2658" i="5"/>
  <c r="C2658" i="5"/>
  <c r="B2659" i="5"/>
  <c r="C2659" i="5"/>
  <c r="B2661" i="5"/>
  <c r="C2661" i="5"/>
  <c r="B2662" i="5"/>
  <c r="C2662" i="5"/>
  <c r="B2663" i="5"/>
  <c r="C2663" i="5"/>
  <c r="B2664" i="5"/>
  <c r="C2664" i="5"/>
  <c r="B2665" i="5"/>
  <c r="C2665" i="5"/>
  <c r="B2666" i="5"/>
  <c r="C2666" i="5"/>
  <c r="B2667" i="5"/>
  <c r="C2667" i="5"/>
  <c r="B2668" i="5"/>
  <c r="C2668" i="5"/>
  <c r="B2669" i="5"/>
  <c r="C2669" i="5"/>
  <c r="B2670" i="5"/>
  <c r="C2670" i="5"/>
  <c r="B2671" i="5"/>
  <c r="C2671" i="5"/>
  <c r="B2672" i="5"/>
  <c r="C2672" i="5"/>
  <c r="F1691" i="1"/>
  <c r="G1691" i="1"/>
  <c r="G1720" i="1"/>
  <c r="B2651" i="5"/>
  <c r="C2651" i="5"/>
  <c r="B2652" i="5"/>
  <c r="C2652" i="5"/>
  <c r="B2653" i="5"/>
  <c r="C2653" i="5"/>
  <c r="B2654" i="5"/>
  <c r="C2654" i="5"/>
  <c r="B2655" i="5"/>
  <c r="C2655" i="5"/>
  <c r="B2656" i="5"/>
  <c r="C2656" i="5"/>
  <c r="B2673" i="5"/>
  <c r="C2673" i="5"/>
  <c r="B2674" i="5"/>
  <c r="C2674" i="5"/>
  <c r="B2675" i="5"/>
  <c r="C2675" i="5"/>
  <c r="B2636" i="5"/>
  <c r="C2636" i="5"/>
  <c r="B2637" i="5"/>
  <c r="C2637" i="5"/>
  <c r="B2638" i="5"/>
  <c r="C2638" i="5"/>
  <c r="B2639" i="5"/>
  <c r="C2639" i="5"/>
  <c r="B2640" i="5"/>
  <c r="C2640" i="5"/>
  <c r="B2641" i="5"/>
  <c r="C2641" i="5"/>
  <c r="B2642" i="5"/>
  <c r="C2642" i="5"/>
  <c r="B2643" i="5"/>
  <c r="C2643" i="5"/>
  <c r="B2644" i="5"/>
  <c r="C2644" i="5"/>
  <c r="B2645" i="5"/>
  <c r="C2645" i="5"/>
  <c r="B2646" i="5"/>
  <c r="C2646" i="5"/>
  <c r="B2647" i="5"/>
  <c r="C2647" i="5"/>
  <c r="B2648" i="5"/>
  <c r="C2648" i="5"/>
  <c r="B2626" i="5"/>
  <c r="C2626" i="5"/>
  <c r="B2627" i="5"/>
  <c r="C2627" i="5"/>
  <c r="B2628" i="5"/>
  <c r="C2628" i="5"/>
  <c r="B2629" i="5"/>
  <c r="C2629" i="5"/>
  <c r="B2630" i="5"/>
  <c r="C2630" i="5"/>
  <c r="B2631" i="5"/>
  <c r="C2631" i="5"/>
  <c r="B2632" i="5"/>
  <c r="C2632" i="5"/>
  <c r="B2633" i="5"/>
  <c r="C2633" i="5"/>
  <c r="B2634" i="5"/>
  <c r="C2634" i="5"/>
  <c r="B2635" i="5"/>
  <c r="C2635" i="5"/>
  <c r="B2649" i="5"/>
  <c r="C2649" i="5"/>
  <c r="B2650" i="5"/>
  <c r="C2650" i="5"/>
  <c r="B2566" i="5"/>
  <c r="C2566" i="5"/>
  <c r="B2567" i="5"/>
  <c r="C2567" i="5"/>
  <c r="B2568" i="5"/>
  <c r="C2568" i="5"/>
  <c r="B2569" i="5"/>
  <c r="C2569" i="5"/>
  <c r="B2570" i="5"/>
  <c r="C2570" i="5"/>
  <c r="B2571" i="5"/>
  <c r="C2571" i="5"/>
  <c r="B2572" i="5"/>
  <c r="C2572" i="5"/>
  <c r="B2573" i="5"/>
  <c r="C2573" i="5"/>
  <c r="B2574" i="5"/>
  <c r="C2574" i="5"/>
  <c r="B2575" i="5"/>
  <c r="C2575" i="5"/>
  <c r="B2576" i="5"/>
  <c r="C2576" i="5"/>
  <c r="B2577" i="5"/>
  <c r="C2577" i="5"/>
  <c r="B2612" i="5"/>
  <c r="C2612" i="5"/>
  <c r="B2613" i="5"/>
  <c r="C2613" i="5"/>
  <c r="B2614" i="5"/>
  <c r="C2614" i="5"/>
  <c r="B2615" i="5"/>
  <c r="C2615" i="5"/>
  <c r="B2616" i="5"/>
  <c r="C2616" i="5"/>
  <c r="B2617" i="5"/>
  <c r="C2617" i="5"/>
  <c r="B2618" i="5"/>
  <c r="C2618" i="5"/>
  <c r="B2619" i="5"/>
  <c r="C2619" i="5"/>
  <c r="B2620" i="5"/>
  <c r="C2620" i="5"/>
  <c r="B2621" i="5"/>
  <c r="C2621" i="5"/>
  <c r="B2622" i="5"/>
  <c r="C2622" i="5"/>
  <c r="B2623" i="5"/>
  <c r="C2623" i="5"/>
  <c r="B2598" i="5"/>
  <c r="C2598" i="5"/>
  <c r="B2599" i="5"/>
  <c r="C2599" i="5"/>
  <c r="B2600" i="5"/>
  <c r="C2600" i="5"/>
  <c r="B2601" i="5"/>
  <c r="C2601" i="5"/>
  <c r="B2602" i="5"/>
  <c r="C2602" i="5"/>
  <c r="B2603" i="5"/>
  <c r="C2603" i="5"/>
  <c r="B2604" i="5"/>
  <c r="C2604" i="5"/>
  <c r="B2605" i="5"/>
  <c r="C2605" i="5"/>
  <c r="B2606" i="5"/>
  <c r="C2606" i="5"/>
  <c r="B2607" i="5"/>
  <c r="C2607" i="5"/>
  <c r="B2608" i="5"/>
  <c r="C2608" i="5"/>
  <c r="B2609" i="5"/>
  <c r="C2609" i="5"/>
  <c r="B2610" i="5"/>
  <c r="C2610" i="5"/>
  <c r="B2611" i="5"/>
  <c r="C2611" i="5"/>
  <c r="B2624" i="5"/>
  <c r="C2624" i="5"/>
  <c r="B2625" i="5"/>
  <c r="C2625" i="5"/>
  <c r="B2578" i="5"/>
  <c r="C2578" i="5"/>
  <c r="B2579" i="5"/>
  <c r="C2579" i="5"/>
  <c r="B2580" i="5"/>
  <c r="C2580" i="5"/>
  <c r="B2581" i="5"/>
  <c r="C2581" i="5"/>
  <c r="B2582" i="5"/>
  <c r="C2582" i="5"/>
  <c r="B2583" i="5"/>
  <c r="C2583" i="5"/>
  <c r="B2584" i="5"/>
  <c r="C2584" i="5"/>
  <c r="B2585" i="5"/>
  <c r="C2585" i="5"/>
  <c r="B2586" i="5"/>
  <c r="C2586" i="5"/>
  <c r="B2587" i="5"/>
  <c r="C2587" i="5"/>
  <c r="B2588" i="5"/>
  <c r="C2588" i="5"/>
  <c r="B2589" i="5"/>
  <c r="C2589" i="5"/>
  <c r="B2590" i="5"/>
  <c r="C2590" i="5"/>
  <c r="B2591" i="5"/>
  <c r="C2591" i="5"/>
  <c r="B2592" i="5"/>
  <c r="C2592" i="5"/>
  <c r="B2593" i="5"/>
  <c r="C2593" i="5"/>
  <c r="B2594" i="5"/>
  <c r="C2594" i="5"/>
  <c r="B2595" i="5"/>
  <c r="C2595" i="5"/>
  <c r="B2597" i="5"/>
  <c r="C2597" i="5"/>
  <c r="B2555" i="5"/>
  <c r="C2555" i="5"/>
  <c r="B2492" i="5"/>
  <c r="C2492" i="5"/>
  <c r="E1667" i="1"/>
  <c r="F1668" i="1"/>
  <c r="E1666" i="1"/>
  <c r="E1665" i="1"/>
  <c r="E1664" i="1"/>
  <c r="G1677" i="1"/>
  <c r="B2444" i="5"/>
  <c r="C2444" i="5"/>
  <c r="B2445" i="5"/>
  <c r="C2445" i="5"/>
  <c r="B2446" i="5"/>
  <c r="C2446" i="5"/>
  <c r="B2447" i="5"/>
  <c r="C2447" i="5"/>
  <c r="B2448" i="5"/>
  <c r="C2448" i="5"/>
  <c r="B2449" i="5"/>
  <c r="C2449" i="5"/>
  <c r="B2450" i="5"/>
  <c r="C2450" i="5"/>
  <c r="B2451" i="5"/>
  <c r="C2451" i="5"/>
  <c r="B2452" i="5"/>
  <c r="C2452" i="5"/>
  <c r="B2453" i="5"/>
  <c r="C2453" i="5"/>
  <c r="B2454" i="5"/>
  <c r="C2454" i="5"/>
  <c r="B2455" i="5"/>
  <c r="C2455" i="5"/>
  <c r="B2456" i="5"/>
  <c r="C2456" i="5"/>
  <c r="B2457" i="5"/>
  <c r="C2457" i="5"/>
  <c r="B2458" i="5"/>
  <c r="C2458" i="5"/>
  <c r="B2459" i="5"/>
  <c r="C2459" i="5"/>
  <c r="B2460" i="5"/>
  <c r="C2460" i="5"/>
  <c r="B2461" i="5"/>
  <c r="C2461" i="5"/>
  <c r="B2462" i="5"/>
  <c r="C2462" i="5"/>
  <c r="B2463" i="5"/>
  <c r="C2463" i="5"/>
  <c r="B2464" i="5"/>
  <c r="C2464" i="5"/>
  <c r="B2465" i="5"/>
  <c r="C2465" i="5"/>
  <c r="B2466" i="5"/>
  <c r="C2466" i="5"/>
  <c r="B2467" i="5"/>
  <c r="C2467" i="5"/>
  <c r="B2468" i="5"/>
  <c r="C2468" i="5"/>
  <c r="B2469" i="5"/>
  <c r="C2469" i="5"/>
  <c r="B2470" i="5"/>
  <c r="C2470" i="5"/>
  <c r="B2471" i="5"/>
  <c r="C2471" i="5"/>
  <c r="B2472" i="5"/>
  <c r="C2472" i="5"/>
  <c r="B2473" i="5"/>
  <c r="C2473" i="5"/>
  <c r="B2474" i="5"/>
  <c r="C2474" i="5"/>
  <c r="B2475" i="5"/>
  <c r="C2475" i="5"/>
  <c r="B2476" i="5"/>
  <c r="C2476" i="5"/>
  <c r="B2477" i="5"/>
  <c r="C2477" i="5"/>
  <c r="B2478" i="5"/>
  <c r="C2478" i="5"/>
  <c r="B2479" i="5"/>
  <c r="C2479" i="5"/>
  <c r="B2480" i="5"/>
  <c r="C2480" i="5"/>
  <c r="B2481" i="5"/>
  <c r="C2481" i="5"/>
  <c r="B2482" i="5"/>
  <c r="C2482" i="5"/>
  <c r="B2483" i="5"/>
  <c r="C2483" i="5"/>
  <c r="B2484" i="5"/>
  <c r="C2484" i="5"/>
  <c r="B2485" i="5"/>
  <c r="C2485" i="5"/>
  <c r="B2486" i="5"/>
  <c r="C2486" i="5"/>
  <c r="B2487" i="5"/>
  <c r="C2487" i="5"/>
  <c r="B2488" i="5"/>
  <c r="C2488" i="5"/>
  <c r="B2489" i="5"/>
  <c r="C2489" i="5"/>
  <c r="B2490" i="5"/>
  <c r="C2490" i="5"/>
  <c r="B2491" i="5"/>
  <c r="C2491" i="5"/>
  <c r="B2493" i="5"/>
  <c r="C2493" i="5"/>
  <c r="B2494" i="5"/>
  <c r="C2494" i="5"/>
  <c r="B2495" i="5"/>
  <c r="C2495" i="5"/>
  <c r="B2496" i="5"/>
  <c r="C2496" i="5"/>
  <c r="B2497" i="5"/>
  <c r="C2497" i="5"/>
  <c r="B2498" i="5"/>
  <c r="C2498" i="5"/>
  <c r="B2499" i="5"/>
  <c r="C2499" i="5"/>
  <c r="B2500" i="5"/>
  <c r="C2500" i="5"/>
  <c r="B2501" i="5"/>
  <c r="C2501" i="5"/>
  <c r="B2502" i="5"/>
  <c r="C2502" i="5"/>
  <c r="B2503" i="5"/>
  <c r="C2503" i="5"/>
  <c r="B2504" i="5"/>
  <c r="C2504" i="5"/>
  <c r="B2505" i="5"/>
  <c r="C2505" i="5"/>
  <c r="B2506" i="5"/>
  <c r="C2506" i="5"/>
  <c r="B2507" i="5"/>
  <c r="C2507" i="5"/>
  <c r="B2508" i="5"/>
  <c r="C2508" i="5"/>
  <c r="B2509" i="5"/>
  <c r="C2509" i="5"/>
  <c r="B2510" i="5"/>
  <c r="C2510" i="5"/>
  <c r="B2511" i="5"/>
  <c r="C2511" i="5"/>
  <c r="B2512" i="5"/>
  <c r="C2512" i="5"/>
  <c r="B2513" i="5"/>
  <c r="C2513" i="5"/>
  <c r="B2514" i="5"/>
  <c r="C2514" i="5"/>
  <c r="B2515" i="5"/>
  <c r="C2515" i="5"/>
  <c r="B2516" i="5"/>
  <c r="C2516" i="5"/>
  <c r="B2517" i="5"/>
  <c r="C2517" i="5"/>
  <c r="B2518" i="5"/>
  <c r="C2518" i="5"/>
  <c r="B2519" i="5"/>
  <c r="C2519" i="5"/>
  <c r="B2520" i="5"/>
  <c r="C2520" i="5"/>
  <c r="B2521" i="5"/>
  <c r="C2521" i="5"/>
  <c r="B2522" i="5"/>
  <c r="C2522" i="5"/>
  <c r="B2523" i="5"/>
  <c r="C2523" i="5"/>
  <c r="B2524" i="5"/>
  <c r="C2524" i="5"/>
  <c r="B2525" i="5"/>
  <c r="C2525" i="5"/>
  <c r="B2526" i="5"/>
  <c r="C2526" i="5"/>
  <c r="B2527" i="5"/>
  <c r="C2527" i="5"/>
  <c r="B2528" i="5"/>
  <c r="C2528" i="5"/>
  <c r="B2529" i="5"/>
  <c r="C2529" i="5"/>
  <c r="B2530" i="5"/>
  <c r="C2530" i="5"/>
  <c r="B2531" i="5"/>
  <c r="C2531" i="5"/>
  <c r="B2532" i="5"/>
  <c r="C2532" i="5"/>
  <c r="B2533" i="5"/>
  <c r="C2533" i="5"/>
  <c r="B2534" i="5"/>
  <c r="C2534" i="5"/>
  <c r="B2535" i="5"/>
  <c r="C2535" i="5"/>
  <c r="B2536" i="5"/>
  <c r="C2536" i="5"/>
  <c r="B2537" i="5"/>
  <c r="C2537" i="5"/>
  <c r="B2538" i="5"/>
  <c r="C2538" i="5"/>
  <c r="B2539" i="5"/>
  <c r="C2539" i="5"/>
  <c r="B2540" i="5"/>
  <c r="C2540" i="5"/>
  <c r="B2541" i="5"/>
  <c r="C2541" i="5"/>
  <c r="B2542" i="5"/>
  <c r="C2542" i="5"/>
  <c r="B2543" i="5"/>
  <c r="C2543" i="5"/>
  <c r="B2544" i="5"/>
  <c r="C2544" i="5"/>
  <c r="B2545" i="5"/>
  <c r="C2545" i="5"/>
  <c r="B2546" i="5"/>
  <c r="C2546" i="5"/>
  <c r="B2547" i="5"/>
  <c r="C2547" i="5"/>
  <c r="B2548" i="5"/>
  <c r="C2548" i="5"/>
  <c r="B2549" i="5"/>
  <c r="C2549" i="5"/>
  <c r="B2550" i="5"/>
  <c r="C2550" i="5"/>
  <c r="B2551" i="5"/>
  <c r="C2551" i="5"/>
  <c r="B2552" i="5"/>
  <c r="C2552" i="5"/>
  <c r="B2553" i="5"/>
  <c r="C2553" i="5"/>
  <c r="B2554" i="5"/>
  <c r="C2554" i="5"/>
  <c r="B2556" i="5"/>
  <c r="C2556" i="5"/>
  <c r="B2557" i="5"/>
  <c r="C2557" i="5"/>
  <c r="B2558" i="5"/>
  <c r="C2558" i="5"/>
  <c r="B2559" i="5"/>
  <c r="C2559" i="5"/>
  <c r="B2560" i="5"/>
  <c r="C2560" i="5"/>
  <c r="B2561" i="5"/>
  <c r="C2561" i="5"/>
  <c r="B2562" i="5"/>
  <c r="C2562" i="5"/>
  <c r="B2563" i="5"/>
  <c r="C2563" i="5"/>
  <c r="B2564" i="5"/>
  <c r="C2564" i="5"/>
  <c r="B2565" i="5"/>
  <c r="C2565" i="5"/>
  <c r="B2442" i="5"/>
  <c r="C2442" i="5"/>
  <c r="B2443" i="5"/>
  <c r="C2443" i="5"/>
  <c r="B2408" i="5"/>
  <c r="C2408" i="5"/>
  <c r="B2409" i="5"/>
  <c r="C2409" i="5"/>
  <c r="B2410" i="5"/>
  <c r="C2410" i="5"/>
  <c r="B2411" i="5"/>
  <c r="C2411" i="5"/>
  <c r="B2412" i="5"/>
  <c r="C2412" i="5"/>
  <c r="B2413" i="5"/>
  <c r="C2413" i="5"/>
  <c r="B2414" i="5"/>
  <c r="C2414" i="5"/>
  <c r="B2415" i="5"/>
  <c r="C2415" i="5"/>
  <c r="B2416" i="5"/>
  <c r="C2416" i="5"/>
  <c r="B2417" i="5"/>
  <c r="C2417" i="5"/>
  <c r="B2418" i="5"/>
  <c r="C2418" i="5"/>
  <c r="B2419" i="5"/>
  <c r="C2419" i="5"/>
  <c r="B2420" i="5"/>
  <c r="C2420" i="5"/>
  <c r="B2421" i="5"/>
  <c r="C2421" i="5"/>
  <c r="B2422" i="5"/>
  <c r="C2422" i="5"/>
  <c r="B2423" i="5"/>
  <c r="C2423" i="5"/>
  <c r="B2424" i="5"/>
  <c r="C2424" i="5"/>
  <c r="B2425" i="5"/>
  <c r="C2425" i="5"/>
  <c r="B2426" i="5"/>
  <c r="C2426" i="5"/>
  <c r="B2427" i="5"/>
  <c r="C2427" i="5"/>
  <c r="B2428" i="5"/>
  <c r="C2428" i="5"/>
  <c r="B2429" i="5"/>
  <c r="C2429" i="5"/>
  <c r="B2430" i="5"/>
  <c r="C2430" i="5"/>
  <c r="B2431" i="5"/>
  <c r="C2431" i="5"/>
  <c r="B2432" i="5"/>
  <c r="C2432" i="5"/>
  <c r="B2433" i="5"/>
  <c r="C2433" i="5"/>
  <c r="B2404" i="5"/>
  <c r="C2404" i="5"/>
  <c r="B2405" i="5"/>
  <c r="C2405" i="5"/>
  <c r="B2406" i="5"/>
  <c r="C2406" i="5"/>
  <c r="B2407" i="5"/>
  <c r="C2407" i="5"/>
  <c r="K64" i="26" l="1"/>
  <c r="J64" i="26"/>
  <c r="I64" i="26"/>
  <c r="H64" i="26"/>
  <c r="F64" i="26"/>
  <c r="E64" i="26"/>
  <c r="D64" i="26"/>
  <c r="M64" i="26"/>
  <c r="C64" i="26"/>
  <c r="G64" i="26"/>
  <c r="L64" i="26"/>
  <c r="B64" i="26"/>
  <c r="E67" i="26"/>
  <c r="G67" i="26"/>
  <c r="D67" i="26"/>
  <c r="F67" i="26"/>
  <c r="M67" i="26"/>
  <c r="C67" i="26"/>
  <c r="L67" i="26"/>
  <c r="B67" i="26"/>
  <c r="K67" i="26"/>
  <c r="J67" i="26"/>
  <c r="I67" i="26"/>
  <c r="H67" i="26"/>
  <c r="AI14" i="25"/>
  <c r="AH42" i="25"/>
  <c r="E41" i="26"/>
  <c r="G41" i="26"/>
  <c r="H41" i="26"/>
  <c r="I41" i="26"/>
  <c r="B41" i="26"/>
  <c r="J41" i="26"/>
  <c r="K41" i="26"/>
  <c r="C41" i="26"/>
  <c r="M41" i="26"/>
  <c r="L41" i="26"/>
  <c r="F41" i="26"/>
  <c r="D41" i="26"/>
  <c r="B17" i="26"/>
  <c r="H17" i="26"/>
  <c r="C17" i="26"/>
  <c r="K17" i="26"/>
  <c r="F17" i="26"/>
  <c r="E17" i="26"/>
  <c r="G17" i="26"/>
  <c r="I17" i="26"/>
  <c r="J17" i="26"/>
  <c r="M17" i="26"/>
  <c r="D17" i="26"/>
  <c r="L17" i="26"/>
  <c r="F1720" i="1"/>
  <c r="E1720" i="1"/>
  <c r="E1721" i="1" s="1"/>
  <c r="F1677" i="1"/>
  <c r="E1677" i="1"/>
  <c r="E1678" i="1" s="1"/>
  <c r="G1648" i="1"/>
  <c r="F1648" i="1"/>
  <c r="E1648" i="1"/>
  <c r="E1649" i="1" s="1"/>
  <c r="B2434" i="5"/>
  <c r="C2434" i="5"/>
  <c r="B2435" i="5"/>
  <c r="C2435" i="5"/>
  <c r="B2436" i="5"/>
  <c r="C2436" i="5"/>
  <c r="B2437" i="5"/>
  <c r="C2437" i="5"/>
  <c r="B2438" i="5"/>
  <c r="C2438" i="5"/>
  <c r="B2439" i="5"/>
  <c r="C2439" i="5"/>
  <c r="B2440" i="5"/>
  <c r="C2440" i="5"/>
  <c r="B2441" i="5"/>
  <c r="C2441" i="5"/>
  <c r="B2392" i="5"/>
  <c r="C2392" i="5"/>
  <c r="B2393" i="5"/>
  <c r="C2393" i="5"/>
  <c r="B2394" i="5"/>
  <c r="C2394" i="5"/>
  <c r="B2395" i="5"/>
  <c r="C2395" i="5"/>
  <c r="B2396" i="5"/>
  <c r="C2396" i="5"/>
  <c r="B2397" i="5"/>
  <c r="C2397" i="5"/>
  <c r="B2398" i="5"/>
  <c r="C2398" i="5"/>
  <c r="B2399" i="5"/>
  <c r="C2399" i="5"/>
  <c r="B2400" i="5"/>
  <c r="C2400" i="5"/>
  <c r="B2401" i="5"/>
  <c r="C2401" i="5"/>
  <c r="B2402" i="5"/>
  <c r="C2402" i="5"/>
  <c r="B2403" i="5"/>
  <c r="C2403" i="5"/>
  <c r="B2377" i="5"/>
  <c r="C2377" i="5"/>
  <c r="B2378" i="5"/>
  <c r="C2378" i="5"/>
  <c r="B2379" i="5"/>
  <c r="C2379" i="5"/>
  <c r="B2380" i="5"/>
  <c r="C2380" i="5"/>
  <c r="B2381" i="5"/>
  <c r="C2381" i="5"/>
  <c r="B2382" i="5"/>
  <c r="C2382" i="5"/>
  <c r="B2383" i="5"/>
  <c r="C2383" i="5"/>
  <c r="B2384" i="5"/>
  <c r="C2384" i="5"/>
  <c r="B2385" i="5"/>
  <c r="C2385" i="5"/>
  <c r="B2386" i="5"/>
  <c r="C2386" i="5"/>
  <c r="B2387" i="5"/>
  <c r="C2387" i="5"/>
  <c r="B2388" i="5"/>
  <c r="C2388" i="5"/>
  <c r="B2389" i="5"/>
  <c r="C2389" i="5"/>
  <c r="B2390" i="5"/>
  <c r="C2390" i="5"/>
  <c r="B2391" i="5"/>
  <c r="C2391" i="5"/>
  <c r="B2352" i="5"/>
  <c r="C2352" i="5"/>
  <c r="B2353" i="5"/>
  <c r="C2353" i="5"/>
  <c r="B2354" i="5"/>
  <c r="C2354" i="5"/>
  <c r="B2355" i="5"/>
  <c r="C2355" i="5"/>
  <c r="B2356" i="5"/>
  <c r="C2356" i="5"/>
  <c r="B2357" i="5"/>
  <c r="C2357" i="5"/>
  <c r="B2358" i="5"/>
  <c r="C2358" i="5"/>
  <c r="B2359" i="5"/>
  <c r="C2359" i="5"/>
  <c r="B2360" i="5"/>
  <c r="C2360" i="5"/>
  <c r="B2361" i="5"/>
  <c r="C2361" i="5"/>
  <c r="B2362" i="5"/>
  <c r="C2362" i="5"/>
  <c r="B2363" i="5"/>
  <c r="C2363" i="5"/>
  <c r="B2364" i="5"/>
  <c r="C2364" i="5"/>
  <c r="B2365" i="5"/>
  <c r="C2365" i="5"/>
  <c r="B2366" i="5"/>
  <c r="C2366" i="5"/>
  <c r="B2367" i="5"/>
  <c r="C2367" i="5"/>
  <c r="B2368" i="5"/>
  <c r="C2368" i="5"/>
  <c r="B2369" i="5"/>
  <c r="C2369" i="5"/>
  <c r="B2370" i="5"/>
  <c r="C2370" i="5"/>
  <c r="B2371" i="5"/>
  <c r="C2371" i="5"/>
  <c r="B2372" i="5"/>
  <c r="C2372" i="5"/>
  <c r="B2373" i="5"/>
  <c r="C2373" i="5"/>
  <c r="B2374" i="5"/>
  <c r="C2374" i="5"/>
  <c r="B2375" i="5"/>
  <c r="C2375" i="5"/>
  <c r="B2376" i="5"/>
  <c r="C2376" i="5"/>
  <c r="G1614" i="1"/>
  <c r="F1614" i="1"/>
  <c r="E1614" i="1"/>
  <c r="E1615" i="1" s="1"/>
  <c r="B2336" i="5"/>
  <c r="C2336" i="5"/>
  <c r="B2337" i="5"/>
  <c r="C2337" i="5"/>
  <c r="B2338" i="5"/>
  <c r="C2338" i="5"/>
  <c r="B2339" i="5"/>
  <c r="C2339" i="5"/>
  <c r="B2340" i="5"/>
  <c r="C2340" i="5"/>
  <c r="B2341" i="5"/>
  <c r="C2341" i="5"/>
  <c r="B2342" i="5"/>
  <c r="C2342" i="5"/>
  <c r="B2343" i="5"/>
  <c r="C2343" i="5"/>
  <c r="B2344" i="5"/>
  <c r="C2344" i="5"/>
  <c r="B2345" i="5"/>
  <c r="C2345" i="5"/>
  <c r="B2346" i="5"/>
  <c r="C2346" i="5"/>
  <c r="B2347" i="5"/>
  <c r="C2347" i="5"/>
  <c r="B2348" i="5"/>
  <c r="C2348" i="5"/>
  <c r="B2349" i="5"/>
  <c r="C2349" i="5"/>
  <c r="B2350" i="5"/>
  <c r="C2350" i="5"/>
  <c r="B2351" i="5"/>
  <c r="C2351" i="5"/>
  <c r="B2328" i="5"/>
  <c r="C2328" i="5"/>
  <c r="B2329" i="5"/>
  <c r="C2329" i="5"/>
  <c r="B2330" i="5"/>
  <c r="C2330" i="5"/>
  <c r="B2331" i="5"/>
  <c r="C2331" i="5"/>
  <c r="B2332" i="5"/>
  <c r="C2332" i="5"/>
  <c r="B2333" i="5"/>
  <c r="C2333" i="5"/>
  <c r="B2334" i="5"/>
  <c r="C2334" i="5"/>
  <c r="B2335" i="5"/>
  <c r="C2335" i="5"/>
  <c r="B2313" i="5"/>
  <c r="C2313" i="5"/>
  <c r="B2314" i="5"/>
  <c r="C2314" i="5"/>
  <c r="B2315" i="5"/>
  <c r="C2315" i="5"/>
  <c r="B2316" i="5"/>
  <c r="C2316" i="5"/>
  <c r="B2317" i="5"/>
  <c r="C2317" i="5"/>
  <c r="B2318" i="5"/>
  <c r="C2318" i="5"/>
  <c r="B2319" i="5"/>
  <c r="C2319" i="5"/>
  <c r="B2320" i="5"/>
  <c r="C2320" i="5"/>
  <c r="B2321" i="5"/>
  <c r="C2321" i="5"/>
  <c r="B2322" i="5"/>
  <c r="C2322" i="5"/>
  <c r="B2323" i="5"/>
  <c r="C2323" i="5"/>
  <c r="B2324" i="5"/>
  <c r="C2324" i="5"/>
  <c r="B2325" i="5"/>
  <c r="C2325" i="5"/>
  <c r="B2326" i="5"/>
  <c r="C2326" i="5"/>
  <c r="B2327" i="5"/>
  <c r="C2327" i="5"/>
  <c r="M54" i="26" l="1"/>
  <c r="F54" i="26"/>
  <c r="C54" i="26"/>
  <c r="I54" i="26"/>
  <c r="E54" i="26"/>
  <c r="L54" i="26"/>
  <c r="K54" i="26"/>
  <c r="B54" i="26"/>
  <c r="G54" i="26"/>
  <c r="J54" i="26"/>
  <c r="H54" i="26"/>
  <c r="D54" i="26"/>
  <c r="E57" i="26"/>
  <c r="D57" i="26"/>
  <c r="C57" i="26"/>
  <c r="M57" i="26"/>
  <c r="L57" i="26"/>
  <c r="B57" i="26"/>
  <c r="K57" i="26"/>
  <c r="J57" i="26"/>
  <c r="I57" i="26"/>
  <c r="H57" i="26"/>
  <c r="G57" i="26"/>
  <c r="F57" i="26"/>
  <c r="AJ14" i="25"/>
  <c r="AI42" i="25"/>
  <c r="B10" i="26"/>
  <c r="C34" i="26"/>
  <c r="G34" i="26"/>
  <c r="H34" i="26"/>
  <c r="I34" i="26"/>
  <c r="F34" i="26"/>
  <c r="J34" i="26"/>
  <c r="K34" i="26"/>
  <c r="L34" i="26"/>
  <c r="E34" i="26"/>
  <c r="D34" i="26"/>
  <c r="M34" i="26"/>
  <c r="B34" i="26"/>
  <c r="B2304" i="5"/>
  <c r="C2304" i="5"/>
  <c r="B2305" i="5"/>
  <c r="C2305" i="5"/>
  <c r="B2306" i="5"/>
  <c r="C2306" i="5"/>
  <c r="B2307" i="5"/>
  <c r="C2307" i="5"/>
  <c r="B2308" i="5"/>
  <c r="C2308" i="5"/>
  <c r="B2309" i="5"/>
  <c r="C2309" i="5"/>
  <c r="B2310" i="5"/>
  <c r="C2310" i="5"/>
  <c r="B2311" i="5"/>
  <c r="C2311" i="5"/>
  <c r="B2312" i="5"/>
  <c r="C2312" i="5"/>
  <c r="B2193" i="5"/>
  <c r="C2193" i="5"/>
  <c r="B2301" i="5"/>
  <c r="C2301" i="5"/>
  <c r="B2302" i="5"/>
  <c r="C2302" i="5"/>
  <c r="B2303" i="5"/>
  <c r="C2303" i="5"/>
  <c r="G1583" i="1"/>
  <c r="E1583" i="1"/>
  <c r="E1584" i="1" s="1"/>
  <c r="F1583" i="1"/>
  <c r="C2289" i="5"/>
  <c r="B2289" i="5"/>
  <c r="B2294" i="5"/>
  <c r="C2294" i="5"/>
  <c r="B2295" i="5"/>
  <c r="C2295" i="5"/>
  <c r="B2296" i="5"/>
  <c r="C2296" i="5"/>
  <c r="B2297" i="5"/>
  <c r="C2297" i="5"/>
  <c r="B2298" i="5"/>
  <c r="C2298" i="5"/>
  <c r="B2299" i="5"/>
  <c r="C2299" i="5"/>
  <c r="B2300" i="5"/>
  <c r="C2300" i="5"/>
  <c r="B2275" i="5"/>
  <c r="C2275" i="5"/>
  <c r="B2276" i="5"/>
  <c r="C2276" i="5"/>
  <c r="B2277" i="5"/>
  <c r="C2277" i="5"/>
  <c r="B2278" i="5"/>
  <c r="C2278" i="5"/>
  <c r="B2279" i="5"/>
  <c r="C2279" i="5"/>
  <c r="B2280" i="5"/>
  <c r="C2280" i="5"/>
  <c r="B2281" i="5"/>
  <c r="C2281" i="5"/>
  <c r="B2282" i="5"/>
  <c r="C2282" i="5"/>
  <c r="B2283" i="5"/>
  <c r="C2283" i="5"/>
  <c r="B2284" i="5"/>
  <c r="C2284" i="5"/>
  <c r="B2285" i="5"/>
  <c r="C2285" i="5"/>
  <c r="B2286" i="5"/>
  <c r="C2286" i="5"/>
  <c r="B2287" i="5"/>
  <c r="C2287" i="5"/>
  <c r="B2288" i="5"/>
  <c r="C2288" i="5"/>
  <c r="B2290" i="5"/>
  <c r="C2290" i="5"/>
  <c r="B2291" i="5"/>
  <c r="C2291" i="5"/>
  <c r="B2292" i="5"/>
  <c r="C2292" i="5"/>
  <c r="B2293" i="5"/>
  <c r="C2293" i="5"/>
  <c r="B2263" i="5"/>
  <c r="C2263" i="5"/>
  <c r="B2264" i="5"/>
  <c r="C2264" i="5"/>
  <c r="B2265" i="5"/>
  <c r="C2265" i="5"/>
  <c r="B2266" i="5"/>
  <c r="C2266" i="5"/>
  <c r="B2267" i="5"/>
  <c r="C2267" i="5"/>
  <c r="B2268" i="5"/>
  <c r="C2268" i="5"/>
  <c r="B2269" i="5"/>
  <c r="C2269" i="5"/>
  <c r="B2270" i="5"/>
  <c r="C2270" i="5"/>
  <c r="B2271" i="5"/>
  <c r="C2271" i="5"/>
  <c r="B2272" i="5"/>
  <c r="C2272" i="5"/>
  <c r="B2273" i="5"/>
  <c r="C2273" i="5"/>
  <c r="B2274" i="5"/>
  <c r="C2274" i="5"/>
  <c r="K61" i="26" l="1"/>
  <c r="J61" i="26"/>
  <c r="I61" i="26"/>
  <c r="M61" i="26"/>
  <c r="G61" i="26"/>
  <c r="C61" i="26"/>
  <c r="F61" i="26"/>
  <c r="H61" i="26"/>
  <c r="E61" i="26"/>
  <c r="D61" i="26"/>
  <c r="L61" i="26"/>
  <c r="B61" i="26"/>
  <c r="AK14" i="25"/>
  <c r="AJ42" i="25"/>
  <c r="B2247" i="5"/>
  <c r="C2247" i="5"/>
  <c r="B2248" i="5"/>
  <c r="C2248" i="5"/>
  <c r="B2249" i="5"/>
  <c r="C2249" i="5"/>
  <c r="B2250" i="5"/>
  <c r="C2250" i="5"/>
  <c r="B2251" i="5"/>
  <c r="C2251" i="5"/>
  <c r="B2252" i="5"/>
  <c r="C2252" i="5"/>
  <c r="B2253" i="5"/>
  <c r="C2253" i="5"/>
  <c r="B2254" i="5"/>
  <c r="C2254" i="5"/>
  <c r="B2255" i="5"/>
  <c r="C2255" i="5"/>
  <c r="B2256" i="5"/>
  <c r="C2256" i="5"/>
  <c r="B2257" i="5"/>
  <c r="C2257" i="5"/>
  <c r="B2258" i="5"/>
  <c r="C2258" i="5"/>
  <c r="B2259" i="5"/>
  <c r="C2259" i="5"/>
  <c r="B2260" i="5"/>
  <c r="C2260" i="5"/>
  <c r="B2261" i="5"/>
  <c r="C2261" i="5"/>
  <c r="B2262" i="5"/>
  <c r="C2262" i="5"/>
  <c r="E1561" i="1"/>
  <c r="E1562" i="1" s="1"/>
  <c r="B2231" i="5"/>
  <c r="C2231" i="5"/>
  <c r="B2232" i="5"/>
  <c r="C2232" i="5"/>
  <c r="B2233" i="5"/>
  <c r="C2233" i="5"/>
  <c r="B2234" i="5"/>
  <c r="C2234" i="5"/>
  <c r="B2235" i="5"/>
  <c r="C2235" i="5"/>
  <c r="B2236" i="5"/>
  <c r="C2236" i="5"/>
  <c r="B2237" i="5"/>
  <c r="C2237" i="5"/>
  <c r="B2238" i="5"/>
  <c r="C2238" i="5"/>
  <c r="B2239" i="5"/>
  <c r="C2239" i="5"/>
  <c r="B2240" i="5"/>
  <c r="C2240" i="5"/>
  <c r="B2241" i="5"/>
  <c r="C2241" i="5"/>
  <c r="B2243" i="5"/>
  <c r="C2243" i="5"/>
  <c r="B2244" i="5"/>
  <c r="C2244" i="5"/>
  <c r="B2245" i="5"/>
  <c r="C2245" i="5"/>
  <c r="B2246" i="5"/>
  <c r="C2246" i="5"/>
  <c r="B2222" i="5"/>
  <c r="C2222" i="5"/>
  <c r="B2223" i="5"/>
  <c r="C2223" i="5"/>
  <c r="B2224" i="5"/>
  <c r="C2224" i="5"/>
  <c r="B2225" i="5"/>
  <c r="C2225" i="5"/>
  <c r="B2226" i="5"/>
  <c r="C2226" i="5"/>
  <c r="B2227" i="5"/>
  <c r="C2227" i="5"/>
  <c r="B2228" i="5"/>
  <c r="C2228" i="5"/>
  <c r="B2229" i="5"/>
  <c r="C2229" i="5"/>
  <c r="B2230" i="5"/>
  <c r="C2230" i="5"/>
  <c r="B2209" i="5"/>
  <c r="C2209" i="5"/>
  <c r="B2210" i="5"/>
  <c r="C2210" i="5"/>
  <c r="B2211" i="5"/>
  <c r="C2211" i="5"/>
  <c r="B2212" i="5"/>
  <c r="C2212" i="5"/>
  <c r="B2213" i="5"/>
  <c r="C2213" i="5"/>
  <c r="B2214" i="5"/>
  <c r="C2214" i="5"/>
  <c r="B2215" i="5"/>
  <c r="C2215" i="5"/>
  <c r="B2216" i="5"/>
  <c r="C2216" i="5"/>
  <c r="B2217" i="5"/>
  <c r="C2217" i="5"/>
  <c r="B2218" i="5"/>
  <c r="C2218" i="5"/>
  <c r="B2219" i="5"/>
  <c r="C2219" i="5"/>
  <c r="B2220" i="5"/>
  <c r="C2220" i="5"/>
  <c r="B2221" i="5"/>
  <c r="C2221" i="5"/>
  <c r="AL14" i="25" l="1"/>
  <c r="AK42" i="25"/>
  <c r="B2196" i="5"/>
  <c r="C2196" i="5"/>
  <c r="B2197" i="5"/>
  <c r="C2197" i="5"/>
  <c r="B2198" i="5"/>
  <c r="C2198" i="5"/>
  <c r="B2199" i="5"/>
  <c r="C2199" i="5"/>
  <c r="B2200" i="5"/>
  <c r="C2200" i="5"/>
  <c r="B2201" i="5"/>
  <c r="C2201" i="5"/>
  <c r="B2202" i="5"/>
  <c r="C2202" i="5"/>
  <c r="B2203" i="5"/>
  <c r="C2203" i="5"/>
  <c r="B2204" i="5"/>
  <c r="C2204" i="5"/>
  <c r="B2205" i="5"/>
  <c r="C2205" i="5"/>
  <c r="B2206" i="5"/>
  <c r="C2206" i="5"/>
  <c r="B2207" i="5"/>
  <c r="C2207" i="5"/>
  <c r="B2208" i="5"/>
  <c r="C2208" i="5"/>
  <c r="B2176" i="5"/>
  <c r="C2176" i="5"/>
  <c r="B2177" i="5"/>
  <c r="C2177" i="5"/>
  <c r="B2178" i="5"/>
  <c r="C2178" i="5"/>
  <c r="B2179" i="5"/>
  <c r="C2179" i="5"/>
  <c r="B2180" i="5"/>
  <c r="C2180" i="5"/>
  <c r="B2181" i="5"/>
  <c r="C2181" i="5"/>
  <c r="B2182" i="5"/>
  <c r="C2182" i="5"/>
  <c r="B2183" i="5"/>
  <c r="C2183" i="5"/>
  <c r="B2184" i="5"/>
  <c r="C2184" i="5"/>
  <c r="B2185" i="5"/>
  <c r="C2185" i="5"/>
  <c r="B2186" i="5"/>
  <c r="C2186" i="5"/>
  <c r="B2187" i="5"/>
  <c r="C2187" i="5"/>
  <c r="B2188" i="5"/>
  <c r="C2188" i="5"/>
  <c r="B2189" i="5"/>
  <c r="C2189" i="5"/>
  <c r="B2190" i="5"/>
  <c r="C2190" i="5"/>
  <c r="B2191" i="5"/>
  <c r="C2191" i="5"/>
  <c r="B2192" i="5"/>
  <c r="C2192" i="5"/>
  <c r="B2194" i="5"/>
  <c r="C2194" i="5"/>
  <c r="B2195" i="5"/>
  <c r="C2195" i="5"/>
  <c r="B2170" i="5"/>
  <c r="C2170" i="5"/>
  <c r="B2171" i="5"/>
  <c r="C2171" i="5"/>
  <c r="B2172" i="5"/>
  <c r="C2172" i="5"/>
  <c r="B2173" i="5"/>
  <c r="C2173" i="5"/>
  <c r="B2174" i="5"/>
  <c r="C2174" i="5"/>
  <c r="B2175" i="5"/>
  <c r="C2175" i="5"/>
  <c r="G1561" i="1"/>
  <c r="F1561" i="1"/>
  <c r="E1530" i="1"/>
  <c r="E1531" i="1" s="1"/>
  <c r="G1530" i="1"/>
  <c r="F1530" i="1"/>
  <c r="M55" i="26" l="1"/>
  <c r="K55" i="26"/>
  <c r="F55" i="26"/>
  <c r="L55" i="26"/>
  <c r="G55" i="26"/>
  <c r="D55" i="26"/>
  <c r="C55" i="26"/>
  <c r="B55" i="26"/>
  <c r="I55" i="26"/>
  <c r="J55" i="26"/>
  <c r="E55" i="26"/>
  <c r="H55" i="26"/>
  <c r="AM14" i="25"/>
  <c r="AL42" i="25"/>
  <c r="AN14" i="25" l="1"/>
  <c r="AM42" i="25"/>
  <c r="H5316" i="5"/>
  <c r="G1503" i="1"/>
  <c r="F1503" i="1"/>
  <c r="E1503" i="1"/>
  <c r="E1504" i="1" s="1"/>
  <c r="M45" i="12"/>
  <c r="M129" i="12" s="1"/>
  <c r="AO14" i="25" l="1"/>
  <c r="AO42" i="25" s="1"/>
  <c r="AN42" i="25"/>
  <c r="G1471" i="1" l="1"/>
  <c r="F1471" i="1"/>
  <c r="E1471" i="1"/>
  <c r="E1472" i="1" s="1"/>
  <c r="I29" i="12" l="1"/>
  <c r="I59" i="12" s="1"/>
  <c r="G1430" i="1" l="1"/>
  <c r="F1430" i="1"/>
  <c r="E1430" i="1"/>
  <c r="E1431" i="1" s="1"/>
  <c r="E1432" i="1" s="1"/>
  <c r="E1473" i="1" s="1"/>
  <c r="E1505" i="1" s="1"/>
  <c r="C3" i="5"/>
  <c r="C4" i="5"/>
  <c r="C5" i="5"/>
  <c r="C2" i="5"/>
  <c r="B3" i="5"/>
  <c r="B4" i="5"/>
  <c r="B5" i="5"/>
  <c r="B2" i="5"/>
  <c r="M53" i="26" l="1"/>
  <c r="C53" i="26"/>
  <c r="L53" i="26"/>
  <c r="B53" i="26"/>
  <c r="K53" i="26"/>
  <c r="G53" i="26"/>
  <c r="J53" i="26"/>
  <c r="H53" i="26"/>
  <c r="F53" i="26"/>
  <c r="E53" i="26"/>
  <c r="D53" i="26"/>
  <c r="I53" i="26"/>
  <c r="M58" i="26"/>
  <c r="C58" i="26"/>
  <c r="L58" i="26"/>
  <c r="B58" i="26"/>
  <c r="K58" i="26"/>
  <c r="J58" i="26"/>
  <c r="I58" i="26"/>
  <c r="H58" i="26"/>
  <c r="G58" i="26"/>
  <c r="F58" i="26"/>
  <c r="E58" i="26"/>
  <c r="D58" i="26"/>
  <c r="CB53" i="4"/>
  <c r="CB55" i="4"/>
  <c r="CA55" i="4"/>
  <c r="BZ55" i="4"/>
  <c r="BY55" i="4"/>
  <c r="BX55" i="4"/>
  <c r="BW55" i="4"/>
  <c r="CB54" i="4"/>
  <c r="BZ54" i="4"/>
  <c r="CA54" i="4"/>
  <c r="BX54" i="4"/>
  <c r="BY54" i="4"/>
  <c r="BW54" i="4"/>
  <c r="CA53" i="4"/>
  <c r="BZ53" i="4"/>
  <c r="BY53" i="4"/>
  <c r="BX53" i="4"/>
  <c r="BW53" i="4"/>
  <c r="BV55" i="4"/>
  <c r="BV54" i="4"/>
  <c r="BV53" i="4"/>
  <c r="BV50" i="4"/>
  <c r="BV52" i="4" s="1"/>
  <c r="K44" i="26"/>
  <c r="L44" i="26"/>
  <c r="M44" i="26"/>
  <c r="BU50" i="4"/>
  <c r="BU52" i="4" s="1"/>
  <c r="BS54" i="4"/>
  <c r="BT50" i="4"/>
  <c r="BT52" i="4" s="1"/>
  <c r="BU53" i="4"/>
  <c r="BS50" i="4"/>
  <c r="BS52" i="4" s="1"/>
  <c r="BT53" i="4"/>
  <c r="BS53" i="4"/>
  <c r="BQ50" i="4"/>
  <c r="BQ52" i="4" s="1"/>
  <c r="BR50" i="4"/>
  <c r="BR52" i="4" s="1"/>
  <c r="BU55" i="4"/>
  <c r="BT55" i="4"/>
  <c r="BS55" i="4"/>
  <c r="BU54" i="4"/>
  <c r="BT54" i="4"/>
  <c r="BQ55" i="4"/>
  <c r="BR55" i="4"/>
  <c r="BQ54" i="4"/>
  <c r="BR54" i="4"/>
  <c r="BQ53" i="4"/>
  <c r="BR53" i="4"/>
  <c r="BO50" i="4"/>
  <c r="BO52" i="4" s="1"/>
  <c r="BP55" i="4"/>
  <c r="BO55" i="4"/>
  <c r="C20" i="26"/>
  <c r="M20" i="26"/>
  <c r="D20" i="26"/>
  <c r="E20" i="26"/>
  <c r="F20" i="26"/>
  <c r="G20" i="26"/>
  <c r="H20" i="26"/>
  <c r="I20" i="26"/>
  <c r="J20" i="26"/>
  <c r="K20" i="26"/>
  <c r="B20" i="26"/>
  <c r="L20" i="26"/>
  <c r="BN55" i="4"/>
  <c r="BN54" i="4"/>
  <c r="BN53" i="4"/>
  <c r="BN50" i="4"/>
  <c r="BN52" i="4" s="1"/>
  <c r="BM50" i="4"/>
  <c r="BM52" i="4" s="1"/>
  <c r="B44" i="26"/>
  <c r="K21" i="26"/>
  <c r="C44" i="26"/>
  <c r="B21" i="26"/>
  <c r="L21" i="26"/>
  <c r="D44" i="26"/>
  <c r="C21" i="26"/>
  <c r="E44" i="26"/>
  <c r="D21" i="26"/>
  <c r="F44" i="26"/>
  <c r="E21" i="26"/>
  <c r="G44" i="26"/>
  <c r="F21" i="26"/>
  <c r="H44" i="26"/>
  <c r="G21" i="26"/>
  <c r="M21" i="26"/>
  <c r="I44" i="26"/>
  <c r="H21" i="26"/>
  <c r="J21" i="26"/>
  <c r="J44" i="26"/>
  <c r="I21" i="26"/>
  <c r="M38" i="26"/>
  <c r="D38" i="26"/>
  <c r="C38" i="26"/>
  <c r="G38" i="26"/>
  <c r="K38" i="26"/>
  <c r="H38" i="26"/>
  <c r="B38" i="26"/>
  <c r="I38" i="26"/>
  <c r="F38" i="26"/>
  <c r="J38" i="26"/>
  <c r="L38" i="26"/>
  <c r="E38" i="26"/>
  <c r="BK50" i="4"/>
  <c r="BK52" i="4" s="1"/>
  <c r="J35" i="26"/>
  <c r="B35" i="26"/>
  <c r="BM55" i="4"/>
  <c r="K35" i="26"/>
  <c r="BL55" i="4"/>
  <c r="L35" i="26"/>
  <c r="BK55" i="4"/>
  <c r="M35" i="26"/>
  <c r="F35" i="26"/>
  <c r="BM54" i="4"/>
  <c r="BL54" i="4"/>
  <c r="H35" i="26"/>
  <c r="BK54" i="4"/>
  <c r="BM53" i="4"/>
  <c r="BL53" i="4"/>
  <c r="E35" i="26"/>
  <c r="BK53" i="4"/>
  <c r="G35" i="26"/>
  <c r="BL50" i="4"/>
  <c r="BL52" i="4" s="1"/>
  <c r="I35" i="26"/>
  <c r="D35" i="26"/>
  <c r="C35" i="26"/>
  <c r="I30" i="26"/>
  <c r="F30" i="26"/>
  <c r="J30" i="26"/>
  <c r="K30" i="26"/>
  <c r="L30" i="26"/>
  <c r="E30" i="26"/>
  <c r="M30" i="26"/>
  <c r="D30" i="26"/>
  <c r="G30" i="26"/>
  <c r="H30" i="26"/>
  <c r="B30" i="26"/>
  <c r="C30" i="26"/>
  <c r="G32" i="26"/>
  <c r="B32" i="26"/>
  <c r="E32" i="26"/>
  <c r="H32" i="26"/>
  <c r="I32" i="26"/>
  <c r="F32" i="26"/>
  <c r="J32" i="26"/>
  <c r="K32" i="26"/>
  <c r="L32" i="26"/>
  <c r="M32" i="26"/>
  <c r="D32" i="26"/>
  <c r="C32" i="26"/>
  <c r="B31" i="26"/>
  <c r="G31" i="26"/>
  <c r="F31" i="26"/>
  <c r="E31" i="26"/>
  <c r="H31" i="26"/>
  <c r="I31" i="26"/>
  <c r="D31" i="26"/>
  <c r="J31" i="26"/>
  <c r="K31" i="26"/>
  <c r="L31" i="26"/>
  <c r="M31" i="26"/>
  <c r="C31" i="26"/>
  <c r="L33" i="26"/>
  <c r="C33" i="26"/>
  <c r="M33" i="26"/>
  <c r="F33" i="26"/>
  <c r="D33" i="26"/>
  <c r="E33" i="26"/>
  <c r="G33" i="26"/>
  <c r="H33" i="26"/>
  <c r="I33" i="26"/>
  <c r="J33" i="26"/>
  <c r="K33" i="26"/>
  <c r="B33" i="26"/>
  <c r="BJ55" i="4"/>
  <c r="BJ54" i="4"/>
  <c r="BJ53" i="4"/>
  <c r="BJ50" i="4"/>
  <c r="BJ52" i="4" s="1"/>
  <c r="BI55" i="4"/>
  <c r="BI54" i="4"/>
  <c r="BI53" i="4"/>
  <c r="BI50" i="4"/>
  <c r="BI52" i="4" s="1"/>
  <c r="BH50" i="4"/>
  <c r="BH52" i="4" s="1"/>
  <c r="BH53" i="4"/>
  <c r="BH55" i="4"/>
  <c r="BH54" i="4"/>
  <c r="BG50" i="4"/>
  <c r="BG52" i="4" s="1"/>
  <c r="BF53" i="4"/>
  <c r="BF50" i="4"/>
  <c r="BF52" i="4" s="1"/>
  <c r="BF54" i="4"/>
  <c r="BG53" i="4"/>
  <c r="BG55" i="4"/>
  <c r="BF55" i="4"/>
  <c r="BG54" i="4"/>
  <c r="BE55" i="4"/>
  <c r="BE54" i="4"/>
  <c r="BE53" i="4"/>
  <c r="BE50" i="4"/>
  <c r="BE52" i="4" s="1"/>
  <c r="BD50" i="4"/>
  <c r="BD52" i="4" s="1"/>
  <c r="BD55" i="4"/>
  <c r="AX55" i="4"/>
  <c r="BD53" i="4"/>
  <c r="BD54" i="4"/>
  <c r="BC55" i="4"/>
  <c r="BB50" i="4"/>
  <c r="BB52" i="4" s="1"/>
  <c r="BC53" i="4"/>
  <c r="BC50" i="4"/>
  <c r="BC52" i="4" s="1"/>
  <c r="BC54" i="4"/>
  <c r="BA50" i="4"/>
  <c r="BA52" i="4" s="1"/>
  <c r="BB55" i="4"/>
  <c r="BB54" i="4"/>
  <c r="BB53" i="4"/>
  <c r="B11" i="26"/>
  <c r="B8" i="26"/>
  <c r="F8" i="26"/>
  <c r="D8" i="26"/>
  <c r="G8" i="26"/>
  <c r="L8" i="26"/>
  <c r="H8" i="26"/>
  <c r="E8" i="26"/>
  <c r="I8" i="26"/>
  <c r="J8" i="26"/>
  <c r="M8" i="26"/>
  <c r="C8" i="26"/>
  <c r="K8" i="26"/>
  <c r="B14" i="26"/>
  <c r="B9" i="26"/>
  <c r="B6" i="26"/>
  <c r="E6" i="26"/>
  <c r="F6" i="26"/>
  <c r="C6" i="26"/>
  <c r="J6" i="26"/>
  <c r="K6" i="26"/>
  <c r="H6" i="26"/>
  <c r="D6" i="26"/>
  <c r="I6" i="26"/>
  <c r="L6" i="26"/>
  <c r="M6" i="26"/>
  <c r="G6" i="26"/>
  <c r="B7" i="26"/>
  <c r="BA55" i="4"/>
  <c r="BA54" i="4"/>
  <c r="BA53" i="4"/>
  <c r="H15" i="26"/>
  <c r="D15" i="26"/>
  <c r="J15" i="26"/>
  <c r="L15" i="26"/>
  <c r="G15" i="26"/>
  <c r="C15" i="26"/>
  <c r="E15" i="26"/>
  <c r="K15" i="26"/>
  <c r="F15" i="26"/>
  <c r="M15" i="26"/>
  <c r="I15" i="26"/>
  <c r="J16" i="26"/>
  <c r="C16" i="26"/>
  <c r="K16" i="26"/>
  <c r="D16" i="26"/>
  <c r="L16" i="26"/>
  <c r="E16" i="26"/>
  <c r="M16" i="26"/>
  <c r="F16" i="26"/>
  <c r="I16" i="26"/>
  <c r="G16" i="26"/>
  <c r="H16" i="26"/>
  <c r="H10" i="26"/>
  <c r="I10" i="26"/>
  <c r="J10" i="26"/>
  <c r="K10" i="26"/>
  <c r="M10" i="26"/>
  <c r="F10" i="26"/>
  <c r="L10" i="26"/>
  <c r="G10" i="26"/>
  <c r="E10" i="26"/>
  <c r="D10" i="26"/>
  <c r="C10" i="26"/>
  <c r="G9" i="26"/>
  <c r="C9" i="26"/>
  <c r="H9" i="26"/>
  <c r="I9" i="26"/>
  <c r="D9" i="26"/>
  <c r="L9" i="26"/>
  <c r="J9" i="26"/>
  <c r="K9" i="26"/>
  <c r="E9" i="26"/>
  <c r="M9" i="26"/>
  <c r="F9" i="26"/>
  <c r="J13" i="26"/>
  <c r="K13" i="26"/>
  <c r="E13" i="26"/>
  <c r="M13" i="26"/>
  <c r="G13" i="26"/>
  <c r="D13" i="26"/>
  <c r="L13" i="26"/>
  <c r="F13" i="26"/>
  <c r="H13" i="26"/>
  <c r="I13" i="26"/>
  <c r="C13" i="26"/>
  <c r="I7" i="26"/>
  <c r="J7" i="26"/>
  <c r="K7" i="26"/>
  <c r="F7" i="26"/>
  <c r="D7" i="26"/>
  <c r="L7" i="26"/>
  <c r="E7" i="26"/>
  <c r="M7" i="26"/>
  <c r="G7" i="26"/>
  <c r="H7" i="26"/>
  <c r="C7" i="26"/>
  <c r="D4" i="26"/>
  <c r="E4" i="26"/>
  <c r="M4" i="26"/>
  <c r="G4" i="26"/>
  <c r="F4" i="26"/>
  <c r="I4" i="26"/>
  <c r="H4" i="26"/>
  <c r="J4" i="26"/>
  <c r="C4" i="26"/>
  <c r="L4" i="26"/>
  <c r="K4" i="26"/>
  <c r="K11" i="26"/>
  <c r="E11" i="26"/>
  <c r="D11" i="26"/>
  <c r="L11" i="26"/>
  <c r="M11" i="26"/>
  <c r="G11" i="26"/>
  <c r="C11" i="26"/>
  <c r="F11" i="26"/>
  <c r="H11" i="26"/>
  <c r="J11" i="26"/>
  <c r="I11" i="26"/>
  <c r="G14" i="26"/>
  <c r="I14" i="26"/>
  <c r="H14" i="26"/>
  <c r="K14" i="26"/>
  <c r="J14" i="26"/>
  <c r="C14" i="26"/>
  <c r="D14" i="26"/>
  <c r="L14" i="26"/>
  <c r="F14" i="26"/>
  <c r="E14" i="26"/>
  <c r="M14" i="26"/>
  <c r="AZ50" i="4"/>
  <c r="AZ52" i="4" s="1"/>
  <c r="AZ55" i="4"/>
  <c r="AZ54" i="4"/>
  <c r="AZ53" i="4"/>
  <c r="AM50" i="4"/>
  <c r="AM52" i="4" s="1"/>
  <c r="AY55" i="4"/>
  <c r="AY54" i="4"/>
  <c r="AY50" i="4"/>
  <c r="AY52" i="4" s="1"/>
  <c r="AY53" i="4"/>
  <c r="AW50" i="4"/>
  <c r="AW52" i="4" s="1"/>
  <c r="AX54" i="4"/>
  <c r="AX53" i="4"/>
  <c r="AW55" i="4"/>
  <c r="AV55" i="4"/>
  <c r="AU55" i="4"/>
  <c r="AT55" i="4"/>
  <c r="AS55" i="4"/>
  <c r="AR55" i="4"/>
  <c r="AV50" i="4"/>
  <c r="AV52" i="4" s="1"/>
  <c r="AU54" i="4"/>
  <c r="AV53" i="4"/>
  <c r="AX50" i="4"/>
  <c r="AX52" i="4" s="1"/>
  <c r="AW53" i="4"/>
  <c r="AU53" i="4"/>
  <c r="AU50" i="4"/>
  <c r="AU52" i="4" s="1"/>
  <c r="AW54" i="4"/>
  <c r="AV54" i="4"/>
  <c r="AR50" i="4"/>
  <c r="AR52" i="4" s="1"/>
  <c r="AS50" i="4"/>
  <c r="AS52" i="4" s="1"/>
  <c r="AS53" i="4"/>
  <c r="AT53" i="4"/>
  <c r="AS54" i="4"/>
  <c r="AT50" i="4"/>
  <c r="AT52" i="4" s="1"/>
  <c r="AT54" i="4"/>
  <c r="AR54" i="4"/>
  <c r="AR53" i="4"/>
  <c r="AQ54" i="4"/>
  <c r="AQ50" i="4"/>
  <c r="AQ52" i="4" s="1"/>
  <c r="AQ55" i="4"/>
  <c r="AQ53" i="4"/>
  <c r="AP55" i="4"/>
  <c r="AP54" i="4"/>
  <c r="AP53" i="4"/>
  <c r="AP50" i="4"/>
  <c r="AP52" i="4" s="1"/>
  <c r="AO55" i="4"/>
  <c r="AO53" i="4"/>
  <c r="AO54" i="4"/>
  <c r="AO50" i="4"/>
  <c r="AO52" i="4" s="1"/>
  <c r="AM54" i="4"/>
  <c r="AN50" i="4"/>
  <c r="AN52" i="4" s="1"/>
  <c r="AN54" i="4"/>
  <c r="AM55" i="4"/>
  <c r="AN53" i="4"/>
  <c r="AN55" i="4"/>
  <c r="AM53" i="4"/>
  <c r="AL53" i="4"/>
  <c r="AL50" i="4"/>
  <c r="AL52" i="4" s="1"/>
  <c r="AL55" i="4"/>
  <c r="AL54" i="4"/>
  <c r="AK50" i="4"/>
  <c r="AK52" i="4" s="1"/>
  <c r="AK53" i="4"/>
  <c r="AK55" i="4"/>
  <c r="AJ55" i="4"/>
  <c r="AK54" i="4"/>
  <c r="AJ54" i="4"/>
  <c r="AJ50" i="4"/>
  <c r="AJ52" i="4" s="1"/>
  <c r="AJ53" i="4"/>
  <c r="G1398" i="1"/>
  <c r="F1398" i="1"/>
  <c r="E1398" i="1"/>
  <c r="E1399" i="1" s="1"/>
  <c r="H5320" i="5"/>
  <c r="BO54" i="4" s="1"/>
  <c r="E5320" i="5"/>
  <c r="BP50" i="4" s="1"/>
  <c r="BP52" i="4" s="1"/>
  <c r="D68" i="26" l="1"/>
  <c r="I68" i="26"/>
  <c r="C68" i="26"/>
  <c r="M68" i="26"/>
  <c r="H68" i="26"/>
  <c r="E68" i="26"/>
  <c r="F68" i="26"/>
  <c r="J68" i="26"/>
  <c r="G68" i="26"/>
  <c r="K68" i="26"/>
  <c r="B68" i="26"/>
  <c r="L68" i="26"/>
  <c r="CB57" i="4"/>
  <c r="CA57" i="4"/>
  <c r="BZ57" i="4"/>
  <c r="BX57" i="4"/>
  <c r="BY57" i="4"/>
  <c r="BW57" i="4"/>
  <c r="BV57" i="4"/>
  <c r="BU57" i="4"/>
  <c r="BS57" i="4"/>
  <c r="BT57" i="4"/>
  <c r="BQ57" i="4"/>
  <c r="BR57" i="4"/>
  <c r="BP54" i="4"/>
  <c r="BN57" i="4"/>
  <c r="C45" i="26"/>
  <c r="M45" i="26"/>
  <c r="F45" i="26"/>
  <c r="D45" i="26"/>
  <c r="B45" i="26"/>
  <c r="L45" i="26"/>
  <c r="H45" i="26"/>
  <c r="G45" i="26"/>
  <c r="BL57" i="4"/>
  <c r="BM57" i="4"/>
  <c r="K45" i="26"/>
  <c r="E45" i="26"/>
  <c r="J45" i="26"/>
  <c r="I45" i="26"/>
  <c r="BK57" i="4"/>
  <c r="BI57" i="4"/>
  <c r="BJ57" i="4"/>
  <c r="BH57" i="4"/>
  <c r="BF57" i="4"/>
  <c r="BG57" i="4"/>
  <c r="BE57" i="4"/>
  <c r="BD57" i="4"/>
  <c r="AX57" i="4"/>
  <c r="BC57" i="4"/>
  <c r="AZ57" i="4"/>
  <c r="BB57" i="4"/>
  <c r="B22" i="26"/>
  <c r="BA57" i="4"/>
  <c r="L22" i="26"/>
  <c r="C22" i="26"/>
  <c r="M22" i="26"/>
  <c r="E22" i="26"/>
  <c r="D22" i="26"/>
  <c r="F22" i="26"/>
  <c r="K22" i="26"/>
  <c r="H22" i="26"/>
  <c r="J22" i="26"/>
  <c r="G22" i="26"/>
  <c r="I22" i="26"/>
  <c r="AN57" i="4"/>
  <c r="AY57" i="4"/>
  <c r="AM57" i="4"/>
  <c r="AW57" i="4"/>
  <c r="AU57" i="4"/>
  <c r="AV57" i="4"/>
  <c r="AS57" i="4"/>
  <c r="AT57" i="4"/>
  <c r="AR57" i="4"/>
  <c r="AQ57" i="4"/>
  <c r="AO57" i="4"/>
  <c r="AP57" i="4"/>
  <c r="AL57" i="4"/>
  <c r="AK57" i="4"/>
  <c r="AJ57" i="4"/>
  <c r="D108" i="12" l="1"/>
  <c r="E108" i="12"/>
  <c r="F108" i="12"/>
  <c r="C110" i="12" l="1"/>
  <c r="I55" i="12" s="1"/>
  <c r="E1375" i="1"/>
  <c r="E1376" i="1" s="1"/>
  <c r="E1400" i="1" s="1"/>
  <c r="E1229" i="1"/>
  <c r="F1375" i="1"/>
  <c r="G5320" i="5" s="1"/>
  <c r="G1375" i="1"/>
  <c r="E1326" i="1"/>
  <c r="F1341" i="1" s="1"/>
  <c r="G1341" i="1"/>
  <c r="BO53" i="4" l="1"/>
  <c r="BO57" i="4" s="1"/>
  <c r="BP53" i="4"/>
  <c r="BP57" i="4" s="1"/>
  <c r="E1341" i="1"/>
  <c r="E1342" i="1" s="1"/>
  <c r="E1313" i="1"/>
  <c r="E1314" i="1" s="1"/>
  <c r="G1313" i="1"/>
  <c r="F1313" i="1"/>
  <c r="G1277" i="1"/>
  <c r="G1293" i="1" s="1"/>
  <c r="E1293" i="1"/>
  <c r="E1294" i="1"/>
  <c r="F1293" i="1"/>
  <c r="G1259" i="1"/>
  <c r="F1259" i="1"/>
  <c r="E1259" i="1"/>
  <c r="E1261" i="1" s="1"/>
  <c r="E1231" i="1"/>
  <c r="F1199" i="1"/>
  <c r="E1199" i="1"/>
  <c r="E1201" i="1" s="1"/>
  <c r="L45" i="11"/>
  <c r="M45" i="11" s="1"/>
  <c r="P45" i="11" s="1"/>
  <c r="K46" i="11" s="1"/>
  <c r="L46" i="11" s="1"/>
  <c r="T45" i="11"/>
  <c r="U45" i="11" s="1"/>
  <c r="X45" i="11" s="1"/>
  <c r="S46" i="11" s="1"/>
  <c r="T101" i="11"/>
  <c r="U101" i="11" s="1"/>
  <c r="X101" i="11" s="1"/>
  <c r="S102" i="11" s="1"/>
  <c r="T102" i="11" s="1"/>
  <c r="D78" i="11"/>
  <c r="E78" i="11" s="1"/>
  <c r="H78" i="11" s="1"/>
  <c r="C79" i="11" s="1"/>
  <c r="D79" i="11" s="1"/>
  <c r="E1167" i="1"/>
  <c r="E1169" i="1" s="1"/>
  <c r="G1219" i="1"/>
  <c r="G1218" i="1"/>
  <c r="G1126" i="1"/>
  <c r="F1126" i="1"/>
  <c r="E1126" i="1"/>
  <c r="E1128" i="1" s="1"/>
  <c r="C1103" i="1"/>
  <c r="C1104" i="1" s="1"/>
  <c r="E1091" i="1"/>
  <c r="E1102" i="1" s="1"/>
  <c r="E1104" i="1" s="1"/>
  <c r="M1315" i="5"/>
  <c r="F1102" i="1"/>
  <c r="G1102" i="1"/>
  <c r="G1069" i="1"/>
  <c r="G1071" i="1" s="1"/>
  <c r="F1069" i="1"/>
  <c r="F1071" i="1" s="1"/>
  <c r="E1069" i="1"/>
  <c r="E1071" i="1" s="1"/>
  <c r="F1032" i="1"/>
  <c r="M1138" i="5"/>
  <c r="M1139" i="5" s="1"/>
  <c r="E1012" i="1"/>
  <c r="E1032" i="1" s="1"/>
  <c r="E1034" i="1" s="1"/>
  <c r="K1021" i="1"/>
  <c r="G1032" i="1"/>
  <c r="E995" i="1"/>
  <c r="E997" i="1" s="1"/>
  <c r="T78" i="11"/>
  <c r="U78" i="11" s="1"/>
  <c r="X78" i="11" s="1"/>
  <c r="S79" i="11" s="1"/>
  <c r="G995" i="1"/>
  <c r="F995" i="1"/>
  <c r="M1079" i="5"/>
  <c r="E972" i="1"/>
  <c r="E974" i="1" s="1"/>
  <c r="E946" i="1"/>
  <c r="E948" i="1" s="1"/>
  <c r="F946" i="1"/>
  <c r="G972" i="1"/>
  <c r="F972" i="1"/>
  <c r="C947" i="1"/>
  <c r="C948" i="1" s="1"/>
  <c r="G946" i="1"/>
  <c r="E897" i="1"/>
  <c r="E902" i="1" s="1"/>
  <c r="E904" i="1" s="1"/>
  <c r="G916" i="1"/>
  <c r="F916" i="1"/>
  <c r="E916" i="1"/>
  <c r="E918" i="1" s="1"/>
  <c r="E879" i="1"/>
  <c r="E886" i="1" s="1"/>
  <c r="E888" i="1" s="1"/>
  <c r="G886" i="1"/>
  <c r="F886" i="1"/>
  <c r="G902" i="1"/>
  <c r="F902" i="1"/>
  <c r="F871" i="1"/>
  <c r="E871" i="1"/>
  <c r="E873" i="1" s="1"/>
  <c r="G871" i="1"/>
  <c r="M825" i="5"/>
  <c r="G844" i="1"/>
  <c r="F844" i="1"/>
  <c r="E844" i="1"/>
  <c r="E846" i="1" s="1"/>
  <c r="D45" i="11"/>
  <c r="E45" i="11" s="1"/>
  <c r="H45" i="11" s="1"/>
  <c r="C46" i="11" s="1"/>
  <c r="T5" i="11"/>
  <c r="U5" i="11" s="1"/>
  <c r="X5" i="11" s="1"/>
  <c r="S6" i="11" s="1"/>
  <c r="T12" i="11"/>
  <c r="U12" i="11" s="1"/>
  <c r="X12" i="11" s="1"/>
  <c r="S13" i="11" s="1"/>
  <c r="G821" i="1"/>
  <c r="E821" i="1"/>
  <c r="E823" i="1" s="1"/>
  <c r="F821" i="1"/>
  <c r="J808" i="1"/>
  <c r="F773" i="1"/>
  <c r="F795" i="1" s="1"/>
  <c r="E795" i="1"/>
  <c r="E797" i="1" s="1"/>
  <c r="G795" i="1"/>
  <c r="F739" i="1"/>
  <c r="F755" i="1" s="1"/>
  <c r="E746" i="1"/>
  <c r="E755" i="1" s="1"/>
  <c r="E757" i="1" s="1"/>
  <c r="G755" i="1"/>
  <c r="E726" i="1"/>
  <c r="G726" i="1"/>
  <c r="F726" i="1"/>
  <c r="D5" i="11"/>
  <c r="E5" i="11" s="1"/>
  <c r="H5" i="11" s="1"/>
  <c r="C6" i="11" s="1"/>
  <c r="D6" i="11" s="1"/>
  <c r="L5" i="11"/>
  <c r="M5" i="11" s="1"/>
  <c r="P5" i="11" s="1"/>
  <c r="K6" i="11" s="1"/>
  <c r="B47" i="4"/>
  <c r="J673" i="1"/>
  <c r="E692" i="1"/>
  <c r="E700" i="1" s="1"/>
  <c r="E702" i="1" s="1"/>
  <c r="G700" i="1"/>
  <c r="F700" i="1"/>
  <c r="A23" i="12"/>
  <c r="E654" i="1"/>
  <c r="E658" i="1"/>
  <c r="A32" i="12"/>
  <c r="A31" i="12"/>
  <c r="A30" i="12"/>
  <c r="A29" i="12"/>
  <c r="A28" i="12"/>
  <c r="A27" i="12"/>
  <c r="A26" i="12"/>
  <c r="A25" i="12"/>
  <c r="A24" i="12"/>
  <c r="A22" i="12"/>
  <c r="G686" i="1"/>
  <c r="F686" i="1"/>
  <c r="E686" i="1"/>
  <c r="E688" i="1" s="1"/>
  <c r="G663" i="1"/>
  <c r="F663" i="1"/>
  <c r="G648" i="1"/>
  <c r="F648" i="1"/>
  <c r="E648" i="1"/>
  <c r="CJ21" i="4"/>
  <c r="B30" i="4"/>
  <c r="L78" i="11"/>
  <c r="M78" i="11" s="1"/>
  <c r="P78" i="11" s="1"/>
  <c r="K79" i="11" s="1"/>
  <c r="Y21" i="12"/>
  <c r="V20" i="12"/>
  <c r="Y18" i="12"/>
  <c r="G623" i="1"/>
  <c r="F623" i="1"/>
  <c r="E623" i="1"/>
  <c r="L101" i="11"/>
  <c r="M101" i="11" s="1"/>
  <c r="P101" i="11" s="1"/>
  <c r="K102" i="11" s="1"/>
  <c r="D101" i="11"/>
  <c r="E101" i="11" s="1"/>
  <c r="H101" i="11" s="1"/>
  <c r="C102" i="11" s="1"/>
  <c r="B22" i="4"/>
  <c r="B44" i="4"/>
  <c r="B21" i="4"/>
  <c r="B28" i="4"/>
  <c r="B42" i="4"/>
  <c r="B24" i="4"/>
  <c r="B43" i="4"/>
  <c r="B31" i="4"/>
  <c r="B32" i="4"/>
  <c r="B33" i="4"/>
  <c r="B38" i="4"/>
  <c r="B39" i="4"/>
  <c r="B34" i="4"/>
  <c r="B35" i="4"/>
  <c r="B36" i="4"/>
  <c r="B37" i="4"/>
  <c r="B45" i="4"/>
  <c r="B46" i="4"/>
  <c r="B48" i="4"/>
  <c r="B49" i="4"/>
  <c r="K375" i="5"/>
  <c r="E576" i="1"/>
  <c r="G576" i="1"/>
  <c r="G601" i="1"/>
  <c r="E601" i="1"/>
  <c r="F601" i="1"/>
  <c r="K336" i="5"/>
  <c r="F568" i="1"/>
  <c r="F576" i="1" s="1"/>
  <c r="M279" i="5"/>
  <c r="K294" i="5"/>
  <c r="E552" i="1"/>
  <c r="G552" i="1"/>
  <c r="F552" i="1"/>
  <c r="G527" i="1"/>
  <c r="F527" i="1"/>
  <c r="E517" i="1"/>
  <c r="E527" i="1" s="1"/>
  <c r="F513" i="1"/>
  <c r="G513" i="1"/>
  <c r="E513" i="1"/>
  <c r="K208" i="5"/>
  <c r="M486" i="1"/>
  <c r="L486" i="1"/>
  <c r="K127" i="5"/>
  <c r="K161" i="5"/>
  <c r="G492" i="1"/>
  <c r="F492" i="1"/>
  <c r="E492" i="1"/>
  <c r="G430" i="1"/>
  <c r="G464" i="1"/>
  <c r="F464" i="1"/>
  <c r="E464" i="1"/>
  <c r="F430" i="1"/>
  <c r="E430" i="1"/>
  <c r="E406" i="1"/>
  <c r="K33" i="5"/>
  <c r="F401" i="1"/>
  <c r="F406" i="1" s="1"/>
  <c r="F376" i="1"/>
  <c r="F375" i="1"/>
  <c r="E385" i="1"/>
  <c r="E333" i="1"/>
  <c r="F333" i="1"/>
  <c r="G333" i="1"/>
  <c r="E358" i="1"/>
  <c r="F359" i="1" s="1"/>
  <c r="F305" i="1"/>
  <c r="E305" i="1"/>
  <c r="E259" i="1"/>
  <c r="F287" i="1"/>
  <c r="E287" i="1"/>
  <c r="F259" i="1"/>
  <c r="F229" i="1"/>
  <c r="F231" i="1" s="1"/>
  <c r="L218" i="1"/>
  <c r="L223" i="1" s="1"/>
  <c r="E222" i="1"/>
  <c r="E225" i="1"/>
  <c r="E221" i="1"/>
  <c r="F196" i="1"/>
  <c r="H192" i="1"/>
  <c r="G203" i="1"/>
  <c r="G204" i="1" s="1"/>
  <c r="E194" i="1"/>
  <c r="F193" i="1"/>
  <c r="F191" i="1"/>
  <c r="E190" i="1"/>
  <c r="E170" i="1"/>
  <c r="E174" i="1" s="1"/>
  <c r="F174" i="1"/>
  <c r="D146" i="1"/>
  <c r="F146" i="1" s="1"/>
  <c r="L147" i="1"/>
  <c r="F143" i="1" s="1"/>
  <c r="E151" i="1"/>
  <c r="E127" i="1"/>
  <c r="F127" i="1"/>
  <c r="F93" i="1"/>
  <c r="F99" i="1" s="1"/>
  <c r="E95" i="1"/>
  <c r="E99" i="1" s="1"/>
  <c r="F77" i="1"/>
  <c r="E77" i="1"/>
  <c r="F38" i="1"/>
  <c r="F41" i="1"/>
  <c r="F40" i="1"/>
  <c r="F39" i="1"/>
  <c r="I43" i="1"/>
  <c r="F22" i="1"/>
  <c r="F37" i="1"/>
  <c r="F30" i="1"/>
  <c r="F31" i="1"/>
  <c r="F32" i="1"/>
  <c r="F34" i="1"/>
  <c r="F35" i="1"/>
  <c r="F36" i="1"/>
  <c r="F29" i="1"/>
  <c r="H16" i="1"/>
  <c r="H43" i="1" s="1"/>
  <c r="H44" i="1" s="1"/>
  <c r="G43" i="1"/>
  <c r="G44" i="1" s="1"/>
  <c r="F6" i="1"/>
  <c r="F27" i="1"/>
  <c r="F20" i="1"/>
  <c r="F26" i="1"/>
  <c r="F25" i="1"/>
  <c r="F24" i="1"/>
  <c r="F23" i="1"/>
  <c r="F15" i="1"/>
  <c r="F3" i="1"/>
  <c r="G53" i="1"/>
  <c r="G52" i="1"/>
  <c r="G50" i="1"/>
  <c r="G51" i="1"/>
  <c r="F17" i="1"/>
  <c r="F4" i="1"/>
  <c r="F2" i="1"/>
  <c r="F7" i="1"/>
  <c r="F8" i="1"/>
  <c r="F9" i="1"/>
  <c r="F10" i="1"/>
  <c r="F11" i="1"/>
  <c r="F12" i="1"/>
  <c r="F13" i="1"/>
  <c r="F14" i="1"/>
  <c r="T17" i="11"/>
  <c r="U17" i="11" s="1"/>
  <c r="X17" i="11" s="1"/>
  <c r="S18" i="11" s="1"/>
  <c r="T18" i="11" s="1"/>
  <c r="F1167" i="1"/>
  <c r="F1229" i="1"/>
  <c r="K256" i="5"/>
  <c r="U102" i="11" l="1"/>
  <c r="X102" i="11" s="1"/>
  <c r="S103" i="11" s="1"/>
  <c r="T103" i="11" s="1"/>
  <c r="U103" i="11" s="1"/>
  <c r="X103" i="11" s="1"/>
  <c r="S104" i="11" s="1"/>
  <c r="E6" i="11"/>
  <c r="H6" i="11" s="1"/>
  <c r="C7" i="11" s="1"/>
  <c r="D7" i="11" s="1"/>
  <c r="T6" i="11"/>
  <c r="U6" i="11" s="1"/>
  <c r="X6" i="11" s="1"/>
  <c r="S7" i="11" s="1"/>
  <c r="T7" i="11" s="1"/>
  <c r="U7" i="11" s="1"/>
  <c r="X7" i="11" s="1"/>
  <c r="S8" i="11" s="1"/>
  <c r="T79" i="11"/>
  <c r="U79" i="11" s="1"/>
  <c r="X79" i="11" s="1"/>
  <c r="S80" i="11" s="1"/>
  <c r="T80" i="11" s="1"/>
  <c r="T46" i="11"/>
  <c r="U46" i="11" s="1"/>
  <c r="X46" i="11" s="1"/>
  <c r="S47" i="11" s="1"/>
  <c r="T47" i="11" s="1"/>
  <c r="U47" i="11" s="1"/>
  <c r="X47" i="11" s="1"/>
  <c r="S48" i="11" s="1"/>
  <c r="L102" i="11"/>
  <c r="M102" i="11" s="1"/>
  <c r="P102" i="11" s="1"/>
  <c r="K103" i="11" s="1"/>
  <c r="L103" i="11" s="1"/>
  <c r="M103" i="11" s="1"/>
  <c r="P103" i="11" s="1"/>
  <c r="K104" i="11" s="1"/>
  <c r="D46" i="11"/>
  <c r="E46" i="11" s="1"/>
  <c r="H46" i="11" s="1"/>
  <c r="C47" i="11" s="1"/>
  <c r="D47" i="11" s="1"/>
  <c r="E47" i="11" s="1"/>
  <c r="H47" i="11" s="1"/>
  <c r="C48" i="11" s="1"/>
  <c r="M46" i="11"/>
  <c r="P46" i="11" s="1"/>
  <c r="K47" i="11" s="1"/>
  <c r="L47" i="11" s="1"/>
  <c r="U18" i="11"/>
  <c r="X18" i="11" s="1"/>
  <c r="S19" i="11" s="1"/>
  <c r="T13" i="11"/>
  <c r="U13" i="11" s="1"/>
  <c r="X13" i="11" s="1"/>
  <c r="S14" i="11" s="1"/>
  <c r="E79" i="11"/>
  <c r="H79" i="11" s="1"/>
  <c r="C80" i="11" s="1"/>
  <c r="L79" i="11"/>
  <c r="M79" i="11" s="1"/>
  <c r="P79" i="11" s="1"/>
  <c r="K80" i="11" s="1"/>
  <c r="L6" i="11"/>
  <c r="M6" i="11" s="1"/>
  <c r="P6" i="11" s="1"/>
  <c r="K7" i="11" s="1"/>
  <c r="D102" i="11"/>
  <c r="E102" i="11" s="1"/>
  <c r="H102" i="11" s="1"/>
  <c r="C103" i="11" s="1"/>
  <c r="AI50" i="4"/>
  <c r="AI52" i="4" s="1"/>
  <c r="AI55" i="4"/>
  <c r="AI54" i="4"/>
  <c r="AI53" i="4"/>
  <c r="B52" i="4"/>
  <c r="AE50" i="4"/>
  <c r="AE52" i="4" s="1"/>
  <c r="M488" i="1"/>
  <c r="AG50" i="4"/>
  <c r="AG52" i="4" s="1"/>
  <c r="E1343" i="1"/>
  <c r="E1377" i="1" s="1"/>
  <c r="Y50" i="4"/>
  <c r="Y52" i="4" s="1"/>
  <c r="M55" i="4"/>
  <c r="V55" i="4"/>
  <c r="AH50" i="4"/>
  <c r="AH52" i="4" s="1"/>
  <c r="AH55" i="4"/>
  <c r="AH54" i="4"/>
  <c r="AH53" i="4"/>
  <c r="L53" i="4"/>
  <c r="E231" i="1"/>
  <c r="G56" i="1"/>
  <c r="G58" i="1" s="1"/>
  <c r="F43" i="1"/>
  <c r="E663" i="1"/>
  <c r="E666" i="1" s="1"/>
  <c r="Z50" i="4"/>
  <c r="Z52" i="4" s="1"/>
  <c r="X53" i="4"/>
  <c r="V50" i="4"/>
  <c r="V52" i="4" s="1"/>
  <c r="W55" i="4"/>
  <c r="K53" i="4"/>
  <c r="J55" i="4"/>
  <c r="M50" i="4"/>
  <c r="M52" i="4" s="1"/>
  <c r="P53" i="4"/>
  <c r="T54" i="4"/>
  <c r="Z55" i="4"/>
  <c r="R54" i="4"/>
  <c r="N53" i="4"/>
  <c r="K54" i="4"/>
  <c r="N55" i="4"/>
  <c r="M54" i="4"/>
  <c r="Q54" i="4"/>
  <c r="AA53" i="4"/>
  <c r="R50" i="4"/>
  <c r="R52" i="4" s="1"/>
  <c r="T50" i="4"/>
  <c r="T52" i="4" s="1"/>
  <c r="N54" i="4"/>
  <c r="Q53" i="4"/>
  <c r="S50" i="4"/>
  <c r="S52" i="4" s="1"/>
  <c r="Z54" i="4"/>
  <c r="X50" i="4"/>
  <c r="X52" i="4" s="1"/>
  <c r="X55" i="4"/>
  <c r="O54" i="4"/>
  <c r="T55" i="4"/>
  <c r="J50" i="4"/>
  <c r="J52" i="4" s="1"/>
  <c r="L55" i="4"/>
  <c r="M53" i="4"/>
  <c r="Y55" i="4"/>
  <c r="Y53" i="4"/>
  <c r="X54" i="4"/>
  <c r="Z53" i="4"/>
  <c r="R55" i="4"/>
  <c r="J53" i="4"/>
  <c r="T53" i="4"/>
  <c r="Q55" i="4"/>
  <c r="O53" i="4"/>
  <c r="W53" i="4"/>
  <c r="S55" i="4"/>
  <c r="Q50" i="4"/>
  <c r="Q52" i="4" s="1"/>
  <c r="O55" i="4"/>
  <c r="P50" i="4"/>
  <c r="P52" i="4" s="1"/>
  <c r="J54" i="4"/>
  <c r="U53" i="4"/>
  <c r="S53" i="4"/>
  <c r="L50" i="4"/>
  <c r="L52" i="4" s="1"/>
  <c r="K50" i="4"/>
  <c r="K52" i="4" s="1"/>
  <c r="S54" i="4"/>
  <c r="P55" i="4"/>
  <c r="K55" i="4"/>
  <c r="Y54" i="4"/>
  <c r="N50" i="4"/>
  <c r="N52" i="4" s="1"/>
  <c r="W50" i="4"/>
  <c r="W52" i="4" s="1"/>
  <c r="W54" i="4"/>
  <c r="L54" i="4"/>
  <c r="P54" i="4"/>
  <c r="R53" i="4"/>
  <c r="U55" i="4"/>
  <c r="U50" i="4"/>
  <c r="U52" i="4" s="1"/>
  <c r="O50" i="4"/>
  <c r="O52" i="4" s="1"/>
  <c r="V54" i="4"/>
  <c r="U54" i="4"/>
  <c r="V53" i="4"/>
  <c r="AC50" i="4"/>
  <c r="AC52" i="4" s="1"/>
  <c r="AB54" i="4"/>
  <c r="AA54" i="4"/>
  <c r="AD55" i="4"/>
  <c r="AG53" i="4"/>
  <c r="AG54" i="4"/>
  <c r="AC54" i="4"/>
  <c r="AG55" i="4"/>
  <c r="AE54" i="4"/>
  <c r="AF54" i="4"/>
  <c r="AC53" i="4"/>
  <c r="AD53" i="4"/>
  <c r="AD54" i="4"/>
  <c r="AB55" i="4"/>
  <c r="AE55" i="4"/>
  <c r="AF50" i="4"/>
  <c r="AF52" i="4" s="1"/>
  <c r="AB53" i="4"/>
  <c r="AA55" i="4"/>
  <c r="AF53" i="4"/>
  <c r="AD50" i="4"/>
  <c r="AD52" i="4" s="1"/>
  <c r="AA50" i="4"/>
  <c r="AA52" i="4" s="1"/>
  <c r="AB50" i="4"/>
  <c r="AB52" i="4" s="1"/>
  <c r="AC55" i="4"/>
  <c r="AE53" i="4"/>
  <c r="AF55" i="4"/>
  <c r="F201" i="1"/>
  <c r="G201" i="1" s="1"/>
  <c r="E201" i="1"/>
  <c r="E1295" i="1"/>
  <c r="F385" i="1"/>
  <c r="F823" i="1"/>
  <c r="F151" i="1"/>
  <c r="H45" i="1"/>
  <c r="F349" i="1"/>
  <c r="E7" i="11" l="1"/>
  <c r="H7" i="11" s="1"/>
  <c r="C8" i="11" s="1"/>
  <c r="D8" i="11" s="1"/>
  <c r="E8" i="11" s="1"/>
  <c r="H8" i="11" s="1"/>
  <c r="C9" i="11" s="1"/>
  <c r="M47" i="11"/>
  <c r="P47" i="11" s="1"/>
  <c r="K48" i="11" s="1"/>
  <c r="L48" i="11" s="1"/>
  <c r="M48" i="11" s="1"/>
  <c r="P48" i="11" s="1"/>
  <c r="K49" i="11" s="1"/>
  <c r="U80" i="11"/>
  <c r="X80" i="11" s="1"/>
  <c r="S81" i="11" s="1"/>
  <c r="T81" i="11" s="1"/>
  <c r="U81" i="11" s="1"/>
  <c r="X81" i="11" s="1"/>
  <c r="S82" i="11" s="1"/>
  <c r="T82" i="11" s="1"/>
  <c r="U82" i="11" s="1"/>
  <c r="X82" i="11" s="1"/>
  <c r="S83" i="11" s="1"/>
  <c r="T83" i="11" s="1"/>
  <c r="U83" i="11" s="1"/>
  <c r="X83" i="11" s="1"/>
  <c r="S84" i="11" s="1"/>
  <c r="T14" i="11"/>
  <c r="U14" i="11" s="1"/>
  <c r="X14" i="11" s="1"/>
  <c r="S15" i="11" s="1"/>
  <c r="L104" i="11"/>
  <c r="M104" i="11" s="1"/>
  <c r="P104" i="11" s="1"/>
  <c r="K105" i="11" s="1"/>
  <c r="T104" i="11"/>
  <c r="U104" i="11" s="1"/>
  <c r="X104" i="11" s="1"/>
  <c r="S105" i="11" s="1"/>
  <c r="D48" i="11"/>
  <c r="E48" i="11" s="1"/>
  <c r="H48" i="11" s="1"/>
  <c r="C49" i="11" s="1"/>
  <c r="L7" i="11"/>
  <c r="M7" i="11" s="1"/>
  <c r="P7" i="11" s="1"/>
  <c r="K8" i="11" s="1"/>
  <c r="T8" i="11"/>
  <c r="U8" i="11" s="1"/>
  <c r="X8" i="11" s="1"/>
  <c r="S9" i="11" s="1"/>
  <c r="L80" i="11"/>
  <c r="M80" i="11" s="1"/>
  <c r="P80" i="11" s="1"/>
  <c r="K81" i="11" s="1"/>
  <c r="T19" i="11"/>
  <c r="U19" i="11" s="1"/>
  <c r="X19" i="11" s="1"/>
  <c r="S20" i="11" s="1"/>
  <c r="D103" i="11"/>
  <c r="E103" i="11" s="1"/>
  <c r="H103" i="11" s="1"/>
  <c r="C104" i="11" s="1"/>
  <c r="D80" i="11"/>
  <c r="E80" i="11" s="1"/>
  <c r="H80" i="11" s="1"/>
  <c r="C81" i="11" s="1"/>
  <c r="T48" i="11"/>
  <c r="U48" i="11" s="1"/>
  <c r="X48" i="11" s="1"/>
  <c r="S49" i="11" s="1"/>
  <c r="AI57" i="4"/>
  <c r="AH57" i="4"/>
  <c r="N57" i="4"/>
  <c r="Y57" i="4"/>
  <c r="V57" i="4"/>
  <c r="K57" i="4"/>
  <c r="X57" i="4"/>
  <c r="W57" i="4"/>
  <c r="L57" i="4"/>
  <c r="Q57" i="4"/>
  <c r="J57" i="4"/>
  <c r="R57" i="4"/>
  <c r="P57" i="4"/>
  <c r="M57" i="4"/>
  <c r="T57" i="4"/>
  <c r="S57" i="4"/>
  <c r="O57" i="4"/>
  <c r="U57" i="4"/>
  <c r="Z57" i="4"/>
  <c r="AD57" i="4"/>
  <c r="AC57" i="4"/>
  <c r="AF57" i="4"/>
  <c r="AA57" i="4"/>
  <c r="AB57" i="4"/>
  <c r="AG57" i="4"/>
  <c r="AE57" i="4"/>
  <c r="F358" i="1"/>
  <c r="F360" i="1" s="1"/>
  <c r="G349" i="1"/>
  <c r="CD60" i="4" l="1"/>
  <c r="I54" i="12" s="1"/>
  <c r="CD57" i="4"/>
  <c r="T9" i="11"/>
  <c r="U9" i="11" s="1"/>
  <c r="X9" i="11" s="1"/>
  <c r="S10" i="11" s="1"/>
  <c r="D49" i="11"/>
  <c r="E49" i="11" s="1"/>
  <c r="H49" i="11" s="1"/>
  <c r="C50" i="11" s="1"/>
  <c r="D9" i="11"/>
  <c r="E9" i="11" s="1"/>
  <c r="H9" i="11" s="1"/>
  <c r="C10" i="11" s="1"/>
  <c r="L105" i="11"/>
  <c r="M105" i="11" s="1"/>
  <c r="P105" i="11" s="1"/>
  <c r="K106" i="11" s="1"/>
  <c r="L8" i="11"/>
  <c r="M8" i="11" s="1"/>
  <c r="P8" i="11" s="1"/>
  <c r="K9" i="11" s="1"/>
  <c r="T84" i="11"/>
  <c r="U84" i="11" s="1"/>
  <c r="X84" i="11" s="1"/>
  <c r="S85" i="11" s="1"/>
  <c r="T49" i="11"/>
  <c r="U49" i="11" s="1"/>
  <c r="X49" i="11" s="1"/>
  <c r="S50" i="11" s="1"/>
  <c r="D81" i="11"/>
  <c r="E81" i="11" s="1"/>
  <c r="H81" i="11" s="1"/>
  <c r="C82" i="11" s="1"/>
  <c r="T15" i="11"/>
  <c r="U15" i="11" s="1"/>
  <c r="X15" i="11" s="1"/>
  <c r="S16" i="11" s="1"/>
  <c r="T105" i="11"/>
  <c r="U105" i="11" s="1"/>
  <c r="X105" i="11" s="1"/>
  <c r="S106" i="11" s="1"/>
  <c r="T20" i="11"/>
  <c r="U20" i="11" s="1"/>
  <c r="X20" i="11" s="1"/>
  <c r="S21" i="11" s="1"/>
  <c r="D104" i="11"/>
  <c r="E104" i="11" s="1"/>
  <c r="H104" i="11" s="1"/>
  <c r="C105" i="11" s="1"/>
  <c r="L81" i="11"/>
  <c r="M81" i="11" s="1"/>
  <c r="P81" i="11" s="1"/>
  <c r="K82" i="11" s="1"/>
  <c r="L49" i="11"/>
  <c r="M49" i="11" s="1"/>
  <c r="P49" i="11" s="1"/>
  <c r="K50" i="11" s="1"/>
  <c r="I60" i="12" l="1"/>
  <c r="I63" i="12" s="1"/>
  <c r="T85" i="11"/>
  <c r="U85" i="11" s="1"/>
  <c r="X85" i="11" s="1"/>
  <c r="S86" i="11" s="1"/>
  <c r="L9" i="11"/>
  <c r="M9" i="11" s="1"/>
  <c r="P9" i="11" s="1"/>
  <c r="K10" i="11" s="1"/>
  <c r="D10" i="11"/>
  <c r="E10" i="11" s="1"/>
  <c r="H10" i="11" s="1"/>
  <c r="C11" i="11" s="1"/>
  <c r="T21" i="11"/>
  <c r="U21" i="11" s="1"/>
  <c r="X21" i="11" s="1"/>
  <c r="S22" i="11" s="1"/>
  <c r="T106" i="11"/>
  <c r="U106" i="11" s="1"/>
  <c r="X106" i="11" s="1"/>
  <c r="S107" i="11" s="1"/>
  <c r="T50" i="11"/>
  <c r="U50" i="11" s="1"/>
  <c r="X50" i="11" s="1"/>
  <c r="S51" i="11" s="1"/>
  <c r="T10" i="11"/>
  <c r="U10" i="11" s="1"/>
  <c r="X10" i="11" s="1"/>
  <c r="S11" i="11" s="1"/>
  <c r="D82" i="11"/>
  <c r="E82" i="11" s="1"/>
  <c r="H82" i="11" s="1"/>
  <c r="C83" i="11" s="1"/>
  <c r="D105" i="11"/>
  <c r="E105" i="11" s="1"/>
  <c r="H105" i="11" s="1"/>
  <c r="C106" i="11" s="1"/>
  <c r="L106" i="11"/>
  <c r="M106" i="11" s="1"/>
  <c r="P106" i="11" s="1"/>
  <c r="K107" i="11" s="1"/>
  <c r="T16" i="11"/>
  <c r="U16" i="11" s="1"/>
  <c r="X16" i="11" s="1"/>
  <c r="L50" i="11"/>
  <c r="M50" i="11" s="1"/>
  <c r="P50" i="11" s="1"/>
  <c r="K51" i="11" s="1"/>
  <c r="D50" i="11"/>
  <c r="E50" i="11" s="1"/>
  <c r="H50" i="11" s="1"/>
  <c r="C51" i="11" s="1"/>
  <c r="L82" i="11"/>
  <c r="M82" i="11" s="1"/>
  <c r="P82" i="11" s="1"/>
  <c r="K83" i="11" s="1"/>
  <c r="L83" i="11" l="1"/>
  <c r="M83" i="11" s="1"/>
  <c r="P83" i="11" s="1"/>
  <c r="K84" i="11" s="1"/>
  <c r="D83" i="11"/>
  <c r="E83" i="11" s="1"/>
  <c r="H83" i="11" s="1"/>
  <c r="C84" i="11" s="1"/>
  <c r="T107" i="11"/>
  <c r="U107" i="11" s="1"/>
  <c r="X107" i="11" s="1"/>
  <c r="S108" i="11" s="1"/>
  <c r="D106" i="11"/>
  <c r="E106" i="11" s="1"/>
  <c r="H106" i="11" s="1"/>
  <c r="C107" i="11" s="1"/>
  <c r="D11" i="11"/>
  <c r="E11" i="11" s="1"/>
  <c r="H11" i="11" s="1"/>
  <c r="C12" i="11" s="1"/>
  <c r="D51" i="11"/>
  <c r="E51" i="11" s="1"/>
  <c r="H51" i="11" s="1"/>
  <c r="C52" i="11" s="1"/>
  <c r="T11" i="11"/>
  <c r="U11" i="11" s="1"/>
  <c r="X11" i="11" s="1"/>
  <c r="T86" i="11"/>
  <c r="U86" i="11" s="1"/>
  <c r="X86" i="11" s="1"/>
  <c r="S87" i="11" s="1"/>
  <c r="T22" i="11"/>
  <c r="U22" i="11" s="1"/>
  <c r="X22" i="11" s="1"/>
  <c r="S23" i="11" s="1"/>
  <c r="T51" i="11"/>
  <c r="U51" i="11" s="1"/>
  <c r="X51" i="11" s="1"/>
  <c r="S52" i="11" s="1"/>
  <c r="L51" i="11"/>
  <c r="M51" i="11" s="1"/>
  <c r="P51" i="11" s="1"/>
  <c r="K52" i="11" s="1"/>
  <c r="L107" i="11"/>
  <c r="M107" i="11" s="1"/>
  <c r="P107" i="11" s="1"/>
  <c r="K108" i="11" s="1"/>
  <c r="L10" i="11"/>
  <c r="M10" i="11" s="1"/>
  <c r="P10" i="11" s="1"/>
  <c r="K11" i="11" s="1"/>
  <c r="D12" i="11" l="1"/>
  <c r="E12" i="11" s="1"/>
  <c r="H12" i="11" s="1"/>
  <c r="C13" i="11" s="1"/>
  <c r="L108" i="11"/>
  <c r="M108" i="11" s="1"/>
  <c r="P108" i="11" s="1"/>
  <c r="K109" i="11" s="1"/>
  <c r="T52" i="11"/>
  <c r="U52" i="11" s="1"/>
  <c r="X52" i="11" s="1"/>
  <c r="S53" i="11" s="1"/>
  <c r="L52" i="11"/>
  <c r="M52" i="11" s="1"/>
  <c r="P52" i="11" s="1"/>
  <c r="K53" i="11" s="1"/>
  <c r="T23" i="11"/>
  <c r="U23" i="11" s="1"/>
  <c r="X23" i="11" s="1"/>
  <c r="S24" i="11" s="1"/>
  <c r="D84" i="11"/>
  <c r="E84" i="11" s="1"/>
  <c r="H84" i="11" s="1"/>
  <c r="C85" i="11" s="1"/>
  <c r="L11" i="11"/>
  <c r="M11" i="11" s="1"/>
  <c r="P11" i="11" s="1"/>
  <c r="K12" i="11" s="1"/>
  <c r="D52" i="11"/>
  <c r="E52" i="11" s="1"/>
  <c r="H52" i="11" s="1"/>
  <c r="C53" i="11" s="1"/>
  <c r="D107" i="11"/>
  <c r="E107" i="11" s="1"/>
  <c r="H107" i="11" s="1"/>
  <c r="C108" i="11" s="1"/>
  <c r="T87" i="11"/>
  <c r="U87" i="11" s="1"/>
  <c r="X87" i="11" s="1"/>
  <c r="S88" i="11" s="1"/>
  <c r="T108" i="11"/>
  <c r="U108" i="11" s="1"/>
  <c r="X108" i="11" s="1"/>
  <c r="S109" i="11" s="1"/>
  <c r="L84" i="11"/>
  <c r="M84" i="11" s="1"/>
  <c r="P84" i="11" s="1"/>
  <c r="K85" i="11" s="1"/>
  <c r="M85" i="11" s="1"/>
  <c r="P85" i="11" s="1"/>
  <c r="K86" i="11" s="1"/>
  <c r="M86" i="11" s="1"/>
  <c r="P86" i="11" s="1"/>
  <c r="L53" i="11" l="1"/>
  <c r="M53" i="11" s="1"/>
  <c r="P53" i="11" s="1"/>
  <c r="K54" i="11" s="1"/>
  <c r="L12" i="11"/>
  <c r="M12" i="11" s="1"/>
  <c r="P12" i="11" s="1"/>
  <c r="K13" i="11" s="1"/>
  <c r="D53" i="11"/>
  <c r="E53" i="11" s="1"/>
  <c r="H53" i="11" s="1"/>
  <c r="C54" i="11" s="1"/>
  <c r="D85" i="11"/>
  <c r="E85" i="11" s="1"/>
  <c r="H85" i="11" s="1"/>
  <c r="C86" i="11" s="1"/>
  <c r="T109" i="11"/>
  <c r="U109" i="11" s="1"/>
  <c r="X109" i="11" s="1"/>
  <c r="S110" i="11" s="1"/>
  <c r="T88" i="11"/>
  <c r="U88" i="11" s="1"/>
  <c r="X88" i="11" s="1"/>
  <c r="S89" i="11" s="1"/>
  <c r="T24" i="11"/>
  <c r="U24" i="11" s="1"/>
  <c r="X24" i="11" s="1"/>
  <c r="S25" i="11" s="1"/>
  <c r="D13" i="11"/>
  <c r="E13" i="11" s="1"/>
  <c r="H13" i="11" s="1"/>
  <c r="C14" i="11" s="1"/>
  <c r="T53" i="11"/>
  <c r="U53" i="11" s="1"/>
  <c r="X53" i="11" s="1"/>
  <c r="S54" i="11" s="1"/>
  <c r="L109" i="11"/>
  <c r="M109" i="11" s="1"/>
  <c r="P109" i="11" s="1"/>
  <c r="K110" i="11" s="1"/>
  <c r="D108" i="11"/>
  <c r="E108" i="11" s="1"/>
  <c r="H108" i="11" s="1"/>
  <c r="C109" i="11" s="1"/>
  <c r="T89" i="11" l="1"/>
  <c r="U89" i="11" s="1"/>
  <c r="X89" i="11" s="1"/>
  <c r="D86" i="11"/>
  <c r="E86" i="11" s="1"/>
  <c r="H86" i="11" s="1"/>
  <c r="D109" i="11"/>
  <c r="E109" i="11" s="1"/>
  <c r="H109" i="11" s="1"/>
  <c r="C110" i="11" s="1"/>
  <c r="L110" i="11"/>
  <c r="M110" i="11" s="1"/>
  <c r="P110" i="11" s="1"/>
  <c r="K111" i="11" s="1"/>
  <c r="D14" i="11"/>
  <c r="E14" i="11" s="1"/>
  <c r="H14" i="11" s="1"/>
  <c r="C15" i="11" s="1"/>
  <c r="T25" i="11"/>
  <c r="U25" i="11" s="1"/>
  <c r="X25" i="11" s="1"/>
  <c r="S26" i="11" s="1"/>
  <c r="T110" i="11"/>
  <c r="U110" i="11" s="1"/>
  <c r="X110" i="11" s="1"/>
  <c r="S111" i="11" s="1"/>
  <c r="D54" i="11"/>
  <c r="E54" i="11" s="1"/>
  <c r="H54" i="11" s="1"/>
  <c r="C55" i="11" s="1"/>
  <c r="L13" i="11"/>
  <c r="M13" i="11" s="1"/>
  <c r="P13" i="11" s="1"/>
  <c r="K14" i="11" s="1"/>
  <c r="T54" i="11"/>
  <c r="U54" i="11" s="1"/>
  <c r="X54" i="11" s="1"/>
  <c r="S55" i="11" s="1"/>
  <c r="L54" i="11"/>
  <c r="M54" i="11" s="1"/>
  <c r="P54" i="11" s="1"/>
  <c r="K55" i="11" s="1"/>
  <c r="L55" i="11" l="1"/>
  <c r="M55" i="11" s="1"/>
  <c r="P55" i="11" s="1"/>
  <c r="K56" i="11" s="1"/>
  <c r="D15" i="11"/>
  <c r="E15" i="11" s="1"/>
  <c r="H15" i="11" s="1"/>
  <c r="C16" i="11" s="1"/>
  <c r="D110" i="11"/>
  <c r="E110" i="11" s="1"/>
  <c r="H110" i="11" s="1"/>
  <c r="C111" i="11" s="1"/>
  <c r="T26" i="11"/>
  <c r="U26" i="11" s="1"/>
  <c r="X26" i="11" s="1"/>
  <c r="S27" i="11" s="1"/>
  <c r="L111" i="11"/>
  <c r="M111" i="11" s="1"/>
  <c r="P111" i="11" s="1"/>
  <c r="K112" i="11" s="1"/>
  <c r="D55" i="11"/>
  <c r="E55" i="11" s="1"/>
  <c r="H55" i="11" s="1"/>
  <c r="C56" i="11" s="1"/>
  <c r="T111" i="11"/>
  <c r="U111" i="11" s="1"/>
  <c r="X111" i="11" s="1"/>
  <c r="S112" i="11" s="1"/>
  <c r="T55" i="11"/>
  <c r="U55" i="11" s="1"/>
  <c r="X55" i="11" s="1"/>
  <c r="S56" i="11" s="1"/>
  <c r="L14" i="11"/>
  <c r="M14" i="11" s="1"/>
  <c r="P14" i="11" s="1"/>
  <c r="K15" i="11" s="1"/>
  <c r="T27" i="11" l="1"/>
  <c r="U27" i="11" s="1"/>
  <c r="X27" i="11" s="1"/>
  <c r="S28" i="11" s="1"/>
  <c r="L15" i="11"/>
  <c r="M15" i="11" s="1"/>
  <c r="P15" i="11" s="1"/>
  <c r="K16" i="11" s="1"/>
  <c r="T112" i="11"/>
  <c r="U112" i="11" s="1"/>
  <c r="X112" i="11" s="1"/>
  <c r="S113" i="11" s="1"/>
  <c r="D56" i="11"/>
  <c r="E56" i="11" s="1"/>
  <c r="H56" i="11" s="1"/>
  <c r="C57" i="11" s="1"/>
  <c r="D16" i="11"/>
  <c r="E16" i="11" s="1"/>
  <c r="H16" i="11" s="1"/>
  <c r="C17" i="11" s="1"/>
  <c r="L112" i="11"/>
  <c r="M112" i="11" s="1"/>
  <c r="P112" i="11" s="1"/>
  <c r="K113" i="11" s="1"/>
  <c r="L56" i="11"/>
  <c r="M56" i="11" s="1"/>
  <c r="P56" i="11" s="1"/>
  <c r="K57" i="11" s="1"/>
  <c r="T56" i="11"/>
  <c r="U56" i="11" s="1"/>
  <c r="X56" i="11" s="1"/>
  <c r="S57" i="11" s="1"/>
  <c r="D111" i="11"/>
  <c r="E111" i="11" s="1"/>
  <c r="H111" i="11" s="1"/>
  <c r="C112" i="11" s="1"/>
  <c r="T57" i="11" l="1"/>
  <c r="U57" i="11" s="1"/>
  <c r="X57" i="11" s="1"/>
  <c r="S58" i="11" s="1"/>
  <c r="D57" i="11"/>
  <c r="E57" i="11" s="1"/>
  <c r="H57" i="11" s="1"/>
  <c r="L57" i="11"/>
  <c r="M57" i="11" s="1"/>
  <c r="P57" i="11" s="1"/>
  <c r="K58" i="11" s="1"/>
  <c r="L113" i="11"/>
  <c r="M113" i="11" s="1"/>
  <c r="P113" i="11" s="1"/>
  <c r="K114" i="11" s="1"/>
  <c r="T113" i="11"/>
  <c r="U113" i="11" s="1"/>
  <c r="X113" i="11" s="1"/>
  <c r="S114" i="11" s="1"/>
  <c r="L16" i="11"/>
  <c r="M16" i="11" s="1"/>
  <c r="P16" i="11" s="1"/>
  <c r="K17" i="11" s="1"/>
  <c r="D17" i="11"/>
  <c r="E17" i="11" s="1"/>
  <c r="H17" i="11" s="1"/>
  <c r="C18" i="11" s="1"/>
  <c r="D112" i="11"/>
  <c r="E112" i="11" s="1"/>
  <c r="H112" i="11" s="1"/>
  <c r="C113" i="11" s="1"/>
  <c r="T28" i="11"/>
  <c r="U28" i="11" s="1"/>
  <c r="X28" i="11" s="1"/>
  <c r="S29" i="11" s="1"/>
  <c r="D18" i="11" l="1"/>
  <c r="E18" i="11" s="1"/>
  <c r="H18" i="11" s="1"/>
  <c r="C19" i="11" s="1"/>
  <c r="L17" i="11"/>
  <c r="M17" i="11" s="1"/>
  <c r="P17" i="11" s="1"/>
  <c r="K18" i="11" s="1"/>
  <c r="L114" i="11"/>
  <c r="M114" i="11" s="1"/>
  <c r="P114" i="11" s="1"/>
  <c r="K115" i="11" s="1"/>
  <c r="T29" i="11"/>
  <c r="U29" i="11" s="1"/>
  <c r="X29" i="11" s="1"/>
  <c r="S30" i="11" s="1"/>
  <c r="T58" i="11"/>
  <c r="U58" i="11" s="1"/>
  <c r="X58" i="11" s="1"/>
  <c r="S59" i="11" s="1"/>
  <c r="D113" i="11"/>
  <c r="E113" i="11" s="1"/>
  <c r="H113" i="11" s="1"/>
  <c r="C114" i="11" s="1"/>
  <c r="L58" i="11"/>
  <c r="M58" i="11" s="1"/>
  <c r="P58" i="11" s="1"/>
  <c r="K59" i="11" s="1"/>
  <c r="T114" i="11"/>
  <c r="U114" i="11" s="1"/>
  <c r="X114" i="11" s="1"/>
  <c r="S115" i="11" s="1"/>
  <c r="T59" i="11" l="1"/>
  <c r="U59" i="11" s="1"/>
  <c r="X59" i="11" s="1"/>
  <c r="S60" i="11" s="1"/>
  <c r="L115" i="11"/>
  <c r="M115" i="11" s="1"/>
  <c r="P115" i="11" s="1"/>
  <c r="K116" i="11" s="1"/>
  <c r="L59" i="11"/>
  <c r="M59" i="11" s="1"/>
  <c r="P59" i="11" s="1"/>
  <c r="K60" i="11" s="1"/>
  <c r="T30" i="11"/>
  <c r="U30" i="11" s="1"/>
  <c r="X30" i="11" s="1"/>
  <c r="S31" i="11" s="1"/>
  <c r="T115" i="11"/>
  <c r="U115" i="11" s="1"/>
  <c r="X115" i="11" s="1"/>
  <c r="S116" i="11" s="1"/>
  <c r="D114" i="11"/>
  <c r="E114" i="11" s="1"/>
  <c r="H114" i="11" s="1"/>
  <c r="C115" i="11" s="1"/>
  <c r="D19" i="11"/>
  <c r="E19" i="11" s="1"/>
  <c r="H19" i="11" s="1"/>
  <c r="C20" i="11" s="1"/>
  <c r="L18" i="11"/>
  <c r="M18" i="11" s="1"/>
  <c r="P18" i="11" s="1"/>
  <c r="K19" i="11" s="1"/>
  <c r="D115" i="11" l="1"/>
  <c r="E115" i="11" s="1"/>
  <c r="H115" i="11" s="1"/>
  <c r="C116" i="11" s="1"/>
  <c r="D20" i="11"/>
  <c r="E20" i="11" s="1"/>
  <c r="H20" i="11" s="1"/>
  <c r="C21" i="11" s="1"/>
  <c r="T116" i="11"/>
  <c r="U116" i="11" s="1"/>
  <c r="X116" i="11" s="1"/>
  <c r="S117" i="11" s="1"/>
  <c r="T31" i="11"/>
  <c r="U31" i="11" s="1"/>
  <c r="X31" i="11" s="1"/>
  <c r="S32" i="11" s="1"/>
  <c r="L116" i="11"/>
  <c r="M116" i="11" s="1"/>
  <c r="P116" i="11" s="1"/>
  <c r="K117" i="11" s="1"/>
  <c r="T60" i="11"/>
  <c r="U60" i="11" s="1"/>
  <c r="X60" i="11" s="1"/>
  <c r="S61" i="11" s="1"/>
  <c r="L60" i="11"/>
  <c r="M60" i="11" s="1"/>
  <c r="P60" i="11" s="1"/>
  <c r="K61" i="11" s="1"/>
  <c r="L19" i="11"/>
  <c r="M19" i="11" s="1"/>
  <c r="P19" i="11" s="1"/>
  <c r="K20" i="11" s="1"/>
  <c r="L117" i="11" l="1"/>
  <c r="M117" i="11" s="1"/>
  <c r="P117" i="11" s="1"/>
  <c r="K118" i="11" s="1"/>
  <c r="T117" i="11"/>
  <c r="U117" i="11" s="1"/>
  <c r="X117" i="11" s="1"/>
  <c r="S118" i="11" s="1"/>
  <c r="D21" i="11"/>
  <c r="E21" i="11" s="1"/>
  <c r="H21" i="11" s="1"/>
  <c r="C22" i="11" s="1"/>
  <c r="L61" i="11"/>
  <c r="M61" i="11" s="1"/>
  <c r="P61" i="11" s="1"/>
  <c r="K62" i="11" s="1"/>
  <c r="L20" i="11"/>
  <c r="M20" i="11" s="1"/>
  <c r="P20" i="11" s="1"/>
  <c r="K21" i="11" s="1"/>
  <c r="T32" i="11"/>
  <c r="U32" i="11" s="1"/>
  <c r="X32" i="11" s="1"/>
  <c r="T61" i="11"/>
  <c r="U61" i="11" s="1"/>
  <c r="X61" i="11" s="1"/>
  <c r="S62" i="11" s="1"/>
  <c r="D116" i="11"/>
  <c r="E116" i="11" s="1"/>
  <c r="H116" i="11" s="1"/>
  <c r="C117" i="11" s="1"/>
  <c r="D117" i="11" l="1"/>
  <c r="E117" i="11" s="1"/>
  <c r="H117" i="11" s="1"/>
  <c r="C118" i="11" s="1"/>
  <c r="T118" i="11"/>
  <c r="U118" i="11" s="1"/>
  <c r="X118" i="11" s="1"/>
  <c r="S119" i="11" s="1"/>
  <c r="D22" i="11"/>
  <c r="E22" i="11" s="1"/>
  <c r="H22" i="11" s="1"/>
  <c r="C23" i="11" s="1"/>
  <c r="L62" i="11"/>
  <c r="M62" i="11" s="1"/>
  <c r="P62" i="11" s="1"/>
  <c r="K63" i="11" s="1"/>
  <c r="T62" i="11"/>
  <c r="U62" i="11" s="1"/>
  <c r="X62" i="11" s="1"/>
  <c r="L21" i="11"/>
  <c r="M21" i="11" s="1"/>
  <c r="P21" i="11" s="1"/>
  <c r="K22" i="11" s="1"/>
  <c r="L118" i="11"/>
  <c r="M118" i="11" s="1"/>
  <c r="P118" i="11" s="1"/>
  <c r="K119" i="11" s="1"/>
  <c r="L63" i="11" l="1"/>
  <c r="M63" i="11" s="1"/>
  <c r="P63" i="11" s="1"/>
  <c r="K64" i="11" s="1"/>
  <c r="T119" i="11"/>
  <c r="U119" i="11" s="1"/>
  <c r="X119" i="11" s="1"/>
  <c r="S120" i="11" s="1"/>
  <c r="L119" i="11"/>
  <c r="M119" i="11" s="1"/>
  <c r="P119" i="11" s="1"/>
  <c r="K120" i="11" s="1"/>
  <c r="D118" i="11"/>
  <c r="E118" i="11" s="1"/>
  <c r="H118" i="11" s="1"/>
  <c r="C119" i="11" s="1"/>
  <c r="D23" i="11"/>
  <c r="E23" i="11" s="1"/>
  <c r="H23" i="11" s="1"/>
  <c r="C24" i="11" s="1"/>
  <c r="L22" i="11"/>
  <c r="M22" i="11" s="1"/>
  <c r="P22" i="11" s="1"/>
  <c r="K23" i="11" s="1"/>
  <c r="L23" i="11" l="1"/>
  <c r="M23" i="11" s="1"/>
  <c r="P23" i="11" s="1"/>
  <c r="K24" i="11" s="1"/>
  <c r="D24" i="11"/>
  <c r="E24" i="11" s="1"/>
  <c r="H24" i="11" s="1"/>
  <c r="C25" i="11" s="1"/>
  <c r="L120" i="11"/>
  <c r="M120" i="11" s="1"/>
  <c r="P120" i="11" s="1"/>
  <c r="K121" i="11" s="1"/>
  <c r="D119" i="11"/>
  <c r="E119" i="11" s="1"/>
  <c r="H119" i="11" s="1"/>
  <c r="C120" i="11" s="1"/>
  <c r="T120" i="11"/>
  <c r="U120" i="11" s="1"/>
  <c r="X120" i="11" s="1"/>
  <c r="S121" i="11" s="1"/>
  <c r="L64" i="11"/>
  <c r="M64" i="11" s="1"/>
  <c r="P64" i="11" s="1"/>
  <c r="K65" i="11" s="1"/>
  <c r="T121" i="11" l="1"/>
  <c r="U121" i="11" s="1"/>
  <c r="X121" i="11" s="1"/>
  <c r="S122" i="11" s="1"/>
  <c r="D25" i="11"/>
  <c r="E25" i="11" s="1"/>
  <c r="H25" i="11" s="1"/>
  <c r="C26" i="11" s="1"/>
  <c r="L65" i="11"/>
  <c r="M65" i="11" s="1"/>
  <c r="P65" i="11" s="1"/>
  <c r="K66" i="11" s="1"/>
  <c r="D120" i="11"/>
  <c r="E120" i="11" s="1"/>
  <c r="H120" i="11" s="1"/>
  <c r="C121" i="11" s="1"/>
  <c r="L121" i="11"/>
  <c r="M121" i="11" s="1"/>
  <c r="P121" i="11" s="1"/>
  <c r="K122" i="11" s="1"/>
  <c r="L24" i="11"/>
  <c r="M24" i="11" s="1"/>
  <c r="P24" i="11" s="1"/>
  <c r="K25" i="11" s="1"/>
  <c r="L25" i="11" l="1"/>
  <c r="M25" i="11" s="1"/>
  <c r="P25" i="11" s="1"/>
  <c r="K26" i="11" s="1"/>
  <c r="D121" i="11"/>
  <c r="E121" i="11" s="1"/>
  <c r="H121" i="11" s="1"/>
  <c r="C122" i="11" s="1"/>
  <c r="L66" i="11"/>
  <c r="M66" i="11" s="1"/>
  <c r="P66" i="11" s="1"/>
  <c r="K67" i="11" s="1"/>
  <c r="D26" i="11"/>
  <c r="E26" i="11" s="1"/>
  <c r="H26" i="11" s="1"/>
  <c r="C27" i="11" s="1"/>
  <c r="L122" i="11"/>
  <c r="M122" i="11" s="1"/>
  <c r="P122" i="11" s="1"/>
  <c r="K123" i="11" s="1"/>
  <c r="T122" i="11"/>
  <c r="U122" i="11" s="1"/>
  <c r="X122" i="11" s="1"/>
  <c r="S123" i="11" s="1"/>
  <c r="L123" i="11" l="1"/>
  <c r="M123" i="11" s="1"/>
  <c r="P123" i="11" s="1"/>
  <c r="K124" i="11" s="1"/>
  <c r="L67" i="11"/>
  <c r="M67" i="11" s="1"/>
  <c r="P67" i="11" s="1"/>
  <c r="K68" i="11" s="1"/>
  <c r="L26" i="11"/>
  <c r="M26" i="11" s="1"/>
  <c r="P26" i="11" s="1"/>
  <c r="K27" i="11" s="1"/>
  <c r="D27" i="11"/>
  <c r="E27" i="11" s="1"/>
  <c r="H27" i="11" s="1"/>
  <c r="C28" i="11" s="1"/>
  <c r="T123" i="11"/>
  <c r="U123" i="11" s="1"/>
  <c r="X123" i="11" s="1"/>
  <c r="S124" i="11" s="1"/>
  <c r="D122" i="11"/>
  <c r="E122" i="11" s="1"/>
  <c r="H122" i="11" s="1"/>
  <c r="C123" i="11" s="1"/>
  <c r="T124" i="11" l="1"/>
  <c r="U124" i="11" s="1"/>
  <c r="X124" i="11" s="1"/>
  <c r="S125" i="11" s="1"/>
  <c r="L27" i="11"/>
  <c r="M27" i="11" s="1"/>
  <c r="P27" i="11" s="1"/>
  <c r="K28" i="11" s="1"/>
  <c r="L68" i="11"/>
  <c r="M68" i="11" s="1"/>
  <c r="P68" i="11" s="1"/>
  <c r="D28" i="11"/>
  <c r="E28" i="11" s="1"/>
  <c r="H28" i="11" s="1"/>
  <c r="C29" i="11" s="1"/>
  <c r="D123" i="11"/>
  <c r="E123" i="11" s="1"/>
  <c r="H123" i="11" s="1"/>
  <c r="C124" i="11" s="1"/>
  <c r="L124" i="11"/>
  <c r="M124" i="11" s="1"/>
  <c r="P124" i="11" s="1"/>
  <c r="K125" i="11" s="1"/>
  <c r="D29" i="11" l="1"/>
  <c r="E29" i="11" s="1"/>
  <c r="H29" i="11" s="1"/>
  <c r="C30" i="11" s="1"/>
  <c r="D124" i="11"/>
  <c r="E124" i="11" s="1"/>
  <c r="H124" i="11" s="1"/>
  <c r="C125" i="11" s="1"/>
  <c r="L28" i="11"/>
  <c r="M28" i="11" s="1"/>
  <c r="P28" i="11" s="1"/>
  <c r="K29" i="11" s="1"/>
  <c r="T125" i="11"/>
  <c r="U125" i="11" s="1"/>
  <c r="X125" i="11" s="1"/>
  <c r="S126" i="11" s="1"/>
  <c r="L125" i="11"/>
  <c r="M125" i="11" s="1"/>
  <c r="P125" i="11" s="1"/>
  <c r="K126" i="11" s="1"/>
  <c r="T126" i="11" l="1"/>
  <c r="U126" i="11" s="1"/>
  <c r="X126" i="11" s="1"/>
  <c r="L29" i="11"/>
  <c r="M29" i="11" s="1"/>
  <c r="P29" i="11" s="1"/>
  <c r="K30" i="11" s="1"/>
  <c r="D125" i="11"/>
  <c r="E125" i="11" s="1"/>
  <c r="H125" i="11" s="1"/>
  <c r="C126" i="11" s="1"/>
  <c r="L126" i="11"/>
  <c r="M126" i="11" s="1"/>
  <c r="P126" i="11" s="1"/>
  <c r="K127" i="11" s="1"/>
  <c r="D30" i="11"/>
  <c r="E30" i="11" s="1"/>
  <c r="H30" i="11" s="1"/>
  <c r="C31" i="11" s="1"/>
  <c r="D31" i="11" l="1"/>
  <c r="E31" i="11" s="1"/>
  <c r="H31" i="11" s="1"/>
  <c r="C32" i="11" s="1"/>
  <c r="L127" i="11"/>
  <c r="M127" i="11" s="1"/>
  <c r="P127" i="11" s="1"/>
  <c r="K128" i="11" s="1"/>
  <c r="L30" i="11"/>
  <c r="M30" i="11" s="1"/>
  <c r="P30" i="11" s="1"/>
  <c r="K31" i="11" s="1"/>
  <c r="D126" i="11"/>
  <c r="E126" i="11" s="1"/>
  <c r="H126" i="11" s="1"/>
  <c r="C127" i="11" s="1"/>
  <c r="D127" i="11" l="1"/>
  <c r="E127" i="11" s="1"/>
  <c r="H127" i="11" s="1"/>
  <c r="C128" i="11" s="1"/>
  <c r="L31" i="11"/>
  <c r="M31" i="11" s="1"/>
  <c r="P31" i="11" s="1"/>
  <c r="K32" i="11" s="1"/>
  <c r="L128" i="11"/>
  <c r="M128" i="11" s="1"/>
  <c r="P128" i="11" s="1"/>
  <c r="K129" i="11" s="1"/>
  <c r="D32" i="11"/>
  <c r="E32" i="11" s="1"/>
  <c r="H32" i="11" s="1"/>
  <c r="C33" i="11" s="1"/>
  <c r="L129" i="11" l="1"/>
  <c r="M129" i="11" s="1"/>
  <c r="P129" i="11" s="1"/>
  <c r="K130" i="11" s="1"/>
  <c r="D128" i="11"/>
  <c r="E128" i="11" s="1"/>
  <c r="H128" i="11" s="1"/>
  <c r="C129" i="11" s="1"/>
  <c r="D33" i="11"/>
  <c r="E33" i="11" s="1"/>
  <c r="H33" i="11" s="1"/>
  <c r="C34" i="11" s="1"/>
  <c r="L32" i="11"/>
  <c r="M32" i="11" s="1"/>
  <c r="P32" i="11" s="1"/>
  <c r="K33" i="11" s="1"/>
  <c r="D34" i="11" l="1"/>
  <c r="E34" i="11" s="1"/>
  <c r="H34" i="11" s="1"/>
  <c r="L130" i="11"/>
  <c r="M130" i="11" s="1"/>
  <c r="P130" i="11" s="1"/>
  <c r="K131" i="11" s="1"/>
  <c r="L33" i="11"/>
  <c r="M33" i="11" s="1"/>
  <c r="P33" i="11" s="1"/>
  <c r="K34" i="11" s="1"/>
  <c r="D129" i="11"/>
  <c r="E129" i="11" s="1"/>
  <c r="H129" i="11" s="1"/>
  <c r="C130" i="11" s="1"/>
  <c r="L34" i="11" l="1"/>
  <c r="M34" i="11" s="1"/>
  <c r="P34" i="11" s="1"/>
  <c r="D130" i="11"/>
  <c r="E130" i="11" s="1"/>
  <c r="H130" i="11" s="1"/>
  <c r="C131" i="11" s="1"/>
  <c r="L131" i="11"/>
  <c r="M131" i="11" s="1"/>
  <c r="P131" i="11" s="1"/>
  <c r="K132" i="11" s="1"/>
  <c r="L132" i="11" l="1"/>
  <c r="M132" i="11" s="1"/>
  <c r="P132" i="11" s="1"/>
  <c r="K133" i="11" s="1"/>
  <c r="D131" i="11"/>
  <c r="E131" i="11" s="1"/>
  <c r="H131" i="11" s="1"/>
  <c r="C132" i="11" s="1"/>
  <c r="D132" i="11" l="1"/>
  <c r="E132" i="11" s="1"/>
  <c r="H132" i="11" s="1"/>
  <c r="C133" i="11" s="1"/>
  <c r="L133" i="11"/>
  <c r="M133" i="11" s="1"/>
  <c r="P133" i="11" s="1"/>
  <c r="K134" i="11" s="1"/>
  <c r="L134" i="11" l="1"/>
  <c r="M134" i="11" s="1"/>
  <c r="P134" i="11" s="1"/>
  <c r="K135" i="11" s="1"/>
  <c r="D133" i="11"/>
  <c r="E133" i="11" s="1"/>
  <c r="H133" i="11" s="1"/>
  <c r="C134" i="11" s="1"/>
  <c r="D134" i="11" l="1"/>
  <c r="E134" i="11" s="1"/>
  <c r="H134" i="11" s="1"/>
  <c r="C135" i="11" s="1"/>
  <c r="L135" i="11"/>
  <c r="M135" i="11" s="1"/>
  <c r="P135" i="11" s="1"/>
  <c r="K136" i="11" s="1"/>
  <c r="L136" i="11" l="1"/>
  <c r="M136" i="11" s="1"/>
  <c r="P136" i="11" s="1"/>
  <c r="D135" i="11"/>
  <c r="E135" i="11" s="1"/>
  <c r="H135" i="11" s="1"/>
  <c r="C136" i="11" s="1"/>
  <c r="D136" i="11" l="1"/>
  <c r="E136" i="11" s="1"/>
  <c r="H136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tc={216D86AB-0191-8246-8BE9-CD479E39BF21}</author>
    <author>tc={99D81F0E-14C4-824A-BBA8-5648CD8CBB16}</author>
    <author>tc={B5D99211-E51B-6544-813C-D04BC94A2700}</author>
    <author>tc={B5B7A532-1467-2D47-B46E-20B8A187FE87}</author>
    <author>tc={24784FA4-F467-44BB-848C-5162BF4E1D31}</author>
    <author>tc={133FFB3D-4C7E-41D1-A6E2-FC09CE394F08}</author>
    <author>Brayan Garcia Vidal</author>
    <author>tc={1ABF65D0-2632-4FA2-946E-46BB0233E06C}</author>
    <author>tc={4893B506-6B48-4E3A-BD29-90E04A17EAF5}</author>
    <author>tc={885FE209-84EA-4B19-9213-9C3CD9AB3499}</author>
    <author>tc={0B3E9D5D-1148-431D-A3D7-D910173B216D}</author>
    <author>tc={EDC5D4A4-C783-4595-942B-801626706297}</author>
    <author>tc={B82BC5C3-011A-47DF-A3BA-8E97D33B0D5B}</author>
    <author>tc={BF4ABE30-D9AF-47C9-8CD0-37A81AC8EE95}</author>
    <author>tc={DE0C7363-D9A1-4315-A81B-57643A11B82C}</author>
    <author>tc={3A6BF356-276D-4EA9-AC3C-D897395D14BE}</author>
    <author>tc={BE8F18EC-8FDD-4B3E-A083-940D1C0B1CA5}</author>
    <author>tc={475899DE-4FB1-43C2-84F0-C8B9A1469EC6}</author>
    <author>tc={3C8BD9E8-EB39-482C-8988-CE8ECBB32977}</author>
    <author>tc={CC6D3B83-11BC-47AB-93DF-C4BEBE1A570B}</author>
    <author>tc={AF4AAF4C-2283-4771-94EE-F55D50E3C0F7}</author>
    <author>tc={618F5873-D8CB-41F3-8D34-98AE1D999157}</author>
    <author>tc={1AB3DC52-4981-4CF3-BF0A-B0A2D34EE2CD}</author>
    <author>tc={D2D01943-A229-45BD-ABF2-E8ABD0DF1C40}</author>
    <author>tc={5F3F689E-4757-47D7-8582-07AC1E1B2411}</author>
    <author>tc={C11DBA8A-98EB-47CD-8D4E-5119E42F4520}</author>
    <author>tc={AB7E656A-9924-45D4-9162-04F29859541C}</author>
    <author>tc={D27F0C4F-1E50-450E-AC42-7411F2FE1770}</author>
    <author>tc={6A386976-8A76-4750-A03F-8F9369294A29}</author>
    <author>tc={D3BCAA0A-250A-4708-BCE9-A93D28D839F7}</author>
    <author>tc={06BF0452-27C5-4830-AC74-9E1B82262C7F}</author>
    <author>tc={0124EFB4-033D-4AB5-AB00-C7399A471A73}</author>
    <author>tc={50798050-FA74-4554-9661-85A40770F1B2}</author>
    <author>tc={4CEF5011-BCEC-48E8-9280-42352EAB80AA}</author>
    <author>tc={E8BD0BE7-5821-4B06-B5F6-4348D95A2DDA}</author>
    <author>tc={0CC53249-66C9-428D-A0B7-F05B4D1BB8E5}</author>
    <author>tc={25F6A465-A734-44A2-A474-DFCBBE008122}</author>
    <author>tc={C4618DA4-2622-4CC7-B772-2466CDBBE76A}</author>
    <author>tc={D83602D7-21BE-49DF-905E-C58E73B1CB90}</author>
    <author>tc={EBDEF40A-44C9-47B3-838C-EA97984646FF}</author>
    <author>tc={CB063524-227C-434F-9BFA-FB4E796BF6CE}</author>
    <author>tc={112AABF0-67C5-44F8-B125-FEA625E26C4A}</author>
    <author>tc={2E59FDA5-C1EB-4CC3-9288-8AEE81F8CA52}</author>
    <author>tc={83889B7A-ACA2-4755-A701-7FC51A89678E}</author>
    <author>tc={BB10AF56-908F-43F2-A0EB-DA17D7456FBC}</author>
    <author>tc={346A1506-2C99-407F-88B9-761FF3C14587}</author>
    <author>tc={785F6AD9-4AFD-4F1C-AF82-DCC38E93DF79}</author>
    <author>tc={8BF2D81D-23CE-4D39-B3C0-CC910A12B72C}</author>
    <author>tc={A3A0277D-76C1-48CE-9B81-4C58E3F0395E}</author>
    <author>tc={1F6D2881-9869-4E39-A7A2-D949E6F72357}</author>
    <author>tc={7F365EAF-46B9-42DE-B93A-B594B2580C87}</author>
    <author>tc={8D5EA4CD-E342-4034-9E60-46E1ECE0E5DB}</author>
    <author>tc={E64856C5-B5FE-496E-97A6-FEFF023918FD}</author>
    <author>tc={AFCE65D1-C661-443F-9E01-9BEF18799564}</author>
    <author>tc={BA808E2C-51C2-48C3-A137-C3913D567857}</author>
    <author>tc={1B101F37-5CC8-452E-87B0-866ABD284E78}</author>
    <author>tc={FC25E3AD-0577-488D-997C-636C0C0E5D47}</author>
    <author>tc={1EE7CC40-0B08-4696-8AA4-CD2A772D4883}</author>
    <author>tc={EA3D471A-0B83-404C-A9DE-E7573BB0B5E7}</author>
    <author>tc={6BE24F89-45E6-4D0C-9EBF-422685A950C6}</author>
    <author>tc={C9A90E92-AC99-4EC0-B361-7FAFDA750254}</author>
    <author>tc={C621EE00-85B1-4E50-88FD-93EFD285C204}</author>
    <author>tc={E597338C-65D9-43DA-8E45-02053F15A2AD}</author>
    <author>tc={75448DB9-8D50-4F6C-B865-2B0D769418C2}</author>
    <author>tc={A62121C4-CDB9-4AF2-A52F-2A37DD725521}</author>
    <author>tc={86EF18FA-4A6C-4499-B310-013AC30FE293}</author>
    <author>tc={9BD5BFBD-F08B-4E47-93F9-76932490AA15}</author>
    <author>tc={8A2D45DB-2089-485A-8DB0-9EB6B297C3C7}</author>
    <author>tc={AC34C03F-1A9F-4029-9543-9C74B243E148}</author>
    <author>tc={94A5D90A-73EB-4253-9474-E6601EFA8BB1}</author>
    <author>tc={58A8CE34-4F0B-427D-B823-0A72FA2C9363}</author>
    <author>tc={879A2717-B44B-4F42-ABB9-2EFD8FB2B90F}</author>
    <author>tc={3DF2C875-F777-4C12-8494-7E9BC9F95D07}</author>
    <author>tc={D4642BFD-2EA1-4AD7-B425-B27B35C50006}</author>
    <author>tc={47150782-D806-42AB-9CEE-6FA7E9AD34C9}</author>
    <author>tc={C9A84899-0B13-4327-A69F-AE63D8579A5A}</author>
    <author>tc={352035CF-EF98-4513-B34E-17AEA265F701}</author>
    <author>tc={2DD624EA-6207-4333-8B69-ED05E20C8173}</author>
    <author>tc={696106E1-9A96-47E2-AD06-73BA91E9A7FD}</author>
    <author>tc={D1F7E232-3636-4F1E-B388-821B929C297D}</author>
    <author>tc={A8F97EAE-8D09-49FD-85DF-3E16E0AA2CC2}</author>
    <author>tc={FA304D85-07AB-4D59-A5BE-6C4045E910C2}</author>
    <author>tc={CEE0FF73-CC87-4A77-B056-5522844FFBF0}</author>
    <author>tc={96C13FC0-187E-4810-B1FE-2CEA714DBDE6}</author>
    <author>tc={08B436AE-E8FC-4CD8-85E7-93B6AFAC62ED}</author>
    <author>tc={F2EDCDD6-50A5-41A2-8910-26B45330F8ED}</author>
    <author>tc={EB1B829D-E801-4501-AB79-5EC7EC5A9D38}</author>
    <author>tc={D049299D-1D6A-41D1-9D72-207E14EF0B84}</author>
    <author>tc={82589CE8-BD0E-4018-9B01-E53495807CAD}</author>
    <author>tc={5DD0125A-9EBD-47BB-8124-9E3E8620706F}</author>
    <author>tc={0BD37FB4-D6E3-4C8E-A8DF-EE3B1E5EE68D}</author>
    <author>tc={FE4B60DB-8ED0-4A6B-BBA4-B1A8BE4E3599}</author>
    <author>tc={2E93BCB5-14E0-4D3E-B75B-2262390F4D72}</author>
    <author>tc={C462D255-A8B5-4B1B-B651-B45F525DF940}</author>
    <author>tc={AF4CB89C-678A-4468-8D33-AC896F7BF656}</author>
    <author>tc={EDFC86E8-3F39-B640-9086-91AB1FE3D95F}</author>
    <author>tc={A9F14EAE-3975-3B4D-AA6A-F711DBEED561}</author>
    <author>tc={07179A23-48CC-F64D-B21D-417E90A5D3DF}</author>
    <author>tc={A0F07755-1F44-C34C-99E7-4FF661F41695}</author>
    <author>tc={96279BA6-8FCF-DF42-937D-7A9970211080}</author>
    <author>tc={B6C31FD4-F4C5-8B4E-ADA7-10ECCCCC5351}</author>
    <author>tc={A60D97EC-08DA-6742-B69D-523EA9F8A775}</author>
    <author>tc={5A191C3A-9F2A-784A-BA3D-3CA116DD4A90}</author>
    <author>tc={EC50526C-8214-7143-A884-ADD821C250BD}</author>
    <author>tc={FEDBDB51-2A49-0940-A7ED-ACA0920D536D}</author>
    <author>tc={E06E3986-CF39-4FF7-92E2-5FB0D899FE27}</author>
    <author>tc={8FCD52A1-1356-429F-A97A-4735E37836E2}</author>
    <author>tc={D8E79C55-13F5-4D25-BA4F-2C041FE5F989}</author>
    <author>tc={944D9291-C158-4E85-9BF5-23BBF93002A2}</author>
    <author>tc={68B05654-3AAB-4650-96E9-D9616F3A9AE9}</author>
    <author>tc={4156C02C-C81E-4C23-9D38-786542328D31}</author>
    <author>tc={C1772F80-49F0-41C1-AFFA-D21368F6AE64}</author>
    <author>tc={D56BD32B-5B05-4B81-9004-63CE4C7DEE0B}</author>
    <author>DELL</author>
    <author>tc={7E8653F7-898D-4205-AC2D-BC1540A8B6EE}</author>
    <author>tc={18A9D49B-595D-4876-9A2B-FACE8D06EE86}</author>
    <author>tc={A99FEB2E-87E9-4B90-8DB9-A0620C8771B7}</author>
    <author>tc={BA15A2B5-93BC-4B28-9CC6-EF360C760E60}</author>
    <author>tc={1F1D8D6C-A77E-4F13-802B-9A9FD513FA3A}</author>
    <author>tc={6A781B82-563A-4DF6-82DF-B75C91680A87}</author>
    <author>tc={7A5C3C7E-F6D4-4218-BBA3-28C28D607C0A}</author>
    <author>tc={EAA09C20-5C8B-48EC-871F-7C0533B6E8BC}</author>
    <author>tc={CCBE1EC5-39DB-4457-8C22-482F78C8A705}</author>
    <author>tc={3020BE7C-9A55-4A07-87F0-A97282AFCB7A}</author>
    <author>tc={A1EE26CE-986C-46D8-B939-1E4611472899}</author>
    <author>tc={BEC46EBD-4FBE-46C9-B750-FCDEE6B4F0CE}</author>
    <author>tc={3A23FB24-9902-4C1B-B99D-6D4B452F18B2}</author>
    <author>tc={1F3F6CBA-AD20-4F9B-90D7-36AB0E354C60}</author>
    <author>tc={1208D2B4-3A2F-4F43-AC02-ECA5A7F2F0F3}</author>
    <author>tc={0326BA20-8462-4561-9188-2DEC34BBCD04}</author>
    <author>tc={A8380AC9-CE2C-4D21-BE0B-24A5DE4A4945}</author>
    <author>tc={3FA28A70-A437-4944-B845-61C3AF953CCD}</author>
    <author>tc={A4ADF9B7-4481-40DE-924F-26728B994573}</author>
    <author>tc={80E796D1-6AD1-417A-B162-494DA8D88669}</author>
    <author>tc={BDE80D85-91D6-454E-9B3D-7590D31B89E9}</author>
    <author>tc={61D4A463-2513-4D75-882F-A165D6B0F577}</author>
    <author>tc={6B124C61-9872-4675-912D-8A525692B848}</author>
    <author>tc={08B7A9C0-AAE1-4229-B2F3-FB6F4EACC438}</author>
    <author>tc={92D2F4BE-0DD3-413A-9C65-B5C505B5814A}</author>
    <author>tc={CD36C2A2-EB92-4694-B738-82818FA1DD48}</author>
    <author>tc={115AAEAE-0E41-4F21-98B9-088511E5449C}</author>
    <author>tc={6FCAA1CE-B21D-4B7D-B7E7-7E1B7ABB6C64}</author>
    <author>tc={5DF7C983-400D-4EBC-A8B7-6AB4E965DC81}</author>
    <author>tc={A0AA14FE-5180-4309-9EC9-22DB9934EA23}</author>
    <author>tc={B0C81B9A-EF9D-4C2C-B837-9F17383A5246}</author>
    <author>tc={C938DEBF-A3B8-4B99-AA51-B20CBBC909BC}</author>
    <author>tc={AAE95B6C-204A-4223-A87F-7DB294A8C3D4}</author>
    <author>tc={3B3CD2E9-BA79-4980-B4DA-697F6EB5CA95}</author>
    <author>tc={20AC89C1-F865-4878-9BAA-A2BF0EE0625B}</author>
    <author>tc={A44A0E4E-D843-4FEB-B591-7AF7F77B30CA}</author>
    <author>tc={6BF0F684-B487-46E4-9828-D468DEFF68F1}</author>
    <author>tc={4ADA7C0A-0836-4BD7-AFBB-853260352190}</author>
    <author>tc={02862139-DF6A-4B86-8ED3-1502393FB537}</author>
    <author>tc={EE910B18-44BF-4091-AC59-ACBD9BCD96EA}</author>
    <author>tc={3D05654A-275A-47CE-8228-9D4E6B88D747}</author>
    <author>tc={73F6DD2A-5504-4FD0-BFBE-F9FD785DF083}</author>
    <author>tc={B7D329D2-7E19-49C4-8ACD-C70DFF14993F}</author>
    <author>tc={2AEB1CF4-6627-4086-9F7A-8B0B24EAC012}</author>
    <author>tc={4839C28C-CD7D-48DA-A5F4-2D4AC8C29AEB}</author>
    <author>tc={091F9958-9088-4EC6-A917-026F121EB08F}</author>
  </authors>
  <commentList>
    <comment ref="BN3" authorId="0" shapeId="0" xr:uid="{216D86AB-0191-8246-8BE9-CD479E39BF2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2-mayo
</t>
      </text>
    </comment>
    <comment ref="BO3" authorId="1" shapeId="0" xr:uid="{99D81F0E-14C4-824A-BBA8-5648CD8CBB1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3-junio</t>
      </text>
    </comment>
    <comment ref="BP3" authorId="2" shapeId="0" xr:uid="{B5D99211-E51B-6544-813C-D04BC94A270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28-junio</t>
      </text>
    </comment>
    <comment ref="BQ3" authorId="3" shapeId="0" xr:uid="{B5B7A532-1467-2D47-B46E-20B8A187FE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31-julio</t>
      </text>
    </comment>
    <comment ref="AP6" authorId="4" shapeId="0" xr:uid="{24784FA4-F467-44BB-848C-5162BF4E1D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Recibe megamudanzas</t>
      </text>
    </comment>
    <comment ref="AO9" authorId="5" shapeId="0" xr:uid="{133FFB3D-4C7E-41D1-A6E2-FC09CE394F0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De recargas
</t>
      </text>
    </comment>
    <comment ref="I10" authorId="6" shapeId="0" xr:uid="{00000000-0006-0000-0000-000001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20-8-20</t>
        </r>
      </text>
    </comment>
    <comment ref="J10" authorId="6" shapeId="0" xr:uid="{00000000-0006-0000-0000-000002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cuadre 4-sep</t>
        </r>
      </text>
    </comment>
    <comment ref="K10" authorId="6" shapeId="0" xr:uid="{00000000-0006-0000-0000-000003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10-10-20
</t>
        </r>
      </text>
    </comment>
    <comment ref="L10" authorId="6" shapeId="0" xr:uid="{00000000-0006-0000-0000-000004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30/10/20
</t>
        </r>
      </text>
    </comment>
    <comment ref="M10" authorId="6" shapeId="0" xr:uid="{00000000-0006-0000-0000-000005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30-11-20
</t>
        </r>
      </text>
    </comment>
    <comment ref="N10" authorId="6" shapeId="0" xr:uid="{D007B45F-7F14-4525-8C17-E147DA3EE48A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30--12-20</t>
        </r>
      </text>
    </comment>
    <comment ref="O10" authorId="6" shapeId="0" xr:uid="{3A7F23BB-1419-4B8C-9A99-CE3A6446AD98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3-2-21</t>
        </r>
      </text>
    </comment>
    <comment ref="Q10" authorId="6" shapeId="0" xr:uid="{E2F8F74E-658A-41BC-BD40-88595B19A804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12-4-21</t>
        </r>
      </text>
    </comment>
    <comment ref="R10" authorId="6" shapeId="0" xr:uid="{84B523F6-CF29-4136-8D6E-65DCCFAFF9BB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13-5-21</t>
        </r>
      </text>
    </comment>
    <comment ref="S10" authorId="6" shapeId="0" xr:uid="{E1548354-57B9-4204-8874-E50C449AC979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31-5-21</t>
        </r>
      </text>
    </comment>
    <comment ref="T10" authorId="7" shapeId="0" xr:uid="{1ABF65D0-2632-4FA2-946E-46BB0233E06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30-6-21</t>
      </text>
    </comment>
    <comment ref="V10" authorId="6" shapeId="0" xr:uid="{117A39D7-AD38-4F21-A43C-6B072AB4B70F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30-8-21
</t>
        </r>
      </text>
    </comment>
    <comment ref="W10" authorId="8" shapeId="0" xr:uid="{4893B506-6B48-4E3A-BD29-90E04A17EAF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30-9-21</t>
      </text>
    </comment>
    <comment ref="AH10" authorId="9" shapeId="0" xr:uid="{885FE209-84EA-4B19-9213-9C3CD9AB34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9-9-22
Desconto 1 pago</t>
      </text>
    </comment>
    <comment ref="AI10" authorId="10" shapeId="0" xr:uid="{0B3E9D5D-1148-431D-A3D7-D910173B21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9-9-22
Desconto 1 pago</t>
      </text>
    </comment>
    <comment ref="AJ10" authorId="11" shapeId="0" xr:uid="{EDC5D4A4-C783-4595-942B-80162670629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descontó dic-22</t>
      </text>
    </comment>
    <comment ref="AK10" authorId="12" shapeId="0" xr:uid="{B82BC5C3-011A-47DF-A3BA-8E97D33B0D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descontó dic-22</t>
      </text>
    </comment>
    <comment ref="AL10" authorId="13" shapeId="0" xr:uid="{BF4ABE30-D9AF-47C9-8CD0-37A81AC8EE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descontó dic-22</t>
      </text>
    </comment>
    <comment ref="AM10" authorId="14" shapeId="0" xr:uid="{DE0C7363-D9A1-4315-A81B-57643A11B82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30-mayo-2023</t>
      </text>
    </comment>
    <comment ref="AN10" authorId="15" shapeId="0" xr:uid="{3A6BF356-276D-4EA9-AC3C-D897395D14B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30-mayo-2023</t>
      </text>
    </comment>
    <comment ref="AO10" authorId="16" shapeId="0" xr:uid="{BE8F18EC-8FDD-4B3E-A083-940D1C0B1CA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30-mayo-2023</t>
      </text>
    </comment>
    <comment ref="AP10" authorId="17" shapeId="0" xr:uid="{475899DE-4FB1-43C2-84F0-C8B9A1469EC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30-mayo-2023</t>
      </text>
    </comment>
    <comment ref="AQ10" authorId="18" shapeId="0" xr:uid="{3C8BD9E8-EB39-482C-8988-CE8ECBB329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30-mayo-2023</t>
      </text>
    </comment>
    <comment ref="BA10" authorId="19" shapeId="0" xr:uid="{CC6D3B83-11BC-47AB-93DF-C4BEBE1A57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1-4-24</t>
      </text>
    </comment>
    <comment ref="BD10" authorId="20" shapeId="0" xr:uid="{AF4AAF4C-2283-4771-94EE-F55D50E3C0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15-7-24</t>
      </text>
    </comment>
    <comment ref="BE10" authorId="21" shapeId="0" xr:uid="{618F5873-D8CB-41F3-8D34-98AE1D9991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Pago 660 julio y agosto
19-sept</t>
      </text>
    </comment>
    <comment ref="BF10" authorId="22" shapeId="0" xr:uid="{1AB3DC52-4981-4CF3-BF0A-B0A2D34EE2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Pago 660 julio y agosto
19-sept</t>
      </text>
    </comment>
    <comment ref="BG10" authorId="23" shapeId="0" xr:uid="{D2D01943-A229-45BD-ABF2-E8ABD0DF1C4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30-sept</t>
      </text>
    </comment>
    <comment ref="BH10" authorId="24" shapeId="0" xr:uid="{5F3F689E-4757-47D7-8582-07AC1E1B241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31-oct</t>
      </text>
    </comment>
    <comment ref="BI10" authorId="25" shapeId="0" xr:uid="{C11DBA8A-98EB-47CD-8D4E-5119E42F452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30-nov</t>
      </text>
    </comment>
    <comment ref="F11" authorId="6" shapeId="0" xr:uid="{00000000-0006-0000-0000-000006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21-5-20</t>
        </r>
      </text>
    </comment>
    <comment ref="G11" authorId="6" shapeId="0" xr:uid="{00000000-0006-0000-0000-000007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21-5-20</t>
        </r>
      </text>
    </comment>
    <comment ref="H11" authorId="6" shapeId="0" xr:uid="{00000000-0006-0000-0000-000008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21-7-20
</t>
        </r>
      </text>
    </comment>
    <comment ref="I11" authorId="6" shapeId="0" xr:uid="{00000000-0006-0000-0000-000009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25-8-20
</t>
        </r>
      </text>
    </comment>
    <comment ref="J11" authorId="6" shapeId="0" xr:uid="{00000000-0006-0000-0000-00000A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10-10-20
</t>
        </r>
      </text>
    </comment>
    <comment ref="K11" authorId="6" shapeId="0" xr:uid="{00000000-0006-0000-0000-00000B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12-11-20</t>
        </r>
      </text>
    </comment>
    <comment ref="L11" authorId="6" shapeId="0" xr:uid="{00000000-0006-0000-0000-00000C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16-12-20</t>
        </r>
      </text>
    </comment>
    <comment ref="M11" authorId="6" shapeId="0" xr:uid="{BDC9BDB3-D3BE-4AD0-A7D5-ADDBFCB7EA89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8-1-21 en efectivo anderson
</t>
        </r>
      </text>
    </comment>
    <comment ref="N11" authorId="6" shapeId="0" xr:uid="{B522FF69-77C2-4E4B-8A9D-9B9C5D988F68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2-3-21
</t>
        </r>
      </text>
    </comment>
    <comment ref="O11" authorId="6" shapeId="0" xr:uid="{C0204B28-5BD9-42E8-AC5D-7A95A6DCD3F8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2-3-21
</t>
        </r>
      </text>
    </comment>
    <comment ref="P11" authorId="6" shapeId="0" xr:uid="{41C0A99A-7BAA-4CE0-8BC2-5E0D5C5ECB9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CONSIGNO APROX 
10-ABRIL
</t>
        </r>
      </text>
    </comment>
    <comment ref="Q11" authorId="6" shapeId="0" xr:uid="{11591251-1F49-4533-937F-7837CCE094C2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31-5-21
</t>
        </r>
      </text>
    </comment>
    <comment ref="R11" authorId="6" shapeId="0" xr:uid="{616C4152-7D3B-41D3-A966-3CB3B91DABBD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31-5-21
</t>
        </r>
      </text>
    </comment>
    <comment ref="S11" authorId="6" shapeId="0" xr:uid="{A45F0EF4-E43E-43F4-83EA-D93B91AB2E21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07-julio
250 y 250</t>
        </r>
      </text>
    </comment>
    <comment ref="T11" authorId="6" shapeId="0" xr:uid="{E0B31F85-CC8A-4BEC-AC4B-27BBFA830ED6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07-julio
250 
sept _ 320 servidor marzo a junio
</t>
        </r>
      </text>
    </comment>
    <comment ref="U11" authorId="26" shapeId="0" xr:uid="{AB7E656A-9924-45D4-9162-04F2985954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9-12-21</t>
      </text>
    </comment>
    <comment ref="V11" authorId="27" shapeId="0" xr:uid="{D27F0C4F-1E50-450E-AC42-7411F2FE17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9-12-21</t>
      </text>
    </comment>
    <comment ref="W11" authorId="28" shapeId="0" xr:uid="{6A386976-8A76-4750-A03F-8F9369294A2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9-12-21</t>
      </text>
    </comment>
    <comment ref="X11" authorId="29" shapeId="0" xr:uid="{D3BCAA0A-250A-4708-BCE9-A93D28D839F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17-2-22</t>
      </text>
    </comment>
    <comment ref="Y11" authorId="30" shapeId="0" xr:uid="{06BF0452-27C5-4830-AC74-9E1B82262C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17-2-22</t>
      </text>
    </comment>
    <comment ref="Z11" authorId="31" shapeId="0" xr:uid="{0124EFB4-033D-4AB5-AB00-C7399A471A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12-mayo-2022
consigno</t>
      </text>
    </comment>
    <comment ref="AA11" authorId="32" shapeId="0" xr:uid="{50798050-FA74-4554-9661-85A40770F1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8-junio-22</t>
      </text>
    </comment>
    <comment ref="AB11" authorId="33" shapeId="0" xr:uid="{4CEF5011-BCEC-48E8-9280-42352EAB80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8-junio-22</t>
      </text>
    </comment>
    <comment ref="AC11" authorId="34" shapeId="0" xr:uid="{E8BD0BE7-5821-4B06-B5F6-4348D95A2DD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7-9-22
840</t>
      </text>
    </comment>
    <comment ref="AD11" authorId="35" shapeId="0" xr:uid="{0CC53249-66C9-428D-A0B7-F05B4D1BB8E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7-9-22
840</t>
      </text>
    </comment>
    <comment ref="AE11" authorId="36" shapeId="0" xr:uid="{25F6A465-A734-44A2-A474-DFCBBE00812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7-9-22
840</t>
      </text>
    </comment>
    <comment ref="AF11" authorId="37" shapeId="0" xr:uid="{C4618DA4-2622-4CC7-B772-2466CDBBE76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3-agosto-22</t>
      </text>
    </comment>
    <comment ref="AG11" authorId="38" shapeId="0" xr:uid="{D83602D7-21BE-49DF-905E-C58E73B1CB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3-agosto-22</t>
      </text>
    </comment>
    <comment ref="AH11" authorId="39" shapeId="0" xr:uid="{EBDEF40A-44C9-47B3-838C-EA97984646F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12-NOV</t>
      </text>
    </comment>
    <comment ref="AI11" authorId="40" shapeId="0" xr:uid="{CB063524-227C-434F-9BFA-FB4E796BF6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17-NOV</t>
      </text>
    </comment>
    <comment ref="AJ11" authorId="41" shapeId="0" xr:uid="{112AABF0-67C5-44F8-B125-FEA625E26C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17-NOV</t>
      </text>
    </comment>
    <comment ref="AK11" authorId="42" shapeId="0" xr:uid="{2E59FDA5-C1EB-4CC3-9288-8AEE81F8CA5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13-abril-2023</t>
      </text>
    </comment>
    <comment ref="AL11" authorId="43" shapeId="0" xr:uid="{83889B7A-ACA2-4755-A701-7FC51A89678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13-abril-2023</t>
      </text>
    </comment>
    <comment ref="AM11" authorId="44" shapeId="0" xr:uid="{BB10AF56-908F-43F2-A0EB-DA17D7456F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16-5-23</t>
      </text>
    </comment>
    <comment ref="AN11" authorId="45" shapeId="0" xr:uid="{346A1506-2C99-407F-88B9-761FF3C145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16-5-23</t>
      </text>
    </comment>
    <comment ref="AO11" authorId="46" shapeId="0" xr:uid="{785F6AD9-4AFD-4F1C-AF82-DCC38E93DF7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19-dic
</t>
      </text>
    </comment>
    <comment ref="AP11" authorId="47" shapeId="0" xr:uid="{8BF2D81D-23CE-4D39-B3C0-CC910A12B72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19-dic
</t>
      </text>
    </comment>
    <comment ref="AQ11" authorId="48" shapeId="0" xr:uid="{A3A0277D-76C1-48CE-9B81-4C58E3F0395E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19-dic
</t>
      </text>
    </comment>
    <comment ref="AR11" authorId="49" shapeId="0" xr:uid="{1F6D2881-9869-4E39-A7A2-D949E6F723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23-enero</t>
      </text>
    </comment>
    <comment ref="AS11" authorId="50" shapeId="0" xr:uid="{7F365EAF-46B9-42DE-B93A-B594B2580C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23-enero</t>
      </text>
    </comment>
    <comment ref="AT11" authorId="51" shapeId="0" xr:uid="{8D5EA4CD-E342-4034-9E60-46E1ECE0E5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23-enero</t>
      </text>
    </comment>
    <comment ref="AU11" authorId="52" shapeId="0" xr:uid="{E64856C5-B5FE-496E-97A6-FEFF023918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12-4-24</t>
      </text>
    </comment>
    <comment ref="AV11" authorId="53" shapeId="0" xr:uid="{AFCE65D1-C661-443F-9E01-9BEF187995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12-4-24</t>
      </text>
    </comment>
    <comment ref="AW11" authorId="54" shapeId="0" xr:uid="{BA808E2C-51C2-48C3-A137-C3913D56785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12-4-24</t>
      </text>
    </comment>
    <comment ref="AX11" authorId="55" shapeId="0" xr:uid="{1B101F37-5CC8-452E-87B0-866ABD284E7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12-4-24</t>
      </text>
    </comment>
    <comment ref="AY11" authorId="56" shapeId="0" xr:uid="{FC25E3AD-0577-488D-997C-636C0C0E5D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25 enero</t>
      </text>
    </comment>
    <comment ref="AZ11" authorId="57" shapeId="0" xr:uid="{1EE7CC40-0B08-4696-8AA4-CD2A772D48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13-feb</t>
      </text>
    </comment>
    <comment ref="BA11" authorId="58" shapeId="0" xr:uid="{EA3D471A-0B83-404C-A9DE-E7573BB0B5E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15-3-24
</t>
      </text>
    </comment>
    <comment ref="BB11" authorId="59" shapeId="0" xr:uid="{6BE24F89-45E6-4D0C-9EBF-422685A950C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21-mayo
</t>
      </text>
    </comment>
    <comment ref="BC11" authorId="60" shapeId="0" xr:uid="{C9A90E92-AC99-4EC0-B361-7FAFDA75025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15-7-24</t>
      </text>
    </comment>
    <comment ref="BD11" authorId="61" shapeId="0" xr:uid="{C621EE00-85B1-4E50-88FD-93EFD285C2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15-7-24</t>
      </text>
    </comment>
    <comment ref="BE11" authorId="62" shapeId="0" xr:uid="{E597338C-65D9-43DA-8E45-02053F15A2A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21-agosto</t>
      </text>
    </comment>
    <comment ref="BF11" authorId="63" shapeId="0" xr:uid="{75448DB9-8D50-4F6C-B865-2B0D769418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18-sept</t>
      </text>
    </comment>
    <comment ref="BG11" authorId="64" shapeId="0" xr:uid="{A62121C4-CDB9-4AF2-A52F-2A37DD72552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6-nov</t>
      </text>
    </comment>
    <comment ref="BH11" authorId="65" shapeId="0" xr:uid="{86EF18FA-4A6C-4499-B310-013AC30FE29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10-dic</t>
      </text>
    </comment>
    <comment ref="N12" authorId="6" shapeId="0" xr:uid="{1805BEFB-FC9E-4927-9E72-F62E3EF5C77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16-2-21</t>
        </r>
      </text>
    </comment>
    <comment ref="O12" authorId="6" shapeId="0" xr:uid="{6E69E828-BBB7-448E-BFCE-C3D0857104E2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27-4-21</t>
        </r>
      </text>
    </comment>
    <comment ref="P12" authorId="6" shapeId="0" xr:uid="{0C393272-F4C5-4E8A-893C-78BA381CAF97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27-4-21</t>
        </r>
      </text>
    </comment>
    <comment ref="Q12" authorId="6" shapeId="0" xr:uid="{ABC5DB92-9189-4185-9A64-F61C3CE30CD4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14-5-21</t>
        </r>
      </text>
    </comment>
    <comment ref="R12" authorId="6" shapeId="0" xr:uid="{2E58D599-1C3D-40DC-9D9A-1C806DAFA004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abono servidor = 27-4-21
</t>
        </r>
      </text>
    </comment>
    <comment ref="T12" authorId="6" shapeId="0" xr:uid="{56D7F0F5-295A-4857-A4BB-3747B8E56836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10-6-21
560</t>
        </r>
      </text>
    </comment>
    <comment ref="U12" authorId="6" shapeId="0" xr:uid="{4E0C6CD2-3396-4CB3-A5EC-D461E90F09CF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6-sept-2021</t>
        </r>
      </text>
    </comment>
    <comment ref="V12" authorId="6" shapeId="0" xr:uid="{560EFD7F-714A-468A-BD93-32EDA6A8FFC2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480  5-oct-2021
200 junio 
280 septiembre</t>
        </r>
      </text>
    </comment>
    <comment ref="W12" authorId="66" shapeId="0" xr:uid="{9BD5BFBD-F08B-4E47-93F9-76932490AA1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10-2-22
consigno sept oct y nov</t>
      </text>
    </comment>
    <comment ref="X12" authorId="67" shapeId="0" xr:uid="{8A2D45DB-2089-485A-8DB0-9EB6B297C3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10-2-22
consigno sept oct y nov</t>
      </text>
    </comment>
    <comment ref="Y12" authorId="68" shapeId="0" xr:uid="{AC34C03F-1A9F-4029-9543-9C74B243E1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10-2-22
consigno sept oct y nov</t>
      </text>
    </comment>
    <comment ref="Z12" authorId="69" shapeId="0" xr:uid="{94A5D90A-73EB-4253-9474-E6601EFA8BB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560 
10-junio-2022
dic ene</t>
      </text>
    </comment>
    <comment ref="AA12" authorId="70" shapeId="0" xr:uid="{58A8CE34-4F0B-427D-B823-0A72FA2C93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560 
10-junio-2022
dic ene</t>
      </text>
    </comment>
    <comment ref="AB12" authorId="71" shapeId="0" xr:uid="{879A2717-B44B-4F42-ABB9-2EFD8FB2B9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2-agosto-2022</t>
      </text>
    </comment>
    <comment ref="AC12" authorId="72" shapeId="0" xr:uid="{3DF2C875-F777-4C12-8494-7E9BC9F95D0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2-agosto-2022</t>
      </text>
    </comment>
    <comment ref="AD12" authorId="73" shapeId="0" xr:uid="{D4642BFD-2EA1-4AD7-B425-B27B35C5000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10-agosto-2022
1380000
pago abril - mayo - junio - julio 
mantenimiento pc</t>
      </text>
    </comment>
    <comment ref="AE12" authorId="74" shapeId="0" xr:uid="{47150782-D806-42AB-9CEE-6FA7E9AD34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10-agosto-2022
1380000
pago abril - mayo - junio - julio 
mantenimiento pc</t>
      </text>
    </comment>
    <comment ref="AF12" authorId="75" shapeId="0" xr:uid="{C9A84899-0B13-4327-A69F-AE63D8579A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10-agosto-2022
1380000
pago abril - mayo - junio - julio 
mantenimiento pc</t>
      </text>
    </comment>
    <comment ref="AG12" authorId="76" shapeId="0" xr:uid="{352035CF-EF98-4513-B34E-17AEA265F70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10-agosto-2022
1380000
pago abril - mayo - junio - julio 
mantenimiento pc</t>
      </text>
    </comment>
    <comment ref="AH12" authorId="77" shapeId="0" xr:uid="{2DD624EA-6207-4333-8B69-ED05E20C81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24-12-22 - 840mil</t>
      </text>
    </comment>
    <comment ref="AI12" authorId="78" shapeId="0" xr:uid="{696106E1-9A96-47E2-AD06-73BA91E9A7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24-12-22 - 840mil</t>
      </text>
    </comment>
    <comment ref="AJ12" authorId="79" shapeId="0" xr:uid="{D1F7E232-3636-4F1E-B388-821B929C29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24-12-22 - 840mil</t>
      </text>
    </comment>
    <comment ref="AK12" authorId="80" shapeId="0" xr:uid="{A8F97EAE-8D09-49FD-85DF-3E16E0AA2C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16-5-23</t>
      </text>
    </comment>
    <comment ref="AL12" authorId="81" shapeId="0" xr:uid="{FA304D85-07AB-4D59-A5BE-6C4045E910C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16-5-23</t>
      </text>
    </comment>
    <comment ref="AM12" authorId="82" shapeId="0" xr:uid="{CEE0FF73-CC87-4A77-B056-5522844FFBF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16-5-23</t>
      </text>
    </comment>
    <comment ref="AN12" authorId="83" shapeId="0" xr:uid="{96C13FC0-187E-4810-B1FE-2CEA714DBDE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15-feb</t>
      </text>
    </comment>
    <comment ref="AO12" authorId="84" shapeId="0" xr:uid="{08B436AE-E8FC-4CD8-85E7-93B6AFAC62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15-feb</t>
      </text>
    </comment>
    <comment ref="AP12" authorId="85" shapeId="0" xr:uid="{F2EDCDD6-50A5-41A2-8910-26B45330F8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15-feb</t>
      </text>
    </comment>
    <comment ref="AY12" authorId="86" shapeId="0" xr:uid="{EB1B829D-E801-4501-AB79-5EC7EC5A9D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15-feb</t>
      </text>
    </comment>
    <comment ref="AZ12" authorId="87" shapeId="0" xr:uid="{D049299D-1D6A-41D1-9D72-207E14EF0B8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8-marzo</t>
      </text>
    </comment>
    <comment ref="BA12" authorId="88" shapeId="0" xr:uid="{82589CE8-BD0E-4018-9B01-E53495807CA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14-sept
</t>
      </text>
    </comment>
    <comment ref="BB12" authorId="89" shapeId="0" xr:uid="{5DD0125A-9EBD-47BB-8124-9E3E8620706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14-sept
</t>
      </text>
    </comment>
    <comment ref="BC12" authorId="90" shapeId="0" xr:uid="{0BD37FB4-D6E3-4C8E-A8DF-EE3B1E5EE68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19-dic
Abono 1400
mayo a sept
</t>
      </text>
    </comment>
    <comment ref="BD12" authorId="91" shapeId="0" xr:uid="{FE4B60DB-8ED0-4A6B-BBA4-B1A8BE4E359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19-dic
Abono 1400
mayo a sept
</t>
      </text>
    </comment>
    <comment ref="BE12" authorId="92" shapeId="0" xr:uid="{2E93BCB5-14E0-4D3E-B75B-2262390F4D7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19-dic
Abono 1400
mayo a sept
</t>
      </text>
    </comment>
    <comment ref="BF12" authorId="93" shapeId="0" xr:uid="{C462D255-A8B5-4B1B-B651-B45F525DF94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19-dic
Abono 1400
mayo a sept
</t>
      </text>
    </comment>
    <comment ref="BG12" authorId="94" shapeId="0" xr:uid="{AF4CB89C-678A-4468-8D33-AC896F7BF65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19-dic
Abono 1400
mayo a sept
</t>
      </text>
    </comment>
    <comment ref="BQ12" authorId="95" shapeId="0" xr:uid="{EDFC86E8-3F39-B640-9086-91AB1FE3D95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28-julio</t>
      </text>
    </comment>
    <comment ref="BM13" authorId="96" shapeId="0" xr:uid="{A9F14EAE-3975-3B4D-AA6A-F711DBEED5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1-abril</t>
      </text>
    </comment>
    <comment ref="BN13" authorId="97" shapeId="0" xr:uid="{07179A23-48CC-F64D-B21D-417E90A5D3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30-abril</t>
      </text>
    </comment>
    <comment ref="BO13" authorId="98" shapeId="0" xr:uid="{A0F07755-1F44-C34C-99E7-4FF661F416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5-junio</t>
      </text>
    </comment>
    <comment ref="BP13" authorId="99" shapeId="0" xr:uid="{96279BA6-8FCF-DF42-937D-7A997021108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360 31-jul
</t>
      </text>
    </comment>
    <comment ref="BQ13" authorId="100" shapeId="0" xr:uid="{B6C31FD4-F4C5-8B4E-ADA7-10ECCCCC535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360 31-jul
</t>
      </text>
    </comment>
    <comment ref="BR13" authorId="101" shapeId="0" xr:uid="{A60D97EC-08DA-6742-B69D-523EA9F8A77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22-oct
</t>
      </text>
    </comment>
    <comment ref="BS13" authorId="102" shapeId="0" xr:uid="{5A191C3A-9F2A-784A-BA3D-3CA116DD4A9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22-oct
</t>
      </text>
    </comment>
    <comment ref="BT13" authorId="103" shapeId="0" xr:uid="{EC50526C-8214-7143-A884-ADD821C250B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2-dic</t>
      </text>
    </comment>
    <comment ref="BU13" authorId="104" shapeId="0" xr:uid="{FEDBDB51-2A49-0940-A7ED-ACA0920D53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2-dic</t>
      </text>
    </comment>
    <comment ref="AD16" authorId="105" shapeId="0" xr:uid="{E06E3986-CF39-4FF7-92E2-5FB0D899FE2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15-6-22</t>
      </text>
    </comment>
    <comment ref="AE16" authorId="106" shapeId="0" xr:uid="{8FCD52A1-1356-429F-A97A-4735E37836E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10-junio-22</t>
      </text>
    </comment>
    <comment ref="AF16" authorId="107" shapeId="0" xr:uid="{D8E79C55-13F5-4D25-BA4F-2C041FE5F98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5-7-22
</t>
      </text>
    </comment>
    <comment ref="C19" authorId="6" shapeId="0" xr:uid="{00000000-0006-0000-0000-00000D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ABONO programa </t>
        </r>
      </text>
    </comment>
    <comment ref="D19" authorId="6" shapeId="0" xr:uid="{00000000-0006-0000-0000-00000E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18-FEB-20</t>
        </r>
      </text>
    </comment>
    <comment ref="E19" authorId="6" shapeId="0" xr:uid="{00000000-0006-0000-0000-00000F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15-5-20 consigno 150 por 2 meses marzo y abril
</t>
        </r>
      </text>
    </comment>
    <comment ref="F19" authorId="6" shapeId="0" xr:uid="{00000000-0006-0000-0000-000010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15-5-20 consigno 150 por 2 meses marzo y abril
</t>
        </r>
      </text>
    </comment>
    <comment ref="G19" authorId="6" shapeId="0" xr:uid="{00000000-0006-0000-0000-000011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CUADRE CON MANILLAS JUNIO
</t>
        </r>
      </text>
    </comment>
    <comment ref="H19" authorId="6" shapeId="0" xr:uid="{00000000-0006-0000-0000-000012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CUADRE CON MANILLAS JUNIO
</t>
        </r>
      </text>
    </comment>
    <comment ref="I19" authorId="6" shapeId="0" xr:uid="{00000000-0006-0000-0000-000013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CUADRE CON MANILLAS agosto
7-9-20</t>
        </r>
      </text>
    </comment>
    <comment ref="J19" authorId="6" shapeId="0" xr:uid="{00000000-0006-0000-0000-000014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CUADRE CON MANILLAS agosto
7-9-20</t>
        </r>
      </text>
    </comment>
    <comment ref="K19" authorId="6" shapeId="0" xr:uid="{00000000-0006-0000-0000-000015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CUADRE 20-10-20
}
</t>
        </r>
      </text>
    </comment>
    <comment ref="L19" authorId="6" shapeId="0" xr:uid="{00000000-0006-0000-0000-000016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CUADRE 20-10-20
}
</t>
        </r>
      </text>
    </comment>
    <comment ref="O19" authorId="6" shapeId="0" xr:uid="{1FCB3623-7B9F-4A8C-837C-8A271D84EFF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15-5-21</t>
        </r>
      </text>
    </comment>
    <comment ref="P19" authorId="6" shapeId="0" xr:uid="{A495FE8C-A55D-4D79-9277-9CC680E73C7F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15-5-21</t>
        </r>
      </text>
    </comment>
    <comment ref="Q19" authorId="6" shapeId="0" xr:uid="{E36D64FF-F899-43FD-91F0-A002150619BD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15-5-21</t>
        </r>
      </text>
    </comment>
    <comment ref="R19" authorId="6" shapeId="0" xr:uid="{70ECF560-34A1-4FE5-9538-0BFCEC5FE0EA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cuadre en sept
con 500
6-9-21
</t>
        </r>
      </text>
    </comment>
    <comment ref="S19" authorId="6" shapeId="0" xr:uid="{4734BAFA-98F2-416D-A0EC-E1DF8688171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cuadre en sept
con 500
6-9-21
</t>
        </r>
      </text>
    </comment>
    <comment ref="T19" authorId="6" shapeId="0" xr:uid="{1A9D2158-907F-4273-ABE8-61C2C0AEBC84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cuadre en sept
con 500
6-9-21
</t>
        </r>
      </text>
    </comment>
    <comment ref="U19" authorId="6" shapeId="0" xr:uid="{E8F65424-A2F0-40FE-B9CC-6F10BB94883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cuadre en sept
con 500
6-9-21
</t>
        </r>
      </text>
    </comment>
    <comment ref="V19" authorId="6" shapeId="0" xr:uid="{0F477D04-FEA8-46FA-B4B7-EAB38CB110B9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cuadre en sept
con 500
6-9-21
</t>
        </r>
      </text>
    </comment>
    <comment ref="W19" authorId="6" shapeId="0" xr:uid="{B4B3355F-DCBE-4EED-9A57-0B3952F8240F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cuadre en sept
con 500
6-9-21
abril - sept y 50 forateo total 500</t>
        </r>
      </text>
    </comment>
    <comment ref="X19" authorId="108" shapeId="0" xr:uid="{944D9291-C158-4E85-9BF5-23BBF93002A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1-4-22</t>
      </text>
    </comment>
    <comment ref="Y19" authorId="109" shapeId="0" xr:uid="{68B05654-3AAB-4650-96E9-D9616F3A9A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1-4-22</t>
      </text>
    </comment>
    <comment ref="Z19" authorId="110" shapeId="0" xr:uid="{4156C02C-C81E-4C23-9D38-786542328D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1-4-22</t>
      </text>
    </comment>
    <comment ref="AA19" authorId="111" shapeId="0" xr:uid="{C1772F80-49F0-41C1-AFFA-D21368F6AE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1-4-22</t>
      </text>
    </comment>
    <comment ref="AB19" authorId="112" shapeId="0" xr:uid="{D56BD32B-5B05-4B81-9004-63CE4C7DEE0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1-4-22</t>
      </text>
    </comment>
    <comment ref="M20" authorId="6" shapeId="0" xr:uid="{00000000-0006-0000-0000-000017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19-12-10</t>
        </r>
      </text>
    </comment>
    <comment ref="N20" authorId="6" shapeId="0" xr:uid="{09761495-0761-447A-8D3C-B5A05FD70115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29-12-20
cuadre con jhon
</t>
        </r>
      </text>
    </comment>
    <comment ref="O20" authorId="6" shapeId="0" xr:uid="{F9BC8A3E-1E1B-4D3F-8048-3001675CC94E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12-3-21
</t>
        </r>
      </text>
    </comment>
    <comment ref="P20" authorId="6" shapeId="0" xr:uid="{EE1C51C4-82B8-4226-8330-27E7947940FA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12-3-21 - 300
8-4-21-   1500
</t>
        </r>
      </text>
    </comment>
    <comment ref="Q20" authorId="6" shapeId="0" xr:uid="{D61D7A72-E668-4F17-BDEA-7B6F90AED617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5-5-21 1500 JUAN P BANCOLOMBIA
500 JHON OFICINA</t>
        </r>
      </text>
    </comment>
    <comment ref="R20" authorId="6" shapeId="0" xr:uid="{42CA34E1-069B-48AF-829F-BDD6D6D6469E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10-06-21</t>
        </r>
      </text>
    </comment>
    <comment ref="S20" authorId="6" shapeId="0" xr:uid="{D73178B8-A066-49B4-91B0-90EE690B2094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9-7-21</t>
        </r>
      </text>
    </comment>
    <comment ref="T20" authorId="6" shapeId="0" xr:uid="{31B26CA1-C587-4049-BE5B-B47C509A10A6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entrego 1500 a diana y cruce 500 arroyave</t>
        </r>
      </text>
    </comment>
    <comment ref="U20" authorId="6" shapeId="0" xr:uid="{430C0669-6364-4071-AEA7-D23EDDB3D2C4}">
      <text>
        <r>
          <rPr>
            <b/>
            <sz val="9"/>
            <color indexed="81"/>
            <rFont val="Tahoma"/>
            <family val="2"/>
          </rPr>
          <t xml:space="preserve">ENTREGO 1500 Y JJ 500
</t>
        </r>
      </text>
    </comment>
    <comment ref="V20" authorId="6" shapeId="0" xr:uid="{6C692F06-2AB2-4108-BAF9-1A6DCCAD2EF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mando con diana 5-oct</t>
        </r>
      </text>
    </comment>
    <comment ref="W20" authorId="113" shapeId="0" xr:uid="{C59A244D-4904-4ED0-9E6F-E2BFB94EA486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consigno 24-dic
</t>
        </r>
      </text>
    </comment>
    <comment ref="X20" authorId="6" shapeId="0" xr:uid="{D62E5519-E98F-4B14-A9A7-6851DF5BAAFE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CONSGINO JUAN CARLOS PALACIOS EN NOVI
</t>
        </r>
      </text>
    </comment>
    <comment ref="Y20" authorId="6" shapeId="0" xr:uid="{B0CBEA3A-1F27-4B51-85AB-34A162986EAE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7-12-21 CONSIGNO</t>
        </r>
      </text>
    </comment>
    <comment ref="AD20" authorId="114" shapeId="0" xr:uid="{7E8653F7-898D-4205-AC2D-BC1540A8B6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3-5-22</t>
      </text>
    </comment>
    <comment ref="AE20" authorId="115" shapeId="0" xr:uid="{18A9D49B-595D-4876-9A2B-FACE8D06EE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6-5-22</t>
      </text>
    </comment>
    <comment ref="AF20" authorId="116" shapeId="0" xr:uid="{A99FEB2E-87E9-4B90-8DB9-A0620C8771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15-7-22</t>
      </text>
    </comment>
    <comment ref="D21" authorId="6" shapeId="0" xr:uid="{00000000-0006-0000-0000-000018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14-2-20
</t>
        </r>
      </text>
    </comment>
    <comment ref="E21" authorId="6" shapeId="0" xr:uid="{00000000-0006-0000-0000-000019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14-2-20
</t>
        </r>
      </text>
    </comment>
    <comment ref="O21" authorId="6" shapeId="0" xr:uid="{4842EA46-7258-4982-B564-BEA49D894F42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1-1-21</t>
        </r>
      </text>
    </comment>
    <comment ref="CD21" authorId="6" shapeId="0" xr:uid="{00000000-0006-0000-0000-00001A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14-2-20
18-8-20 - se actualizo a 2200 la deuda</t>
        </r>
      </text>
    </comment>
    <comment ref="N22" authorId="6" shapeId="0" xr:uid="{00000000-0006-0000-0000-00001B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2-12-20
</t>
        </r>
      </text>
    </comment>
    <comment ref="O22" authorId="6" shapeId="0" xr:uid="{38BCFE33-118A-4145-A151-0696B943EF2F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21-ENERO-2021
</t>
        </r>
      </text>
    </comment>
    <comment ref="P22" authorId="6" shapeId="0" xr:uid="{EA87DA1D-2B79-4B10-BB80-237E12E9081F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26-1-21</t>
        </r>
      </text>
    </comment>
    <comment ref="R22" authorId="6" shapeId="0" xr:uid="{F75A1575-D4D5-46D4-AA0F-FF55C21FCF28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29-4-21</t>
        </r>
      </text>
    </comment>
    <comment ref="S22" authorId="6" shapeId="0" xr:uid="{3B7C108A-604A-4364-B9C8-6AFDC19C5906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10-5-21</t>
        </r>
      </text>
    </comment>
    <comment ref="T22" authorId="6" shapeId="0" xr:uid="{31A526AC-DAE1-4E27-8099-04523F61A682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19-5-21</t>
        </r>
      </text>
    </comment>
    <comment ref="V22" authorId="6" shapeId="0" xr:uid="{CF2F8EEA-1452-4414-BA8C-EAB2DBE4B6B7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31-7-21
</t>
        </r>
      </text>
    </comment>
    <comment ref="Z22" authorId="117" shapeId="0" xr:uid="{BA15A2B5-93BC-4B28-9CC6-EF360C760E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18-12-21
Respuesta:
    29-12-21 300</t>
      </text>
    </comment>
    <comment ref="AB22" authorId="118" shapeId="0" xr:uid="{1F1D8D6C-A77E-4F13-802B-9A9FD513FA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 entrego amparo - 15-2-22</t>
      </text>
    </comment>
    <comment ref="AC22" authorId="119" shapeId="0" xr:uid="{6A781B82-563A-4DF6-82DF-B75C91680A8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22-3-22, me entrego amparo</t>
      </text>
    </comment>
    <comment ref="AE22" authorId="120" shapeId="0" xr:uid="{7A5C3C7E-F6D4-4218-BBA3-28C28D607C0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3-mayo-22</t>
      </text>
    </comment>
    <comment ref="AG22" authorId="121" shapeId="0" xr:uid="{EAA09C20-5C8B-48EC-871F-7C0533B6E8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25-JUNIO-22</t>
      </text>
    </comment>
    <comment ref="AJ22" authorId="122" shapeId="0" xr:uid="{CCBE1EC5-39DB-4457-8C22-482F78C8A7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28-9-22</t>
      </text>
    </comment>
    <comment ref="AK22" authorId="123" shapeId="0" xr:uid="{3020BE7C-9A55-4A07-87F0-A97282AFCB7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31-oct-22</t>
      </text>
    </comment>
    <comment ref="AN22" authorId="124" shapeId="0" xr:uid="{A1EE26CE-986C-46D8-B939-1E461147289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5-FEB-23</t>
      </text>
    </comment>
    <comment ref="AO22" authorId="125" shapeId="0" xr:uid="{BEC46EBD-4FBE-46C9-B750-FCDEE6B4F0C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25-3-23</t>
      </text>
    </comment>
    <comment ref="AT22" authorId="126" shapeId="0" xr:uid="{3A23FB24-9902-4C1B-B99D-6D4B452F18B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10-8-2023</t>
      </text>
    </comment>
    <comment ref="CD22" authorId="6" shapeId="0" xr:uid="{00000000-0006-0000-0000-00001C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31-oct - 3millon
26-enero-21 - 5 millon</t>
        </r>
      </text>
    </comment>
    <comment ref="R23" authorId="6" shapeId="0" xr:uid="{FB44E1D5-F31D-402A-9C49-32716925BBD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70mil - 29-3-21
50mil - 10-4-21</t>
        </r>
      </text>
    </comment>
    <comment ref="S23" authorId="6" shapeId="0" xr:uid="{D35376B8-D174-4E1D-8DA6-E8B9D3563DDA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25-5-21</t>
        </r>
      </text>
    </comment>
    <comment ref="T23" authorId="6" shapeId="0" xr:uid="{0D8914A4-0659-4920-9EF6-042E35D31011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abono 20-junio
abono 26-junio</t>
        </r>
      </text>
    </comment>
    <comment ref="U23" authorId="6" shapeId="0" xr:uid="{B6726187-4FF9-41BE-8037-F062E52D7D6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3-junio  50.000</t>
        </r>
      </text>
    </comment>
    <comment ref="Y23" authorId="6" shapeId="0" xr:uid="{5D133D77-E51D-4733-8053-6ED51EE7B9E4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11-nov a nequi</t>
        </r>
      </text>
    </comment>
    <comment ref="Z23" authorId="127" shapeId="0" xr:uid="{1F3F6CBA-AD20-4F9B-90D7-36AB0E354C6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20-12-21</t>
      </text>
    </comment>
    <comment ref="AA23" authorId="128" shapeId="0" xr:uid="{1208D2B4-3A2F-4F43-AC02-ECA5A7F2F0F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14-1-22</t>
      </text>
    </comment>
    <comment ref="AB23" authorId="129" shapeId="0" xr:uid="{0326BA20-8462-4561-9188-2DEC34BBCD0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22-2-22</t>
      </text>
    </comment>
    <comment ref="AC23" authorId="130" shapeId="0" xr:uid="{A8380AC9-CE2C-4D21-BE0B-24A5DE4A494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14-3-22</t>
      </text>
    </comment>
    <comment ref="AF23" authorId="131" shapeId="0" xr:uid="{3FA28A70-A437-4944-B845-61C3AF953C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17-6-22</t>
      </text>
    </comment>
    <comment ref="AH23" authorId="132" shapeId="0" xr:uid="{A4ADF9B7-4481-40DE-924F-26728B9945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1-8-22</t>
      </text>
    </comment>
    <comment ref="AI23" authorId="133" shapeId="0" xr:uid="{80E796D1-6AD1-417A-B162-494DA8D8866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12-9-22 abono nequi</t>
      </text>
    </comment>
    <comment ref="AJ23" authorId="134" shapeId="0" xr:uid="{BDE80D85-91D6-454E-9B3D-7590D31B89E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18-10-22</t>
      </text>
    </comment>
    <comment ref="AK23" authorId="135" shapeId="0" xr:uid="{61D4A463-2513-4D75-882F-A165D6B0F57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16-11-22</t>
      </text>
    </comment>
    <comment ref="AL23" authorId="136" shapeId="0" xr:uid="{6B124C61-9872-4675-912D-8A525692B8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100 en efectivo dic-22</t>
      </text>
    </comment>
    <comment ref="AM23" authorId="137" shapeId="0" xr:uid="{08B7A9C0-AAE1-4229-B2F3-FB6F4EACC43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16-ENERO</t>
      </text>
    </comment>
    <comment ref="AN23" authorId="138" shapeId="0" xr:uid="{92D2F4BE-0DD3-413A-9C65-B5C505B581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13-FEB</t>
      </text>
    </comment>
    <comment ref="AP23" authorId="139" shapeId="0" xr:uid="{CD36C2A2-EB92-4694-B738-82818FA1DD4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15-abril-23</t>
      </text>
    </comment>
    <comment ref="AQ23" authorId="140" shapeId="0" xr:uid="{115AAEAE-0E41-4F21-98B9-088511E5449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16-mayo-23
</t>
      </text>
    </comment>
    <comment ref="AR23" authorId="141" shapeId="0" xr:uid="{6FCAA1CE-B21D-4B7D-B7E7-7E1B7ABB6C6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13-junio-2023</t>
      </text>
    </comment>
    <comment ref="AS23" authorId="142" shapeId="0" xr:uid="{5DF7C983-400D-4EBC-A8B7-6AB4E965DC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18-7-23</t>
      </text>
    </comment>
    <comment ref="M24" authorId="6" shapeId="0" xr:uid="{00000000-0006-0000-0000-000044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10-11-20</t>
        </r>
      </text>
    </comment>
    <comment ref="AP25" authorId="143" shapeId="0" xr:uid="{A0AA14FE-5180-4309-9EC9-22DB9934EA2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3-abril</t>
      </text>
    </comment>
    <comment ref="AD26" authorId="113" shapeId="0" xr:uid="{0FE8501D-D925-40A4-92CB-5787C802B09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13-4-22</t>
        </r>
      </text>
    </comment>
    <comment ref="AE26" authorId="144" shapeId="0" xr:uid="{B0C81B9A-EF9D-4C2C-B837-9F17383A524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5-5-22</t>
      </text>
    </comment>
    <comment ref="AF26" authorId="145" shapeId="0" xr:uid="{C938DEBF-A3B8-4B99-AA51-B20CBBC909B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10-6-22</t>
      </text>
    </comment>
    <comment ref="AG26" authorId="146" shapeId="0" xr:uid="{AAE95B6C-204A-4223-A87F-7DB294A8C3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10-7-22</t>
      </text>
    </comment>
    <comment ref="AP27" authorId="147" shapeId="0" xr:uid="{3B3CD2E9-BA79-4980-B4DA-697F6EB5CA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15-4-23</t>
      </text>
    </comment>
    <comment ref="AR27" authorId="148" shapeId="0" xr:uid="{20AC89C1-F865-4878-9BAA-A2BF0EE0625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15-6-23</t>
      </text>
    </comment>
    <comment ref="L28" authorId="6" shapeId="0" xr:uid="{00000000-0006-0000-0000-00001D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15-10-20
</t>
        </r>
      </text>
    </comment>
    <comment ref="N28" authorId="6" shapeId="0" xr:uid="{00000000-0006-0000-0000-00001E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1-12-20</t>
        </r>
      </text>
    </comment>
    <comment ref="O28" authorId="6" shapeId="0" xr:uid="{35D44333-315D-4388-9008-685C7F25D2FF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2-2-21</t>
        </r>
      </text>
    </comment>
    <comment ref="P28" authorId="6" shapeId="0" xr:uid="{2A2A582A-5BCA-4783-83DA-59D4B066FC95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19-2-21</t>
        </r>
      </text>
    </comment>
    <comment ref="R28" authorId="6" shapeId="0" xr:uid="{CE278894-2292-403F-A5B9-8FBDE9B7976B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9-5-21</t>
        </r>
      </text>
    </comment>
    <comment ref="S28" authorId="6" shapeId="0" xr:uid="{D2CC8CE2-BE31-4AC1-AFEB-BBDFCB3AD707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26-6-21</t>
        </r>
      </text>
    </comment>
    <comment ref="T28" authorId="6" shapeId="0" xr:uid="{290786A2-C52C-4A06-B654-481A461C5724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26-6-21</t>
        </r>
      </text>
    </comment>
    <comment ref="AD28" authorId="149" shapeId="0" xr:uid="{A44A0E4E-D843-4FEB-B591-7AF7F77B30C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30-4-22</t>
      </text>
    </comment>
    <comment ref="AI28" authorId="150" shapeId="0" xr:uid="{6BF0F684-B487-46E4-9828-D468DEFF68F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11-9-22 dio en la iglesia</t>
      </text>
    </comment>
    <comment ref="AL28" authorId="151" shapeId="0" xr:uid="{4ADA7C0A-0836-4BD7-AFBB-85326035219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20-12-22</t>
      </text>
    </comment>
    <comment ref="CD28" authorId="6" shapeId="0" xr:uid="{00000000-0006-0000-0000-00001F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2-9-20
</t>
        </r>
      </text>
    </comment>
    <comment ref="N29" authorId="6" shapeId="0" xr:uid="{9CA1E434-3585-41E6-A15B-962471B7C676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24-12-20
</t>
        </r>
      </text>
    </comment>
    <comment ref="CD29" authorId="6" shapeId="0" xr:uid="{EB67DD7F-DF5D-466F-B0F5-6B34BACB3686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20-7-20
</t>
        </r>
      </text>
    </comment>
    <comment ref="M30" authorId="6" shapeId="0" xr:uid="{00000000-0006-0000-0000-000020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15-11 - peluquiada</t>
        </r>
      </text>
    </comment>
    <comment ref="N30" authorId="6" shapeId="0" xr:uid="{0A78A306-FA56-4944-9729-9C13BBE0B23A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ABONO EINER
</t>
        </r>
      </text>
    </comment>
    <comment ref="O30" authorId="6" shapeId="0" xr:uid="{A5C8EFBD-D249-464D-8379-0C5C4055387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20-1-21
</t>
        </r>
      </text>
    </comment>
    <comment ref="P30" authorId="6" shapeId="0" xr:uid="{CE086B1B-9F5D-4784-9004-1965A273C194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17-2-21</t>
        </r>
      </text>
    </comment>
    <comment ref="R30" authorId="6" shapeId="0" xr:uid="{D55E6600-CD97-46F0-8544-9F0CED360B5F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peluquiadas 8-5-21</t>
        </r>
      </text>
    </comment>
    <comment ref="AS30" authorId="152" shapeId="0" xr:uid="{02862139-DF6A-4B86-8ED3-1502393FB53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2-agosto-23</t>
      </text>
    </comment>
    <comment ref="CD30" authorId="6" shapeId="0" xr:uid="{00000000-0006-0000-0000-000021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10-nov-20 500
30-12-20  - 1 millon</t>
        </r>
      </text>
    </comment>
    <comment ref="D31" authorId="6" shapeId="0" xr:uid="{00000000-0006-0000-0000-000026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24-2-20
pago 200 de arl enero
</t>
        </r>
      </text>
    </comment>
    <comment ref="F31" authorId="6" shapeId="0" xr:uid="{00000000-0006-0000-0000-000027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sobro de consignacion
</t>
        </r>
      </text>
    </comment>
    <comment ref="K31" authorId="6" shapeId="0" xr:uid="{00000000-0006-0000-0000-000028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19-10-20 dejo de prestarle 1500 para mezcla
</t>
        </r>
      </text>
    </comment>
    <comment ref="L31" authorId="6" shapeId="0" xr:uid="{00000000-0006-0000-0000-000029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300 mas 100
27-10-20</t>
        </r>
      </text>
    </comment>
    <comment ref="CD31" authorId="6" shapeId="0" xr:uid="{00000000-0006-0000-0000-00002A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600 - 25 ABRIL
1000 - 10 ABRIL
200 - 1 ABRIL
50 - MARZO
100 - 10-MAYO</t>
        </r>
      </text>
    </comment>
    <comment ref="D32" authorId="6" shapeId="0" xr:uid="{00000000-0006-0000-0000-00002B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28-2-20
</t>
        </r>
      </text>
    </comment>
    <comment ref="F32" authorId="6" shapeId="0" xr:uid="{00000000-0006-0000-0000-00002C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GIRO 23-6-20
</t>
        </r>
      </text>
    </comment>
    <comment ref="G32" authorId="6" shapeId="0" xr:uid="{00000000-0006-0000-0000-00002D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GIRO 23-6-20</t>
        </r>
      </text>
    </comment>
    <comment ref="H32" authorId="6" shapeId="0" xr:uid="{00000000-0006-0000-0000-00002E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GIRO 01-08-20
</t>
        </r>
      </text>
    </comment>
    <comment ref="I32" authorId="6" shapeId="0" xr:uid="{00000000-0006-0000-0000-00002F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GIRO 01-08-20
</t>
        </r>
      </text>
    </comment>
    <comment ref="J32" authorId="6" shapeId="0" xr:uid="{00000000-0006-0000-0000-000030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15-8-20
</t>
        </r>
      </text>
    </comment>
    <comment ref="K32" authorId="6" shapeId="0" xr:uid="{00000000-0006-0000-0000-000031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9-9-20</t>
        </r>
      </text>
    </comment>
    <comment ref="T32" authorId="153" shapeId="0" xr:uid="{EE910B18-44BF-4091-AC59-ACBD9BCD96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29-6-21 trasferencia</t>
      </text>
    </comment>
    <comment ref="Z32" authorId="113" shapeId="0" xr:uid="{07E9C171-F16C-4E4B-A79C-B3F4EB21E22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entrego en fiesta fin de año 2021
</t>
        </r>
      </text>
    </comment>
    <comment ref="AH32" authorId="154" shapeId="0" xr:uid="{3D05654A-275A-47CE-8228-9D4E6B88D74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Entrego a brayan en agosto</t>
      </text>
    </comment>
    <comment ref="AI32" authorId="155" shapeId="0" xr:uid="{73F6DD2A-5504-4FD0-BFBE-F9FD785DF0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Entrego a diana 9-sept-22</t>
      </text>
    </comment>
    <comment ref="CD32" authorId="6" shapeId="0" xr:uid="{00000000-0006-0000-0000-000032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1-feb-20 - se le presto
letra diana
</t>
        </r>
      </text>
    </comment>
    <comment ref="K33" authorId="6" shapeId="0" xr:uid="{00000000-0006-0000-0000-000033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9-9-20
</t>
        </r>
      </text>
    </comment>
    <comment ref="CD33" authorId="6" shapeId="0" xr:uid="{00000000-0006-0000-0000-000034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24-3-20</t>
        </r>
      </text>
    </comment>
    <comment ref="D34" authorId="6" shapeId="0" xr:uid="{00000000-0006-0000-0000-000022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pago por el giro</t>
        </r>
      </text>
    </comment>
    <comment ref="CD34" authorId="6" shapeId="0" xr:uid="{00000000-0006-0000-0000-000023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500 -  19-12-2020
60 - </t>
        </r>
      </text>
    </comment>
    <comment ref="C35" authorId="6" shapeId="0" xr:uid="{00000000-0006-0000-0000-000024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13-ENERO-2020
</t>
        </r>
      </text>
    </comment>
    <comment ref="AI35" authorId="156" shapeId="0" xr:uid="{B7D329D2-7E19-49C4-8ACD-C70DFF14993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ABONO 400 EL 3-SEP-22</t>
      </text>
    </comment>
    <comment ref="AK35" authorId="157" shapeId="0" xr:uid="{2AEB1CF4-6627-4086-9F7A-8B0B24EAC0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8-NOV</t>
      </text>
    </comment>
    <comment ref="AL35" authorId="158" shapeId="0" xr:uid="{4839C28C-CD7D-48DA-A5F4-2D4AC8C29A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23-12-22</t>
      </text>
    </comment>
    <comment ref="CD35" authorId="6" shapeId="0" xr:uid="{00000000-0006-0000-0000-000025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1000 - 9-enero-2020</t>
        </r>
      </text>
    </comment>
    <comment ref="CD36" authorId="6" shapeId="0" xr:uid="{00000000-0006-0000-0000-00004C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3-3-20 - 1000000
24-3-20 - 1000000</t>
        </r>
      </text>
    </comment>
    <comment ref="D38" authorId="6" shapeId="0" xr:uid="{00000000-0006-0000-0000-000035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1-3-20</t>
        </r>
      </text>
    </comment>
    <comment ref="E38" authorId="6" shapeId="0" xr:uid="{00000000-0006-0000-0000-000036000000}">
      <text>
        <r>
          <rPr>
            <b/>
            <sz val="9"/>
            <color indexed="81"/>
            <rFont val="Tahoma"/>
            <family val="2"/>
          </rPr>
          <t>Brayan Garcia Vidal:
5-5-20</t>
        </r>
      </text>
    </comment>
    <comment ref="F38" authorId="6" shapeId="0" xr:uid="{00000000-0006-0000-0000-000037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5-5-20</t>
        </r>
      </text>
    </comment>
    <comment ref="CD38" authorId="6" shapeId="0" xr:uid="{00000000-0006-0000-0000-000038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25 enero</t>
        </r>
      </text>
    </comment>
    <comment ref="AB39" authorId="159" shapeId="0" xr:uid="{091F9958-9088-4EC6-A917-026F121EB08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28-2-22</t>
      </text>
    </comment>
    <comment ref="CD39" authorId="6" shapeId="0" xr:uid="{00000000-0006-0000-0000-000039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5-2-20
</t>
        </r>
      </text>
    </comment>
    <comment ref="P41" authorId="6" shapeId="0" xr:uid="{E8455E4A-D87E-4114-BF0F-AA07EC6ED386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3-2-21
</t>
        </r>
      </text>
    </comment>
    <comment ref="E42" authorId="6" shapeId="0" xr:uid="{00000000-0006-0000-0000-00003A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1-3-20</t>
        </r>
      </text>
    </comment>
    <comment ref="F42" authorId="6" shapeId="0" xr:uid="{00000000-0006-0000-0000-00003B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15-5-20 abono 100 divido en intereses</t>
        </r>
      </text>
    </comment>
    <comment ref="G42" authorId="6" shapeId="0" xr:uid="{00000000-0006-0000-0000-00003C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15-5-20 abono 100 divido en intereses</t>
        </r>
      </text>
    </comment>
    <comment ref="H42" authorId="6" shapeId="0" xr:uid="{00000000-0006-0000-0000-00003D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15-5-20 abono 100 divido en intereses
7-6-20 - ABONO 100 A LA DEUDA
</t>
        </r>
      </text>
    </comment>
    <comment ref="J42" authorId="6" shapeId="0" xr:uid="{00000000-0006-0000-0000-00003E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29-8-20
</t>
        </r>
      </text>
    </comment>
    <comment ref="K42" authorId="6" shapeId="0" xr:uid="{00000000-0006-0000-0000-00003F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1-10-20</t>
        </r>
      </text>
    </comment>
    <comment ref="L42" authorId="6" shapeId="0" xr:uid="{00000000-0006-0000-0000-000040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24-10-20</t>
        </r>
      </text>
    </comment>
    <comment ref="M42" authorId="6" shapeId="0" xr:uid="{00000000-0006-0000-0000-000041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17-11-20</t>
        </r>
      </text>
    </comment>
    <comment ref="N42" authorId="6" shapeId="0" xr:uid="{00000000-0006-0000-0000-000042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19-12-20
</t>
        </r>
      </text>
    </comment>
    <comment ref="O42" authorId="6" shapeId="0" xr:uid="{D5EEAC01-B9E2-4A3B-A5BB-3B1B930D1B72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23-1-21</t>
        </r>
      </text>
    </comment>
    <comment ref="P42" authorId="6" shapeId="0" xr:uid="{50D5C78F-6538-4F47-8C2B-D4BF775D2D5D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20-2-21
</t>
        </r>
      </text>
    </comment>
    <comment ref="Q42" authorId="6" shapeId="0" xr:uid="{16472D03-D834-4125-A1F2-9B443BAF37D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26-3-21</t>
        </r>
      </text>
    </comment>
    <comment ref="R42" authorId="6" shapeId="0" xr:uid="{7BD2566E-1B68-4545-8FD7-06D4D4AA3E21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21-4-21
</t>
        </r>
      </text>
    </comment>
    <comment ref="S42" authorId="6" shapeId="0" xr:uid="{AF1ED391-B40C-4125-9162-B301A868D4F6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18-5-21</t>
        </r>
      </text>
    </comment>
    <comment ref="CD42" authorId="6" shapeId="0" xr:uid="{00000000-0006-0000-0000-000043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1-3-20 se le presto 1MILLON
</t>
        </r>
      </text>
    </comment>
    <comment ref="H43" authorId="6" shapeId="0" xr:uid="{00000000-0006-0000-0000-000045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CON EL ABONO DE 1MILLON
</t>
        </r>
      </text>
    </comment>
    <comment ref="I43" authorId="6" shapeId="0" xr:uid="{00000000-0006-0000-0000-000046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INTERESES JULIO 175MIL
ABONO A CAPITAL
22-julio- 500mil
</t>
        </r>
      </text>
    </comment>
    <comment ref="J43" authorId="6" shapeId="0" xr:uid="{00000000-0006-0000-0000-000047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24-8-20</t>
        </r>
      </text>
    </comment>
    <comment ref="K43" authorId="6" shapeId="0" xr:uid="{00000000-0006-0000-0000-000048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15-sept-20</t>
        </r>
      </text>
    </comment>
    <comment ref="L43" authorId="6" shapeId="0" xr:uid="{00000000-0006-0000-0000-000049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21-10-20</t>
        </r>
      </text>
    </comment>
    <comment ref="M43" authorId="6" shapeId="0" xr:uid="{00000000-0006-0000-0000-00004A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25-11-20</t>
        </r>
      </text>
    </comment>
    <comment ref="N43" authorId="6" shapeId="0" xr:uid="{FA7A6779-C8E0-4D47-A644-6025F211698C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23-12-20
</t>
        </r>
      </text>
    </comment>
    <comment ref="O43" authorId="6" shapeId="0" xr:uid="{91381E63-228C-4D97-BDD0-10CBD6BE819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19-1-21</t>
        </r>
      </text>
    </comment>
    <comment ref="P43" authorId="6" shapeId="0" xr:uid="{45D9F8CC-3485-47AB-9A5F-3006F9FFB372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25-2-21</t>
        </r>
      </text>
    </comment>
    <comment ref="Q43" authorId="6" shapeId="0" xr:uid="{45322C77-0B34-47B1-9AEB-72940E4125E6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26-3-21</t>
        </r>
      </text>
    </comment>
    <comment ref="CD43" authorId="6" shapeId="0" xr:uid="{00000000-0006-0000-0000-00004B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2-6-20
</t>
        </r>
      </text>
    </comment>
    <comment ref="J46" authorId="6" shapeId="0" xr:uid="{00000000-0006-0000-0000-00004D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15-8-20
31-8-20
</t>
        </r>
      </text>
    </comment>
    <comment ref="K46" authorId="6" shapeId="0" xr:uid="{00000000-0006-0000-0000-00004E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15-9-20
30-9-20
</t>
        </r>
      </text>
    </comment>
    <comment ref="L46" authorId="6" shapeId="0" xr:uid="{00000000-0006-0000-0000-00004F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15-10-20
31-10-20 - 58000</t>
        </r>
      </text>
    </comment>
    <comment ref="M46" authorId="6" shapeId="0" xr:uid="{00000000-0006-0000-0000-000050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14-11-20 58,000
30-11-20 58.000</t>
        </r>
      </text>
    </comment>
    <comment ref="N46" authorId="6" shapeId="0" xr:uid="{00000000-0006-0000-0000-000051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15-dic
18-12-20   84MIL
</t>
        </r>
      </text>
    </comment>
    <comment ref="CD46" authorId="6" shapeId="0" xr:uid="{00000000-0006-0000-0000-000052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3-8-20
</t>
        </r>
      </text>
    </comment>
    <comment ref="O47" authorId="6" shapeId="0" xr:uid="{CBEEEDF4-1523-4308-801F-3BCD2ED529FF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15-ENERO-21
31-1-21
</t>
        </r>
      </text>
    </comment>
    <comment ref="P47" authorId="6" shapeId="0" xr:uid="{AF4DB70B-F2A6-469F-81D1-034DD08EBC0A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50,000 - 15-2-21</t>
        </r>
      </text>
    </comment>
    <comment ref="Q47" authorId="6" shapeId="0" xr:uid="{0EF48BCE-1156-4FE2-B5A6-4A9B9E535748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31-3-21
</t>
        </r>
      </text>
    </comment>
    <comment ref="CD47" authorId="6" shapeId="0" xr:uid="{EA7B7FB5-9463-4A14-A3B9-8764A80795B7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3-8-20
</t>
        </r>
      </text>
    </comment>
    <comment ref="E48" authorId="6" shapeId="0" xr:uid="{00000000-0006-0000-0000-000053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14-2-20
</t>
        </r>
      </text>
    </comment>
    <comment ref="D49" authorId="6" shapeId="0" xr:uid="{00000000-0006-0000-0000-000054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17-2-20
3-3-20
</t>
        </r>
      </text>
    </comment>
    <comment ref="E49" authorId="6" shapeId="0" xr:uid="{00000000-0006-0000-0000-000055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15-3-20
31-3-20</t>
        </r>
      </text>
    </comment>
    <comment ref="F49" authorId="6" shapeId="0" xr:uid="{00000000-0006-0000-0000-000056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15-4-20 - 8000
30-4-20 - 58000
</t>
        </r>
      </text>
    </comment>
    <comment ref="G49" authorId="6" shapeId="0" xr:uid="{00000000-0006-0000-0000-000057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15-5-20
30-5-20 - 55
</t>
        </r>
      </text>
    </comment>
    <comment ref="H49" authorId="6" shapeId="0" xr:uid="{00000000-0006-0000-0000-000058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50MIL - 15-JUNIO-20
50MIL - 30-JUNIO-20</t>
        </r>
      </text>
    </comment>
    <comment ref="I49" authorId="6" shapeId="0" xr:uid="{00000000-0006-0000-0000-000059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15-7-20</t>
        </r>
      </text>
    </comment>
    <comment ref="CD49" authorId="6" shapeId="0" xr:uid="{00000000-0006-0000-0000-00005A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4-2-20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Brayan Garcia Vidal</author>
    <author>tc={ADAF406C-C52B-4258-83DF-233F130BA65C}</author>
  </authors>
  <commentList>
    <comment ref="F27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amparo
</t>
        </r>
      </text>
    </comment>
    <comment ref="E37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COMPRA DE DRON
ARROYAVE
</t>
        </r>
      </text>
    </comment>
    <comment ref="F1931" authorId="1" shapeId="0" xr:uid="{ADAF406C-C52B-4258-83DF-233F130BA65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ing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Brayan Garcia Vidal</author>
  </authors>
  <commentList>
    <comment ref="E18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23.000.000
</t>
        </r>
      </text>
    </comment>
    <comment ref="E21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20.000.000
3.000.000 PAGO OSCAR
3.000.000 DI DE ARL
</t>
        </r>
      </text>
    </comment>
    <comment ref="E220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150 se le dio a mi madre
</t>
        </r>
      </text>
    </comment>
    <comment ref="E239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20.000.000
3.000.000 PAGO OSCAR
3.000.000 DI DE ARL
</t>
        </r>
      </text>
    </comment>
    <comment ref="E267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20.000.000
3.000.000 PAGO OSCAR
3.000.000 DI DE ARL
10.000.000 PRESTAMO
4.500.000 EPS AGOSTO
</t>
        </r>
      </text>
    </comment>
    <comment ref="E294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20.000.000
3.000.000 PAGO OSCAR
3.000.000 DI DE ARL
10.000.000 PRESTAMO
15.000 raspa
9.000 call center
</t>
        </r>
      </text>
    </comment>
    <comment ref="E312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20.000.000
3.000.000 PAGO OSCAR
3.000.000 DI DE ARL
10.000.000 PRESTAMO
15.000 raspa
9.000 call center
</t>
        </r>
      </text>
    </comment>
    <comment ref="E34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20.000.000
3.000.000 PAGO OSCAR
3.000.000 DI DE ARL
10.000.000 PRESTAMO
15.000 raspa
9.000 call center
</t>
        </r>
      </text>
    </comment>
    <comment ref="E367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20.000.000
3.000.000 PAGO OSCAR
3.000.000 DI DE ARL
10.000.000 PRESTAMO
15.000 raspa
9.000 call center
</t>
        </r>
      </text>
    </comment>
    <comment ref="E393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20.000.000
3.000.000 PAGO OSCAR
3.000.000 DI DE ARL
10.000.000 PRESTAMO
15.000 raspa
9.000 call center
</t>
        </r>
      </text>
    </comment>
    <comment ref="E418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20.000.000
3.000.000 PAGO OSCAR
3.000.000 DI DE ARL
10.000.000 PRESTAMO
15.000 raspa
9.000 call center
</t>
        </r>
      </text>
    </comment>
    <comment ref="E439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20.000.000
3.000.000 PAGO OSCAR
3.000.000 DI DE ARL
10.000.000 PRESTAMO
15.000 raspa
9.000 call center
</t>
        </r>
      </text>
    </comment>
    <comment ref="E476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20.000.000
3.000.000 PAGO OSCAR
3.000.000 DI DE ARL
10.000.000 PRESTAMO
15.000 raspa
9.000 call center
2500 Llamadas abril 2020
963 seguridad sociales de marzo
</t>
        </r>
      </text>
    </comment>
    <comment ref="E503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20.000.000
3.000.000 PAGO OSCAR
3.000.000 DI DE ARL
10.000.000 PRESTAMO
15.000 raspa
9.000 call center
2500 Llamadas abril 2020
963 seguridad sociales de marzo
</t>
        </r>
      </text>
    </comment>
    <comment ref="E535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20.000.000
3.000.000 PAGO OSCAR
3.000.000 DI DE ARL
10.000.000 PRESTAMO
15.000 raspa
9.000 call center
2500 Llamadas abril 2020
963 seguridad sociales de marzo
</t>
        </r>
      </text>
    </comment>
    <comment ref="E560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20.000.000
3.000.000 PAGO OSCAR
3.000.000 DI DE ARL
10.000.000 PRESTAMO
15.000 raspa
9.000 call center
2500 Llamadas abril 2020
963 seguridad sociales de marzo
</t>
        </r>
      </text>
    </comment>
    <comment ref="E587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20.000.000
3.000.000 PAGO OSCAR
3.000.000 DI DE ARL
10.000.000 PRESTAMO
15.000 raspa
9.000 call center
2500 Llamadas abril 2020
963 seguridad sociales de marzo
</t>
        </r>
      </text>
    </comment>
    <comment ref="F596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ERAN 2MILLONES
ABONO 500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Brayan Garcia Vidal</author>
    <author>tc={99138B06-E7C3-4126-B4DE-22E08F2ADDDF}</author>
    <author>tc={686CC861-C0C9-47A9-ACCC-73FE4C306403}</author>
    <author>tc={BFDDD4B9-C2F6-40C8-9909-83B92E9F8E6D}</author>
  </authors>
  <commentList>
    <comment ref="S7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se le presto 200 el 29/oct</t>
        </r>
      </text>
    </comment>
    <comment ref="S8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Se le presto 1 millon</t>
        </r>
      </text>
    </comment>
    <comment ref="S12" authorId="0" shapeId="0" xr:uid="{8A614BE2-7D7F-46DE-A24B-6671406B270E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8-4-21 se le presta 1300
</t>
        </r>
      </text>
    </comment>
    <comment ref="S17" authorId="0" shapeId="0" xr:uid="{C8C82B99-CABD-4377-BB11-093FDE0B0E04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1-9-21 SE LE PRESTA 300MIL
22-9-21 se le presta 1200.000</t>
        </r>
      </text>
    </comment>
    <comment ref="G45" authorId="0" shapeId="0" xr:uid="{AE357153-BCE1-4A06-A8E6-FE039DB2EE1A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26-1-21
</t>
        </r>
      </text>
    </comment>
    <comment ref="G47" authorId="0" shapeId="0" xr:uid="{9732558C-6B15-4129-A545-D227DD445290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29-4-21
</t>
        </r>
      </text>
    </comment>
    <comment ref="G48" authorId="0" shapeId="0" xr:uid="{FDEA5375-D9D7-4AF4-9249-AD45481DC3B9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10-5-21</t>
        </r>
      </text>
    </comment>
    <comment ref="G49" authorId="0" shapeId="0" xr:uid="{97AD4786-AF23-4C8F-BA29-F3996A4919F9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19-5-21
</t>
        </r>
      </text>
    </comment>
    <comment ref="G51" authorId="0" shapeId="0" xr:uid="{BC0B5107-4C1C-49F8-828F-90E2CDF9FF6A}">
      <text>
        <r>
          <rPr>
            <b/>
            <sz val="9"/>
            <color indexed="81"/>
            <rFont val="Tahoma"/>
            <family val="2"/>
          </rPr>
          <t>Brayan Garcia Vidal:</t>
        </r>
        <r>
          <rPr>
            <sz val="9"/>
            <color indexed="81"/>
            <rFont val="Tahoma"/>
            <family val="2"/>
          </rPr>
          <t xml:space="preserve">
31-7-21</t>
        </r>
      </text>
    </comment>
    <comment ref="G53" authorId="1" shapeId="0" xr:uid="{99138B06-E7C3-4126-B4DE-22E08F2ADDD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24-sept-2021</t>
      </text>
    </comment>
    <comment ref="C54" authorId="2" shapeId="0" xr:uid="{686CC861-C0C9-47A9-ACCC-73FE4C30640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presto 2millon mas</t>
      </text>
    </comment>
    <comment ref="G54" authorId="3" shapeId="0" xr:uid="{BFDDD4B9-C2F6-40C8-9909-83B92E9F8E6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19-11-21</t>
      </text>
    </comment>
  </commentList>
</comments>
</file>

<file path=xl/sharedStrings.xml><?xml version="1.0" encoding="utf-8"?>
<sst xmlns="http://schemas.openxmlformats.org/spreadsheetml/2006/main" count="14769" uniqueCount="5244">
  <si>
    <t>CONCEPTO</t>
  </si>
  <si>
    <t>VALOR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</si>
  <si>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</si>
  <si>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</si>
  <si>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</si>
  <si>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</si>
  <si>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</si>
  <si>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</si>
  <si>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</si>
  <si>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</si>
  <si>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</si>
  <si>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</si>
  <si>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</si>
  <si>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</si>
  <si>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DEUDA</t>
  </si>
  <si>
    <t>%</t>
  </si>
  <si>
    <t>GASTOS</t>
  </si>
  <si>
    <t>SEGURIDAD SOCIAL</t>
  </si>
  <si>
    <t>Arriendo</t>
  </si>
  <si>
    <t>Megamudanzas CAMIONES</t>
  </si>
  <si>
    <t>Mercado</t>
  </si>
  <si>
    <t>Mega-Transportes JUAMVI</t>
  </si>
  <si>
    <t>Halcon</t>
  </si>
  <si>
    <t>Llamadas</t>
  </si>
  <si>
    <t>Diezmo</t>
  </si>
  <si>
    <t>Internet</t>
  </si>
  <si>
    <t>Gasolina</t>
  </si>
  <si>
    <t>Mave integral -MARIANA</t>
  </si>
  <si>
    <t>Parqueadero</t>
  </si>
  <si>
    <t>Mave integral - ANDERSON</t>
  </si>
  <si>
    <t>Cadena</t>
  </si>
  <si>
    <t>pago el 5-marzo-20</t>
  </si>
  <si>
    <t>MURO INTEGRAL</t>
  </si>
  <si>
    <t>Geral</t>
  </si>
  <si>
    <t>INTERESES PRESTAMOS</t>
  </si>
  <si>
    <t>Congreso</t>
  </si>
  <si>
    <t>transporte niños</t>
  </si>
  <si>
    <t>Concejo rolo</t>
  </si>
  <si>
    <t>Comida fuera</t>
  </si>
  <si>
    <t>Servidor Web</t>
  </si>
  <si>
    <t>Programa Org</t>
  </si>
  <si>
    <t>JOYERIA 18K</t>
  </si>
  <si>
    <t>CONTRATO CONCEJO</t>
  </si>
  <si>
    <t>Intereses Lucy 2</t>
  </si>
  <si>
    <t>HECTOR MEDINA AVIOMAR</t>
  </si>
  <si>
    <t>TOÑO- MIGUEL ANTONIO</t>
  </si>
  <si>
    <t>Veronica Peña - Arroyave</t>
  </si>
  <si>
    <t>Prestamos Halcon</t>
  </si>
  <si>
    <t>Jessica ramirez - diana</t>
  </si>
  <si>
    <t>Fabionelson Ocoro</t>
  </si>
  <si>
    <t>Intereses Humberto Pineda</t>
  </si>
  <si>
    <t>JHON JAIRO MUÑOZ</t>
  </si>
  <si>
    <t>Intereses Einer Mejia</t>
  </si>
  <si>
    <t>Intereses Edgar Garcia</t>
  </si>
  <si>
    <t>intereses estefania bareiro</t>
  </si>
  <si>
    <t>Intereses Viviana Gil</t>
  </si>
  <si>
    <t>Intereses Martin Chavez</t>
  </si>
  <si>
    <t>Diana Molina</t>
  </si>
  <si>
    <t>manzano</t>
  </si>
  <si>
    <t>intereses johana barona 1</t>
  </si>
  <si>
    <t>intereses johana barona 2</t>
  </si>
  <si>
    <t>efecty</t>
  </si>
  <si>
    <t>BJSVISSION carlos herm</t>
  </si>
  <si>
    <t>x</t>
  </si>
  <si>
    <t>tia de diana - LORENA</t>
  </si>
  <si>
    <t>Intereses Arroyave</t>
  </si>
  <si>
    <t>maria torres</t>
  </si>
  <si>
    <t>leidy casierra</t>
  </si>
  <si>
    <t>Intereses Lucy 1</t>
  </si>
  <si>
    <t>intereses leidy casierra</t>
  </si>
  <si>
    <t>OTROS ENTRADAS</t>
  </si>
  <si>
    <t>TOTAL ENTRADAS</t>
  </si>
  <si>
    <t>PRESTAMOS</t>
  </si>
  <si>
    <t>inversion</t>
  </si>
  <si>
    <t>INVERSION</t>
  </si>
  <si>
    <t>Plataforma.1564</t>
  </si>
  <si>
    <t>4FE75-2SEVH-GUNPW-TVYRM-7TQ8Z</t>
  </si>
  <si>
    <t>No.</t>
  </si>
  <si>
    <t>FECHA</t>
  </si>
  <si>
    <t>ENTRADAS</t>
  </si>
  <si>
    <t>SALIDA</t>
  </si>
  <si>
    <t>TIPO</t>
  </si>
  <si>
    <t>DESCRIPCION</t>
  </si>
  <si>
    <t>GASOLINA</t>
  </si>
  <si>
    <t>tanqueo</t>
  </si>
  <si>
    <t>OTROS</t>
  </si>
  <si>
    <t>Compra de portatil Dell</t>
  </si>
  <si>
    <t>giro c</t>
  </si>
  <si>
    <t>COMIDA</t>
  </si>
  <si>
    <t>desayuno</t>
  </si>
  <si>
    <t>peluquiada</t>
  </si>
  <si>
    <t>almuerzo</t>
  </si>
  <si>
    <t>PRESTAMO</t>
  </si>
  <si>
    <t>giro a viviana gil - prestamos</t>
  </si>
  <si>
    <t>TRABAJOS</t>
  </si>
  <si>
    <t>mandar hacer libros iglesia</t>
  </si>
  <si>
    <t>PARQUEADERO</t>
  </si>
  <si>
    <t>parqueadero éxito</t>
  </si>
  <si>
    <t>presa de pollo cena</t>
  </si>
  <si>
    <t>SALIDAS</t>
  </si>
  <si>
    <t>cumpleaños de Abraham Cortes</t>
  </si>
  <si>
    <t xml:space="preserve">salida cajita feliz </t>
  </si>
  <si>
    <t>cena</t>
  </si>
  <si>
    <t>boonyurg y regeneris</t>
  </si>
  <si>
    <t>pan cena</t>
  </si>
  <si>
    <t>compra cosas para la casa - comida</t>
  </si>
  <si>
    <t>pago de medicamento</t>
  </si>
  <si>
    <t>consignar cuenta de mi madre</t>
  </si>
  <si>
    <t>almuerzos con amparo</t>
  </si>
  <si>
    <t>ENTRADA</t>
  </si>
  <si>
    <t>ENVIO DE SMS</t>
  </si>
  <si>
    <t>IMPRESIÓN DE TIQUETES</t>
  </si>
  <si>
    <t>camara y comercio center cit</t>
  </si>
  <si>
    <t>copias</t>
  </si>
  <si>
    <t xml:space="preserve">recarga sms </t>
  </si>
  <si>
    <t>Compra de perritos altoque</t>
  </si>
  <si>
    <t>almuerzo oficina</t>
  </si>
  <si>
    <t>compra zapatos niños</t>
  </si>
  <si>
    <t>compra de helado</t>
  </si>
  <si>
    <t xml:space="preserve">gasolina </t>
  </si>
  <si>
    <t>helados</t>
  </si>
  <si>
    <t>detalle cumple martha cabal</t>
  </si>
  <si>
    <t>almuerzo comida</t>
  </si>
  <si>
    <t>compra de mercado D1</t>
  </si>
  <si>
    <t>almuerzo con madre - casuela</t>
  </si>
  <si>
    <t>salida con diana a comer sushi</t>
  </si>
  <si>
    <t>gastos</t>
  </si>
  <si>
    <t>yui comida</t>
  </si>
  <si>
    <t>almuerzos y parqueaderos trabajo</t>
  </si>
  <si>
    <t>entrada compra de antiespia</t>
  </si>
  <si>
    <t>KIT CARRETERA</t>
  </si>
  <si>
    <t>salida con diana a comer MAICITOS</t>
  </si>
  <si>
    <t>TORNEO FUTBOL</t>
  </si>
  <si>
    <t>PRESTAMO A MANZANO PARA CONTRATO LIBRO</t>
  </si>
  <si>
    <t>Almuerzo con mi padre</t>
  </si>
  <si>
    <t>varilla</t>
  </si>
  <si>
    <t>PRESTAR A EDGAR</t>
  </si>
  <si>
    <t>MERCADO D1</t>
  </si>
  <si>
    <t>PAGO DE FACTURA DIANA MOLINA</t>
  </si>
  <si>
    <t xml:space="preserve">FUTBOL </t>
  </si>
  <si>
    <t>FACTURAS</t>
  </si>
  <si>
    <t>pago tarjeta credito bbva</t>
  </si>
  <si>
    <t>pago tarjeta credito banco occidente</t>
  </si>
  <si>
    <t>salida ver partido con diana</t>
  </si>
  <si>
    <t>prestamo maria torres</t>
  </si>
  <si>
    <t>ofrenda</t>
  </si>
  <si>
    <t>pizza</t>
  </si>
  <si>
    <t>cumpleaños de estefania</t>
  </si>
  <si>
    <t>parqueaderos y otros</t>
  </si>
  <si>
    <t>parqueadero</t>
  </si>
  <si>
    <t>prestamo transporte k</t>
  </si>
  <si>
    <t>panal huevos</t>
  </si>
  <si>
    <t>arreglo puerta sala</t>
  </si>
  <si>
    <t>almuerzo alameda</t>
  </si>
  <si>
    <t>taxi amparo</t>
  </si>
  <si>
    <t>saldo pago a don chucho</t>
  </si>
  <si>
    <t>factura internet casa</t>
  </si>
  <si>
    <t>prestamo a manzano</t>
  </si>
  <si>
    <t>peluquiada brayan y santiago</t>
  </si>
  <si>
    <t>prestamo amparo</t>
  </si>
  <si>
    <t>salida a comer maicitos</t>
  </si>
  <si>
    <t>alcazecer - perro - agua</t>
  </si>
  <si>
    <t>gasosa limon</t>
  </si>
  <si>
    <t>ABONO</t>
  </si>
  <si>
    <t>pago leidy</t>
  </si>
  <si>
    <t>quincena yuli</t>
  </si>
  <si>
    <t>gaseosa y pan</t>
  </si>
  <si>
    <t>desayuno niños</t>
  </si>
  <si>
    <t>desayuno brayan y amparo</t>
  </si>
  <si>
    <t>cadenas brayan</t>
  </si>
  <si>
    <t>pollo asado</t>
  </si>
  <si>
    <t>huevo - maduro - limones</t>
  </si>
  <si>
    <t>refrigerio</t>
  </si>
  <si>
    <t>compras papeleria y cosas niños</t>
  </si>
  <si>
    <t>recarga arroyave</t>
  </si>
  <si>
    <t>mecato</t>
  </si>
  <si>
    <t>almuerzos camilo jimenez</t>
  </si>
  <si>
    <t>asistente mendez</t>
  </si>
  <si>
    <t>perro con diana</t>
  </si>
  <si>
    <t>alquiler silla</t>
  </si>
  <si>
    <t>ofrenda casa bendicion</t>
  </si>
  <si>
    <t>gaseosa culto</t>
  </si>
  <si>
    <t>pago a yilmar</t>
  </si>
  <si>
    <t>peaje</t>
  </si>
  <si>
    <t>cafeteria y arrocera</t>
  </si>
  <si>
    <t>comida noche</t>
  </si>
  <si>
    <t>mercado casa y yuli</t>
  </si>
  <si>
    <t>pago factura internet</t>
  </si>
  <si>
    <t>alcohol</t>
  </si>
  <si>
    <t>colaboracion geyler</t>
  </si>
  <si>
    <t>recarga yilmar</t>
  </si>
  <si>
    <t>pago factura casa recibos publicos</t>
  </si>
  <si>
    <t>mercado</t>
  </si>
  <si>
    <t>castores</t>
  </si>
  <si>
    <t>yuli aseo</t>
  </si>
  <si>
    <t>mercado merca sol</t>
  </si>
  <si>
    <t>parqueaderos mes de marzo</t>
  </si>
  <si>
    <t>PELUQUIADA</t>
  </si>
  <si>
    <t>EDGAR GARCIA</t>
  </si>
  <si>
    <t>arriendo casa</t>
  </si>
  <si>
    <t>CAFETERA - REGALO - KELOS</t>
  </si>
  <si>
    <t>DIEZMO</t>
  </si>
  <si>
    <t xml:space="preserve">prestamo edgar garcia tinas </t>
  </si>
  <si>
    <t>pago a yuli aseo</t>
  </si>
  <si>
    <t>helados niños</t>
  </si>
  <si>
    <t>abono del carro FGT736 - LUIS PINEDA</t>
  </si>
  <si>
    <t>mecato 2 dias c</t>
  </si>
  <si>
    <t>para la comida donde Diana</t>
  </si>
  <si>
    <t>ayuda para mercados iglesia</t>
  </si>
  <si>
    <t>cumpleaños madre</t>
  </si>
  <si>
    <t>mercado merca union</t>
  </si>
  <si>
    <t>yogurt y otros</t>
  </si>
  <si>
    <t xml:space="preserve">empanadas y papa </t>
  </si>
  <si>
    <t>disco 1 tb rack para disco duro</t>
  </si>
  <si>
    <t xml:space="preserve">VIDEO BEAM </t>
  </si>
  <si>
    <t>Arreglo impresora casa carmen elena</t>
  </si>
  <si>
    <t>almuerzo camilo y veronica</t>
  </si>
  <si>
    <t>instalacion tv</t>
  </si>
  <si>
    <t>instalacion tv 2 (19-03-2020)</t>
  </si>
  <si>
    <t>diadema sede</t>
  </si>
  <si>
    <t>camara y diadema casa arroyave</t>
  </si>
  <si>
    <t>3 DIADEMAS ARROYAVE</t>
  </si>
  <si>
    <t>COMPRA DE MERCANCIA HERRAMIENTAS</t>
  </si>
  <si>
    <t>arreglo de portatil diego perez</t>
  </si>
  <si>
    <t>pago castores</t>
  </si>
  <si>
    <t>comida yuli</t>
  </si>
  <si>
    <t xml:space="preserve">pago factura </t>
  </si>
  <si>
    <t>cambio de aceite carro</t>
  </si>
  <si>
    <t>mecato y pan</t>
  </si>
  <si>
    <t>DIEZMO MAYO</t>
  </si>
  <si>
    <t>leche y otros</t>
  </si>
  <si>
    <t>CREMA CARA</t>
  </si>
  <si>
    <t>TORTA CUMPLE MAMA DE DIANA</t>
  </si>
  <si>
    <t>empanadas y papa Y CAJA ARROZ</t>
  </si>
  <si>
    <t>REGALOS DIA DE LA MADRES</t>
  </si>
  <si>
    <t>MERCADO EN D1</t>
  </si>
  <si>
    <t>PULPAS</t>
  </si>
  <si>
    <t>HUEVOS Y NARANJAS</t>
  </si>
  <si>
    <t>SANDIA Y LIMONES</t>
  </si>
  <si>
    <t>EDGAR GARCIA MERCADO</t>
  </si>
  <si>
    <t>compra cosas para la sala internet</t>
  </si>
  <si>
    <t>vacunas y pasatas</t>
  </si>
  <si>
    <t>seviche para diana</t>
  </si>
  <si>
    <t>suero</t>
  </si>
  <si>
    <t>lavada carro</t>
  </si>
  <si>
    <t>gaseosa kumis- azucar</t>
  </si>
  <si>
    <t>pollo y gaseosa</t>
  </si>
  <si>
    <t>internet casa</t>
  </si>
  <si>
    <t>LLAMADAS MOVILNET</t>
  </si>
  <si>
    <t>pastas drogueria</t>
  </si>
  <si>
    <t>para marcado amparo</t>
  </si>
  <si>
    <t>sandia y desayuno</t>
  </si>
  <si>
    <t>saldo computador elizabeth</t>
  </si>
  <si>
    <t>cadena brayan</t>
  </si>
  <si>
    <t>fritanga</t>
  </si>
  <si>
    <t>refrigerio santi</t>
  </si>
  <si>
    <t>hamburguesa y pollo</t>
  </si>
  <si>
    <t>compra de mercancia para la sala</t>
  </si>
  <si>
    <t>2 jugos de naranja</t>
  </si>
  <si>
    <t>mercancia para la sala</t>
  </si>
  <si>
    <t>compra control y audifonos</t>
  </si>
  <si>
    <t>aseo yuli</t>
  </si>
  <si>
    <t>compra de joyeria</t>
  </si>
  <si>
    <t>ALIPAPAS Y COMIDA RAPIDA</t>
  </si>
  <si>
    <t>pago diana - planilla febrero</t>
  </si>
  <si>
    <t>abono a prestamo - saldo 1700</t>
  </si>
  <si>
    <t>karen dio para los niños</t>
  </si>
  <si>
    <t>saldo pago karen</t>
  </si>
  <si>
    <t>LIBROS CAMILA</t>
  </si>
  <si>
    <t>camara ip</t>
  </si>
  <si>
    <t>ENERGIA</t>
  </si>
  <si>
    <t>GAS</t>
  </si>
  <si>
    <t>compras camaras wifi (6)</t>
  </si>
  <si>
    <t>PICADA DE CARNE . TORO</t>
  </si>
  <si>
    <t>GASEOSA Y COMBO</t>
  </si>
  <si>
    <t>VENTA DE CAMARA WIFI A JULIO</t>
  </si>
  <si>
    <t>arreglo portatil eloisa</t>
  </si>
  <si>
    <t>PANAL DE HUEVOS</t>
  </si>
  <si>
    <t>JUGO 8MIL, ALIPAPA 7MIL, POLLO 6MIL</t>
  </si>
  <si>
    <t>INSTALACION CAMARA DIANA GARCIA</t>
  </si>
  <si>
    <t>CADENA JUNIO</t>
  </si>
  <si>
    <t>compras de memoria y audifonos</t>
  </si>
  <si>
    <t>ABONO IMPRIMIR LIBRO COLEGIO</t>
  </si>
  <si>
    <t>MANTENIMIENTO CARRO UUP920</t>
  </si>
  <si>
    <t>PAGOS DE IMPUESTOS UUP920</t>
  </si>
  <si>
    <t>compras tarritos amparo</t>
  </si>
  <si>
    <t>compras pollo</t>
  </si>
  <si>
    <t>otros</t>
  </si>
  <si>
    <t>doña lucy 600000</t>
  </si>
  <si>
    <t>karen comprar cosas a los niños</t>
  </si>
  <si>
    <t>edgar garcia</t>
  </si>
  <si>
    <t>compra de camisillas y medias</t>
  </si>
  <si>
    <t>compra de pollo para la comida</t>
  </si>
  <si>
    <t>pago julio de las 6 camaras 3 antenas debe 50</t>
  </si>
  <si>
    <t>compra de 4 camaras 3 antenas</t>
  </si>
  <si>
    <t>camara - reloj espia</t>
  </si>
  <si>
    <t>camara - lapicero espia</t>
  </si>
  <si>
    <t>Pago de planillas de marzo arroyave</t>
  </si>
  <si>
    <t>recibos gas y energia</t>
  </si>
  <si>
    <t>gasolina</t>
  </si>
  <si>
    <t>comida</t>
  </si>
  <si>
    <t>PAGO YULI</t>
  </si>
  <si>
    <t>PRUEBA COVID BRAYAN</t>
  </si>
  <si>
    <t>PRUEBA COVID MADRE</t>
  </si>
  <si>
    <t>mercado casa madre</t>
  </si>
  <si>
    <t>ENTREGO MANZANO DE LICEO AVANCEMOS</t>
  </si>
  <si>
    <t>HAROL SOLIS, REPUESTO IMPRESORA</t>
  </si>
  <si>
    <t>ARRIENDO</t>
  </si>
  <si>
    <t>ABOGADO MILTON - AMPARO</t>
  </si>
  <si>
    <t>2 router arroyave</t>
  </si>
  <si>
    <t>arreglo pc jefferson - disco solido y meria ram</t>
  </si>
  <si>
    <t>abono cambio fotocopiadora</t>
  </si>
  <si>
    <t>compra tintas 4 colores 500gr</t>
  </si>
  <si>
    <t>pago LIBROS colegio liceo avancemos</t>
  </si>
  <si>
    <t>ganancia venta disco duro</t>
  </si>
  <si>
    <t>comida domingo</t>
  </si>
  <si>
    <t>diezmo</t>
  </si>
  <si>
    <t>compra de zapatillas</t>
  </si>
  <si>
    <t>gasolina (86.710)</t>
  </si>
  <si>
    <t>aseo para la sala</t>
  </si>
  <si>
    <t>MEMORIAS MICRO SD 4 - RECUPERADO FALTA 1</t>
  </si>
  <si>
    <t>camara julio viveros</t>
  </si>
  <si>
    <t>PAGO CAMARA Y COMERCIO CIT</t>
  </si>
  <si>
    <t>facturas</t>
  </si>
  <si>
    <t>entrada</t>
  </si>
  <si>
    <t>prima julio 2020</t>
  </si>
  <si>
    <t>COMPRA DE XIAOMI NOTE 9 PRO</t>
  </si>
  <si>
    <t xml:space="preserve">arreglo de iphone </t>
  </si>
  <si>
    <t>recibo internet casa</t>
  </si>
  <si>
    <t>gps carro</t>
  </si>
  <si>
    <t xml:space="preserve">instalacion windows mave </t>
  </si>
  <si>
    <t>GASOLINA (87.085)</t>
  </si>
  <si>
    <t>PARQUEDERO</t>
  </si>
  <si>
    <t>GASEOSA</t>
  </si>
  <si>
    <t>GASOLINA MOTO</t>
  </si>
  <si>
    <t>MERCADO</t>
  </si>
  <si>
    <t>MATERIALES PARA COLOCAR ENERGIA FOTOCOPIA</t>
  </si>
  <si>
    <t>MANO DE OBRA ENERGIA</t>
  </si>
  <si>
    <t>COMPRA DE HELADO</t>
  </si>
  <si>
    <t>COMPRA HAMBURGUESA Y GASEOSA</t>
  </si>
  <si>
    <t>POLLO</t>
  </si>
  <si>
    <t>BONIFICACION CONGRESO</t>
  </si>
  <si>
    <t>PRESTAMO A LEIDY CASIERRA</t>
  </si>
  <si>
    <t>GASTOS OTROS</t>
  </si>
  <si>
    <t xml:space="preserve"> CADENA</t>
  </si>
  <si>
    <t>PINTURA CASA</t>
  </si>
  <si>
    <t>camara wifi</t>
  </si>
  <si>
    <t>router arroyave</t>
  </si>
  <si>
    <t>arreglo gafas</t>
  </si>
  <si>
    <t>compra de 2 camaras vigilancia</t>
  </si>
  <si>
    <t>trabajo libros manzano - 200 diseño 100 hojas</t>
  </si>
  <si>
    <t>compra bisuteria</t>
  </si>
  <si>
    <t>compras ropa y zapatos para niños</t>
  </si>
  <si>
    <t>abono luis pineda computador ( pc y pantalla)</t>
  </si>
  <si>
    <t>inversion para Bradi</t>
  </si>
  <si>
    <t>helados Diana</t>
  </si>
  <si>
    <t>almuerzos</t>
  </si>
  <si>
    <t>impuestos 2019 carro FGT736</t>
  </si>
  <si>
    <t>prestamo doña lucy 1000000</t>
  </si>
  <si>
    <t>compra de 2 router  - yesinia y venta</t>
  </si>
  <si>
    <t>maicitos</t>
  </si>
  <si>
    <t>arreglo fotocopiadora</t>
  </si>
  <si>
    <t>gasolina 87798km</t>
  </si>
  <si>
    <t>compra de carne cena</t>
  </si>
  <si>
    <t>Otros</t>
  </si>
  <si>
    <t>camisas polo</t>
  </si>
  <si>
    <t>gasolina y adictivo</t>
  </si>
  <si>
    <t xml:space="preserve">impuestos </t>
  </si>
  <si>
    <t>LUIS HUMBERTO PINEDA</t>
  </si>
  <si>
    <t>Llaves para el carro</t>
  </si>
  <si>
    <t xml:space="preserve">ganancia de recargas </t>
  </si>
  <si>
    <t>compra de peluche cumple diana</t>
  </si>
  <si>
    <t>disco duro solido e instalacion mariana</t>
  </si>
  <si>
    <t>venta de impresora jaqueline arias</t>
  </si>
  <si>
    <t>mercado éxito</t>
  </si>
  <si>
    <t>mercado D1</t>
  </si>
  <si>
    <t>Ganancia pila portatil</t>
  </si>
  <si>
    <t>compra de 2 mouse</t>
  </si>
  <si>
    <t>pendones arias</t>
  </si>
  <si>
    <t>escuelita niños</t>
  </si>
  <si>
    <t>venta portatil y mouse arroyave - quijano</t>
  </si>
  <si>
    <t>desayuno y tardes</t>
  </si>
  <si>
    <t xml:space="preserve">Compra de 6 camaras wifi </t>
  </si>
  <si>
    <t>venta de 1 camara - quedan 5</t>
  </si>
  <si>
    <t>compra de cositos</t>
  </si>
  <si>
    <t>compra de bono -</t>
  </si>
  <si>
    <t>gasolina (88370)</t>
  </si>
  <si>
    <t>compra arepas con diana y niños</t>
  </si>
  <si>
    <t>arreglo fotocopiadora mpc2550 - harold</t>
  </si>
  <si>
    <t>ARREGLO FOTOCOPIADORA</t>
  </si>
  <si>
    <t>CADENA</t>
  </si>
  <si>
    <t>SERVICIOS</t>
  </si>
  <si>
    <t>manzano para libros y diseñador</t>
  </si>
  <si>
    <t>para seguridad social libros manzano</t>
  </si>
  <si>
    <t>SELLOS</t>
  </si>
  <si>
    <t>RECARGAS LLAMADAS VOIP</t>
  </si>
  <si>
    <t>cruce de cuentas con johana barona contabilidad</t>
  </si>
  <si>
    <t>HECTOR MEDINA AVIOMAR 1000000</t>
  </si>
  <si>
    <t>ARTICULOS</t>
  </si>
  <si>
    <t>EN WISH</t>
  </si>
  <si>
    <t>OTROs</t>
  </si>
  <si>
    <t>MECATO</t>
  </si>
  <si>
    <t>GASOLINA EDWARD</t>
  </si>
  <si>
    <t>ELISAS VENTILADOR</t>
  </si>
  <si>
    <t>VUELTAS TIO</t>
  </si>
  <si>
    <t>PAGO DE PUBLICIDAD LOGO Y VOLANTES</t>
  </si>
  <si>
    <t>LLAMADAS VOIP 2</t>
  </si>
  <si>
    <t>PAGO DE IMPUESTOS</t>
  </si>
  <si>
    <t>ZAPATOS - CHIQUI</t>
  </si>
  <si>
    <t>PAGO DE PUBLICIDAD LOGO Y VOLANTES amparo</t>
  </si>
  <si>
    <t>regalo cumple dilan</t>
  </si>
  <si>
    <t>LUIS LOPEZ - DISCO DURO Y WINDOWS</t>
  </si>
  <si>
    <t xml:space="preserve">COMPRA ROPA CAMILA </t>
  </si>
  <si>
    <t xml:space="preserve">COMPRA CARNE </t>
  </si>
  <si>
    <t>helado y sandia</t>
  </si>
  <si>
    <t>servicios casa</t>
  </si>
  <si>
    <t>VUELTAS TIO LENIN</t>
  </si>
  <si>
    <t>impresión libros telepacifico manzano</t>
  </si>
  <si>
    <t>COMPRA DE PISCINA E INFLADOR</t>
  </si>
  <si>
    <t>ayuda en iglesia predial</t>
  </si>
  <si>
    <t>compra de mercancia</t>
  </si>
  <si>
    <t>ventas wish</t>
  </si>
  <si>
    <t>camisas en bogota</t>
  </si>
  <si>
    <t>amparo de cuadre aceite camion 1</t>
  </si>
  <si>
    <t>COMPRA DE TINTAS</t>
  </si>
  <si>
    <t>incapacidad de valentina - bono</t>
  </si>
  <si>
    <t>viaticos oficina</t>
  </si>
  <si>
    <t>ARREGLO UÑAS</t>
  </si>
  <si>
    <t>COMPRA TECLADOS Y VENTA A CARMEN ELENA</t>
  </si>
  <si>
    <t>salida comer</t>
  </si>
  <si>
    <t>keratina</t>
  </si>
  <si>
    <t>PAGO MANZANO - ADELANTOS PARA LIBRO TELEPACIFICO</t>
  </si>
  <si>
    <t>COMPRA CAMARAS</t>
  </si>
  <si>
    <t>GANANCIA IMPRESIÓN LIBROS TELEPACIFICO</t>
  </si>
  <si>
    <t>IVA IMPRESIÓN LIBROS TELEPACIFICO</t>
  </si>
  <si>
    <t>COMPRA DE DOLLAR CITY</t>
  </si>
  <si>
    <t>abono manzano a la seguridad social gloria</t>
  </si>
  <si>
    <t>prestamo doña lucy</t>
  </si>
  <si>
    <t>prestado a hector medina 2000000</t>
  </si>
  <si>
    <t>salida</t>
  </si>
  <si>
    <t>alas de pollo</t>
  </si>
  <si>
    <t>cholados</t>
  </si>
  <si>
    <t>pago planilla errores</t>
  </si>
  <si>
    <t>pago almuerzo alameda</t>
  </si>
  <si>
    <t>abono a marina gomez</t>
  </si>
  <si>
    <t>mercado casa</t>
  </si>
  <si>
    <t>COMPRA DE AUDIFONOS</t>
  </si>
  <si>
    <t>prestamo edgar garcia</t>
  </si>
  <si>
    <t>compra 6 camaras 3 antenas</t>
  </si>
  <si>
    <t>compras trasteos</t>
  </si>
  <si>
    <t>salida niños a molares</t>
  </si>
  <si>
    <t>COMPRA DE MUEBLES Y COMEDOR Y TRASTEO</t>
  </si>
  <si>
    <t>prestamo viviana gil</t>
  </si>
  <si>
    <t>CADENA NOVIEMBRE</t>
  </si>
  <si>
    <t>salidas con Diana</t>
  </si>
  <si>
    <t>comida en la casa - domigno</t>
  </si>
  <si>
    <t>otros gastos</t>
  </si>
  <si>
    <t>manejo contabilidad recargas</t>
  </si>
  <si>
    <t>ALMUERZOS</t>
  </si>
  <si>
    <t>PAGO DE INTERNET</t>
  </si>
  <si>
    <t>VENTA Y COMPRA DROPS - CASA</t>
  </si>
  <si>
    <t>VENTA 2 DROPS OFICINA ARROYAVE</t>
  </si>
  <si>
    <t>VENTA 2 DROPS - DIANA GARCIA</t>
  </si>
  <si>
    <t>VENTA 2 DROPS - VENDIO DIANA MOLINA</t>
  </si>
  <si>
    <t>saldo salida con diana</t>
  </si>
  <si>
    <t>TAPABOCAS</t>
  </si>
  <si>
    <t>VENTA 1 DROPS - GUZMAN</t>
  </si>
  <si>
    <t>VENTA 1 DROPS - JHON JAIRO MUÑOZ</t>
  </si>
  <si>
    <t>ARREGLO PANTALLA PORTATIL JOHANA NUÑEZ</t>
  </si>
  <si>
    <t>COMPRA DE MOUSE Y CARGADOR Y UNIDAD DISCO</t>
  </si>
  <si>
    <t>VENTA DE CARGADOR SOBRINO JULIO</t>
  </si>
  <si>
    <t>YOGURT</t>
  </si>
  <si>
    <t>alitas</t>
  </si>
  <si>
    <t>compra de pantalon diana</t>
  </si>
  <si>
    <t>COMIDA CON NIÑOS</t>
  </si>
  <si>
    <t>vueltas tio lenin</t>
  </si>
  <si>
    <t>compras repuesto impresora ricoh 2051</t>
  </si>
  <si>
    <t>compras de ropa niños</t>
  </si>
  <si>
    <t>arreglo fotocopiadora don harold</t>
  </si>
  <si>
    <t>COMPRA DE TONER nuevo IMPRESORA</t>
  </si>
  <si>
    <t>venta drops carmen elena</t>
  </si>
  <si>
    <t>WISH LOCAL BRADI</t>
  </si>
  <si>
    <t>CAMILA PRESTAMO  BRAYAN</t>
  </si>
  <si>
    <t>pantalon para santi</t>
  </si>
  <si>
    <t>conjunto camila</t>
  </si>
  <si>
    <t>zapatos camila</t>
  </si>
  <si>
    <t>shampoo y talcos</t>
  </si>
  <si>
    <t>ganancias center cit - recargas</t>
  </si>
  <si>
    <t>recargas de toner</t>
  </si>
  <si>
    <t>pago arroyave oct</t>
  </si>
  <si>
    <t>MITAD BONIFICACION</t>
  </si>
  <si>
    <t>bono para bomberos</t>
  </si>
  <si>
    <t>compras cincomilaso</t>
  </si>
  <si>
    <t>PRESTAMO A DOÑA LUCY 1000000</t>
  </si>
  <si>
    <t>PAGO INTERNET APTO</t>
  </si>
  <si>
    <t>SALIDA A COMER DIANA Y NIÑOS</t>
  </si>
  <si>
    <t>venta de 3 drops karen hija doña lucy</t>
  </si>
  <si>
    <t>compra de articulos</t>
  </si>
  <si>
    <t>COMIDA Y AREPAS</t>
  </si>
  <si>
    <t>PARQUEADERO EXITO</t>
  </si>
  <si>
    <t>arca diana</t>
  </si>
  <si>
    <t>compra de 3 discos duros y mouse</t>
  </si>
  <si>
    <t>comida y donas</t>
  </si>
  <si>
    <t>otros gastos sin soporte</t>
  </si>
  <si>
    <t>almuerzo casa</t>
  </si>
  <si>
    <t>regalo 1 sarita</t>
  </si>
  <si>
    <t>regalo 2 sarita</t>
  </si>
  <si>
    <t>balacas camila</t>
  </si>
  <si>
    <t>para regalo tio lenin</t>
  </si>
  <si>
    <t>comida bautizo</t>
  </si>
  <si>
    <t>gaseosa y mecato tio</t>
  </si>
  <si>
    <t>arriendo apartamento valle del lili</t>
  </si>
  <si>
    <t>para mercado apart</t>
  </si>
  <si>
    <t>para servicios apart</t>
  </si>
  <si>
    <t>para cadenas brayan 2021</t>
  </si>
  <si>
    <t>primas - Yuli-sebas-leidy</t>
  </si>
  <si>
    <t xml:space="preserve">compra de relojes </t>
  </si>
  <si>
    <t>Compra de portatil policia</t>
  </si>
  <si>
    <t>drops karen</t>
  </si>
  <si>
    <t>compra de tintas originales gamboa</t>
  </si>
  <si>
    <t>compra del televisor</t>
  </si>
  <si>
    <t>combustible</t>
  </si>
  <si>
    <t>completar para play</t>
  </si>
  <si>
    <t>INSTALACION DE CAMARAS - ZORAIDA -150 sala</t>
  </si>
  <si>
    <t>REPARACION PORTATIL MAC - ZORAIDA</t>
  </si>
  <si>
    <t>VENTA DE DROPS - YESENIA</t>
  </si>
  <si>
    <t>salida con los niños a macdonalds</t>
  </si>
  <si>
    <t>compra de cositos y gaseosas</t>
  </si>
  <si>
    <t>ALMUERZO CON LOS NIÑOS</t>
  </si>
  <si>
    <t>GUAYABA Y MANI</t>
  </si>
  <si>
    <t>almuerzo y comida niños</t>
  </si>
  <si>
    <t>mitad vacaciones</t>
  </si>
  <si>
    <t>REPARACION TODO EN UNO - DIANA GARCIA</t>
  </si>
  <si>
    <t>compra zapatos brayan</t>
  </si>
  <si>
    <t>compra de boxer por internet</t>
  </si>
  <si>
    <t>compra de controles play 3</t>
  </si>
  <si>
    <t>compra de camisa brayan</t>
  </si>
  <si>
    <t>compra de maquillaje camila</t>
  </si>
  <si>
    <t>compra de crema para cara</t>
  </si>
  <si>
    <t>arreglo de relojes</t>
  </si>
  <si>
    <t>gasoLINA</t>
  </si>
  <si>
    <t>compra manilla brayan</t>
  </si>
  <si>
    <t xml:space="preserve">tostadas y comida </t>
  </si>
  <si>
    <t>para aseo casa - karen</t>
  </si>
  <si>
    <t xml:space="preserve">saldo salida arca noe </t>
  </si>
  <si>
    <t>prestamo a einer peluqueria</t>
  </si>
  <si>
    <t>compra de galletas y 2 anchetas - café mi tierra</t>
  </si>
  <si>
    <t>arreglo de cicla santi</t>
  </si>
  <si>
    <t>PARA CHIQUI</t>
  </si>
  <si>
    <t>DESCUADRE</t>
  </si>
  <si>
    <t xml:space="preserve">DESCUADRE ENCONTRADO </t>
  </si>
  <si>
    <t xml:space="preserve">CUADRE </t>
  </si>
  <si>
    <t>AHORRO 13-10-21</t>
  </si>
  <si>
    <t>para la torta cumple</t>
  </si>
  <si>
    <t>gaseosas y otros</t>
  </si>
  <si>
    <t>DIANA - PANTALONES, BOLSO, OTROS</t>
  </si>
  <si>
    <t>HELADOS</t>
  </si>
  <si>
    <t>ENTRADA DE WISH CIT</t>
  </si>
  <si>
    <t>ENTRADA DE WISH BRADI</t>
  </si>
  <si>
    <t>malteada niños</t>
  </si>
  <si>
    <t>disco duro amiga de yerson osorio</t>
  </si>
  <si>
    <t>bomberos ayuda</t>
  </si>
  <si>
    <t>salida con diana</t>
  </si>
  <si>
    <t>compra de bolso , tatiana</t>
  </si>
  <si>
    <t>DROGA</t>
  </si>
  <si>
    <t>PARQUEADERO EXITO y almuerzo</t>
  </si>
  <si>
    <t>ALMUERZO Y HELADO</t>
  </si>
  <si>
    <t>ALMUERZO -  MEDIA TARDE</t>
  </si>
  <si>
    <t>venta drops</t>
  </si>
  <si>
    <t xml:space="preserve">regalo cumpleaños david sobrino tatiana </t>
  </si>
  <si>
    <t>COMIDA EN CASA</t>
  </si>
  <si>
    <t>CASA</t>
  </si>
  <si>
    <t>INTERNET</t>
  </si>
  <si>
    <t>ASEO</t>
  </si>
  <si>
    <t>PRODUCTO ADELGAZAR</t>
  </si>
  <si>
    <t>2 CADENA</t>
  </si>
  <si>
    <t>parqueoy comida</t>
  </si>
  <si>
    <t>para marina gomez de brygar</t>
  </si>
  <si>
    <t>km 93603</t>
  </si>
  <si>
    <t xml:space="preserve">compras mercancia sala </t>
  </si>
  <si>
    <t>PASTAS MASAJES DIANA MOLINA</t>
  </si>
  <si>
    <t>GANANCIAS RECARGAS ADMINISTRADOR</t>
  </si>
  <si>
    <t>DESCUADRES</t>
  </si>
  <si>
    <t>ARREGLO PC QUIÑONES</t>
  </si>
  <si>
    <t>yogurt yuli</t>
  </si>
  <si>
    <t>MASAJES DIANA MOLINA</t>
  </si>
  <si>
    <t>prestamo a don hector - total 8 - 5000000</t>
  </si>
  <si>
    <t>km 93965</t>
  </si>
  <si>
    <t>ayuda a geyler</t>
  </si>
  <si>
    <t>compras niños</t>
  </si>
  <si>
    <t>pasajes niños</t>
  </si>
  <si>
    <t>botas niños</t>
  </si>
  <si>
    <t>para santi mecato</t>
  </si>
  <si>
    <t>compra de pollo</t>
  </si>
  <si>
    <t>almuerzo con manzano y martin</t>
  </si>
  <si>
    <t>del disco duro y caja - carolina martinez</t>
  </si>
  <si>
    <t>venta de camara y cargador diana garcia</t>
  </si>
  <si>
    <t>PROYECTO MANZANO</t>
  </si>
  <si>
    <t>ganancias de recarga, internet, y robo</t>
  </si>
  <si>
    <t>km 94330</t>
  </si>
  <si>
    <t>Compra de camaras</t>
  </si>
  <si>
    <t>compra de 3discos duros</t>
  </si>
  <si>
    <t>arreglos en el negocio</t>
  </si>
  <si>
    <t>entrada de wish bradi</t>
  </si>
  <si>
    <t>abono viaje sanandres- consignacion</t>
  </si>
  <si>
    <t>pollo</t>
  </si>
  <si>
    <t>pasajes k</t>
  </si>
  <si>
    <t>desayuno y parqueadero</t>
  </si>
  <si>
    <t>POLlo</t>
  </si>
  <si>
    <t>pago planillas julio cesar</t>
  </si>
  <si>
    <t xml:space="preserve">fiesta de camila </t>
  </si>
  <si>
    <t>CADENA BRAYAN</t>
  </si>
  <si>
    <t>salida a comer en el torito, cumple camila</t>
  </si>
  <si>
    <t>canaletas y cinta areglo sala</t>
  </si>
  <si>
    <t>pollo asado almuerzo</t>
  </si>
  <si>
    <t>salida comer con diana</t>
  </si>
  <si>
    <t>gasolina km 94700</t>
  </si>
  <si>
    <t>regalos dolarcity cumple camila</t>
  </si>
  <si>
    <t>torta cumple camila</t>
  </si>
  <si>
    <t>gaseosas fiesta camila</t>
  </si>
  <si>
    <t>helados fiesta camila</t>
  </si>
  <si>
    <t>decoracion fiesta camila</t>
  </si>
  <si>
    <t>PASAJES A SANTAMARTA</t>
  </si>
  <si>
    <t>compras camila</t>
  </si>
  <si>
    <t>salchipapas</t>
  </si>
  <si>
    <t>compra de tintas ricoh y samsung</t>
  </si>
  <si>
    <t>compra de cuchilla ricoh 2550</t>
  </si>
  <si>
    <t>pendientes  saber</t>
  </si>
  <si>
    <t>compras de utiles a camila</t>
  </si>
  <si>
    <t>compra de pisa casa mamita</t>
  </si>
  <si>
    <t>para la niña</t>
  </si>
  <si>
    <t>salida con Diana Torre de cali</t>
  </si>
  <si>
    <t>diezmo febrero</t>
  </si>
  <si>
    <t>primicias febrero</t>
  </si>
  <si>
    <t>comida con diana y santi</t>
  </si>
  <si>
    <t>mecato niños</t>
  </si>
  <si>
    <t>REGALO DANIEL - HIJO LEIDY</t>
  </si>
  <si>
    <t>ABONO PARA MASAJES</t>
  </si>
  <si>
    <t>COMPRA DE FAJA HOMBRE</t>
  </si>
  <si>
    <t>COMPRA DE JUEGO MINECRAFT</t>
  </si>
  <si>
    <t>PAGO CADENA DE PADRE EDGAR GARCIA</t>
  </si>
  <si>
    <t>GIRO K - INTERIORES ALGODÓN, ETC</t>
  </si>
  <si>
    <t>KM 95028</t>
  </si>
  <si>
    <t>PERDIDA RECARGAS</t>
  </si>
  <si>
    <t>impresiones arroyave para tintas</t>
  </si>
  <si>
    <t>torta cumple karen</t>
  </si>
  <si>
    <t>km 95369</t>
  </si>
  <si>
    <t>compra de cables y videobalum</t>
  </si>
  <si>
    <t>bonificacion marina gomez</t>
  </si>
  <si>
    <t>cumpleaños estefania barreiro</t>
  </si>
  <si>
    <t>PINCHADA</t>
  </si>
  <si>
    <t xml:space="preserve">almuerzo </t>
  </si>
  <si>
    <t>regalos cumple papa diana</t>
  </si>
  <si>
    <t>salida dia de la mujer</t>
  </si>
  <si>
    <t>compras niña</t>
  </si>
  <si>
    <t xml:space="preserve">km 95728 </t>
  </si>
  <si>
    <t xml:space="preserve">pasta </t>
  </si>
  <si>
    <t>cita camila</t>
  </si>
  <si>
    <t>comprar camila</t>
  </si>
  <si>
    <t>compras mercancia sala internet</t>
  </si>
  <si>
    <t xml:space="preserve">compras centro </t>
  </si>
  <si>
    <t>compras dollar city</t>
  </si>
  <si>
    <t>compra de caja de resma</t>
  </si>
  <si>
    <t xml:space="preserve">alquiler apartamento </t>
  </si>
  <si>
    <t>compras ropa playa</t>
  </si>
  <si>
    <t>km 96092</t>
  </si>
  <si>
    <t>PAGO DOCUMENTOS OIDER</t>
  </si>
  <si>
    <t>PAGO DOCUMENTOS ROSA YATACUE</t>
  </si>
  <si>
    <t>CORTES DE CABELLO</t>
  </si>
  <si>
    <t>GASTOS EN PASEO A SANTAMARTA - CARTAGENA</t>
  </si>
  <si>
    <t>regalo cumple victoria</t>
  </si>
  <si>
    <t>arreglo de llanta rin</t>
  </si>
  <si>
    <t>helado</t>
  </si>
  <si>
    <t>para otros gastos c</t>
  </si>
  <si>
    <t>compra papeleria sala internet</t>
  </si>
  <si>
    <t>compra de cargadores y mouse sala internet</t>
  </si>
  <si>
    <t>PENDT</t>
  </si>
  <si>
    <t>compra e instalacion de 3 discos solidos - Diana garcia</t>
  </si>
  <si>
    <t>km 96434</t>
  </si>
  <si>
    <t>gastos c</t>
  </si>
  <si>
    <t xml:space="preserve">saldo masajes </t>
  </si>
  <si>
    <t>salida con los niños</t>
  </si>
  <si>
    <t>diezmo marzo</t>
  </si>
  <si>
    <t>crema pelo camila</t>
  </si>
  <si>
    <t>2do masajes abono</t>
  </si>
  <si>
    <t xml:space="preserve">helados </t>
  </si>
  <si>
    <t>prestamo miguel antonio -  toño 2000000</t>
  </si>
  <si>
    <t>FRUTAS</t>
  </si>
  <si>
    <t>cuadre</t>
  </si>
  <si>
    <t>km 96728</t>
  </si>
  <si>
    <t>comida niños</t>
  </si>
  <si>
    <t>comida con diana maicitos</t>
  </si>
  <si>
    <t>compra pescado</t>
  </si>
  <si>
    <t xml:space="preserve">compra obleas </t>
  </si>
  <si>
    <t>compra de peces y comida</t>
  </si>
  <si>
    <t>mensajes de texto</t>
  </si>
  <si>
    <t>bronceador diana</t>
  </si>
  <si>
    <t>compra comida</t>
  </si>
  <si>
    <t>san andres</t>
  </si>
  <si>
    <t>compra zapatos camila</t>
  </si>
  <si>
    <t>compra articulos sala internet</t>
  </si>
  <si>
    <t>TORRE SEDE</t>
  </si>
  <si>
    <t>COMPRAS C</t>
  </si>
  <si>
    <t>COMPRA PASTAS</t>
  </si>
  <si>
    <t>GUARDAR</t>
  </si>
  <si>
    <t>tiquetes santamarta diana</t>
  </si>
  <si>
    <t>prestamo a doña lucy 1300000</t>
  </si>
  <si>
    <t>instalacion camaras sede arroyave</t>
  </si>
  <si>
    <t xml:space="preserve">materiales, canaletas camara sede </t>
  </si>
  <si>
    <t>cable utp para camaras sede</t>
  </si>
  <si>
    <t>1 pantalla 17 ", mouse y cables para la sede</t>
  </si>
  <si>
    <t>mensajeria</t>
  </si>
  <si>
    <t>km 97145</t>
  </si>
  <si>
    <t>cable hdmi 4k - arroyave</t>
  </si>
  <si>
    <t>cable hdmi 4k - 30 metros - arroyave</t>
  </si>
  <si>
    <t>y vga finca</t>
  </si>
  <si>
    <t>arreglo y mantenimiento video beam</t>
  </si>
  <si>
    <t>compra de caja de cable utp ct6</t>
  </si>
  <si>
    <t>compra de pantalonetas</t>
  </si>
  <si>
    <t>compras c</t>
  </si>
  <si>
    <t>conejo santiago</t>
  </si>
  <si>
    <t>torta</t>
  </si>
  <si>
    <t>pago</t>
  </si>
  <si>
    <t>zapatos blancos dafiti</t>
  </si>
  <si>
    <t>recarga</t>
  </si>
  <si>
    <t>zapatos negros lino</t>
  </si>
  <si>
    <t>comida cumle santi</t>
  </si>
  <si>
    <t>MARINA GOMEZ COMICIONES</t>
  </si>
  <si>
    <t>km 97432</t>
  </si>
  <si>
    <t>DESAYUNO</t>
  </si>
  <si>
    <t>CHIQUI</t>
  </si>
  <si>
    <t>compra de helados niñas</t>
  </si>
  <si>
    <t>compra de pollo frisby</t>
  </si>
  <si>
    <t>regalo cumple padre</t>
  </si>
  <si>
    <t>regalo cumple madre</t>
  </si>
  <si>
    <t>a edgar para pagar 2 cadenas</t>
  </si>
  <si>
    <t>abono mecanico para tecnomecanico</t>
  </si>
  <si>
    <t>ahorro</t>
  </si>
  <si>
    <t>ahorro cuenta</t>
  </si>
  <si>
    <t>incapacidad elkin - durango</t>
  </si>
  <si>
    <t>Masajes yuli</t>
  </si>
  <si>
    <t>DESCUADRE ABRIL</t>
  </si>
  <si>
    <t>Durango Amin</t>
  </si>
  <si>
    <t>RIFA DE DIANA</t>
  </si>
  <si>
    <t>PAGO 7 - PLANILLAS MAVE</t>
  </si>
  <si>
    <t>combustible carro diana</t>
  </si>
  <si>
    <t>compras de carnes y otros fiesta madre</t>
  </si>
  <si>
    <t>compra pastel fiesta</t>
  </si>
  <si>
    <t>compra salsa, papas y desechables fiesta</t>
  </si>
  <si>
    <t>mercado grande</t>
  </si>
  <si>
    <t>saldo arreglo carro, y  cojin</t>
  </si>
  <si>
    <t>SALDO VIAJE SAN ANDRES</t>
  </si>
  <si>
    <t>compra de maquina peluquiar</t>
  </si>
  <si>
    <t>regalados a mi papa</t>
  </si>
  <si>
    <t>PAGO DE IMPUESTOS UUP-920</t>
  </si>
  <si>
    <t>LAVADO CARRO DIANA</t>
  </si>
  <si>
    <t>PAGO DE IMPUESTOS MOTO ADF03E</t>
  </si>
  <si>
    <t>PAGO DE 2 VUELTAS DEL TIO</t>
  </si>
  <si>
    <t>consigno</t>
  </si>
  <si>
    <t>combustible carro diana km67387</t>
  </si>
  <si>
    <t>-$.    84.000 Bancolombia Mayra</t>
  </si>
  <si>
    <t>-$.  300.000 cadena</t>
  </si>
  <si>
    <t>-$.  290.000 SAI</t>
  </si>
  <si>
    <t>-$.    80.000 parqueadero</t>
  </si>
  <si>
    <t>-$.    20.000 Norbey</t>
  </si>
  <si>
    <t>TANQUEO CARRO KM 97762</t>
  </si>
  <si>
    <t>eps</t>
  </si>
  <si>
    <t>VULETAS  NORBEY</t>
  </si>
  <si>
    <t>arriendo</t>
  </si>
  <si>
    <t>efectivo</t>
  </si>
  <si>
    <t>ROPA CAMILA</t>
  </si>
  <si>
    <t>efectivo 13-5-2021</t>
  </si>
  <si>
    <t>COMPRA DE SEGURO CARRO UUP920</t>
  </si>
  <si>
    <t>brayan</t>
  </si>
  <si>
    <t>compra remedios argemiro</t>
  </si>
  <si>
    <t>sandwish cumple any amelines</t>
  </si>
  <si>
    <t>trasporte niños</t>
  </si>
  <si>
    <t>pagos de sarita meses anteriores brygar</t>
  </si>
  <si>
    <t>tanqueo moto</t>
  </si>
  <si>
    <t>CADENA EDGAR GARCIA</t>
  </si>
  <si>
    <t>MECATO NIÑOS</t>
  </si>
  <si>
    <t>AHORRO CUENTA BBVA</t>
  </si>
  <si>
    <t>CAMBIO EN MONEDAS</t>
  </si>
  <si>
    <t>OTROS GASTOS CUADRE</t>
  </si>
  <si>
    <t>AHORRO BBVA</t>
  </si>
  <si>
    <t>km 98106</t>
  </si>
  <si>
    <t>VISITAS Y MANTENIMIENTO EMPRESA DIANA- ABRIL</t>
  </si>
  <si>
    <t>detalles madres</t>
  </si>
  <si>
    <t>BANCOS</t>
  </si>
  <si>
    <t>IMPUESTOS BANCOLOMBIA MAYO</t>
  </si>
  <si>
    <t>abono para trabajao publicidad</t>
  </si>
  <si>
    <t>ROPA</t>
  </si>
  <si>
    <t>compra de 2jean brayan</t>
  </si>
  <si>
    <t>compra de bermuda y camisa playa y medias</t>
  </si>
  <si>
    <t>jugos</t>
  </si>
  <si>
    <t xml:space="preserve">compra de gafa,masajeador, raqueta </t>
  </si>
  <si>
    <t>km 98376</t>
  </si>
  <si>
    <t>compra de medicina primeros dias junio</t>
  </si>
  <si>
    <t>regalo de jonatan</t>
  </si>
  <si>
    <t>medicina e inyeccion</t>
  </si>
  <si>
    <t>COMPRA MERCANCIA SALA</t>
  </si>
  <si>
    <t xml:space="preserve">SACAR PUBLICIDAD </t>
  </si>
  <si>
    <t>SACAR PENDONES BRYGAR</t>
  </si>
  <si>
    <t>compra para la casa</t>
  </si>
  <si>
    <t>MENSAJERIA</t>
  </si>
  <si>
    <t>PAGOS EDSON CORTES</t>
  </si>
  <si>
    <t>DIEZMO junio</t>
  </si>
  <si>
    <t>GASTOS SAI</t>
  </si>
  <si>
    <t>AYUDA A C</t>
  </si>
  <si>
    <t>km 98776</t>
  </si>
  <si>
    <t>entregue para geronimo</t>
  </si>
  <si>
    <t>recarga extintores</t>
  </si>
  <si>
    <t>ENTREGUE PARA comida</t>
  </si>
  <si>
    <t>comida picni</t>
  </si>
  <si>
    <t>otros comidas</t>
  </si>
  <si>
    <t>camisa camila</t>
  </si>
  <si>
    <t>GATOS SAI</t>
  </si>
  <si>
    <t>regalo fiesta niños</t>
  </si>
  <si>
    <t>NEQUI TRASFERENCIA</t>
  </si>
  <si>
    <t>compra camisa en el unico</t>
  </si>
  <si>
    <t>almuerzo en el unico</t>
  </si>
  <si>
    <t>compra de zapatos y camisas</t>
  </si>
  <si>
    <t>pagar a bradi</t>
  </si>
  <si>
    <t>pago publicidad tarjetas y plegable</t>
  </si>
  <si>
    <t>almuerzo y refrigerio</t>
  </si>
  <si>
    <t>para programa de recargas plataforma movilnet SALA</t>
  </si>
  <si>
    <t>para regalo cumple antonela</t>
  </si>
  <si>
    <t>refrigerios</t>
  </si>
  <si>
    <t>para manzano transporte palmira</t>
  </si>
  <si>
    <t>abono mantenimiento acuario</t>
  </si>
  <si>
    <t>almuerzo pollo</t>
  </si>
  <si>
    <t>REGALO CUMPLE ZOOLOGICO ANTONELA</t>
  </si>
  <si>
    <t>saldo mantenimiento acuario</t>
  </si>
  <si>
    <t>PLATAFORMA DE OFFICE</t>
  </si>
  <si>
    <t>venta licencia office - steven joyeria 18k vip</t>
  </si>
  <si>
    <t>ganancia de recargas admin</t>
  </si>
  <si>
    <t>venta licencia office - ORG ARROYAVE</t>
  </si>
  <si>
    <t>4 X MIL  BANCOLOMBIA JUNIO</t>
  </si>
  <si>
    <t>AHORROEN CUENTA BBVA</t>
  </si>
  <si>
    <t>para recargas de mensajes de texto</t>
  </si>
  <si>
    <t>DESCUADRE JUNIO</t>
  </si>
  <si>
    <t>km 99153</t>
  </si>
  <si>
    <t>controles play johan</t>
  </si>
  <si>
    <t>compra suchi diana</t>
  </si>
  <si>
    <t>mantenimiento fotocopiadora 2550</t>
  </si>
  <si>
    <t>impresiones manzano caratulas libro avancemos</t>
  </si>
  <si>
    <t>compra de tintas para ricoh 2550 y repuestos</t>
  </si>
  <si>
    <t>otros repuestos fotocopiadora</t>
  </si>
  <si>
    <t>lavada del carro</t>
  </si>
  <si>
    <t>compra de chip maquina ricoh 3503</t>
  </si>
  <si>
    <t>compra pollo y jugos</t>
  </si>
  <si>
    <t>prestamo harold compra de repuesto</t>
  </si>
  <si>
    <t>ayuda Tokio</t>
  </si>
  <si>
    <t>regalo fiesta tiago - judith</t>
  </si>
  <si>
    <t>DIEZMO JULIO</t>
  </si>
  <si>
    <t>KM 99522</t>
  </si>
  <si>
    <t>COMPRA COMIDA</t>
  </si>
  <si>
    <t>COMPRA DE MINUTOS MOVILNET</t>
  </si>
  <si>
    <t>ALMUERZO</t>
  </si>
  <si>
    <t>compras gafas y flotador, juguetes</t>
  </si>
  <si>
    <t>prestamo manzano para tinta libro</t>
  </si>
  <si>
    <t>salida cumple muchachos</t>
  </si>
  <si>
    <t>sellos con manzano</t>
  </si>
  <si>
    <t>salida con diana excendente 164</t>
  </si>
  <si>
    <t>desayuno con los niños</t>
  </si>
  <si>
    <t>plan piloto</t>
  </si>
  <si>
    <t>sacado de las ganancias de recargas admin</t>
  </si>
  <si>
    <t>boxer - camisas -  zapatillas santi</t>
  </si>
  <si>
    <t>plataforma de recargas</t>
  </si>
  <si>
    <t>km 99858</t>
  </si>
  <si>
    <t>compra de mercancia sala</t>
  </si>
  <si>
    <t>ABONO EFECTY - 700 Y 299 DESCUENTO</t>
  </si>
  <si>
    <t>salida a comer niños y siegros</t>
  </si>
  <si>
    <t>tablet 1 surface</t>
  </si>
  <si>
    <t>VESTIDO CAMILA</t>
  </si>
  <si>
    <t>ALMUERZO EN EL CENTRO</t>
  </si>
  <si>
    <t>tablet 2</t>
  </si>
  <si>
    <t>km 100006</t>
  </si>
  <si>
    <t>pago licencia computador arroyave</t>
  </si>
  <si>
    <t>compra de articulos para la sala internet</t>
  </si>
  <si>
    <t>compre de discos duros, diadema yuli y mouse arroyave</t>
  </si>
  <si>
    <t>compra de tablet asus</t>
  </si>
  <si>
    <t xml:space="preserve">bonificacion congrso </t>
  </si>
  <si>
    <t>IMPUESTOS BANCOLOMBIA JULIO</t>
  </si>
  <si>
    <t>PRIMA CONGRESO 2021</t>
  </si>
  <si>
    <t>CUMPLE DOMINIK</t>
  </si>
  <si>
    <t>descuadre julio</t>
  </si>
  <si>
    <t>hecha letrero</t>
  </si>
  <si>
    <t>km 100324</t>
  </si>
  <si>
    <t>diezmo agosto</t>
  </si>
  <si>
    <t xml:space="preserve">seguridad atlas 2 meses </t>
  </si>
  <si>
    <t>mouse inalambrico logitech</t>
  </si>
  <si>
    <t>microfono para pc usb</t>
  </si>
  <si>
    <t>camara ip - zoom - exteriores</t>
  </si>
  <si>
    <t>ALMUERZO ALAMEDA</t>
  </si>
  <si>
    <t xml:space="preserve">desayuno reunion arroyave </t>
  </si>
  <si>
    <t xml:space="preserve">salida donde maria </t>
  </si>
  <si>
    <t>compra de mopa y flotador</t>
  </si>
  <si>
    <t>km 100707</t>
  </si>
  <si>
    <t xml:space="preserve">salida con camila y helado mac </t>
  </si>
  <si>
    <t xml:space="preserve">ABONO EFECTY trasferencia de mi cuenta </t>
  </si>
  <si>
    <t xml:space="preserve">compras casa, almohadas, </t>
  </si>
  <si>
    <t xml:space="preserve">compras resmas y sobres </t>
  </si>
  <si>
    <t>PENDONES MEGAMIDANZAS</t>
  </si>
  <si>
    <t>REMEDIOS CAMILA</t>
  </si>
  <si>
    <t>Cumple de maritza - cuota diana y brayan</t>
  </si>
  <si>
    <t>pagos por incapacidad lina fajardo</t>
  </si>
  <si>
    <t>GERALDIN ASEO Y NIÑOS</t>
  </si>
  <si>
    <t>mitad compra cafetera y mesa</t>
  </si>
  <si>
    <t>CUMPLE JUAN</t>
  </si>
  <si>
    <t>completar para pagos sala</t>
  </si>
  <si>
    <t>helados chupis y chorizo</t>
  </si>
  <si>
    <t xml:space="preserve">compra de cometa </t>
  </si>
  <si>
    <t xml:space="preserve">compra de helados </t>
  </si>
  <si>
    <t xml:space="preserve">compra de alitas picantes </t>
  </si>
  <si>
    <t>ARREGLO DE CARRO</t>
  </si>
  <si>
    <t>KM 100923</t>
  </si>
  <si>
    <t>GASOLINA CARRO</t>
  </si>
  <si>
    <t>almuerzo anterior</t>
  </si>
  <si>
    <t>PARQUEADERO CARRO</t>
  </si>
  <si>
    <t>SORTEO - RECUPERACION</t>
  </si>
  <si>
    <t>EDGAR GARCIA PLANILLA</t>
  </si>
  <si>
    <t>PUBLICIDAD MEGAMUDANZAS Y BRYGAR BANCO OCCIDENTE</t>
  </si>
  <si>
    <t xml:space="preserve">almuerzos brayan diana oficina </t>
  </si>
  <si>
    <t xml:space="preserve">ayuda a chiquitin </t>
  </si>
  <si>
    <t>compra a yampo - mercancia</t>
  </si>
  <si>
    <t xml:space="preserve">leidy oficina boleta sorteo </t>
  </si>
  <si>
    <t xml:space="preserve">edilberto mina apoyo boleta </t>
  </si>
  <si>
    <t xml:space="preserve">martin chavez apoyo boleta </t>
  </si>
  <si>
    <t>salida con madre hamburguesas</t>
  </si>
  <si>
    <t>compra rellena</t>
  </si>
  <si>
    <t>compra vestidos a camila</t>
  </si>
  <si>
    <t>apoyo william perez boletas</t>
  </si>
  <si>
    <t>suero diana</t>
  </si>
  <si>
    <t>almuerzo con diana en la oficina</t>
  </si>
  <si>
    <t>compra de 2 discos duros solidos</t>
  </si>
  <si>
    <t>cargador para diana garcia</t>
  </si>
  <si>
    <t>PAGO, estadisticas de bases de datos senado</t>
  </si>
  <si>
    <t>km 101250</t>
  </si>
  <si>
    <t>venta tablet arroyave</t>
  </si>
  <si>
    <t>ARREGLOS</t>
  </si>
  <si>
    <t>trabajo instalacion letrero</t>
  </si>
  <si>
    <t>compra de tubo</t>
  </si>
  <si>
    <t xml:space="preserve">pegante </t>
  </si>
  <si>
    <t>gaseosa y tornillos</t>
  </si>
  <si>
    <t>regalo cumpleaños walter manzano</t>
  </si>
  <si>
    <t>DESAYUNOS</t>
  </si>
  <si>
    <t>almuerzo casa domingo con papas diana</t>
  </si>
  <si>
    <t>zoologico santi</t>
  </si>
  <si>
    <t>compra e 13 memoria ram ddr3</t>
  </si>
  <si>
    <t>compra de 2 disco solido y regulador</t>
  </si>
  <si>
    <t>compras de pilas para pc</t>
  </si>
  <si>
    <t>compra de tintas kilo y rodillo y cuchilla</t>
  </si>
  <si>
    <t>compra de swiched 100 casa arroyave</t>
  </si>
  <si>
    <t>descuadre agosto</t>
  </si>
  <si>
    <t>4 X MIL  BANCOLOMBIA agosto</t>
  </si>
  <si>
    <t>AHORRO BBVA agosto</t>
  </si>
  <si>
    <t>intereses prestamo jessica</t>
  </si>
  <si>
    <t>TORQUES RACING - incapacidad de santiago gomez</t>
  </si>
  <si>
    <t>prestamo a doña lucy 300000</t>
  </si>
  <si>
    <t xml:space="preserve">compra de 3 discos solidos </t>
  </si>
  <si>
    <t>compra de mercancia brayan</t>
  </si>
  <si>
    <t>almuerzo con jhon y martin</t>
  </si>
  <si>
    <t>comida con mi mama</t>
  </si>
  <si>
    <t>comida con diana cumple historia amor + 100 diana</t>
  </si>
  <si>
    <t>diezmo sept</t>
  </si>
  <si>
    <t xml:space="preserve">almuerzo con familia, cumple diana </t>
  </si>
  <si>
    <t xml:space="preserve">camibuso santiago </t>
  </si>
  <si>
    <t>compra de termos y viandas para refrigerios niños</t>
  </si>
  <si>
    <t>compra y venta equipo diana garcia e instlacion y otros - parqueadero</t>
  </si>
  <si>
    <t>instalacion disco duro diana garcia - pcjulio</t>
  </si>
  <si>
    <t>Pago deudas Diana</t>
  </si>
  <si>
    <t>COMPRAR E INSTALACION DISCO DURO PARA JOYERIA 18K</t>
  </si>
  <si>
    <t>300 cadena de Julio</t>
  </si>
  <si>
    <t>CAMPAÑA 2021</t>
  </si>
  <si>
    <t>ABONO CAMPAÑA CALL CENTER</t>
  </si>
  <si>
    <t>300 cadena de Agosto</t>
  </si>
  <si>
    <t>compras de boletas cali</t>
  </si>
  <si>
    <t>300 arriendo</t>
  </si>
  <si>
    <t>KM 101609?</t>
  </si>
  <si>
    <t>100 Jair amigo</t>
  </si>
  <si>
    <t>ver partidocali amarica amigos oficina</t>
  </si>
  <si>
    <t>50 cumpleaños Martiza</t>
  </si>
  <si>
    <t xml:space="preserve">salida niños </t>
  </si>
  <si>
    <t>50 boletas</t>
  </si>
  <si>
    <t>gasolina carro diana</t>
  </si>
  <si>
    <t>80 parqueadero</t>
  </si>
  <si>
    <t>GASTOS ESTADIO SANTI</t>
  </si>
  <si>
    <t>30 cumpleaños Jhon (Felisa)</t>
  </si>
  <si>
    <t>VENTA DE OFFICE IGLESIA</t>
  </si>
  <si>
    <t>pago a sebas</t>
  </si>
  <si>
    <t>EXCEDENTE ZAPATOS CAMBIO</t>
  </si>
  <si>
    <t>600 eps Diana.  &lt;--------</t>
  </si>
  <si>
    <t>salida con diana cumple jimmy</t>
  </si>
  <si>
    <t>250 impuesto diana y argemiro &lt;--------</t>
  </si>
  <si>
    <t>EFECTIVO</t>
  </si>
  <si>
    <t>cruce facturas</t>
  </si>
  <si>
    <t xml:space="preserve">almuerzo oficina </t>
  </si>
  <si>
    <t>actividad dia familia brayan</t>
  </si>
  <si>
    <t>actividad dia familia diana</t>
  </si>
  <si>
    <t xml:space="preserve">cadena brayan </t>
  </si>
  <si>
    <t>Regalo cumple y yesenia</t>
  </si>
  <si>
    <t>Tanqueo gasoliina</t>
  </si>
  <si>
    <t>Efecty</t>
  </si>
  <si>
    <t>Regalo diana  - maleta</t>
  </si>
  <si>
    <t>compra de buso a jhon edwar</t>
  </si>
  <si>
    <t>prestamo a doña lucy 2000000</t>
  </si>
  <si>
    <t xml:space="preserve">RECARGAS </t>
  </si>
  <si>
    <t>RECARGAS PARA BRYGAR Y CUMPLEAÑEROS</t>
  </si>
  <si>
    <t>COMIDA CONN LOS NIÑOS</t>
  </si>
  <si>
    <t>pollocasa yuli almuerzo</t>
  </si>
  <si>
    <t>alitas pollo</t>
  </si>
  <si>
    <t>ganancias plataforma recargas</t>
  </si>
  <si>
    <t>comida en oficina 201 - salchichas</t>
  </si>
  <si>
    <t>almuerzo oficina daniela</t>
  </si>
  <si>
    <t>4xmil bancolombia</t>
  </si>
  <si>
    <t>bancolombia</t>
  </si>
  <si>
    <t>ahorro  sept</t>
  </si>
  <si>
    <t>bbva</t>
  </si>
  <si>
    <t>CARRO DIANA</t>
  </si>
  <si>
    <t>compra arroz donde yuli</t>
  </si>
  <si>
    <t xml:space="preserve">regalo cumple </t>
  </si>
  <si>
    <t>pago factura movistar casa</t>
  </si>
  <si>
    <t>daviplata</t>
  </si>
  <si>
    <t>compras de diademas arroyave</t>
  </si>
  <si>
    <t>compra de 2 antenas wifi</t>
  </si>
  <si>
    <t>2 discos duros solidos y caja - arroyave</t>
  </si>
  <si>
    <t>compra de dvrpara sala de internet</t>
  </si>
  <si>
    <t>Comida niños</t>
  </si>
  <si>
    <t>salida almorzar cumple sept oficina</t>
  </si>
  <si>
    <t>300 cadena</t>
  </si>
  <si>
    <t>afiliaciones lego sept y agosto</t>
  </si>
  <si>
    <t xml:space="preserve">  80 Evento</t>
  </si>
  <si>
    <t>100 Jimmy</t>
  </si>
  <si>
    <t>compra de monitor - y disco solido</t>
  </si>
  <si>
    <t>100 parqueadero</t>
  </si>
  <si>
    <t>incapacidad de lina fajardo</t>
  </si>
  <si>
    <t>100 Nilson</t>
  </si>
  <si>
    <t>PRESTAMO A PRIMA DE DIANA MOLINA</t>
  </si>
  <si>
    <t>150 efectivo</t>
  </si>
  <si>
    <t>sebas programa recargas</t>
  </si>
  <si>
    <t xml:space="preserve">  60 cadena</t>
  </si>
  <si>
    <t>johana nuñez - sept</t>
  </si>
  <si>
    <t xml:space="preserve">  50 pago de mi plan</t>
  </si>
  <si>
    <t>ARREGLO FOTOCOPIADORA 2550 RICOH</t>
  </si>
  <si>
    <t>100 efectivo</t>
  </si>
  <si>
    <t>compras</t>
  </si>
  <si>
    <t>150 Lina</t>
  </si>
  <si>
    <t>200 efectivo</t>
  </si>
  <si>
    <t xml:space="preserve">  60 pago a Sebas</t>
  </si>
  <si>
    <t>diezmo octubre</t>
  </si>
  <si>
    <t>100 Efectivo</t>
  </si>
  <si>
    <t>PARTIDO</t>
  </si>
  <si>
    <t>20 eps</t>
  </si>
  <si>
    <t>arreglo pc anderson viviana</t>
  </si>
  <si>
    <t>300 Efectivo</t>
  </si>
  <si>
    <t>300 PINTURA</t>
  </si>
  <si>
    <t xml:space="preserve">ganancia marina cahvez </t>
  </si>
  <si>
    <t>arreglo decontrol carro</t>
  </si>
  <si>
    <t>compra de 3 discos solidos y antenas wifi</t>
  </si>
  <si>
    <t>ayuda mama jair</t>
  </si>
  <si>
    <t>compra de portatil lenovo</t>
  </si>
  <si>
    <t>le di en el centro</t>
  </si>
  <si>
    <t>carro</t>
  </si>
  <si>
    <t>compra de control carro</t>
  </si>
  <si>
    <t>COMPRA CAMISAS NEGOCIO</t>
  </si>
  <si>
    <t>queda</t>
  </si>
  <si>
    <t>DIANA MOLINA PAGO BANCO 10000000</t>
  </si>
  <si>
    <t>ANGEL AMIGO DEL PARQUEADERO</t>
  </si>
  <si>
    <t>CADENA BRAYAN OCTUBRE</t>
  </si>
  <si>
    <t>PAGO GERALDIN QUINCENA 1 oct</t>
  </si>
  <si>
    <t>estampillas</t>
  </si>
  <si>
    <t>compras d1</t>
  </si>
  <si>
    <t>km 2990</t>
  </si>
  <si>
    <t>piscina y comida</t>
  </si>
  <si>
    <t>al torito con diana y niños</t>
  </si>
  <si>
    <t>salida con tatiana y jimmy</t>
  </si>
  <si>
    <t>estudio de arrendamiento</t>
  </si>
  <si>
    <t>estampillas yuli</t>
  </si>
  <si>
    <t>PARA Comida casa diana</t>
  </si>
  <si>
    <t>compra de diademas campaña</t>
  </si>
  <si>
    <t>compra de frutas casa</t>
  </si>
  <si>
    <t>otros sin apuntar</t>
  </si>
  <si>
    <t>compra de 8 discos duros solidos adata</t>
  </si>
  <si>
    <t>adaptador para portatil</t>
  </si>
  <si>
    <t>ala y gaseosa</t>
  </si>
  <si>
    <t>resma de papel oficina san marino</t>
  </si>
  <si>
    <t>MINUTOS CAMPAÑA</t>
  </si>
  <si>
    <t>CALL CENTER ARROYAVE</t>
  </si>
  <si>
    <t>prestamo a don hector 2000000</t>
  </si>
  <si>
    <t>saldo para subir a daniela en recargas</t>
  </si>
  <si>
    <t>PAGO GERALDIN QUINCENA 2da oct</t>
  </si>
  <si>
    <t>PAGO SERVICIOS Y GAS</t>
  </si>
  <si>
    <t>para dulces dias de las brujas- en café mi tierra</t>
  </si>
  <si>
    <t>ARRIENDO APARTAMENTO NUEVO</t>
  </si>
  <si>
    <t>ayuda</t>
  </si>
  <si>
    <t>Almuerzo</t>
  </si>
  <si>
    <t xml:space="preserve">Examen </t>
  </si>
  <si>
    <t xml:space="preserve">Tapabocas </t>
  </si>
  <si>
    <t xml:space="preserve">pago atlas </t>
  </si>
  <si>
    <t>gafas brayan</t>
  </si>
  <si>
    <t>cumple geral</t>
  </si>
  <si>
    <t>adictivo</t>
  </si>
  <si>
    <t>compras pasarela</t>
  </si>
  <si>
    <t>chazos</t>
  </si>
  <si>
    <t>colchon</t>
  </si>
  <si>
    <t>regalo fiesta 15 hija luis</t>
  </si>
  <si>
    <t>arroz mixto reyes de arroz</t>
  </si>
  <si>
    <t>llamadas movilnet</t>
  </si>
  <si>
    <t>futbol</t>
  </si>
  <si>
    <t>taxi</t>
  </si>
  <si>
    <t>ALMUERZOS TRABAJOS</t>
  </si>
  <si>
    <t>salida santi colegio</t>
  </si>
  <si>
    <t>almuerzo y parqueadero</t>
  </si>
  <si>
    <t>APTO-DIANA</t>
  </si>
  <si>
    <t>compra de butaco y caja de guardar</t>
  </si>
  <si>
    <t>compra portarretratos</t>
  </si>
  <si>
    <t>compra lamparas</t>
  </si>
  <si>
    <t>instalacion nevera</t>
  </si>
  <si>
    <t>Compra cuchillo, candelabros, otros</t>
  </si>
  <si>
    <t>COMPRA DE ESCRITORIO Y BIBLIOTECA</t>
  </si>
  <si>
    <t>compra dollar city</t>
  </si>
  <si>
    <t>compra de sabanas y cobijas</t>
  </si>
  <si>
    <t>compras en republica</t>
  </si>
  <si>
    <t>compra en sentry</t>
  </si>
  <si>
    <t>compra en dollar city</t>
  </si>
  <si>
    <t>saldo compra cama</t>
  </si>
  <si>
    <t>compra en home center</t>
  </si>
  <si>
    <t>Fact. cocina</t>
  </si>
  <si>
    <t xml:space="preserve">Fact. cocina </t>
  </si>
  <si>
    <t>separar muebles y comedor</t>
  </si>
  <si>
    <t>mandar hacer cama y colchon</t>
  </si>
  <si>
    <t>nevera 2300</t>
  </si>
  <si>
    <t>lavadora y otros 2343</t>
  </si>
  <si>
    <t>IMPRESIÓN RASPA Y GANE</t>
  </si>
  <si>
    <t>KM</t>
  </si>
  <si>
    <t>compra de lamparas y caja</t>
  </si>
  <si>
    <t>compra de chapa seguridad</t>
  </si>
  <si>
    <t>compra en D1</t>
  </si>
  <si>
    <t>compra en d1 niños</t>
  </si>
  <si>
    <t>compra de espejo</t>
  </si>
  <si>
    <t>para compras - llevo diana</t>
  </si>
  <si>
    <t>compra de resmas sala internet</t>
  </si>
  <si>
    <t>compra de bateria para carro sandero stepway</t>
  </si>
  <si>
    <t>sacar copia de llaves</t>
  </si>
  <si>
    <t>adeshivo espejp</t>
  </si>
  <si>
    <t xml:space="preserve">shampoo camila </t>
  </si>
  <si>
    <t>compras para la sala internet</t>
  </si>
  <si>
    <t>diana para caney toallas</t>
  </si>
  <si>
    <t>pantallas netflix</t>
  </si>
  <si>
    <t xml:space="preserve">mercado </t>
  </si>
  <si>
    <t>compra de discos duros oficina 5</t>
  </si>
  <si>
    <t>compra de antena dual - jho jairo</t>
  </si>
  <si>
    <t>compra de 2 escaner cedulas</t>
  </si>
  <si>
    <t>cumpleaños hermano de diana</t>
  </si>
  <si>
    <t>venta de servidor petrae</t>
  </si>
  <si>
    <t>CONGRESO PRIMA</t>
  </si>
  <si>
    <t>LUCES NAVIDEÑAS</t>
  </si>
  <si>
    <t>TOALLAS</t>
  </si>
  <si>
    <t>A FABIO NELSON OCORO 1500000</t>
  </si>
  <si>
    <t>Compra de plantillas</t>
  </si>
  <si>
    <t>compra saldo para mensajes de texto</t>
  </si>
  <si>
    <t>COMPRA MINUTOS MOVILNET</t>
  </si>
  <si>
    <t xml:space="preserve">pago quincena geral </t>
  </si>
  <si>
    <t xml:space="preserve">almuerzos </t>
  </si>
  <si>
    <t>comida con tatiana</t>
  </si>
  <si>
    <t xml:space="preserve">comida niños </t>
  </si>
  <si>
    <t>premio santi</t>
  </si>
  <si>
    <t>premio camila</t>
  </si>
  <si>
    <t>keratina yuli</t>
  </si>
  <si>
    <t>arriendo apartamento caney</t>
  </si>
  <si>
    <t>regalo tio alex</t>
  </si>
  <si>
    <t>tarjeta juegos</t>
  </si>
  <si>
    <t>comida con los niños</t>
  </si>
  <si>
    <t>recargas arroyave</t>
  </si>
  <si>
    <t>prestamo a luis mira  3000000</t>
  </si>
  <si>
    <t xml:space="preserve">compra de galletas </t>
  </si>
  <si>
    <t xml:space="preserve">compra de anchetas para trabajadores </t>
  </si>
  <si>
    <t>nequi k</t>
  </si>
  <si>
    <t>arl edgar garcia trabajo yumbo</t>
  </si>
  <si>
    <t>compras en el unico</t>
  </si>
  <si>
    <t>cervezas</t>
  </si>
  <si>
    <t>cumpeaños tio lenin</t>
  </si>
  <si>
    <t xml:space="preserve">prestamo a juan david rodriguez </t>
  </si>
  <si>
    <t>compra vinos</t>
  </si>
  <si>
    <t>venta munitos movil net nov</t>
  </si>
  <si>
    <t>venta munitos movil net dic</t>
  </si>
  <si>
    <t>mensajes de texto campaña</t>
  </si>
  <si>
    <t xml:space="preserve">cadena edgar garcia </t>
  </si>
  <si>
    <t xml:space="preserve">pago de servicios publicos </t>
  </si>
  <si>
    <t>compra de mensajes de texto</t>
  </si>
  <si>
    <t>prestamo luis mira 1000000</t>
  </si>
  <si>
    <t>COMPRA DE REGALOS NAVIDAD NIÑOS</t>
  </si>
  <si>
    <t>COMPRA DETECLADOS Y MOUSE CAMPAÑA</t>
  </si>
  <si>
    <t>CARNITAS</t>
  </si>
  <si>
    <t xml:space="preserve">PAGO DE ANCHETAS  </t>
  </si>
  <si>
    <t xml:space="preserve"> BUSOS BRYGAR</t>
  </si>
  <si>
    <t>DIANA DEBIA</t>
  </si>
  <si>
    <t>INTERNET APTO</t>
  </si>
  <si>
    <t>CITA MEDICA</t>
  </si>
  <si>
    <t>CHAMPU MEDICO</t>
  </si>
  <si>
    <t>NOVENAS COMUNA 16</t>
  </si>
  <si>
    <t>compras cargadores y audifonos doctor</t>
  </si>
  <si>
    <t>ganancia plataforma sala internet</t>
  </si>
  <si>
    <t>salida anv</t>
  </si>
  <si>
    <t>ALQUILER DE SOTFWARE CAMPAÑA CAUCA</t>
  </si>
  <si>
    <t>MENSAJE DE TEXTO</t>
  </si>
  <si>
    <t>Regalo sarita</t>
  </si>
  <si>
    <t>Compras casa</t>
  </si>
  <si>
    <t>compra de ropa</t>
  </si>
  <si>
    <t>jean camisa</t>
  </si>
  <si>
    <t>pantalon gero</t>
  </si>
  <si>
    <t>ropa herpo</t>
  </si>
  <si>
    <t>patines niños</t>
  </si>
  <si>
    <t>pantalones</t>
  </si>
  <si>
    <t>regalo evan</t>
  </si>
  <si>
    <t>jean brayan</t>
  </si>
  <si>
    <t>correas</t>
  </si>
  <si>
    <t>zapatos diana</t>
  </si>
  <si>
    <t>bolso amparo</t>
  </si>
  <si>
    <t>saldo instalacion callcenter</t>
  </si>
  <si>
    <t>CUADRE</t>
  </si>
  <si>
    <t>CUADRE DICIEMBRE</t>
  </si>
  <si>
    <t>COMPRAS</t>
  </si>
  <si>
    <t>compra de zapatos</t>
  </si>
  <si>
    <t>compra camisa y medias santi</t>
  </si>
  <si>
    <t>compra camisa santi</t>
  </si>
  <si>
    <t>compra de reloj QQ</t>
  </si>
  <si>
    <t>compra pantalon santi</t>
  </si>
  <si>
    <t>FACTURA DIANA</t>
  </si>
  <si>
    <t>entrada ventas Arroyave</t>
  </si>
  <si>
    <t>COMPRAS ARROYAVE</t>
  </si>
  <si>
    <t>CALLE</t>
  </si>
  <si>
    <t>mercado mercaunion</t>
  </si>
  <si>
    <t>mercado d1</t>
  </si>
  <si>
    <t>Abono muebles 2</t>
  </si>
  <si>
    <t>pago arriendo aparto caney</t>
  </si>
  <si>
    <t>Compra mensajes de texto - TARJETA CREDITO</t>
  </si>
  <si>
    <t>COMPRAS DOCTOR - TARJETA CREDITO</t>
  </si>
  <si>
    <t>cuidado niños a</t>
  </si>
  <si>
    <t>compra zapatos dafiti</t>
  </si>
  <si>
    <t xml:space="preserve">compra camisilla mercadolibre </t>
  </si>
  <si>
    <t>cargar minutos a argenys gomez</t>
  </si>
  <si>
    <t>abono quincena campaña cauca</t>
  </si>
  <si>
    <t>gastos viaje popayan</t>
  </si>
  <si>
    <t xml:space="preserve">otros </t>
  </si>
  <si>
    <t>cadena edgar</t>
  </si>
  <si>
    <t>saldo megamudanzas</t>
  </si>
  <si>
    <t>COLEGIO</t>
  </si>
  <si>
    <t xml:space="preserve">compra utiles </t>
  </si>
  <si>
    <t>compra de diademas, teclado, reguladores</t>
  </si>
  <si>
    <t>pago geraldin</t>
  </si>
  <si>
    <t>viaje a popayan</t>
  </si>
  <si>
    <t>camisa blanca</t>
  </si>
  <si>
    <t>caja tapabocas</t>
  </si>
  <si>
    <t>REGALOS</t>
  </si>
  <si>
    <t>relosj regalo carlos</t>
  </si>
  <si>
    <t>arreglo relojes</t>
  </si>
  <si>
    <t>pijama camila</t>
  </si>
  <si>
    <t>chanclas niños</t>
  </si>
  <si>
    <t>bolsas lavar</t>
  </si>
  <si>
    <t>taxi geral llevar niños</t>
  </si>
  <si>
    <t>camisas brayan</t>
  </si>
  <si>
    <t>fruver mercado</t>
  </si>
  <si>
    <t>aretes amparo</t>
  </si>
  <si>
    <t>parqueadero casa</t>
  </si>
  <si>
    <t>cuota arroyave</t>
  </si>
  <si>
    <t>carne casa</t>
  </si>
  <si>
    <t>paseo</t>
  </si>
  <si>
    <t>camisilla</t>
  </si>
  <si>
    <t>gasolina popayan</t>
  </si>
  <si>
    <t>geitorade</t>
  </si>
  <si>
    <t>peajes</t>
  </si>
  <si>
    <t>desayunos</t>
  </si>
  <si>
    <t>gasolina km 32</t>
  </si>
  <si>
    <t>cervezas km32</t>
  </si>
  <si>
    <t>hospedaje km32</t>
  </si>
  <si>
    <t>almuerzo km32</t>
  </si>
  <si>
    <t>ropa camila cumpleaños</t>
  </si>
  <si>
    <t>COMPRAS OLIMPICA</t>
  </si>
  <si>
    <t>pago campaña cauca enero</t>
  </si>
  <si>
    <t>envio de sms campaña cauca</t>
  </si>
  <si>
    <t>consginacion iphone julio cesar perea</t>
  </si>
  <si>
    <t>salida cumpleaños camila</t>
  </si>
  <si>
    <t>saldo comedor 2</t>
  </si>
  <si>
    <t>recargar plataforma movilnet</t>
  </si>
  <si>
    <t>emcali energia casa</t>
  </si>
  <si>
    <t>CLARO DIANA</t>
  </si>
  <si>
    <t>CADENA BRAYAN FEB</t>
  </si>
  <si>
    <t>saldo compra de iphone 13</t>
  </si>
  <si>
    <t>recargas daniela brygar</t>
  </si>
  <si>
    <t>INCAPACIDAD NEYIBE</t>
  </si>
  <si>
    <t>para aporte comuna 16</t>
  </si>
  <si>
    <t>panaderia jhon martin</t>
  </si>
  <si>
    <t>jj debe</t>
  </si>
  <si>
    <t>ABONO MANZANO DE LIBRO - SALDO 700</t>
  </si>
  <si>
    <t>arrienda</t>
  </si>
  <si>
    <t>diana</t>
  </si>
  <si>
    <t>compra de llamadas pregrabadas</t>
  </si>
  <si>
    <t>pago de parqueaderos 201</t>
  </si>
  <si>
    <t>configuracion de servidor diana garcia</t>
  </si>
  <si>
    <t>uniformes y maletin niños</t>
  </si>
  <si>
    <t>pago atrasados seguridad atlas</t>
  </si>
  <si>
    <t>desayunos y otros</t>
  </si>
  <si>
    <t>saldo muebles</t>
  </si>
  <si>
    <t>PAGO DE CENSO - CAUCA</t>
  </si>
  <si>
    <t>COMPRA DE SALDO LLAMADA PREGRABADA</t>
  </si>
  <si>
    <t>SALIDA POPAYAN</t>
  </si>
  <si>
    <t>HOTEL POPAYAN</t>
  </si>
  <si>
    <t>COMPRA DE CARGADOR IPHONE</t>
  </si>
  <si>
    <t>PAGO DE ARRIENDO APARTAMENTO</t>
  </si>
  <si>
    <t>campaña cauca diciembre</t>
  </si>
  <si>
    <t>campaña cauca febrero</t>
  </si>
  <si>
    <t>audio enviado yuli castillo -argenys</t>
  </si>
  <si>
    <t>audio enviado argeny</t>
  </si>
  <si>
    <t>seguridad social enero campaña cauca</t>
  </si>
  <si>
    <t>consigno de mensajes de texto y audios</t>
  </si>
  <si>
    <t>entrada elecciones luifer</t>
  </si>
  <si>
    <t xml:space="preserve">abono manzano </t>
  </si>
  <si>
    <t>prestamo a jessica ramirez 5000</t>
  </si>
  <si>
    <t>pago campaña cauca 15 marzo</t>
  </si>
  <si>
    <t>compra de reloj apple wath</t>
  </si>
  <si>
    <t>compra camisas y locion</t>
  </si>
  <si>
    <t>compras de la casa</t>
  </si>
  <si>
    <t>alitas y hamburguesas</t>
  </si>
  <si>
    <t>facturas movistar apto</t>
  </si>
  <si>
    <t>regalo de victoria</t>
  </si>
  <si>
    <t>desayuno y almuerzo</t>
  </si>
  <si>
    <t>pago yuli - trabajo e-14</t>
  </si>
  <si>
    <t>pago tia diana - trabajo e14</t>
  </si>
  <si>
    <t>pago diana trabajo e14</t>
  </si>
  <si>
    <t>CARRO</t>
  </si>
  <si>
    <t>cambio aceite - mantenimiento frenos - alarma</t>
  </si>
  <si>
    <t>mercado cosas amparo</t>
  </si>
  <si>
    <t>compras brayan</t>
  </si>
  <si>
    <t>conmpra dollar city</t>
  </si>
  <si>
    <t>cambio de alarma carro</t>
  </si>
  <si>
    <t>cadenas todos</t>
  </si>
  <si>
    <t>facturas emcali apto</t>
  </si>
  <si>
    <t>arriendo lucy</t>
  </si>
  <si>
    <t>arreglo impresora</t>
  </si>
  <si>
    <t>consignado k</t>
  </si>
  <si>
    <t>compra mouse</t>
  </si>
  <si>
    <t>ayuda transportes</t>
  </si>
  <si>
    <t>comida popayan</t>
  </si>
  <si>
    <t>PRESTAMO DIANA MOLINA PARA CANEY</t>
  </si>
  <si>
    <t>MITAD COMPRAS CANEY</t>
  </si>
  <si>
    <t>DIANA MOLINA PANDEMIA</t>
  </si>
  <si>
    <t>luis angel peña</t>
  </si>
  <si>
    <t>diezmo abril</t>
  </si>
  <si>
    <t>NIÑOS</t>
  </si>
  <si>
    <t xml:space="preserve">niños </t>
  </si>
  <si>
    <t xml:space="preserve">gastos </t>
  </si>
  <si>
    <t>compra xbox one</t>
  </si>
  <si>
    <t>arriendo apto</t>
  </si>
  <si>
    <t>prestamo DIANA MOLINA pagar banco bogota</t>
  </si>
  <si>
    <t>concejo enero DIANA MOLINA</t>
  </si>
  <si>
    <t>compra de control</t>
  </si>
  <si>
    <t>prestamos don hector 3000000</t>
  </si>
  <si>
    <t>tv</t>
  </si>
  <si>
    <t>compra de base tv</t>
  </si>
  <si>
    <t>compra de herramientas tv - y cables</t>
  </si>
  <si>
    <t xml:space="preserve">Compra de agujas finca arroyave </t>
  </si>
  <si>
    <t>Ofrenda 8 meses</t>
  </si>
  <si>
    <t>Pago parqueadero apto</t>
  </si>
  <si>
    <t>Almuerzos</t>
  </si>
  <si>
    <t>comida con coordinadores</t>
  </si>
  <si>
    <t>abono pagos campaña arroyave</t>
  </si>
  <si>
    <t>comida amparo</t>
  </si>
  <si>
    <t>bafle amparo</t>
  </si>
  <si>
    <t>compra destapador</t>
  </si>
  <si>
    <t>minutos plan</t>
  </si>
  <si>
    <t>prestamo jeimy ocampo 500</t>
  </si>
  <si>
    <t>vueltas</t>
  </si>
  <si>
    <t>salida a cenar cumple amparo</t>
  </si>
  <si>
    <t>ASEO Y CUIDADA NIÑOS GERALIN</t>
  </si>
  <si>
    <t>CUADRE ABBRIL</t>
  </si>
  <si>
    <t>casa</t>
  </si>
  <si>
    <t>pago del arriendo apartamento</t>
  </si>
  <si>
    <t>desayuno con diana</t>
  </si>
  <si>
    <t>frutas diana</t>
  </si>
  <si>
    <t>cita diana</t>
  </si>
  <si>
    <t>Compra de  mousey teclados CIT</t>
  </si>
  <si>
    <t>compra de combo inalambrico oficina arroyave</t>
  </si>
  <si>
    <t>compra deusb oficina arroyave</t>
  </si>
  <si>
    <t>compra de dvr oficina arroyave</t>
  </si>
  <si>
    <t>gasolina, limpiavidrios, adictivo</t>
  </si>
  <si>
    <t>niños</t>
  </si>
  <si>
    <t>regalo madre- centadillas</t>
  </si>
  <si>
    <t>cita santiago, mango y pan</t>
  </si>
  <si>
    <t>curso de musica santiago</t>
  </si>
  <si>
    <t>Detalle yerly</t>
  </si>
  <si>
    <t>Guarda</t>
  </si>
  <si>
    <t>Almuerzo con martin</t>
  </si>
  <si>
    <t>Ayuda tecno</t>
  </si>
  <si>
    <t>Tecnomecanico uup920</t>
  </si>
  <si>
    <t>Bombillos carro</t>
  </si>
  <si>
    <t>SOAT UUP 920</t>
  </si>
  <si>
    <t>compra de libro santiago</t>
  </si>
  <si>
    <t>comidas en la calle</t>
  </si>
  <si>
    <t>pollo almuerzo niños</t>
  </si>
  <si>
    <t>compra tiquetes cartagena brayan y diana</t>
  </si>
  <si>
    <t>pago danza niños</t>
  </si>
  <si>
    <t>pago campaña arroyave 2022</t>
  </si>
  <si>
    <t>salida macdona</t>
  </si>
  <si>
    <t>regalo pantalon diana</t>
  </si>
  <si>
    <t>ropa niños</t>
  </si>
  <si>
    <t>comida casa</t>
  </si>
  <si>
    <t>almuerzo domingo</t>
  </si>
  <si>
    <t>helados sobrinos sabado</t>
  </si>
  <si>
    <t>diego iglesia dia mujer</t>
  </si>
  <si>
    <t>compra de tabla para arreglo sala</t>
  </si>
  <si>
    <t>comida casa yesenia</t>
  </si>
  <si>
    <t>comida en la oficina centro</t>
  </si>
  <si>
    <t>cadena mayo</t>
  </si>
  <si>
    <t>corte madera</t>
  </si>
  <si>
    <t>pegante madera</t>
  </si>
  <si>
    <t>productos aseo brygar</t>
  </si>
  <si>
    <t>mercado casa d1</t>
  </si>
  <si>
    <t>canto madera</t>
  </si>
  <si>
    <t>pegda canto</t>
  </si>
  <si>
    <t>arreglo madera</t>
  </si>
  <si>
    <t>salida morales niños</t>
  </si>
  <si>
    <t>compra tornillos y t</t>
  </si>
  <si>
    <t>compra tornillos y t 2</t>
  </si>
  <si>
    <t>almuerzo dia de la madre</t>
  </si>
  <si>
    <t>compra disco duro externo</t>
  </si>
  <si>
    <t>8 celulares y auriculares y simcard</t>
  </si>
  <si>
    <t>PINTADA CARRO</t>
  </si>
  <si>
    <t>COMPRA MATERIALES</t>
  </si>
  <si>
    <t>ARREGLO DE CAMARA ZORAIDA</t>
  </si>
  <si>
    <t>DESAYUNO - ALMUERZO Y PARQUEADERO</t>
  </si>
  <si>
    <t>boletas futbol mujeres</t>
  </si>
  <si>
    <t>salida con padrinos</t>
  </si>
  <si>
    <t>compra materiales pintura</t>
  </si>
  <si>
    <t>PINTADA REJA BRYGAR</t>
  </si>
  <si>
    <t>Pago parqueadero ESTEBAN</t>
  </si>
  <si>
    <t>PAGO FACTURA No. 3293 - CUADRAR JOHANA NUÑEZ</t>
  </si>
  <si>
    <t>cuadre a johana nuñez</t>
  </si>
  <si>
    <t>RECIBO EMCALI MAYO- DIANA BRAYAN</t>
  </si>
  <si>
    <t>4 CARRERAS LENIN - BRAYAN</t>
  </si>
  <si>
    <t>IMPRESORA DON HAROLD 160 + 40</t>
  </si>
  <si>
    <t>MOVISTARK - BRAYAN</t>
  </si>
  <si>
    <t>RECIBO GAS - DIANA BRAYAN</t>
  </si>
  <si>
    <t>PINTURA SALA JULIA</t>
  </si>
  <si>
    <t>MATERIALES 223 JULIA 15 SEBAS 19</t>
  </si>
  <si>
    <t>pintada del carro</t>
  </si>
  <si>
    <t>compra desayuno</t>
  </si>
  <si>
    <t>compra de cables energia</t>
  </si>
  <si>
    <t>SEBAS MATERIALES chazos pintura</t>
  </si>
  <si>
    <t>TRAPOS CANALETAS TORNILLOS Y TAPITAS</t>
  </si>
  <si>
    <t>PAGO FABIAN instalacion energia</t>
  </si>
  <si>
    <t>saldo sebastian recargas</t>
  </si>
  <si>
    <t>RECIBO EMCALI JUNIO- DIANA BRAYAN 27/05/2022</t>
  </si>
  <si>
    <t>k</t>
  </si>
  <si>
    <t>arriendo apartamento</t>
  </si>
  <si>
    <t>comida estadio</t>
  </si>
  <si>
    <t>pago impuestos uup920 2022</t>
  </si>
  <si>
    <t>pago impuestos fgt 736 luis humberto pineda</t>
  </si>
  <si>
    <t>edilberto mina prestamo 350</t>
  </si>
  <si>
    <t>pago pasaporte  cita</t>
  </si>
  <si>
    <t>salida con diana rodizo 176</t>
  </si>
  <si>
    <t>compras para comida casa</t>
  </si>
  <si>
    <t>medicinas gripa</t>
  </si>
  <si>
    <t>desayuno y  almuerzo</t>
  </si>
  <si>
    <t>actividad de revelacion genero</t>
  </si>
  <si>
    <t>abono compra llantas venezuela</t>
  </si>
  <si>
    <t>impresión  vinilo brygar</t>
  </si>
  <si>
    <t>bisturi</t>
  </si>
  <si>
    <t>almuerzo con martin</t>
  </si>
  <si>
    <t>regalo k</t>
  </si>
  <si>
    <t>yuli peluquiada</t>
  </si>
  <si>
    <t>leidy cumple jhon der</t>
  </si>
  <si>
    <t>cumple jhon der</t>
  </si>
  <si>
    <t>ropa santi - yesenia</t>
  </si>
  <si>
    <t>compra de bolso brayan</t>
  </si>
  <si>
    <t>boleta chiqui</t>
  </si>
  <si>
    <t>abono trabajo nilson</t>
  </si>
  <si>
    <t>cita y jugo santi</t>
  </si>
  <si>
    <t>empanadas y jugo niños</t>
  </si>
  <si>
    <t>pago buso yesenia</t>
  </si>
  <si>
    <t>pago movistar servidor</t>
  </si>
  <si>
    <t>instalacion de vidrios brygar</t>
  </si>
  <si>
    <t>creacion empresa camara y comercio</t>
  </si>
  <si>
    <t>gas factura</t>
  </si>
  <si>
    <t>prima sebastian garcia junio 2022</t>
  </si>
  <si>
    <t>compra de 7 discos durs solidos</t>
  </si>
  <si>
    <t>segundo pago pasaporte</t>
  </si>
  <si>
    <t>COMPRA DE IMPRESORA ARROYAVE</t>
  </si>
  <si>
    <t>compra de air tag</t>
  </si>
  <si>
    <t>salida con niños</t>
  </si>
  <si>
    <t>chunculo y helado niños</t>
  </si>
  <si>
    <t>almuerzo con jhon jairo</t>
  </si>
  <si>
    <t>carga betplay</t>
  </si>
  <si>
    <t>calzas dientes</t>
  </si>
  <si>
    <t>compra zapatos</t>
  </si>
  <si>
    <t>compra dollarcity</t>
  </si>
  <si>
    <t>ROPA YESENIA</t>
  </si>
  <si>
    <t>RECIBO EMCALI APARTAMENTO</t>
  </si>
  <si>
    <t>ARREGLO BAÑO SALA</t>
  </si>
  <si>
    <t>rifa daniela</t>
  </si>
  <si>
    <t>trabajo electoral diana cabrera btura</t>
  </si>
  <si>
    <t>salida a juanchaco ladrilleros</t>
  </si>
  <si>
    <t>digitacion cc</t>
  </si>
  <si>
    <t>pago factura movistar internet servidor</t>
  </si>
  <si>
    <t>pago login yesenia</t>
  </si>
  <si>
    <t>completar para compra fotocopiadora mp c3502</t>
  </si>
  <si>
    <t>pago a don harol compra fotocopiadora</t>
  </si>
  <si>
    <t>compra de tintas y chip</t>
  </si>
  <si>
    <t>transporte fotocopiadora</t>
  </si>
  <si>
    <t>PRIMA CONGRESO 2022</t>
  </si>
  <si>
    <t>salida a cine</t>
  </si>
  <si>
    <t>cumpleaños jhon jairo rosero</t>
  </si>
  <si>
    <t>saldo redes daviplata carolina</t>
  </si>
  <si>
    <t xml:space="preserve">viaje a cartagena </t>
  </si>
  <si>
    <t>compra de medias  a yesenia</t>
  </si>
  <si>
    <t>CADENA JULIO</t>
  </si>
  <si>
    <t>prestamo a jhon jairo rosero</t>
  </si>
  <si>
    <t>prestamo a edilberto mina 300 NO PAGO</t>
  </si>
  <si>
    <t>PRESTAMOS DON HECTOR 7000000</t>
  </si>
  <si>
    <t>cunetas de las empresas</t>
  </si>
  <si>
    <t>cumpleaños michell</t>
  </si>
  <si>
    <t>diezmo julio</t>
  </si>
  <si>
    <t>OTROS SALA</t>
  </si>
  <si>
    <t>VUELTAS Y OTROS</t>
  </si>
  <si>
    <t>VASOS SALA</t>
  </si>
  <si>
    <t>RECIBO CASA SERVICIOS PUBLICOS</t>
  </si>
  <si>
    <t>COMPRA DE SILLA SALA</t>
  </si>
  <si>
    <t>REGALO DOMINIK</t>
  </si>
  <si>
    <t>ARREGLO PORTATIL Y CARGADOR</t>
  </si>
  <si>
    <t>GASTOS CASA DIANA</t>
  </si>
  <si>
    <t>actualizacion camara y comercio center cit</t>
  </si>
  <si>
    <t>salida a cenar niños</t>
  </si>
  <si>
    <t>baby shawer isabella</t>
  </si>
  <si>
    <t>diso duro solido y instalacion windoes a muro</t>
  </si>
  <si>
    <t>instalacion computador don anderson</t>
  </si>
  <si>
    <t>compra siiglo construtech</t>
  </si>
  <si>
    <t>compra siigo center cit</t>
  </si>
  <si>
    <t>pedro rubiano probar tv</t>
  </si>
  <si>
    <t>internet servidor</t>
  </si>
  <si>
    <t xml:space="preserve">transporte niños - carlos </t>
  </si>
  <si>
    <t>compra de tintas</t>
  </si>
  <si>
    <t>salida amigos diana</t>
  </si>
  <si>
    <t>proceso</t>
  </si>
  <si>
    <t>cancelacion camara y comercio style bw</t>
  </si>
  <si>
    <t>fiesta johan</t>
  </si>
  <si>
    <t>bonificacion congreso</t>
  </si>
  <si>
    <t>IVA CONSTRUCTECH EDGAR</t>
  </si>
  <si>
    <t>PAGOS PLANILLA EDGAR  Y PRESTE 200</t>
  </si>
  <si>
    <t>GANANCIA EMPRESA CONSTRUCTEH</t>
  </si>
  <si>
    <t>GASTOS NO APUNTADOS</t>
  </si>
  <si>
    <t>MINUTOS LLAMADAS</t>
  </si>
  <si>
    <t>YULI NEQUI</t>
  </si>
  <si>
    <t>DESCUEDRE SEBAS</t>
  </si>
  <si>
    <t>impresiones listados de fya vinculados a color</t>
  </si>
  <si>
    <t>johana nuñez - ganancias</t>
  </si>
  <si>
    <t>A DOÑA LUCY 500000</t>
  </si>
  <si>
    <t>pago url arroyave.digital</t>
  </si>
  <si>
    <t>almuerzosbrayan y jhon rosero</t>
  </si>
  <si>
    <t>compra de articulos tecnologia</t>
  </si>
  <si>
    <t>arreglo del celular iphone rosado</t>
  </si>
  <si>
    <t>curso piano santiago</t>
  </si>
  <si>
    <t>GASTOS VARIOS</t>
  </si>
  <si>
    <t>COMPRA ZAPATOS</t>
  </si>
  <si>
    <t>compra manilla estatica</t>
  </si>
  <si>
    <t>compra de sopladora y aspiradora</t>
  </si>
  <si>
    <t>compra de bateria para aspiradora</t>
  </si>
  <si>
    <t>compra del cargador portatil aliexpress</t>
  </si>
  <si>
    <t>acuerdos pago k</t>
  </si>
  <si>
    <t>saldo arreglo del tv 470</t>
  </si>
  <si>
    <t>entreno basketbol santiago - uniforme-matricula-mensaualidad sept</t>
  </si>
  <si>
    <t>IVA CENTER CIT - CONTRATO  MANZANO</t>
  </si>
  <si>
    <t>plataforma de llamadas</t>
  </si>
  <si>
    <t>cita medica</t>
  </si>
  <si>
    <t>compras cargador total y otros</t>
  </si>
  <si>
    <t>servicios apto</t>
  </si>
  <si>
    <t>factura diana</t>
  </si>
  <si>
    <t>rodillo ricoh don harold</t>
  </si>
  <si>
    <t>netflix</t>
  </si>
  <si>
    <t>arreglo cortina negocio</t>
  </si>
  <si>
    <t>recargas llamadas</t>
  </si>
  <si>
    <t>cadena septiembre</t>
  </si>
  <si>
    <t>pollo niños</t>
  </si>
  <si>
    <t>transportes y</t>
  </si>
  <si>
    <t xml:space="preserve">pago de sms </t>
  </si>
  <si>
    <t>cumpleaños chiqui</t>
  </si>
  <si>
    <t xml:space="preserve">transportes </t>
  </si>
  <si>
    <t>salida niños a la finca con diana</t>
  </si>
  <si>
    <t>AMAURI CEL</t>
  </si>
  <si>
    <t>compra de taladro inalambrico</t>
  </si>
  <si>
    <t>pago pasajes carlos cuñado</t>
  </si>
  <si>
    <t>recibo gas casa</t>
  </si>
  <si>
    <t>arreglos sala internet baldosas</t>
  </si>
  <si>
    <t>camaras arroyave</t>
  </si>
  <si>
    <t>GASTOS VIAJE A POPAYAN</t>
  </si>
  <si>
    <t>cumpleaños emilio</t>
  </si>
  <si>
    <t>pago DIAN declaracion 2020</t>
  </si>
  <si>
    <t xml:space="preserve">salida cumpleaños martin </t>
  </si>
  <si>
    <t>transportes</t>
  </si>
  <si>
    <t>servicios contables JULI ANGELA QUINTERO declaraciones 2020 y 2021</t>
  </si>
  <si>
    <t>arreglo reja sala</t>
  </si>
  <si>
    <t>otros sala</t>
  </si>
  <si>
    <t>SALIDA A COMER CON DIANA</t>
  </si>
  <si>
    <t>COMPRA DE CARNE</t>
  </si>
  <si>
    <t>LENGUA</t>
  </si>
  <si>
    <t>ALMUERZO CON DIANA</t>
  </si>
  <si>
    <t>COMPRA ROPA ISABELLA</t>
  </si>
  <si>
    <t>BEBIDAS JARDIN PLAZA</t>
  </si>
  <si>
    <t>marco gafas</t>
  </si>
  <si>
    <t>examen gafas</t>
  </si>
  <si>
    <t>arepas</t>
  </si>
  <si>
    <t>cristian felipe cortes compra de portatil 700</t>
  </si>
  <si>
    <t>compra cargadores</t>
  </si>
  <si>
    <t>almuerzos oficina</t>
  </si>
  <si>
    <t xml:space="preserve">LENTES CONTACTO </t>
  </si>
  <si>
    <t>recargas llamadas voip</t>
  </si>
  <si>
    <t>MENSAGERIA</t>
  </si>
  <si>
    <t>RECIBO DE EMCALI APTO</t>
  </si>
  <si>
    <t xml:space="preserve">PARED PVC SALA </t>
  </si>
  <si>
    <t>prestamo center cit pago sebasTIAN GARCIA SEPTIEMBRE</t>
  </si>
  <si>
    <t>cumpleaños jose manuel</t>
  </si>
  <si>
    <t>gastos clinica comida y otros</t>
  </si>
  <si>
    <t>compra de gafas nueva formula-2,75 derecho y -2.00 izquierdo</t>
  </si>
  <si>
    <t>OTROS GASTOS</t>
  </si>
  <si>
    <t>LECHE ISABELLA</t>
  </si>
  <si>
    <t>MEDICAMENTOS DIANA</t>
  </si>
  <si>
    <t>ARRIENDO APTO</t>
  </si>
  <si>
    <t>transporte santi</t>
  </si>
  <si>
    <t>ARREGLO FOTOCOPIADORA DON HAROLD</t>
  </si>
  <si>
    <t>examen pase</t>
  </si>
  <si>
    <t>Todo en uno Diana Garcia, instalacion (2500 + 115+ 50)</t>
  </si>
  <si>
    <t>Compra impresora Muro Integrales</t>
  </si>
  <si>
    <t>Compra de camaras seguridad - Vallejo</t>
  </si>
  <si>
    <t>Otros Gastos camaras seguridad - Vallejo</t>
  </si>
  <si>
    <t>arriendo nuevo casa TOTAL 350</t>
  </si>
  <si>
    <t>compra de tv 43 chiqui</t>
  </si>
  <si>
    <t>factura diana claro</t>
  </si>
  <si>
    <t>salida niños morales</t>
  </si>
  <si>
    <t>camara comercio</t>
  </si>
  <si>
    <t>transporte tio lenin</t>
  </si>
  <si>
    <t>pago factura servidor</t>
  </si>
  <si>
    <t>ESCRITURAS</t>
  </si>
  <si>
    <t>ACUERDO MOTO</t>
  </si>
  <si>
    <t>CINE</t>
  </si>
  <si>
    <t>DONAS</t>
  </si>
  <si>
    <t>COMPRA RAM SERVIDOR</t>
  </si>
  <si>
    <t>POSTRES</t>
  </si>
  <si>
    <t>rodillo nuevo</t>
  </si>
  <si>
    <t>CASA-RI</t>
  </si>
  <si>
    <t>instalacion cocina moneda</t>
  </si>
  <si>
    <t>aseo karen casa</t>
  </si>
  <si>
    <t>instalacion lamparas - y swiched energia</t>
  </si>
  <si>
    <t>compra de lamparas</t>
  </si>
  <si>
    <t>llave agua de la cocina</t>
  </si>
  <si>
    <t>operarios trasteo Y ALMUERZO</t>
  </si>
  <si>
    <t>fabionelson contrato señora</t>
  </si>
  <si>
    <t>fabionelson materiales pieza</t>
  </si>
  <si>
    <t xml:space="preserve">Mas materiales </t>
  </si>
  <si>
    <t>PAGOS</t>
  </si>
  <si>
    <t>prestamo a clara ines cuene 5000000</t>
  </si>
  <si>
    <t>COCINA - TUMBAR-TUBOS-RESANE</t>
  </si>
  <si>
    <t>MATERIALES cajones extra COCINA</t>
  </si>
  <si>
    <t>pintura APTO Y DUCHA</t>
  </si>
  <si>
    <t>COMPRA COCINA Y BAÑO - FALABELLA</t>
  </si>
  <si>
    <t>salarios SEBASTIAN GARCIA OCTUBRE</t>
  </si>
  <si>
    <t>DIANA</t>
  </si>
  <si>
    <t xml:space="preserve">telefono diana </t>
  </si>
  <si>
    <t>emcali apartamento</t>
  </si>
  <si>
    <t>IVA CENTER CIT - CRISTIAN CORTES</t>
  </si>
  <si>
    <t>COMPRA LICENCIA OFFICE</t>
  </si>
  <si>
    <t>compra de sms hablame</t>
  </si>
  <si>
    <t>IVA TRABAJO EDGAR GARCIA - QUICENO - MERCAMIO CANEY</t>
  </si>
  <si>
    <t>GANANCIA TRABAJO EDGAR GARCIA - QUICENO - MERCAMIO CANEY</t>
  </si>
  <si>
    <t>CENTER CIT</t>
  </si>
  <si>
    <t>ABONO CONCEJO CALI</t>
  </si>
  <si>
    <t>arroza paisa</t>
  </si>
  <si>
    <t>instalacion llave ducha y gas</t>
  </si>
  <si>
    <t>da diana para gastos CASA-RI</t>
  </si>
  <si>
    <t>CASA-RI-PRESTAMO</t>
  </si>
  <si>
    <t>prestamo arreglos casa</t>
  </si>
  <si>
    <t>gasolina km 116.837</t>
  </si>
  <si>
    <t>arreglo c</t>
  </si>
  <si>
    <t>bisagras cocina</t>
  </si>
  <si>
    <t>VUELTAS Y RECARGAS</t>
  </si>
  <si>
    <t>ACTIVIDAD ANTONIO NARIÑO</t>
  </si>
  <si>
    <t>ARRIENDO CASA RI</t>
  </si>
  <si>
    <t>ABONO TRABAJO NILSON - SILICATO</t>
  </si>
  <si>
    <t>almuerzo con madre y martin</t>
  </si>
  <si>
    <t>salida comida cumple geral</t>
  </si>
  <si>
    <t>DESAYUNOS Y MECATO</t>
  </si>
  <si>
    <t>pollo almuerzo</t>
  </si>
  <si>
    <t>PAGO QUINCENA SEBASTIAN GARCIA</t>
  </si>
  <si>
    <t>CADENA OCTUBRE BRAYAN</t>
  </si>
  <si>
    <t>CADENA NOVIEMBRE BRAYAN</t>
  </si>
  <si>
    <t xml:space="preserve">CADENA NOVIEMBRE DIANA </t>
  </si>
  <si>
    <t>PAGO SEGURIDAD YESENIA PASADOS</t>
  </si>
  <si>
    <t>COMPRA ROPA NIÑOS</t>
  </si>
  <si>
    <t>Santiago basket</t>
  </si>
  <si>
    <t>fiesta bautizo</t>
  </si>
  <si>
    <t>CASA RI</t>
  </si>
  <si>
    <t>tubo cortina</t>
  </si>
  <si>
    <t>compra de guantes diana</t>
  </si>
  <si>
    <t>gastos clinica isabella</t>
  </si>
  <si>
    <t>pizza con niños</t>
  </si>
  <si>
    <t>compra de tubo casa</t>
  </si>
  <si>
    <t>construccion baño</t>
  </si>
  <si>
    <t>pan</t>
  </si>
  <si>
    <t>edwar transporte</t>
  </si>
  <si>
    <t>costilla</t>
  </si>
  <si>
    <t>taxi clinica</t>
  </si>
  <si>
    <t>compra del espejo baño</t>
  </si>
  <si>
    <t>instalacion baño</t>
  </si>
  <si>
    <t>gastos casa geral</t>
  </si>
  <si>
    <t>varios almuerzos</t>
  </si>
  <si>
    <t>comidaa</t>
  </si>
  <si>
    <t>diana clinica isabella</t>
  </si>
  <si>
    <t>clases piano santiago oct - nov- dic</t>
  </si>
  <si>
    <t>gastos martes</t>
  </si>
  <si>
    <t>almuerzo y otros</t>
  </si>
  <si>
    <t>CENTERCIT</t>
  </si>
  <si>
    <t>ARREGLO DE PORTATIL</t>
  </si>
  <si>
    <t>RECARGAS LLAMADAS</t>
  </si>
  <si>
    <t>NETFLIX DIANA</t>
  </si>
  <si>
    <t>PINTADA APTO MADRE</t>
  </si>
  <si>
    <t>COMPRAR ROPA NIÑOS - MADRE</t>
  </si>
  <si>
    <t>geraldin gastos casa</t>
  </si>
  <si>
    <t>ayuda jhon rosero</t>
  </si>
  <si>
    <t>Compra camaras leonardo arroyave</t>
  </si>
  <si>
    <t>TRABAJO NILSON DIENTES</t>
  </si>
  <si>
    <t>IGLESIA</t>
  </si>
  <si>
    <t>PEAJES</t>
  </si>
  <si>
    <t>CREMA PIÑA COLADA</t>
  </si>
  <si>
    <t>PRIMA 2022</t>
  </si>
  <si>
    <t>MOVIMIENTO K</t>
  </si>
  <si>
    <t>PLOMERO K</t>
  </si>
  <si>
    <t>cadena diciembre</t>
  </si>
  <si>
    <t>lamparas center cit</t>
  </si>
  <si>
    <t xml:space="preserve">regalo sara </t>
  </si>
  <si>
    <t xml:space="preserve">comida tio lenin </t>
  </si>
  <si>
    <t xml:space="preserve">pizza con diana </t>
  </si>
  <si>
    <t>dasayuno</t>
  </si>
  <si>
    <t>peliquiada</t>
  </si>
  <si>
    <t>pago k partido liberal</t>
  </si>
  <si>
    <t>para regalos isabella</t>
  </si>
  <si>
    <t>para ropa y regalos sobrinos</t>
  </si>
  <si>
    <t>prestamo estefania</t>
  </si>
  <si>
    <t>muestras de vinos y galletas</t>
  </si>
  <si>
    <t>compra de galletas y vinos</t>
  </si>
  <si>
    <t>freidora regalo concejo</t>
  </si>
  <si>
    <t>regalo navidad chiqui</t>
  </si>
  <si>
    <t>novena concejo ing</t>
  </si>
  <si>
    <t>regalos muestras campaña</t>
  </si>
  <si>
    <t>servidor internet movistar</t>
  </si>
  <si>
    <t>cadena sala</t>
  </si>
  <si>
    <t>gastos diana</t>
  </si>
  <si>
    <t>bono geraldin</t>
  </si>
  <si>
    <t>protemplo</t>
  </si>
  <si>
    <t>pago liberal pk</t>
  </si>
  <si>
    <t>novena</t>
  </si>
  <si>
    <t>3 PAGO CENTER CIT - CONCEJO</t>
  </si>
  <si>
    <t>COMPRA JUGUETES</t>
  </si>
  <si>
    <t>VACACIONES CONGRESO</t>
  </si>
  <si>
    <t>regalo santi</t>
  </si>
  <si>
    <t>almuerzo yuli</t>
  </si>
  <si>
    <t>programa iglesia</t>
  </si>
  <si>
    <t>juguete santiago</t>
  </si>
  <si>
    <t>sixpack</t>
  </si>
  <si>
    <t>ramo para diana</t>
  </si>
  <si>
    <t>salida con muchachos</t>
  </si>
  <si>
    <t>pago factura movistar apartamento</t>
  </si>
  <si>
    <t>camisas compradas en revista yesenia</t>
  </si>
  <si>
    <t>camara y comercio</t>
  </si>
  <si>
    <t>compra pintura y cosas para pintar apto</t>
  </si>
  <si>
    <t>compra de tv 55 samsung Qled</t>
  </si>
  <si>
    <t>frutas niños</t>
  </si>
  <si>
    <t>soat diana</t>
  </si>
  <si>
    <t>EDGAR GARCIA AFILIACIONES DIC - 5 ARL</t>
  </si>
  <si>
    <t>EDGAR HUMBERTO GARCIA CASTRILLON 16778323</t>
  </si>
  <si>
    <t>PK</t>
  </si>
  <si>
    <t>AV.AMERICAS</t>
  </si>
  <si>
    <t>compra aseo apto americas</t>
  </si>
  <si>
    <t>Comida con diana</t>
  </si>
  <si>
    <t>camisa regalo carlos</t>
  </si>
  <si>
    <t>capuchino</t>
  </si>
  <si>
    <t>gaseosa</t>
  </si>
  <si>
    <t>pk</t>
  </si>
  <si>
    <t>salida tdt</t>
  </si>
  <si>
    <t>UUP920</t>
  </si>
  <si>
    <t xml:space="preserve">INSTALACION GPSEC CARRO </t>
  </si>
  <si>
    <t xml:space="preserve">CAMBIO DE ACEITE CARRO </t>
  </si>
  <si>
    <t>AJUSTES Y ALINEACION CARRO</t>
  </si>
  <si>
    <t>LAVADA</t>
  </si>
  <si>
    <t>CAMBIO ACEITE CAJA - Y FILTROS</t>
  </si>
  <si>
    <t>RI</t>
  </si>
  <si>
    <t>RECIBO EMCALI CASA RI</t>
  </si>
  <si>
    <t>RECIBO EMCALI APTO AMERICAS</t>
  </si>
  <si>
    <t>RECIBO GAS APTO AMERICAS</t>
  </si>
  <si>
    <t>COMPRA CAMISA Y VESTIDO (REVISTA)</t>
  </si>
  <si>
    <t>FACTURA</t>
  </si>
  <si>
    <t>INTERNET SERVIDOR</t>
  </si>
  <si>
    <t>descuadre</t>
  </si>
  <si>
    <t>polarizado y tapetes</t>
  </si>
  <si>
    <t>camara y comercio  avapp</t>
  </si>
  <si>
    <t>regalo isaac</t>
  </si>
  <si>
    <t>tecno</t>
  </si>
  <si>
    <t>camara y comercio  megatransportes</t>
  </si>
  <si>
    <t>compra kit para cortinas</t>
  </si>
  <si>
    <t>salida con diana - la pergola</t>
  </si>
  <si>
    <t>diana sele paso para gastos</t>
  </si>
  <si>
    <t>otros recibos y regalo david</t>
  </si>
  <si>
    <t>pintura apartamento las americas</t>
  </si>
  <si>
    <t>arreglo de fotocopiadora</t>
  </si>
  <si>
    <t>pago servicios las amervias</t>
  </si>
  <si>
    <t>brygar</t>
  </si>
  <si>
    <t>copagos brygar</t>
  </si>
  <si>
    <t>salidas</t>
  </si>
  <si>
    <t>paseo finca luis</t>
  </si>
  <si>
    <t>camara y comercio empresas</t>
  </si>
  <si>
    <t>prestamo jhon 150</t>
  </si>
  <si>
    <t>chiqui</t>
  </si>
  <si>
    <t>arreglo amortiguadores carro uup920</t>
  </si>
  <si>
    <t>TAXI</t>
  </si>
  <si>
    <t>UBER</t>
  </si>
  <si>
    <t>compra cartucho</t>
  </si>
  <si>
    <t>papel foto oficina</t>
  </si>
  <si>
    <t>cachetes</t>
  </si>
  <si>
    <t>alas</t>
  </si>
  <si>
    <t>papas rellenas</t>
  </si>
  <si>
    <t>shampoo</t>
  </si>
  <si>
    <t>yuli cumpleaños</t>
  </si>
  <si>
    <t>maletin y refrigerios</t>
  </si>
  <si>
    <t>crema y otros</t>
  </si>
  <si>
    <t>arriendo republica israel diana</t>
  </si>
  <si>
    <t>honda</t>
  </si>
  <si>
    <t>AVAPP</t>
  </si>
  <si>
    <t xml:space="preserve">avapp comedores </t>
  </si>
  <si>
    <t>salida con niños a comer</t>
  </si>
  <si>
    <t>michelada</t>
  </si>
  <si>
    <t>locion</t>
  </si>
  <si>
    <t>remedios isabella</t>
  </si>
  <si>
    <t>prestamo chiqui</t>
  </si>
  <si>
    <t>compra escritorio avapp</t>
  </si>
  <si>
    <t>Compra cosas</t>
  </si>
  <si>
    <t>soporte tv  av americas</t>
  </si>
  <si>
    <t>aseo apartamento las americas</t>
  </si>
  <si>
    <t>ACUERDO</t>
  </si>
  <si>
    <t>acuerdo</t>
  </si>
  <si>
    <t>prestamo jhon jairo rosero 1000</t>
  </si>
  <si>
    <t>compra apto av americas</t>
  </si>
  <si>
    <t>gasolina 120.335km</t>
  </si>
  <si>
    <t>salida con santiago cauca</t>
  </si>
  <si>
    <t>compra sillas</t>
  </si>
  <si>
    <t>reunion</t>
  </si>
  <si>
    <t>cadena febrero</t>
  </si>
  <si>
    <t>mercado 2</t>
  </si>
  <si>
    <t>utiles niños y libro camila</t>
  </si>
  <si>
    <t>uvas</t>
  </si>
  <si>
    <t>helado niños</t>
  </si>
  <si>
    <t>hawaiano</t>
  </si>
  <si>
    <t>salchipapa</t>
  </si>
  <si>
    <t>huevos y dulce</t>
  </si>
  <si>
    <t>primicias 2023</t>
  </si>
  <si>
    <t>transporte camas</t>
  </si>
  <si>
    <t>pago prestamo diana a amparo</t>
  </si>
  <si>
    <t>compra madera almarios</t>
  </si>
  <si>
    <t>compra de tablero</t>
  </si>
  <si>
    <t>crte madera logo avapp</t>
  </si>
  <si>
    <t>impresión vinilo logo avapp</t>
  </si>
  <si>
    <t xml:space="preserve">abono espejo </t>
  </si>
  <si>
    <t>picada</t>
  </si>
  <si>
    <t>peluquiada santi y brayan</t>
  </si>
  <si>
    <t>uber ida y vuelta</t>
  </si>
  <si>
    <t>gasolina km 120647</t>
  </si>
  <si>
    <t>saldo espejo avapp</t>
  </si>
  <si>
    <t>licor</t>
  </si>
  <si>
    <t>multa carlos parrandon</t>
  </si>
  <si>
    <t>compra sofa cama</t>
  </si>
  <si>
    <t>sms</t>
  </si>
  <si>
    <t>KERATINA</t>
  </si>
  <si>
    <t>PAGO TARJETA DE PROPIEDAD</t>
  </si>
  <si>
    <t>compra de closet</t>
  </si>
  <si>
    <t>Compra de camaras seguridad</t>
  </si>
  <si>
    <t>ganancias prestamo arroyave</t>
  </si>
  <si>
    <t>compras mega</t>
  </si>
  <si>
    <t>compras dolla city</t>
  </si>
  <si>
    <t>compras home center</t>
  </si>
  <si>
    <t>compra mesa tv</t>
  </si>
  <si>
    <t>cumpleaños faab</t>
  </si>
  <si>
    <t>gasolina km 120971</t>
  </si>
  <si>
    <t xml:space="preserve">acuerdo </t>
  </si>
  <si>
    <t>chocolates</t>
  </si>
  <si>
    <t>almuerzo yerly - gisell</t>
  </si>
  <si>
    <t>transporte madera</t>
  </si>
  <si>
    <t>almuerzos y broca</t>
  </si>
  <si>
    <t>cadena</t>
  </si>
  <si>
    <t>compra forro colchon</t>
  </si>
  <si>
    <t>arreglo fotocopiadora vieja</t>
  </si>
  <si>
    <t>cubrelecho comprado a yesenia</t>
  </si>
  <si>
    <t xml:space="preserve">comision daniela </t>
  </si>
  <si>
    <t>RECIBOS DE ENERIGIA APTO</t>
  </si>
  <si>
    <t>RECARGAS YULI</t>
  </si>
  <si>
    <t>PENDON Y ACCESORIOS</t>
  </si>
  <si>
    <t>NETFLIX</t>
  </si>
  <si>
    <t>SIMCARD</t>
  </si>
  <si>
    <t>Compras de discos duros solidos</t>
  </si>
  <si>
    <t>gasolina km 121293</t>
  </si>
  <si>
    <t>comida y transporte</t>
  </si>
  <si>
    <t>Envio Whatsapp Fiesta Enero (23-ene-23)</t>
  </si>
  <si>
    <t>Envio Whatsapp Fiesta Febrero ( 18-feb-23)</t>
  </si>
  <si>
    <t>envios whatsapp</t>
  </si>
  <si>
    <t>Envios Whatsapp dia mujer</t>
  </si>
  <si>
    <t>camara y comercio logic center</t>
  </si>
  <si>
    <t>camara y comercio logistics house</t>
  </si>
  <si>
    <t>camara y comercio construtech</t>
  </si>
  <si>
    <t>plancha barba</t>
  </si>
  <si>
    <t>ventilador</t>
  </si>
  <si>
    <t>jhon jairo rosero</t>
  </si>
  <si>
    <t>ARRIENDO MES DE MARZO</t>
  </si>
  <si>
    <t>teclado y mouse</t>
  </si>
  <si>
    <t>cOMIDA</t>
  </si>
  <si>
    <t>compra jean y regalos</t>
  </si>
  <si>
    <t>gasolina km 121586</t>
  </si>
  <si>
    <t>llanta</t>
  </si>
  <si>
    <t>autenticacion</t>
  </si>
  <si>
    <t>regalos isabella</t>
  </si>
  <si>
    <t>divorcio abogada</t>
  </si>
  <si>
    <t>compra avapp mecato</t>
  </si>
  <si>
    <t>gasolina km 121860</t>
  </si>
  <si>
    <t>copias camara y comercio</t>
  </si>
  <si>
    <t>crear empresa</t>
  </si>
  <si>
    <t>pago del iva center cit</t>
  </si>
  <si>
    <t>salida a circo</t>
  </si>
  <si>
    <t>camara y comercio razon social</t>
  </si>
  <si>
    <t>camara y comercio razon social 2</t>
  </si>
  <si>
    <t>salida piscina</t>
  </si>
  <si>
    <t>acuerdo niños</t>
  </si>
  <si>
    <t xml:space="preserve">cambio de sillar avapp </t>
  </si>
  <si>
    <t>compra de horno diana</t>
  </si>
  <si>
    <t>gasolina km 122144</t>
  </si>
  <si>
    <t>manillas</t>
  </si>
  <si>
    <t>inyeccion y pastas</t>
  </si>
  <si>
    <t>acuerdo k</t>
  </si>
  <si>
    <t>suero vitaminas</t>
  </si>
  <si>
    <t>compra mesa avapp</t>
  </si>
  <si>
    <t>pañales tio diana</t>
  </si>
  <si>
    <t>trasteo niños</t>
  </si>
  <si>
    <t>prestamo rosero</t>
  </si>
  <si>
    <t>cumple</t>
  </si>
  <si>
    <t>salida otros</t>
  </si>
  <si>
    <t>gasolina km 122525</t>
  </si>
  <si>
    <t>regalo camilo</t>
  </si>
  <si>
    <t>dominio argeny</t>
  </si>
  <si>
    <t>Hosting - todos</t>
  </si>
  <si>
    <t>aplicación glicth</t>
  </si>
  <si>
    <t>ropa isabella</t>
  </si>
  <si>
    <t>atencion reunion</t>
  </si>
  <si>
    <t>pago piano santi</t>
  </si>
  <si>
    <t>prestamo alison sanchez  150000</t>
  </si>
  <si>
    <t>Comida avapp</t>
  </si>
  <si>
    <t>salida y almuerzo</t>
  </si>
  <si>
    <t>examenes ojos</t>
  </si>
  <si>
    <t>compras mecato avapp</t>
  </si>
  <si>
    <t>medica isabella</t>
  </si>
  <si>
    <t>Envio Whatsapp Fiesta Marzo ( 31-marzo-23)</t>
  </si>
  <si>
    <t>Envio Whatsapp Fiesta Abril (28-Abril-23)</t>
  </si>
  <si>
    <t>BRYGAR</t>
  </si>
  <si>
    <t>arreglo sillas</t>
  </si>
  <si>
    <t>mensajeria johana nuñez</t>
  </si>
  <si>
    <t>devolucion yerson</t>
  </si>
  <si>
    <t>don harold mantenimiento fotocopiadora</t>
  </si>
  <si>
    <t>compra alfombra</t>
  </si>
  <si>
    <t>factura movistar</t>
  </si>
  <si>
    <t>recibo gas y emcali avapp</t>
  </si>
  <si>
    <t>APTO</t>
  </si>
  <si>
    <t xml:space="preserve">COMPRA MERCADITO </t>
  </si>
  <si>
    <t>uniformes y zapatos</t>
  </si>
  <si>
    <t>COMRA VESTIDOS CAMILA</t>
  </si>
  <si>
    <t xml:space="preserve">80000 ALFOMBRA </t>
  </si>
  <si>
    <t>150000 MINI MERCADO</t>
  </si>
  <si>
    <t xml:space="preserve">compra aseo y pago yuli </t>
  </si>
  <si>
    <t>mercadito</t>
  </si>
  <si>
    <t>compra de ropa brayan</t>
  </si>
  <si>
    <t>aseo yeraldine</t>
  </si>
  <si>
    <t>PEDIDO ENVIA  robot aseo</t>
  </si>
  <si>
    <t xml:space="preserve">COMPRAS TERMINAL </t>
  </si>
  <si>
    <t xml:space="preserve">CADENA DE JUNIO </t>
  </si>
  <si>
    <t xml:space="preserve">compra de buso </t>
  </si>
  <si>
    <t xml:space="preserve">pañalera valentina </t>
  </si>
  <si>
    <t>compra de gafas</t>
  </si>
  <si>
    <t xml:space="preserve">geral </t>
  </si>
  <si>
    <t>refrigerante y adictivo</t>
  </si>
  <si>
    <t>gastos isabella</t>
  </si>
  <si>
    <t>empresa</t>
  </si>
  <si>
    <t>certificados</t>
  </si>
  <si>
    <t>gasolina km 123209</t>
  </si>
  <si>
    <t>reunion avapp jamundi</t>
  </si>
  <si>
    <t>tecnomecanica uup920</t>
  </si>
  <si>
    <t>mantenimiento del carro</t>
  </si>
  <si>
    <t>camida avapp</t>
  </si>
  <si>
    <t>isabella</t>
  </si>
  <si>
    <t>cumpleaños any amelines</t>
  </si>
  <si>
    <t>cita isabella</t>
  </si>
  <si>
    <t xml:space="preserve">compra de sms </t>
  </si>
  <si>
    <t>abono del carro amparo saldo 35</t>
  </si>
  <si>
    <t>pago de administracion apartamento avapp</t>
  </si>
  <si>
    <t>dominios reyes</t>
  </si>
  <si>
    <t>prestamo alison sanchez  500000</t>
  </si>
  <si>
    <t>gasolina km 123496</t>
  </si>
  <si>
    <t>ensalada</t>
  </si>
  <si>
    <t>regalos dia de la madre</t>
  </si>
  <si>
    <t>compra de celular amparo</t>
  </si>
  <si>
    <t xml:space="preserve">pago divorcio </t>
  </si>
  <si>
    <t xml:space="preserve">avapp </t>
  </si>
  <si>
    <t>pago contadora declaraciones rente</t>
  </si>
  <si>
    <t>gasolina km 123841</t>
  </si>
  <si>
    <t>camisa santi</t>
  </si>
  <si>
    <t>carne</t>
  </si>
  <si>
    <t>prestamo edgar - 300 PAGO</t>
  </si>
  <si>
    <t>compras de articulos celular</t>
  </si>
  <si>
    <t>ups servidor</t>
  </si>
  <si>
    <t>juan david rodriguez</t>
  </si>
  <si>
    <t>almuerzos niños</t>
  </si>
  <si>
    <t>cena avapp</t>
  </si>
  <si>
    <t>almuerzo cumple gisell</t>
  </si>
  <si>
    <t>prestamo jhon</t>
  </si>
  <si>
    <t>gasolina km 124164</t>
  </si>
  <si>
    <t>refrescos</t>
  </si>
  <si>
    <t>prestamo jhon (consigno argeny)</t>
  </si>
  <si>
    <t>pastel</t>
  </si>
  <si>
    <t>gaseosa y otros</t>
  </si>
  <si>
    <t>empanadas y shampu</t>
  </si>
  <si>
    <t>cine</t>
  </si>
  <si>
    <t>compras drogueria</t>
  </si>
  <si>
    <t>piano santi</t>
  </si>
  <si>
    <t>transporte lider</t>
  </si>
  <si>
    <t>gasolina 124753</t>
  </si>
  <si>
    <t>salida niños</t>
  </si>
  <si>
    <t>perdida recarga elizabeth</t>
  </si>
  <si>
    <t>prestamo edgar</t>
  </si>
  <si>
    <t>gasolina km 125059</t>
  </si>
  <si>
    <t>pago declaracion dian 2020</t>
  </si>
  <si>
    <t>pago declaracion dian 2021</t>
  </si>
  <si>
    <t>pago declaracion dian 2028</t>
  </si>
  <si>
    <t>refrigerios oficina</t>
  </si>
  <si>
    <t>compra de impresora y pc katerine arias</t>
  </si>
  <si>
    <t>recibo emcali las americas</t>
  </si>
  <si>
    <t>perdidas sala</t>
  </si>
  <si>
    <t>devolucion brygar</t>
  </si>
  <si>
    <t>pago yesenia</t>
  </si>
  <si>
    <t>recargas</t>
  </si>
  <si>
    <t>incapacidad</t>
  </si>
  <si>
    <t>cuentas gasto banco</t>
  </si>
  <si>
    <t>corte santi</t>
  </si>
  <si>
    <t>extintor</t>
  </si>
  <si>
    <t>gasolina km 125358</t>
  </si>
  <si>
    <t>salida piscina edgar</t>
  </si>
  <si>
    <t>compra pollo niños</t>
  </si>
  <si>
    <t>mecato otros</t>
  </si>
  <si>
    <t>internet amparo</t>
  </si>
  <si>
    <t>parqueadero junio</t>
  </si>
  <si>
    <t>gasolina km 125549</t>
  </si>
  <si>
    <t>regalo tiago</t>
  </si>
  <si>
    <t>prima congreso</t>
  </si>
  <si>
    <t>pagos call center</t>
  </si>
  <si>
    <t>servidor supercampeones</t>
  </si>
  <si>
    <t>cafes</t>
  </si>
  <si>
    <t>gasolina km 125774</t>
  </si>
  <si>
    <t>intyeccion</t>
  </si>
  <si>
    <t>entro de avapp - 300 cada uno total 1000</t>
  </si>
  <si>
    <t>viaticos viaje a popayan</t>
  </si>
  <si>
    <t>gastos viaje</t>
  </si>
  <si>
    <t>pago internet niños</t>
  </si>
  <si>
    <t>abono estefania barreiro</t>
  </si>
  <si>
    <t>pago glish</t>
  </si>
  <si>
    <t>gasolina km 126201</t>
  </si>
  <si>
    <t>prestamo martin</t>
  </si>
  <si>
    <t>salida muchachos</t>
  </si>
  <si>
    <t>salida mac</t>
  </si>
  <si>
    <t>cuota dia de la familia</t>
  </si>
  <si>
    <t>cambio de aceite</t>
  </si>
  <si>
    <t>impuestos uup920</t>
  </si>
  <si>
    <t>salida noche</t>
  </si>
  <si>
    <t xml:space="preserve">desayuno </t>
  </si>
  <si>
    <t>vitaminas inyeccion</t>
  </si>
  <si>
    <t>prestamo v</t>
  </si>
  <si>
    <t>mantenimiento llantas</t>
  </si>
  <si>
    <t>gasolina km 126486</t>
  </si>
  <si>
    <t>compras para apto</t>
  </si>
  <si>
    <t>viaticos popayan</t>
  </si>
  <si>
    <t>santi medicamento</t>
  </si>
  <si>
    <t>GASOLINA KM 126914</t>
  </si>
  <si>
    <t>pago call center</t>
  </si>
  <si>
    <t>recreos</t>
  </si>
  <si>
    <t>almuerzos jhon</t>
  </si>
  <si>
    <t>dominio arroyave.digital</t>
  </si>
  <si>
    <t>parqueadero julio</t>
  </si>
  <si>
    <t>peluquiada uñas y pelo</t>
  </si>
  <si>
    <t>uber</t>
  </si>
  <si>
    <t>pago internet servidor</t>
  </si>
  <si>
    <t>uber trabajo</t>
  </si>
  <si>
    <t>uber reunion</t>
  </si>
  <si>
    <t>ubar casa</t>
  </si>
  <si>
    <t>uber 2</t>
  </si>
  <si>
    <t>entro de avapp arroyave</t>
  </si>
  <si>
    <t>prestamo diana carro 2000000</t>
  </si>
  <si>
    <t>prestamo sandra .- martin popayan 4000000</t>
  </si>
  <si>
    <t>remedio camila</t>
  </si>
  <si>
    <t>mega</t>
  </si>
  <si>
    <t>compra mercado</t>
  </si>
  <si>
    <t>vestidos camila</t>
  </si>
  <si>
    <t>abona fabionelson a brayan</t>
  </si>
  <si>
    <t>aseo apto</t>
  </si>
  <si>
    <t>compra ropa</t>
  </si>
  <si>
    <t>avapp</t>
  </si>
  <si>
    <t>compra de robot aseo</t>
  </si>
  <si>
    <t>cadena junio</t>
  </si>
  <si>
    <t>compra buso</t>
  </si>
  <si>
    <t>abono de doña clara a deuda o prestamo</t>
  </si>
  <si>
    <t>cadena julio</t>
  </si>
  <si>
    <t>regalo dominik</t>
  </si>
  <si>
    <t>grua de popayan cali</t>
  </si>
  <si>
    <t>BRAYAN - DON HAROLD COMPRAS</t>
  </si>
  <si>
    <t>BRAYAN - DON HAROLD PAGO</t>
  </si>
  <si>
    <t>BRAYAN - PEDIDO ISABELA</t>
  </si>
  <si>
    <t>CAMARA Y COMERCIO GLOBAL ARL</t>
  </si>
  <si>
    <t>BRAYAN - ARREGLO PUERTA SALA</t>
  </si>
  <si>
    <t>SALDO DE RECIBO EMCALI SALA</t>
  </si>
  <si>
    <t>BRAYAN - PAGO MAVE 2 PLANILLAS</t>
  </si>
  <si>
    <t>BRAYAN - TECLADO</t>
  </si>
  <si>
    <t>ZAPATOS</t>
  </si>
  <si>
    <t>TAX</t>
  </si>
  <si>
    <t>COMIDA AMPARO</t>
  </si>
  <si>
    <t>GASOLINA KM 29966 KUY 188</t>
  </si>
  <si>
    <t>TAXI Y DESAYUNO</t>
  </si>
  <si>
    <t>SEMESTRE CLASES CAMILA</t>
  </si>
  <si>
    <t>PRESTAMO SALA</t>
  </si>
  <si>
    <t>PAGO PARQUEADERO KUY188</t>
  </si>
  <si>
    <t>OFICINA PAPAS</t>
  </si>
  <si>
    <t>CLASES PIANO SANTIAGO</t>
  </si>
  <si>
    <t>PAGOS TRABAJOS ARROYAVE</t>
  </si>
  <si>
    <t>ALMUERZOS CALL CENTER</t>
  </si>
  <si>
    <t xml:space="preserve">OTROS </t>
  </si>
  <si>
    <t>ARREGLO DEL CARRO UUP920</t>
  </si>
  <si>
    <t xml:space="preserve">SALIDA CON DIANA </t>
  </si>
  <si>
    <t>CINE SANTI</t>
  </si>
  <si>
    <t>CAMILA</t>
  </si>
  <si>
    <t xml:space="preserve">COPIA DE LICENCIA CONDUCCION </t>
  </si>
  <si>
    <t>CAMISA UNIFORME CAMILA</t>
  </si>
  <si>
    <t>PRESTAMO JHON ROSERO</t>
  </si>
  <si>
    <t>DESAYUNOS CITA ISABELLA</t>
  </si>
  <si>
    <t>gasolina km 30650</t>
  </si>
  <si>
    <t>compra se zapatos</t>
  </si>
  <si>
    <t>montar niños</t>
  </si>
  <si>
    <t>carga llamadas pregrabadas</t>
  </si>
  <si>
    <t>bingo comuna 16</t>
  </si>
  <si>
    <t>cambio de aceite kuy188</t>
  </si>
  <si>
    <t>compra crispetera</t>
  </si>
  <si>
    <t>arroyave compras celular y portatil</t>
  </si>
  <si>
    <t>gastos call center</t>
  </si>
  <si>
    <t>compra de casco</t>
  </si>
  <si>
    <t>almuerzo call center</t>
  </si>
  <si>
    <t>compra portatiles</t>
  </si>
  <si>
    <t>celulares</t>
  </si>
  <si>
    <t>heylen prestamo</t>
  </si>
  <si>
    <t>ramo diana</t>
  </si>
  <si>
    <t>salida cumple diana</t>
  </si>
  <si>
    <t>gasolina km  31042</t>
  </si>
  <si>
    <t>prestamo jj para manzano</t>
  </si>
  <si>
    <t>yerly 2 cuentas</t>
  </si>
  <si>
    <t xml:space="preserve">martin </t>
  </si>
  <si>
    <t xml:space="preserve">salida </t>
  </si>
  <si>
    <t>cumple chiqui</t>
  </si>
  <si>
    <t xml:space="preserve">pago camara y comercio </t>
  </si>
  <si>
    <t>compra productos pelo camila</t>
  </si>
  <si>
    <t>salida diana</t>
  </si>
  <si>
    <t>gasolina km 31388</t>
  </si>
  <si>
    <t>ava</t>
  </si>
  <si>
    <t>aseo ava</t>
  </si>
  <si>
    <t>productos pelo</t>
  </si>
  <si>
    <t>prestamo jessica ramirez 3000000</t>
  </si>
  <si>
    <t>declaracion de renta 2022</t>
  </si>
  <si>
    <t>tomar</t>
  </si>
  <si>
    <t>pago de parqueadero sept</t>
  </si>
  <si>
    <t>salida con heylen</t>
  </si>
  <si>
    <t>prestamo jhon rosero 1430000</t>
  </si>
  <si>
    <t>amigo secreto</t>
  </si>
  <si>
    <t>gasolina km 31870</t>
  </si>
  <si>
    <t>pago de siigo - centercit</t>
  </si>
  <si>
    <t>TRANSPORTE ACD</t>
  </si>
  <si>
    <t>BRAYAN - SABANAS</t>
  </si>
  <si>
    <t>BRAYAN - PAQUETE</t>
  </si>
  <si>
    <t>BRAYAN - DON EDGAR MESA</t>
  </si>
  <si>
    <t>COMPLETAR SUELDO SEBAS</t>
  </si>
  <si>
    <t>BRAYAN - INCAPACIDAD ACORDADA EUFRADY (ULTIMA 3)</t>
  </si>
  <si>
    <t>DON HAROLD COMPRAS IMPRESORA</t>
  </si>
  <si>
    <t>PRESTAMO DOÑA LUCY</t>
  </si>
  <si>
    <t>DON HAROLD MANO DE OBRA</t>
  </si>
  <si>
    <t>PRESTAMO SALA - SUELDO SEBAS E INTERNET 65</t>
  </si>
  <si>
    <t>PAGO RECIBOS BRAYAN - GASES Y EMCALI</t>
  </si>
  <si>
    <t>PAGO INCAPCIDAD VALENTINA OSORIO</t>
  </si>
  <si>
    <t>PAGO SERVIDOR</t>
  </si>
  <si>
    <t>RESMAS OFICIO</t>
  </si>
  <si>
    <t>CARTUCHOS</t>
  </si>
  <si>
    <t>CAMARA Y COMERCIO HOMENURSE</t>
  </si>
  <si>
    <t>pastel isabella</t>
  </si>
  <si>
    <t xml:space="preserve">declaracion de renta diana </t>
  </si>
  <si>
    <t>cervesas</t>
  </si>
  <si>
    <t>cumple dilan</t>
  </si>
  <si>
    <t>curso piano santi</t>
  </si>
  <si>
    <t>gasolina km 32395</t>
  </si>
  <si>
    <t>prestamo alison</t>
  </si>
  <si>
    <t>jhon rosero</t>
  </si>
  <si>
    <t>pago parqueadero centro</t>
  </si>
  <si>
    <t>estaban parqueadero</t>
  </si>
  <si>
    <t>salida macdonal</t>
  </si>
  <si>
    <t>gasolina km 32802</t>
  </si>
  <si>
    <t>pago simcard movistar</t>
  </si>
  <si>
    <t>ARGENY GOMEZ - ABRIL AVAPP</t>
  </si>
  <si>
    <t>ELECTORAL</t>
  </si>
  <si>
    <t>arriendo avapp</t>
  </si>
  <si>
    <t>servicios avapp</t>
  </si>
  <si>
    <t>aseo avapp</t>
  </si>
  <si>
    <t>Devolucion de compras avapp</t>
  </si>
  <si>
    <t>pago a contadora</t>
  </si>
  <si>
    <t>soat kuy 188</t>
  </si>
  <si>
    <t>pago administracion apto americas</t>
  </si>
  <si>
    <t>compra de mercado en apto</t>
  </si>
  <si>
    <t>compra de herramientas</t>
  </si>
  <si>
    <t>regalo jp</t>
  </si>
  <si>
    <t>compra de muebles y mesa apto</t>
  </si>
  <si>
    <t>cortinas</t>
  </si>
  <si>
    <t>adornos</t>
  </si>
  <si>
    <t>camisas</t>
  </si>
  <si>
    <t>diezmo nov</t>
  </si>
  <si>
    <t>gasolina km 33426</t>
  </si>
  <si>
    <t>dayunos</t>
  </si>
  <si>
    <t>consignacion para isabella</t>
  </si>
  <si>
    <t>compra regalos niños</t>
  </si>
  <si>
    <t>salida jp</t>
  </si>
  <si>
    <t>salida partido colombia</t>
  </si>
  <si>
    <t>PERROS</t>
  </si>
  <si>
    <t>jp</t>
  </si>
  <si>
    <t>multa kuy 188</t>
  </si>
  <si>
    <t>espejos kuy 188</t>
  </si>
  <si>
    <t>salida pizza niños</t>
  </si>
  <si>
    <t>pago predial apartamento americas</t>
  </si>
  <si>
    <t>polarizado kuy</t>
  </si>
  <si>
    <t>gasolina km 33912</t>
  </si>
  <si>
    <t>asegurar espejos</t>
  </si>
  <si>
    <t>soda</t>
  </si>
  <si>
    <t>hy salida</t>
  </si>
  <si>
    <t>gasolina km 34264</t>
  </si>
  <si>
    <t>Compra regalos niños y camaras</t>
  </si>
  <si>
    <t>gasolina km 34798</t>
  </si>
  <si>
    <t>planilla jp</t>
  </si>
  <si>
    <t>cuentas yerly</t>
  </si>
  <si>
    <t>pesas</t>
  </si>
  <si>
    <t>arreglo ventilador</t>
  </si>
  <si>
    <t>chapa</t>
  </si>
  <si>
    <t>CADENAS SALA Y BRAYAN</t>
  </si>
  <si>
    <t>pago sebas sala</t>
  </si>
  <si>
    <t>primas sebas y daniela DIC</t>
  </si>
  <si>
    <t>PRIMA YULI dic</t>
  </si>
  <si>
    <t>prima k</t>
  </si>
  <si>
    <t xml:space="preserve">diezmo </t>
  </si>
  <si>
    <t>gasolina sandero</t>
  </si>
  <si>
    <t>prima heylen</t>
  </si>
  <si>
    <t>compras cel</t>
  </si>
  <si>
    <t>COMPRAS ZAPATILLAS</t>
  </si>
  <si>
    <t>Gasolina k m 35220</t>
  </si>
  <si>
    <t>ofrenda iglesia</t>
  </si>
  <si>
    <t>yesenia</t>
  </si>
  <si>
    <t>ancheta</t>
  </si>
  <si>
    <t>salida jhon</t>
  </si>
  <si>
    <t>TELEPACIFICO - manzano</t>
  </si>
  <si>
    <t>entrada fundacion del valle - manzano</t>
  </si>
  <si>
    <t>regulador y ups</t>
  </si>
  <si>
    <t>camisa brayan</t>
  </si>
  <si>
    <t>transporte</t>
  </si>
  <si>
    <t>internet servidor movistar</t>
  </si>
  <si>
    <t>comisiones marina</t>
  </si>
  <si>
    <t>compras de dollar city</t>
  </si>
  <si>
    <t>ayuda k</t>
  </si>
  <si>
    <t>COMPRA LOCIONES</t>
  </si>
  <si>
    <t xml:space="preserve">pasajes compra carro </t>
  </si>
  <si>
    <t xml:space="preserve">ABONA DOÑA CLARA A BRAYAN </t>
  </si>
  <si>
    <t>LE ENTREGO A BRAYAN (vio yeral)</t>
  </si>
  <si>
    <t>ABONA DON HECTOR AGOSTO</t>
  </si>
  <si>
    <t xml:space="preserve">IMPLEMENTOS DE ASEO </t>
  </si>
  <si>
    <t xml:space="preserve">PAGO ASEO YULI </t>
  </si>
  <si>
    <t>ENTRA DEL CARRO CARLOS</t>
  </si>
  <si>
    <t>LE ENTREGA A BRAYAN EN LA NOCHE</t>
  </si>
  <si>
    <t>CADENA SEPTIEMBRE</t>
  </si>
  <si>
    <t xml:space="preserve"> dias de pago a yuli </t>
  </si>
  <si>
    <t xml:space="preserve">ABONA DON HECTOR </t>
  </si>
  <si>
    <t>ABON DOÑA CLARA</t>
  </si>
  <si>
    <t>CADENA DIANA OCTUBRE</t>
  </si>
  <si>
    <t>LOCCION - TALCOS -DESODORAN</t>
  </si>
  <si>
    <t>COMPRITA D1</t>
  </si>
  <si>
    <t xml:space="preserve">llaves para duchas </t>
  </si>
  <si>
    <t>ASEO MES DE OCTUBRE YULI</t>
  </si>
  <si>
    <t xml:space="preserve">ABONA JUANPABLO saco para camioneta </t>
  </si>
  <si>
    <t xml:space="preserve">compras en casa </t>
  </si>
  <si>
    <t xml:space="preserve">compra pantlon, blusa, falda y medias y camisa brayan </t>
  </si>
  <si>
    <t xml:space="preserve">ASEO NOVIEMBRE YULI </t>
  </si>
  <si>
    <t xml:space="preserve">CADENA NOVIEMBRE </t>
  </si>
  <si>
    <t xml:space="preserve">ENTREGO PARA ESPEJOS </t>
  </si>
  <si>
    <t xml:space="preserve">MANDA DOÑA CLARA </t>
  </si>
  <si>
    <t xml:space="preserve">ABONA JUANPA A BRAYAN </t>
  </si>
  <si>
    <t xml:space="preserve">PRESTAMO DANIELA </t>
  </si>
  <si>
    <t xml:space="preserve">LE PAGAN PAQUETE A LA CUENTA </t>
  </si>
  <si>
    <t>COMPRA CREMA PEINAR Y BRILLO CAMILA</t>
  </si>
  <si>
    <t>cuadre con prestamos</t>
  </si>
  <si>
    <t>compras alixpress</t>
  </si>
  <si>
    <t>almuerzo con los niños</t>
  </si>
  <si>
    <t>salida con LC</t>
  </si>
  <si>
    <t>DON EDGAR BRAYAN</t>
  </si>
  <si>
    <t>CAMARA COMERCIO HOUSE</t>
  </si>
  <si>
    <t>BRAYAN CERTIFICADO SANTIAGO</t>
  </si>
  <si>
    <t>BRAYAN (DON EDGAR)</t>
  </si>
  <si>
    <t>BRAYAN - ANTENAS WIFE</t>
  </si>
  <si>
    <t>gasolina km 35800</t>
  </si>
  <si>
    <t xml:space="preserve">Salida diana </t>
  </si>
  <si>
    <t xml:space="preserve">Almuerzo niños </t>
  </si>
  <si>
    <t xml:space="preserve">Keratina </t>
  </si>
  <si>
    <t xml:space="preserve">120 parqueadero Stepway </t>
  </si>
  <si>
    <t>300 cuidada de Isabella</t>
  </si>
  <si>
    <t>gasto diario</t>
  </si>
  <si>
    <t>750 compras avapp Martín</t>
  </si>
  <si>
    <t>160 salida jp</t>
  </si>
  <si>
    <t>600 diezmó</t>
  </si>
  <si>
    <t xml:space="preserve">35 desayuno </t>
  </si>
  <si>
    <t>355 cumple tatiana giraldo</t>
  </si>
  <si>
    <t xml:space="preserve">28 dollar city </t>
  </si>
  <si>
    <t xml:space="preserve">PARA ALMUERZOS YESENIA </t>
  </si>
  <si>
    <t xml:space="preserve">BRAYAN HACE MERCADO </t>
  </si>
  <si>
    <t>COMPRA MOÑAS DIADEMAS GANCHO CAMILA</t>
  </si>
  <si>
    <t xml:space="preserve">CADENA ENERO </t>
  </si>
  <si>
    <t xml:space="preserve">aseo yuli </t>
  </si>
  <si>
    <t>mitad pago servicios</t>
  </si>
  <si>
    <t>pago del gas</t>
  </si>
  <si>
    <t>MERCAMOS EN D1</t>
  </si>
  <si>
    <t>almohadas y champy y crema peinar</t>
  </si>
  <si>
    <t>110 gasolina km 36131</t>
  </si>
  <si>
    <t xml:space="preserve">352 pagos sala </t>
  </si>
  <si>
    <t xml:space="preserve">118 pañales </t>
  </si>
  <si>
    <t xml:space="preserve">1500 Isabella y diana </t>
  </si>
  <si>
    <t>126 compra dominio avapp.digital</t>
  </si>
  <si>
    <t xml:space="preserve">40 glisth avapp </t>
  </si>
  <si>
    <t>200 uniforme Santi</t>
  </si>
  <si>
    <t xml:space="preserve">180 uniforme Camila </t>
  </si>
  <si>
    <t>114 salida jp</t>
  </si>
  <si>
    <t>50 otros jp</t>
  </si>
  <si>
    <t xml:space="preserve">100 entrada </t>
  </si>
  <si>
    <t xml:space="preserve">100 comida piscina </t>
  </si>
  <si>
    <t>100 regalo yuli</t>
  </si>
  <si>
    <t xml:space="preserve">50 cena </t>
  </si>
  <si>
    <t>15 parqueadero</t>
  </si>
  <si>
    <t>18 almuerzo</t>
  </si>
  <si>
    <t xml:space="preserve">12 mecato niños </t>
  </si>
  <si>
    <t xml:space="preserve">4 recreo </t>
  </si>
  <si>
    <t xml:space="preserve">50 Martha </t>
  </si>
  <si>
    <t xml:space="preserve">9 recreo y lápiz niños </t>
  </si>
  <si>
    <t>25 almuerzo</t>
  </si>
  <si>
    <t>9 parqueadero </t>
  </si>
  <si>
    <t xml:space="preserve">3 Santi descanso </t>
  </si>
  <si>
    <t>38 salida</t>
  </si>
  <si>
    <t xml:space="preserve">50 masa </t>
  </si>
  <si>
    <t>Transporte santi</t>
  </si>
  <si>
    <t>17 almuerzo</t>
  </si>
  <si>
    <t xml:space="preserve">13 parqueadero </t>
  </si>
  <si>
    <t xml:space="preserve">10 mecato </t>
  </si>
  <si>
    <t>207 gasolina km 36753</t>
  </si>
  <si>
    <t xml:space="preserve">50 helados </t>
  </si>
  <si>
    <t>50 salida jp</t>
  </si>
  <si>
    <t>80 h jp</t>
  </si>
  <si>
    <t xml:space="preserve">36 desayuno </t>
  </si>
  <si>
    <t xml:space="preserve">150 transporte Santi </t>
  </si>
  <si>
    <t xml:space="preserve">20 comida y pan </t>
  </si>
  <si>
    <t xml:space="preserve">15 parqueadero </t>
  </si>
  <si>
    <t>23 almuerzo</t>
  </si>
  <si>
    <t xml:space="preserve">6 recreos </t>
  </si>
  <si>
    <t xml:space="preserve">30 almuerzo </t>
  </si>
  <si>
    <t xml:space="preserve">14 capuchinos reunión </t>
  </si>
  <si>
    <t>Entro 400 abono rosero</t>
  </si>
  <si>
    <t>5 Chiqui</t>
  </si>
  <si>
    <t>compra discos duros solidos</t>
  </si>
  <si>
    <t xml:space="preserve">9 parqueadero </t>
  </si>
  <si>
    <t>12 almuerzo</t>
  </si>
  <si>
    <t xml:space="preserve">10 cena </t>
  </si>
  <si>
    <t xml:space="preserve">11 pantallas </t>
  </si>
  <si>
    <t>3 helado Santi</t>
  </si>
  <si>
    <t xml:space="preserve">30 Peluquiada </t>
  </si>
  <si>
    <t>10 Alipapas</t>
  </si>
  <si>
    <t xml:space="preserve">22 almuerzo </t>
  </si>
  <si>
    <t>4 recreo Santi</t>
  </si>
  <si>
    <t>35 helado</t>
  </si>
  <si>
    <t xml:space="preserve">5 pan </t>
  </si>
  <si>
    <t xml:space="preserve">11 Santi clases </t>
  </si>
  <si>
    <t>6 gaseosa</t>
  </si>
  <si>
    <t xml:space="preserve">60 torta </t>
  </si>
  <si>
    <t xml:space="preserve">10 gaseosa </t>
  </si>
  <si>
    <t xml:space="preserve">280 happy city </t>
  </si>
  <si>
    <t xml:space="preserve">10 parqueadero </t>
  </si>
  <si>
    <t xml:space="preserve">20 papas </t>
  </si>
  <si>
    <t>38 desayuno</t>
  </si>
  <si>
    <t>50 recarga happy city</t>
  </si>
  <si>
    <t xml:space="preserve">200 alitas </t>
  </si>
  <si>
    <t xml:space="preserve">20 helados </t>
  </si>
  <si>
    <t xml:space="preserve">25 carne </t>
  </si>
  <si>
    <t xml:space="preserve">300 recargas llamada pregrabada </t>
  </si>
  <si>
    <t xml:space="preserve">12 parqueadero </t>
  </si>
  <si>
    <t xml:space="preserve">13 almuerzo </t>
  </si>
  <si>
    <t xml:space="preserve">12 papas rellenas </t>
  </si>
  <si>
    <t xml:space="preserve">12 descanso niños </t>
  </si>
  <si>
    <t xml:space="preserve">8 mecato </t>
  </si>
  <si>
    <t>20 pollo</t>
  </si>
  <si>
    <t>6 recreos</t>
  </si>
  <si>
    <t>15 almuerzo</t>
  </si>
  <si>
    <t>20 estampillas</t>
  </si>
  <si>
    <t>9 parqueadero</t>
  </si>
  <si>
    <t>7 parqueadero cita</t>
  </si>
  <si>
    <t xml:space="preserve">7 desayuno </t>
  </si>
  <si>
    <t>12 parqueadero centro</t>
  </si>
  <si>
    <t>30 almuerzo</t>
  </si>
  <si>
    <t xml:space="preserve">15 guanábana. </t>
  </si>
  <si>
    <t xml:space="preserve">20 alas </t>
  </si>
  <si>
    <t xml:space="preserve">PAGO ASEO KAREN </t>
  </si>
  <si>
    <t xml:space="preserve">UTILES CAMILA </t>
  </si>
  <si>
    <t xml:space="preserve">CUADERNOS SANTIAGO </t>
  </si>
  <si>
    <t>MERCADITO D1</t>
  </si>
  <si>
    <t xml:space="preserve">COMPRITA PARA SANTI </t>
  </si>
  <si>
    <t xml:space="preserve">CADENA FEBRERO BRAYAN </t>
  </si>
  <si>
    <t xml:space="preserve">mitad de mercado </t>
  </si>
  <si>
    <t xml:space="preserve">compra maletin santi y licras camila </t>
  </si>
  <si>
    <t>pago administracion enero y febrero</t>
  </si>
  <si>
    <t xml:space="preserve">20 almuerzos </t>
  </si>
  <si>
    <t xml:space="preserve">56 regalo alison </t>
  </si>
  <si>
    <t xml:space="preserve">50 salida baby shawer </t>
  </si>
  <si>
    <t>216 gasolina km 37415</t>
  </si>
  <si>
    <t>10 clase Santi</t>
  </si>
  <si>
    <t xml:space="preserve">25 lavar camioneta </t>
  </si>
  <si>
    <t xml:space="preserve">30 keratina </t>
  </si>
  <si>
    <t xml:space="preserve">320 mercado </t>
  </si>
  <si>
    <t xml:space="preserve">56 salida jp </t>
  </si>
  <si>
    <t xml:space="preserve">80 salida jp </t>
  </si>
  <si>
    <t>0 pesos</t>
  </si>
  <si>
    <t>RECREOS</t>
  </si>
  <si>
    <t>K</t>
  </si>
  <si>
    <t>MECATO OFICINA</t>
  </si>
  <si>
    <t>PLANILLA DIANA</t>
  </si>
  <si>
    <t>PELUQUERIA</t>
  </si>
  <si>
    <t>PAN</t>
  </si>
  <si>
    <t>ALAS</t>
  </si>
  <si>
    <t>DISCO SOLIDO</t>
  </si>
  <si>
    <t>SANDALIAS CAMILA</t>
  </si>
  <si>
    <t>SALIDA NIÑOS</t>
  </si>
  <si>
    <t>CLASE SANTI</t>
  </si>
  <si>
    <t>SALIDA JP</t>
  </si>
  <si>
    <t>GASOLINA KM 37879</t>
  </si>
  <si>
    <t>PRIMICIAS</t>
  </si>
  <si>
    <t>PISCINA NIÑOS</t>
  </si>
  <si>
    <t>ALMUERZO CASA</t>
  </si>
  <si>
    <t>POLLO MICHI Y LEIDY</t>
  </si>
  <si>
    <t xml:space="preserve">mercadito Ara </t>
  </si>
  <si>
    <t xml:space="preserve">MEDIAS EL Y LOS NIÑOS </t>
  </si>
  <si>
    <t>6 recreo</t>
  </si>
  <si>
    <t xml:space="preserve">30 almuerzos </t>
  </si>
  <si>
    <t>18 parqueadero</t>
  </si>
  <si>
    <t>60 niños cuidada</t>
  </si>
  <si>
    <t xml:space="preserve">20 publicidad Facebook </t>
  </si>
  <si>
    <t xml:space="preserve">6 boletas </t>
  </si>
  <si>
    <t xml:space="preserve">13 vueltas BRYGAR </t>
  </si>
  <si>
    <t xml:space="preserve">18 parqueadero </t>
  </si>
  <si>
    <t>77 gasolina km 38125</t>
  </si>
  <si>
    <t xml:space="preserve">50 madre compras </t>
  </si>
  <si>
    <t xml:space="preserve">300 Yesenia niños </t>
  </si>
  <si>
    <t>16 desayuno</t>
  </si>
  <si>
    <t>107 macdonal</t>
  </si>
  <si>
    <t>28 macdonal</t>
  </si>
  <si>
    <t>50 helados niños</t>
  </si>
  <si>
    <t xml:space="preserve">170 transporte Santi </t>
  </si>
  <si>
    <t>20 termo Santi</t>
  </si>
  <si>
    <t>20 almuerzos</t>
  </si>
  <si>
    <t xml:space="preserve">7 panes niña </t>
  </si>
  <si>
    <t xml:space="preserve">10 recreo </t>
  </si>
  <si>
    <t xml:space="preserve"> 20 Despinchar </t>
  </si>
  <si>
    <t xml:space="preserve">61 purgantes </t>
  </si>
  <si>
    <t>20 termo Camila</t>
  </si>
  <si>
    <t>14 almuerzo</t>
  </si>
  <si>
    <t xml:space="preserve">17 Peluquiada </t>
  </si>
  <si>
    <t xml:space="preserve">22 comida </t>
  </si>
  <si>
    <t>13 recreo y Santi</t>
  </si>
  <si>
    <t>13 almuerzo</t>
  </si>
  <si>
    <t xml:space="preserve">7 mecato </t>
  </si>
  <si>
    <t xml:space="preserve">21 parqueadero </t>
  </si>
  <si>
    <t xml:space="preserve">20 parqueadero </t>
  </si>
  <si>
    <t>50 salida</t>
  </si>
  <si>
    <t xml:space="preserve">15 cena </t>
  </si>
  <si>
    <t>5 Isabella</t>
  </si>
  <si>
    <t>40 compra camisa Santi y cami</t>
  </si>
  <si>
    <t>35 lavada carro</t>
  </si>
  <si>
    <t>FEBRERO Y MARZO PREPAGADA</t>
  </si>
  <si>
    <t>140 Gasolina km 38543</t>
  </si>
  <si>
    <t xml:space="preserve">10 pollo </t>
  </si>
  <si>
    <t>95 salida jp</t>
  </si>
  <si>
    <t>85 salida jp</t>
  </si>
  <si>
    <t>21 parqueadero</t>
  </si>
  <si>
    <t>6 Recreo</t>
  </si>
  <si>
    <t xml:space="preserve">15 despinchada </t>
  </si>
  <si>
    <t>134 Mercado</t>
  </si>
  <si>
    <t>8 pollo</t>
  </si>
  <si>
    <t>10 Mecato oficina</t>
  </si>
  <si>
    <t>80 cine jp</t>
  </si>
  <si>
    <t>60 jp</t>
  </si>
  <si>
    <t>0 pesos</t>
  </si>
  <si>
    <t xml:space="preserve">26 desayunos </t>
  </si>
  <si>
    <t xml:space="preserve">16 cita Camila </t>
  </si>
  <si>
    <t xml:space="preserve">90 pago Simcard </t>
  </si>
  <si>
    <t xml:space="preserve">670 arreglo pc </t>
  </si>
  <si>
    <t>200 gasolina km 39228</t>
  </si>
  <si>
    <t xml:space="preserve">50 Yesenia </t>
  </si>
  <si>
    <t xml:space="preserve">20 desayuno </t>
  </si>
  <si>
    <t xml:space="preserve">10 clase Santi </t>
  </si>
  <si>
    <t xml:space="preserve">700 diezmo </t>
  </si>
  <si>
    <t xml:space="preserve">55 desayuno </t>
  </si>
  <si>
    <t xml:space="preserve">130 salida niños </t>
  </si>
  <si>
    <t>300 jp</t>
  </si>
  <si>
    <t xml:space="preserve">400 viaje niños </t>
  </si>
  <si>
    <t>50 mecato</t>
  </si>
  <si>
    <t>112 dominio</t>
  </si>
  <si>
    <t xml:space="preserve">172 internet emcali </t>
  </si>
  <si>
    <t>13 Apple espacio</t>
  </si>
  <si>
    <t>63 dominio BRYGAR</t>
  </si>
  <si>
    <t>23 cita Isabella</t>
  </si>
  <si>
    <t xml:space="preserve">23 helado </t>
  </si>
  <si>
    <t>15 almuerzo </t>
  </si>
  <si>
    <t>14 parqueadero</t>
  </si>
  <si>
    <t>cumple sebas</t>
  </si>
  <si>
    <t>publicidad facebook</t>
  </si>
  <si>
    <t>compra de toner jj</t>
  </si>
  <si>
    <t>TERMOS, CORREAS, BILLETERA</t>
  </si>
  <si>
    <t xml:space="preserve">CADENA MARZO </t>
  </si>
  <si>
    <t xml:space="preserve">PAGO ASEO MAFE </t>
  </si>
  <si>
    <t xml:space="preserve">COMPRITA EN EL ARA </t>
  </si>
  <si>
    <t xml:space="preserve">PAGO EMCALI APARTAMENTO </t>
  </si>
  <si>
    <t xml:space="preserve">pago recibo gases de occidente </t>
  </si>
  <si>
    <t xml:space="preserve">PAGO QUINCENA MAFE </t>
  </si>
  <si>
    <t xml:space="preserve">MINI MERCADO </t>
  </si>
  <si>
    <t>retiro</t>
  </si>
  <si>
    <t xml:space="preserve">30 pollo </t>
  </si>
  <si>
    <t xml:space="preserve">30 mecato </t>
  </si>
  <si>
    <t xml:space="preserve">12 dominio cf </t>
  </si>
  <si>
    <t xml:space="preserve">5 descanso </t>
  </si>
  <si>
    <t>30 almuerzos</t>
  </si>
  <si>
    <t>130 gasolina 39560 km</t>
  </si>
  <si>
    <t>95 h jp</t>
  </si>
  <si>
    <t>60 peajes</t>
  </si>
  <si>
    <t>5 mecato</t>
  </si>
  <si>
    <t>350 Yesenia niños</t>
  </si>
  <si>
    <t>170 ruta Santi</t>
  </si>
  <si>
    <t>14 parqueadero</t>
  </si>
  <si>
    <t>100 compras Isabella</t>
  </si>
  <si>
    <t>21 hamburguesa</t>
  </si>
  <si>
    <t xml:space="preserve">17 helado </t>
  </si>
  <si>
    <t xml:space="preserve">39 pago Simcard </t>
  </si>
  <si>
    <t>110 salida jp</t>
  </si>
  <si>
    <t xml:space="preserve">20 compra diana </t>
  </si>
  <si>
    <t>30 salida isa</t>
  </si>
  <si>
    <t>89 comida</t>
  </si>
  <si>
    <t xml:space="preserve">20 cita Camila </t>
  </si>
  <si>
    <t xml:space="preserve">26 juego Santi </t>
  </si>
  <si>
    <t>7 mecato</t>
  </si>
  <si>
    <t xml:space="preserve">360 cambio de aceite </t>
  </si>
  <si>
    <t xml:space="preserve">12 comida </t>
  </si>
  <si>
    <t xml:space="preserve">85 compras disco duros </t>
  </si>
  <si>
    <t xml:space="preserve">100 consignación a cuentas BRYGAR </t>
  </si>
  <si>
    <t>170 gasolina km 40321</t>
  </si>
  <si>
    <t xml:space="preserve">44 gasto con rosero </t>
  </si>
  <si>
    <t>32 gasto con rosero</t>
  </si>
  <si>
    <t>20 compras cumple Santi</t>
  </si>
  <si>
    <t>60 gasolina km 40435</t>
  </si>
  <si>
    <t xml:space="preserve">30 desayunos finca </t>
  </si>
  <si>
    <t>30 pollo almuerzo</t>
  </si>
  <si>
    <t>25 helado</t>
  </si>
  <si>
    <t xml:space="preserve">40 desayuno </t>
  </si>
  <si>
    <t>27 salida</t>
  </si>
  <si>
    <t>10 recreos</t>
  </si>
  <si>
    <t>5 desayuno</t>
  </si>
  <si>
    <t>28 almuerzo</t>
  </si>
  <si>
    <t xml:space="preserve">4 parqueadero </t>
  </si>
  <si>
    <t xml:space="preserve">18 helado </t>
  </si>
  <si>
    <t>14 helado</t>
  </si>
  <si>
    <t xml:space="preserve">36 helados </t>
  </si>
  <si>
    <t xml:space="preserve">16 almuerzo </t>
  </si>
  <si>
    <t xml:space="preserve">14 parqueadero </t>
  </si>
  <si>
    <t xml:space="preserve">160 reserva </t>
  </si>
  <si>
    <t xml:space="preserve">20 mecato </t>
  </si>
  <si>
    <t xml:space="preserve">80 niños </t>
  </si>
  <si>
    <t>100 comida salida</t>
  </si>
  <si>
    <t xml:space="preserve">25 desayuno salida </t>
  </si>
  <si>
    <t xml:space="preserve">130 almuerzo salida </t>
  </si>
  <si>
    <t>50 otros</t>
  </si>
  <si>
    <t>170 gasolina km 40982</t>
  </si>
  <si>
    <t xml:space="preserve">200 salida con jhon </t>
  </si>
  <si>
    <t xml:space="preserve">50 otros </t>
  </si>
  <si>
    <t>160 comida cumple madre</t>
  </si>
  <si>
    <t xml:space="preserve">11 parqueadero </t>
  </si>
  <si>
    <t xml:space="preserve">126 mercado </t>
  </si>
  <si>
    <t xml:space="preserve">26 desayuno </t>
  </si>
  <si>
    <t>179 pedido Temu</t>
  </si>
  <si>
    <t>82 almuerzo</t>
  </si>
  <si>
    <t xml:space="preserve">20 niños </t>
  </si>
  <si>
    <t>10 parqueadero</t>
  </si>
  <si>
    <t>10 desayuno</t>
  </si>
  <si>
    <t>233 pedidos Temu</t>
  </si>
  <si>
    <t xml:space="preserve">10 desayuno </t>
  </si>
  <si>
    <t>90 compras Temu</t>
  </si>
  <si>
    <t>7 parqueadero</t>
  </si>
  <si>
    <t>165  gasolina km 41520</t>
  </si>
  <si>
    <t>RUTA</t>
  </si>
  <si>
    <t>YESENIA</t>
  </si>
  <si>
    <t>revision impresora</t>
  </si>
  <si>
    <t xml:space="preserve">50 reunión </t>
  </si>
  <si>
    <t>15 Parqueadero</t>
  </si>
  <si>
    <t xml:space="preserve">45 almuerzo </t>
  </si>
  <si>
    <t>30 pollo</t>
  </si>
  <si>
    <t xml:space="preserve">20 aseo </t>
  </si>
  <si>
    <t>90 salida jp</t>
  </si>
  <si>
    <t xml:space="preserve">58 desayuno </t>
  </si>
  <si>
    <t>75 pollo almuerzo</t>
  </si>
  <si>
    <t xml:space="preserve">200 día madre diana </t>
  </si>
  <si>
    <t xml:space="preserve">60 día madre </t>
  </si>
  <si>
    <t xml:space="preserve">80 día madre k </t>
  </si>
  <si>
    <t>30 salchipapa</t>
  </si>
  <si>
    <t xml:space="preserve">190 salida jhon </t>
  </si>
  <si>
    <t xml:space="preserve">60 entradas jhon </t>
  </si>
  <si>
    <t>PANTALON PARA DIANA</t>
  </si>
  <si>
    <t xml:space="preserve">salida baño isa, busos santi, medias </t>
  </si>
  <si>
    <t xml:space="preserve">PAGO MAFE </t>
  </si>
  <si>
    <t xml:space="preserve">CADENA ABRIL </t>
  </si>
  <si>
    <t>pago administracion marzo yo debo mitad</t>
  </si>
  <si>
    <t xml:space="preserve">pago servicios  e Internet </t>
  </si>
  <si>
    <t xml:space="preserve">ASEO MAFE </t>
  </si>
  <si>
    <t>aseo yeraldine Y MAFE EL 15 pague</t>
  </si>
  <si>
    <t xml:space="preserve">CADENA MES DEMAYO </t>
  </si>
  <si>
    <t>ME COMPRA BRAYAN TOP</t>
  </si>
  <si>
    <t xml:space="preserve">129 factura movistar </t>
  </si>
  <si>
    <t xml:space="preserve">15 almuerzo </t>
  </si>
  <si>
    <t>27 salida jhon</t>
  </si>
  <si>
    <t xml:space="preserve">132 salida jhon </t>
  </si>
  <si>
    <t>20 k</t>
  </si>
  <si>
    <t xml:space="preserve">500 diana </t>
  </si>
  <si>
    <t>135 salida jp</t>
  </si>
  <si>
    <t>344 mercado d1</t>
  </si>
  <si>
    <t xml:space="preserve">30 otros </t>
  </si>
  <si>
    <t>25 niños</t>
  </si>
  <si>
    <t>200 gasolina km 42177</t>
  </si>
  <si>
    <t xml:space="preserve">30 toallas </t>
  </si>
  <si>
    <t xml:space="preserve">23 comida </t>
  </si>
  <si>
    <t xml:space="preserve">7 parqueadero </t>
  </si>
  <si>
    <t xml:space="preserve">150 edgar emulsión </t>
  </si>
  <si>
    <t xml:space="preserve">15 otros </t>
  </si>
  <si>
    <t>10 niños</t>
  </si>
  <si>
    <t>50 k</t>
  </si>
  <si>
    <t>arreglo portatil</t>
  </si>
  <si>
    <t>revision video beam</t>
  </si>
  <si>
    <t xml:space="preserve">camara y comercio </t>
  </si>
  <si>
    <t>compra de yogures isabella</t>
  </si>
  <si>
    <t>revision fotocopiadora don harold</t>
  </si>
  <si>
    <t>DON HAROLD FOTOCOPIADORA</t>
  </si>
  <si>
    <t>REPUESTOS DON HAROLD FOTOCOPIADORA</t>
  </si>
  <si>
    <t xml:space="preserve">COMPRA SHAMPU Y BALSAMO </t>
  </si>
  <si>
    <t xml:space="preserve">COMPRA CORTINAS </t>
  </si>
  <si>
    <t xml:space="preserve">COMPRA MERCADO GRANDE </t>
  </si>
  <si>
    <t>ganancia de trabajo avapp - diana jamundi</t>
  </si>
  <si>
    <t>para empresa trabajo avapp</t>
  </si>
  <si>
    <t>iva para center cit</t>
  </si>
  <si>
    <t>dinero para gastos de nequi - meta</t>
  </si>
  <si>
    <t>16 almuerzo</t>
  </si>
  <si>
    <t xml:space="preserve">240 manilla </t>
  </si>
  <si>
    <t xml:space="preserve">30 helado </t>
  </si>
  <si>
    <t>87 salida jp</t>
  </si>
  <si>
    <t xml:space="preserve">64 dollar city </t>
  </si>
  <si>
    <t xml:space="preserve">50 amparo </t>
  </si>
  <si>
    <t xml:space="preserve">230 servicios emcali e internet </t>
  </si>
  <si>
    <t>20 Santi</t>
  </si>
  <si>
    <t>14 Camila</t>
  </si>
  <si>
    <t xml:space="preserve">68 Temu </t>
  </si>
  <si>
    <t xml:space="preserve">60 boxer </t>
  </si>
  <si>
    <t>90 mercado d1</t>
  </si>
  <si>
    <t>150 jp</t>
  </si>
  <si>
    <t>26 almuerzo</t>
  </si>
  <si>
    <t>150 salida jp</t>
  </si>
  <si>
    <t>30 ara jhon</t>
  </si>
  <si>
    <t>202 gasolina km 42798</t>
  </si>
  <si>
    <t xml:space="preserve">50 salida </t>
  </si>
  <si>
    <t xml:space="preserve">5 almuerzo </t>
  </si>
  <si>
    <t xml:space="preserve">350 almuerzos niños </t>
  </si>
  <si>
    <t>200 compra de panel amazon</t>
  </si>
  <si>
    <t>250 compra lijadora  amazon</t>
  </si>
  <si>
    <t xml:space="preserve">76 salida muchschos </t>
  </si>
  <si>
    <t xml:space="preserve">27 Netflix </t>
  </si>
  <si>
    <t xml:space="preserve">33 pago del gas </t>
  </si>
  <si>
    <t xml:space="preserve">24 vitamina c Isa </t>
  </si>
  <si>
    <t xml:space="preserve">17 perro y gaseosa </t>
  </si>
  <si>
    <t>170 ruta santiago</t>
  </si>
  <si>
    <t xml:space="preserve">100 decoración diana </t>
  </si>
  <si>
    <t xml:space="preserve">164 extractor jugos </t>
  </si>
  <si>
    <t xml:space="preserve">45 premios zapatillas </t>
  </si>
  <si>
    <t xml:space="preserve">20 pollo </t>
  </si>
  <si>
    <t xml:space="preserve">23 alitas </t>
  </si>
  <si>
    <t>14 desayuno</t>
  </si>
  <si>
    <t xml:space="preserve">37 helados </t>
  </si>
  <si>
    <t xml:space="preserve">20 compra pegacor </t>
  </si>
  <si>
    <t xml:space="preserve">27 almuerzo Santi </t>
  </si>
  <si>
    <t xml:space="preserve">30 perros calientes </t>
  </si>
  <si>
    <t xml:space="preserve">200 diana préstamo </t>
  </si>
  <si>
    <t>82 chat gpt</t>
  </si>
  <si>
    <t xml:space="preserve">29 almuerzo </t>
  </si>
  <si>
    <t>280 salida jp</t>
  </si>
  <si>
    <t xml:space="preserve">20 conexión gas </t>
  </si>
  <si>
    <t xml:space="preserve">30 comida </t>
  </si>
  <si>
    <t>25 canastas</t>
  </si>
  <si>
    <t xml:space="preserve">10 zanahoria </t>
  </si>
  <si>
    <t>21 canaleta</t>
  </si>
  <si>
    <t xml:space="preserve">20 camisas </t>
  </si>
  <si>
    <t xml:space="preserve">43 movistar </t>
  </si>
  <si>
    <t xml:space="preserve">50 Édgar </t>
  </si>
  <si>
    <t xml:space="preserve">21 canaleta </t>
  </si>
  <si>
    <t>250 cadena</t>
  </si>
  <si>
    <t>207 Temu</t>
  </si>
  <si>
    <t xml:space="preserve">62 helados </t>
  </si>
  <si>
    <t xml:space="preserve">78 Temu </t>
  </si>
  <si>
    <t>86 Temu</t>
  </si>
  <si>
    <t xml:space="preserve">43 glicth </t>
  </si>
  <si>
    <t>44 almuerzos</t>
  </si>
  <si>
    <t xml:space="preserve">490 cámara comercio cit </t>
  </si>
  <si>
    <t xml:space="preserve">59 canastillas </t>
  </si>
  <si>
    <t xml:space="preserve">300 arete </t>
  </si>
  <si>
    <t>14 viviana gil</t>
  </si>
  <si>
    <t>215 gasolina km 43513</t>
  </si>
  <si>
    <t>7 limpia vidrios</t>
  </si>
  <si>
    <t>20 desayuno</t>
  </si>
  <si>
    <t xml:space="preserve"> 38 alitas </t>
  </si>
  <si>
    <t>22 jp</t>
  </si>
  <si>
    <t xml:space="preserve">758  soat diana </t>
  </si>
  <si>
    <t xml:space="preserve">10 otros </t>
  </si>
  <si>
    <t xml:space="preserve">13 desayuno </t>
  </si>
  <si>
    <t>13 Peluquiada Santi</t>
  </si>
  <si>
    <t xml:space="preserve">144 mercado d1 </t>
  </si>
  <si>
    <t>26 Temu</t>
  </si>
  <si>
    <t xml:space="preserve">14 almuerzo </t>
  </si>
  <si>
    <t xml:space="preserve">40 remedio gripa </t>
  </si>
  <si>
    <t>5 papá</t>
  </si>
  <si>
    <t>10 taxi</t>
  </si>
  <si>
    <t xml:space="preserve">35 despinchda </t>
  </si>
  <si>
    <t xml:space="preserve">204 Arreglo impresora HArold </t>
  </si>
  <si>
    <t xml:space="preserve">48 alitas granada </t>
  </si>
  <si>
    <t xml:space="preserve">100 mac donald </t>
  </si>
  <si>
    <t>50 otro jp</t>
  </si>
  <si>
    <t xml:space="preserve">100 Yesenia </t>
  </si>
  <si>
    <t xml:space="preserve">180 zapatos </t>
  </si>
  <si>
    <t xml:space="preserve">212 gasolina km 44188 </t>
  </si>
  <si>
    <t xml:space="preserve">380 salida cumple jhon </t>
  </si>
  <si>
    <t xml:space="preserve">306 mercado </t>
  </si>
  <si>
    <t xml:space="preserve">26 Netflix </t>
  </si>
  <si>
    <t xml:space="preserve">82 chatgpt </t>
  </si>
  <si>
    <t xml:space="preserve">150 salida </t>
  </si>
  <si>
    <t xml:space="preserve">200 salida partido </t>
  </si>
  <si>
    <t xml:space="preserve">121 droga Isabella </t>
  </si>
  <si>
    <t xml:space="preserve">150 otros </t>
  </si>
  <si>
    <t>340 concierto</t>
  </si>
  <si>
    <t>175 gasolina km44711</t>
  </si>
  <si>
    <t xml:space="preserve">200 mercado </t>
  </si>
  <si>
    <t>137 salida niños tdt</t>
  </si>
  <si>
    <t xml:space="preserve">100. hamburguesa </t>
  </si>
  <si>
    <t xml:space="preserve">14 Peluquiada </t>
  </si>
  <si>
    <t>18 Peluquiada</t>
  </si>
  <si>
    <t xml:space="preserve">90 zapatos Santi y yo </t>
  </si>
  <si>
    <t>14 uñas cami</t>
  </si>
  <si>
    <t>43 Simcard Santi</t>
  </si>
  <si>
    <t xml:space="preserve">7 parqueo </t>
  </si>
  <si>
    <t>12 Apple</t>
  </si>
  <si>
    <t xml:space="preserve">40 glicth </t>
  </si>
  <si>
    <t>200 ropa mia  jp</t>
  </si>
  <si>
    <t>30 helados</t>
  </si>
  <si>
    <t>58 desayuno </t>
  </si>
  <si>
    <t>60 pilas</t>
  </si>
  <si>
    <t>80 zapatos Camila</t>
  </si>
  <si>
    <t>salida jp family</t>
  </si>
  <si>
    <t>se paga aseo YERALDIN</t>
  </si>
  <si>
    <t xml:space="preserve">CREMA PARA PEINAR </t>
  </si>
  <si>
    <t xml:space="preserve">LIMPIEZA APT </t>
  </si>
  <si>
    <t>PAGA ADMINISTRACIOS LO MIO SE LODI</t>
  </si>
  <si>
    <t xml:space="preserve">LE DOY A DON HAROL </t>
  </si>
  <si>
    <t xml:space="preserve">CADENA MES JULIO </t>
  </si>
  <si>
    <t>PAGO INTERNET</t>
  </si>
  <si>
    <t>SERVICIOS APT</t>
  </si>
  <si>
    <t xml:space="preserve">REVISION GAS </t>
  </si>
  <si>
    <t>PAGO ADMINISTRACION APT</t>
  </si>
  <si>
    <t>abono AVAPP Partido gustavo</t>
  </si>
  <si>
    <t>camara y comercio mega transportes juamvi</t>
  </si>
  <si>
    <t xml:space="preserve">CADENA MES DE AGOSTO </t>
  </si>
  <si>
    <t xml:space="preserve">PAGO SERVICIOS APT </t>
  </si>
  <si>
    <t xml:space="preserve">PAGO INTERNET </t>
  </si>
  <si>
    <t>PAGO GAS APT</t>
  </si>
  <si>
    <t>JP</t>
  </si>
  <si>
    <t xml:space="preserve">100 clínica gastos </t>
  </si>
  <si>
    <t>200 gasolina km 45368</t>
  </si>
  <si>
    <t>88 salida jp</t>
  </si>
  <si>
    <t xml:space="preserve">550 mercado </t>
  </si>
  <si>
    <t>18 Isabella</t>
  </si>
  <si>
    <t>67 salida Isabella</t>
  </si>
  <si>
    <t xml:space="preserve">50 compra Isabella </t>
  </si>
  <si>
    <t xml:space="preserve">50 ayuda amigo diana </t>
  </si>
  <si>
    <t xml:space="preserve">40 cita Isabella </t>
  </si>
  <si>
    <t>28 comida</t>
  </si>
  <si>
    <t xml:space="preserve"> 56 salida jp</t>
  </si>
  <si>
    <t>25 lavada carro</t>
  </si>
  <si>
    <t>50 desayuno</t>
  </si>
  <si>
    <t xml:space="preserve">300 salida niños </t>
  </si>
  <si>
    <t>204 gasolina km 45996</t>
  </si>
  <si>
    <t xml:space="preserve">11 cosecha </t>
  </si>
  <si>
    <t>41 dollar city</t>
  </si>
  <si>
    <t xml:space="preserve">35 almuerzo </t>
  </si>
  <si>
    <t xml:space="preserve">56 Isabella </t>
  </si>
  <si>
    <t xml:space="preserve">50 revisión carro </t>
  </si>
  <si>
    <t>100 comida Family</t>
  </si>
  <si>
    <t xml:space="preserve">20 chocolates </t>
  </si>
  <si>
    <t xml:space="preserve">20 rifa manzano </t>
  </si>
  <si>
    <t xml:space="preserve">5 parqueadero </t>
  </si>
  <si>
    <t xml:space="preserve">280 salida cumple JOHAN </t>
  </si>
  <si>
    <t xml:space="preserve">70 pizza cumple </t>
  </si>
  <si>
    <t>186 gasolina km 46560</t>
  </si>
  <si>
    <t xml:space="preserve">30 Chiqui </t>
  </si>
  <si>
    <t xml:space="preserve">350 jp </t>
  </si>
  <si>
    <t xml:space="preserve">350 comida Yesenia </t>
  </si>
  <si>
    <t xml:space="preserve">150 transporte Edward </t>
  </si>
  <si>
    <t xml:space="preserve">121 compra pañales Isabella </t>
  </si>
  <si>
    <t>117 compras cremas Isabella</t>
  </si>
  <si>
    <t xml:space="preserve">100 diana </t>
  </si>
  <si>
    <t>173 gasolina km 47108</t>
  </si>
  <si>
    <t xml:space="preserve">20 almuerzo </t>
  </si>
  <si>
    <t xml:space="preserve">15 parqueo </t>
  </si>
  <si>
    <t xml:space="preserve">600 edgar préstamo </t>
  </si>
  <si>
    <t xml:space="preserve">95 salida Isabella </t>
  </si>
  <si>
    <t>106 dominio arroyave.digital</t>
  </si>
  <si>
    <t>otrosx</t>
  </si>
  <si>
    <t xml:space="preserve">100 camilo jimenez préstamo </t>
  </si>
  <si>
    <t xml:space="preserve">50 cita médica </t>
  </si>
  <si>
    <t xml:space="preserve">150 jhon rosero </t>
  </si>
  <si>
    <t xml:space="preserve">40 partido </t>
  </si>
  <si>
    <t>lider santana</t>
  </si>
  <si>
    <t>80 cumple Chiqui</t>
  </si>
  <si>
    <t>20 almuerzo</t>
  </si>
  <si>
    <t>bonificación congreso</t>
  </si>
  <si>
    <t xml:space="preserve">8 cámara comercio </t>
  </si>
  <si>
    <t>30 chat gpt</t>
  </si>
  <si>
    <t>5 dominio avapp site</t>
  </si>
  <si>
    <t xml:space="preserve">25 almuerzo </t>
  </si>
  <si>
    <t xml:space="preserve">104 dollarcity </t>
  </si>
  <si>
    <t>182 gasolina km 47656</t>
  </si>
  <si>
    <t>20 mecato</t>
  </si>
  <si>
    <t xml:space="preserve">14 parqueaderos </t>
  </si>
  <si>
    <t xml:space="preserve">330 gps KUY188 </t>
  </si>
  <si>
    <t>40 almuerzo</t>
  </si>
  <si>
    <t xml:space="preserve">50 para la mamita </t>
  </si>
  <si>
    <t xml:space="preserve">25 pollo </t>
  </si>
  <si>
    <t>90 regalo</t>
  </si>
  <si>
    <t xml:space="preserve">350 ventilador y cafetera </t>
  </si>
  <si>
    <t xml:space="preserve">36 almuerzo </t>
  </si>
  <si>
    <t xml:space="preserve">25 desayuno. </t>
  </si>
  <si>
    <t xml:space="preserve">72 cena niños </t>
  </si>
  <si>
    <t xml:space="preserve">50 diana </t>
  </si>
  <si>
    <t>Emcali</t>
  </si>
  <si>
    <t>Gas</t>
  </si>
  <si>
    <t>155 gasolina km48127</t>
  </si>
  <si>
    <t xml:space="preserve">40 tarjeta PCI </t>
  </si>
  <si>
    <t>25 desayuno</t>
  </si>
  <si>
    <t>50 helado niños</t>
  </si>
  <si>
    <t>Invitacion extra agosto whatsapp  - 6646</t>
  </si>
  <si>
    <t>Invitacion extra septiembre whatsapp - 6654</t>
  </si>
  <si>
    <t xml:space="preserve">150 decoración Isabella </t>
  </si>
  <si>
    <t xml:space="preserve">150 ruta Santi </t>
  </si>
  <si>
    <t xml:space="preserve">350 Yesenia </t>
  </si>
  <si>
    <t xml:space="preserve">110 mercado d1 </t>
  </si>
  <si>
    <t xml:space="preserve">250 Amazon compra </t>
  </si>
  <si>
    <t xml:space="preserve">27 desayuno </t>
  </si>
  <si>
    <t>104 arroz</t>
  </si>
  <si>
    <t>20 platos</t>
  </si>
  <si>
    <t>201 gasolina km 48770</t>
  </si>
  <si>
    <t>52 pieza</t>
  </si>
  <si>
    <t>20 otros</t>
  </si>
  <si>
    <t xml:space="preserve">50 picada </t>
  </si>
  <si>
    <t xml:space="preserve">95 entrada </t>
  </si>
  <si>
    <t xml:space="preserve">275 diana DIANA </t>
  </si>
  <si>
    <t xml:space="preserve">100 cumple leidy </t>
  </si>
  <si>
    <t xml:space="preserve">164 Temu </t>
  </si>
  <si>
    <t>62 Temu</t>
  </si>
  <si>
    <t>10 pollo</t>
  </si>
  <si>
    <t xml:space="preserve">11 refrigerante </t>
  </si>
  <si>
    <t xml:space="preserve">204 ropa edgar </t>
  </si>
  <si>
    <t>40 chantas kuy188</t>
  </si>
  <si>
    <t xml:space="preserve">60 lavada carro </t>
  </si>
  <si>
    <t xml:space="preserve"> 130 gasolina 49220</t>
  </si>
  <si>
    <t xml:space="preserve">15 buñuelos </t>
  </si>
  <si>
    <t xml:space="preserve">400 hotel </t>
  </si>
  <si>
    <t xml:space="preserve">50 desayuno </t>
  </si>
  <si>
    <t xml:space="preserve">65 peajes </t>
  </si>
  <si>
    <t>10 estuche</t>
  </si>
  <si>
    <t xml:space="preserve">220 gastos hotel </t>
  </si>
  <si>
    <t xml:space="preserve">28 helados </t>
  </si>
  <si>
    <t xml:space="preserve">30 helados </t>
  </si>
  <si>
    <t>39 perros</t>
  </si>
  <si>
    <t xml:space="preserve">90 pollo comida </t>
  </si>
  <si>
    <t xml:space="preserve">28 desayuno </t>
  </si>
  <si>
    <t xml:space="preserve">600 diana planilla </t>
  </si>
  <si>
    <t xml:space="preserve">15 ensalada </t>
  </si>
  <si>
    <t>90 jp</t>
  </si>
  <si>
    <t xml:space="preserve">36 libro </t>
  </si>
  <si>
    <t xml:space="preserve">43 glitch </t>
  </si>
  <si>
    <t>22 otros</t>
  </si>
  <si>
    <t xml:space="preserve">95 celular Santi </t>
  </si>
  <si>
    <t xml:space="preserve">20 keratina </t>
  </si>
  <si>
    <t xml:space="preserve">20 Peluquiada </t>
  </si>
  <si>
    <t xml:space="preserve">204 compras Isabella </t>
  </si>
  <si>
    <t>70 salida jp</t>
  </si>
  <si>
    <t xml:space="preserve">8 desayuno </t>
  </si>
  <si>
    <t xml:space="preserve">100 almuerzo </t>
  </si>
  <si>
    <t>208 gasolina km 49972</t>
  </si>
  <si>
    <t xml:space="preserve">24 desayuno 2 </t>
  </si>
  <si>
    <t xml:space="preserve">37 desayuno 1 </t>
  </si>
  <si>
    <t xml:space="preserve">50 edgar garcia </t>
  </si>
  <si>
    <t xml:space="preserve">10 Desyuno </t>
  </si>
  <si>
    <t>175emcali</t>
  </si>
  <si>
    <t xml:space="preserve">91 internet </t>
  </si>
  <si>
    <t>45 karen</t>
  </si>
  <si>
    <t xml:space="preserve">150 cumple Mario </t>
  </si>
  <si>
    <t>100 cine</t>
  </si>
  <si>
    <t>100 cumple mamita</t>
  </si>
  <si>
    <t>16 micrófono</t>
  </si>
  <si>
    <t>21 cargadores</t>
  </si>
  <si>
    <t>4 mango</t>
  </si>
  <si>
    <t xml:space="preserve">500 amparo juan </t>
  </si>
  <si>
    <t>20 postres</t>
  </si>
  <si>
    <t>27 desayuno</t>
  </si>
  <si>
    <t xml:space="preserve">20 Chiqui </t>
  </si>
  <si>
    <t xml:space="preserve">25 lavada carro </t>
  </si>
  <si>
    <t>10 otros</t>
  </si>
  <si>
    <t xml:space="preserve">1150 soat y seguro </t>
  </si>
  <si>
    <t>175 gasolina km50511</t>
  </si>
  <si>
    <t>60 salida Isabella</t>
  </si>
  <si>
    <t>compra 2 ventiladores</t>
  </si>
  <si>
    <t xml:space="preserve">150 préstamo Zamir </t>
  </si>
  <si>
    <t xml:space="preserve">100 préstamo k </t>
  </si>
  <si>
    <t>250 préstamo k</t>
  </si>
  <si>
    <t>incapacidad de gleidy moreno</t>
  </si>
  <si>
    <t>X COBRAR</t>
  </si>
  <si>
    <t>instalacion pc muro</t>
  </si>
  <si>
    <t>pendiente</t>
  </si>
  <si>
    <t>Disco duro solido y instalacion windoes a trabjadora de  muro</t>
  </si>
  <si>
    <t>incapacidad tellez 2</t>
  </si>
  <si>
    <t>pago mora mave</t>
  </si>
  <si>
    <t>incapacidad edwar yaqueno</t>
  </si>
  <si>
    <t>Luis hernando Rodríguez sinisterra  incapacidad de arl sura  por 6 días  $181,705</t>
  </si>
  <si>
    <t>TRABAJOS MANZANO 2022</t>
  </si>
  <si>
    <t>AÑO</t>
  </si>
  <si>
    <t>TIPO GASTO</t>
  </si>
  <si>
    <t>ACTUALIZACION FEBRERO 2024</t>
  </si>
  <si>
    <t>año</t>
  </si>
  <si>
    <t>mes</t>
  </si>
  <si>
    <t>FEBERO</t>
  </si>
  <si>
    <t>INTERESES</t>
  </si>
  <si>
    <t>ESTEFANIA BARREIRO</t>
  </si>
  <si>
    <t>DOÑA LUCY</t>
  </si>
  <si>
    <t>HECTOR MEDINA</t>
  </si>
  <si>
    <t>LUIS MIRA</t>
  </si>
  <si>
    <t>FABIONELSON</t>
  </si>
  <si>
    <t>JUAN PABLO ROSERO</t>
  </si>
  <si>
    <t>AMPARO CARRO - CARLOS</t>
  </si>
  <si>
    <t>SANDRA LATORRE Y MARTIN</t>
  </si>
  <si>
    <t>TOÑO</t>
  </si>
  <si>
    <t>EDUARDO MOLINA Y DIANA MOLINA</t>
  </si>
  <si>
    <t>JESSICA RAMIREZ</t>
  </si>
  <si>
    <t>FABIO ARROYAVE</t>
  </si>
  <si>
    <t>VALENTINA LOPEZ</t>
  </si>
  <si>
    <t>JHON ROSERO</t>
  </si>
  <si>
    <t>LEIDY LOPEZ</t>
  </si>
  <si>
    <t>ARROYAVE</t>
  </si>
  <si>
    <t>ERMERSON ESPOSO MARITZA</t>
  </si>
  <si>
    <t>TIA LORENA - DIANA</t>
  </si>
  <si>
    <t>JUAN DAVID RODRIGUEZ</t>
  </si>
  <si>
    <t>ANTONIO CARDENAS</t>
  </si>
  <si>
    <t>COMPRA DE CARRO JUANPA</t>
  </si>
  <si>
    <t>EINER PELUQUERIA</t>
  </si>
  <si>
    <t>DIANA MANZANO</t>
  </si>
  <si>
    <t>MES</t>
  </si>
  <si>
    <t>SALDO</t>
  </si>
  <si>
    <t>ADMIN BBVA</t>
  </si>
  <si>
    <t>4XMIL BBVA</t>
  </si>
  <si>
    <t xml:space="preserve">de caja </t>
  </si>
  <si>
    <t>se le pago planillas el niche</t>
  </si>
  <si>
    <t>SALDO INCAPACIDAD NICHE</t>
  </si>
  <si>
    <t>incapacidad lego - jose carlos</t>
  </si>
  <si>
    <t>prestamo a Edgar Garcia</t>
  </si>
  <si>
    <t>prestamo a viviana gil</t>
  </si>
  <si>
    <t xml:space="preserve">APARTO </t>
  </si>
  <si>
    <t>CAMION 2</t>
  </si>
  <si>
    <t>CAMION 3</t>
  </si>
  <si>
    <t>Iphone 14 Pro</t>
  </si>
  <si>
    <t>compra portatil dell</t>
  </si>
  <si>
    <t>compra camioneta</t>
  </si>
  <si>
    <t>CUENTAS</t>
  </si>
  <si>
    <t>DEDUCCIONES</t>
  </si>
  <si>
    <t>BBVA NET</t>
  </si>
  <si>
    <t xml:space="preserve">se le pago a Lego por incapacidad Anderson </t>
  </si>
  <si>
    <t xml:space="preserve">BBVA </t>
  </si>
  <si>
    <t>NEVECON</t>
  </si>
  <si>
    <t>BBVA AHORRAR</t>
  </si>
  <si>
    <t>planilla alejandra gonzalez</t>
  </si>
  <si>
    <t>BANCOLOMBIA B</t>
  </si>
  <si>
    <t>NEQUI</t>
  </si>
  <si>
    <t>DAVIPLATA</t>
  </si>
  <si>
    <t>cruce incapacidad lego -  juan david trejos x cobrar</t>
  </si>
  <si>
    <t>LULO BANK</t>
  </si>
  <si>
    <t>PERDIDA PLANILLAS</t>
  </si>
  <si>
    <t>LULO BOLSILLO</t>
  </si>
  <si>
    <t>PAGO CLINICA CLARA</t>
  </si>
  <si>
    <t>NU - AHORRO</t>
  </si>
  <si>
    <t xml:space="preserve">pago eps clara </t>
  </si>
  <si>
    <t>mega AMPARO</t>
  </si>
  <si>
    <t>regalo a madre viaje a españa</t>
  </si>
  <si>
    <t>ALM</t>
  </si>
  <si>
    <t>Compra portatil Dell</t>
  </si>
  <si>
    <t>pago de pension lego 4 meses</t>
  </si>
  <si>
    <t>CONSTRUTECH</t>
  </si>
  <si>
    <t>LOGISTIC HOUSE</t>
  </si>
  <si>
    <t>benitez</t>
  </si>
  <si>
    <t>arroyave</t>
  </si>
  <si>
    <t>arreglo del carro - bobina</t>
  </si>
  <si>
    <t>compra de llantas</t>
  </si>
  <si>
    <t>DANIELA BRYGAR</t>
  </si>
  <si>
    <t>ultimo pago efecty</t>
  </si>
  <si>
    <t>pago efecty</t>
  </si>
  <si>
    <t xml:space="preserve">abono efecty </t>
  </si>
  <si>
    <t>robo de plataforma de recargas</t>
  </si>
  <si>
    <t>operación de los ojos</t>
  </si>
  <si>
    <t>BRYGAR_ACTUAL</t>
  </si>
  <si>
    <t>Luis Enrique salas (ADRIANA SALAS)</t>
  </si>
  <si>
    <t>JHON FABIO  MORALES SERNA</t>
  </si>
  <si>
    <t xml:space="preserve">ENERO </t>
  </si>
  <si>
    <t>PATRIMONIO</t>
  </si>
  <si>
    <t>IMPUESTOS KUY 188</t>
  </si>
  <si>
    <t>PREDIAL APTO 2024</t>
  </si>
  <si>
    <t>800 cámara comercio</t>
  </si>
  <si>
    <t xml:space="preserve">300 contadora IVA cit </t>
  </si>
  <si>
    <t xml:space="preserve">471 MULTA homenurse </t>
  </si>
  <si>
    <t xml:space="preserve">471 impuestos </t>
  </si>
  <si>
    <t>471 renta 2022 house</t>
  </si>
  <si>
    <t xml:space="preserve">471 renta 2023 center </t>
  </si>
  <si>
    <t>4871 IVA construtech</t>
  </si>
  <si>
    <t>tutela mave -</t>
  </si>
  <si>
    <t xml:space="preserve">1000 Jeimy declaraciones </t>
  </si>
  <si>
    <t>lina - contador</t>
  </si>
  <si>
    <t>COMPRA DE SERVIDOR</t>
  </si>
  <si>
    <t>DISCOS SOLIDOS SERVIDOR</t>
  </si>
  <si>
    <t>IPHONE DIANA</t>
  </si>
  <si>
    <t>fuente de poder y tarjeta grafica servidor</t>
  </si>
  <si>
    <t>Prima dic</t>
  </si>
  <si>
    <t xml:space="preserve">JORGE EDWIN TELLEZ TAVERA (219,200) 16777157 FACTURA No. 2204 </t>
  </si>
  <si>
    <t>Carro</t>
  </si>
  <si>
    <t>JORGE EDWIN TELLEZ TAVERA (219,200)  16777157 FACTURA No. 2298</t>
  </si>
  <si>
    <t>PAGO 1 NOV</t>
  </si>
  <si>
    <t>JORGE EDWIN TELLEZ TAVERA (219,200)  16777157 FACTURA No. 2441</t>
  </si>
  <si>
    <t xml:space="preserve">JORGE EDWIN TELLEZ TAVERA (219,200)  16777157 FACTURA No. </t>
  </si>
  <si>
    <t xml:space="preserve">pago incapacidad de jose ever </t>
  </si>
  <si>
    <t>INCAPACIDAD DE SINDY - JOHANA NUÑEZ $545</t>
  </si>
  <si>
    <t>incapacidad HAMILTON MARTINEZ 156</t>
  </si>
  <si>
    <t>incapacidad edwin tellez 844,000</t>
  </si>
  <si>
    <t>Incapacidad nestor giraldo 430</t>
  </si>
  <si>
    <t>INCAPACIDAD NAYIBE</t>
  </si>
  <si>
    <t>INCAPACIDAD REYES DEL ARROZ</t>
  </si>
  <si>
    <t>31-04-23</t>
  </si>
  <si>
    <t>incapacidad mary efrady erazo - 2695800</t>
  </si>
  <si>
    <t>incapacidad saul marino quintero - 500000</t>
  </si>
  <si>
    <t>incapacidad cristian reina megamudanzas</t>
  </si>
  <si>
    <t>incapacidad jakeline cortes</t>
  </si>
  <si>
    <t>incapacidad camilo rivera</t>
  </si>
  <si>
    <t>Incapacidad nestor giraldo 600</t>
  </si>
  <si>
    <t>INCAPACIDAD EMBARAZO GISELLE DE EL NICHE</t>
  </si>
  <si>
    <t>PAGO FACTURA No. 3285 - afiliaciones 7 y arl julio perea</t>
  </si>
  <si>
    <t>planilla ernesto morales</t>
  </si>
  <si>
    <t>INCAPACIDAD JOHANA LERMA ACD 4D</t>
  </si>
  <si>
    <t>INCAPACACIDAD CARLOS HERRERA 7D</t>
  </si>
  <si>
    <t>INCAPACIDAD XIMENA CHILANGUA ACD 2 INC</t>
  </si>
  <si>
    <t>INCAPACIDAD ANGELA GABRIELA BENAVIDES 3D JN</t>
  </si>
  <si>
    <t>CANT</t>
  </si>
  <si>
    <t>POR PAGAR</t>
  </si>
  <si>
    <t>PAGO NOV</t>
  </si>
  <si>
    <t>PRIMA</t>
  </si>
  <si>
    <t>PAGO DIC</t>
  </si>
  <si>
    <t>ACUERDO BRAYAN</t>
  </si>
  <si>
    <t>CONTRATO LLAMADAS Y DIGITACION</t>
  </si>
  <si>
    <t>INTERESES PRESTAMO AMPARO</t>
  </si>
  <si>
    <t>TARJETA CREDITO BRAYAN</t>
  </si>
  <si>
    <t>IPHONE CARMEN ELENA</t>
  </si>
  <si>
    <t>LLAMADAS y SMS VINCULADOS 1</t>
  </si>
  <si>
    <t>LLAMADAS y SMS VINCULADOS 2</t>
  </si>
  <si>
    <t>LLAMADAS y SMS VINCULADOS 3</t>
  </si>
  <si>
    <t>AFILIACION MERK XPRESS - USMA</t>
  </si>
  <si>
    <t xml:space="preserve">AFILIACION FABIO ALONSO </t>
  </si>
  <si>
    <t>EPS DICIEMBRE RUTH SARAZA</t>
  </si>
  <si>
    <t>EPS DICIEMBRE ALEX ZUÑIGA</t>
  </si>
  <si>
    <t>EPS DICIEMBRE ROSA YATACUE</t>
  </si>
  <si>
    <t>EPS DICIEMBRE MERK SPRESS</t>
  </si>
  <si>
    <t>LLAMADA LIDERES - ENCUESTA</t>
  </si>
  <si>
    <t>cable HDMI Y 1 CABLE DE AUDIO</t>
  </si>
  <si>
    <t>prima</t>
  </si>
  <si>
    <t xml:space="preserve">EPS Y ARL FABIO ARROYAVE </t>
  </si>
  <si>
    <t>AFILIACION HIJO BENEFICIARIO</t>
  </si>
  <si>
    <t>AFILIACION MERK XPRESS - HOLGUIN</t>
  </si>
  <si>
    <t>Admin programa whatsapp DIC</t>
  </si>
  <si>
    <t>envio 1700 whatsapp lideres</t>
  </si>
  <si>
    <t>envio 500 whatsapp</t>
  </si>
  <si>
    <t>envio 1450 whatsapp</t>
  </si>
  <si>
    <t>DIGITACION 2800 REGISTROS</t>
  </si>
  <si>
    <t>LLAMADAS CUMPLE DICIEMBRE</t>
  </si>
  <si>
    <t>EPS DICIEMBRE FABIO ALONSO</t>
  </si>
  <si>
    <t>AFILIACION ROBERTO SALUD TOTAL</t>
  </si>
  <si>
    <t>memoria ram y sotfware sede</t>
  </si>
  <si>
    <t>cargador y juegos sede</t>
  </si>
  <si>
    <t>envio 82mil whatsapp</t>
  </si>
  <si>
    <t>cant</t>
  </si>
  <si>
    <t>dias</t>
  </si>
  <si>
    <t>total</t>
  </si>
  <si>
    <t>personal</t>
  </si>
  <si>
    <t>minutos</t>
  </si>
  <si>
    <t>gastos equipos y energia</t>
  </si>
  <si>
    <t>ganancia</t>
  </si>
  <si>
    <t>VALOR EXTRA</t>
  </si>
  <si>
    <t>llamadas lideres</t>
  </si>
  <si>
    <t>EPS DICIEMBRE SARAZA</t>
  </si>
  <si>
    <t>RECARGAS A CELULAR</t>
  </si>
  <si>
    <t>EPS DICIEMBRE LUCIA SARAZA</t>
  </si>
  <si>
    <t>EPS ROBERTO SALUD TOTAL FEBRERO</t>
  </si>
  <si>
    <t>FORMATEO, INSTALACION PORTATILES</t>
  </si>
  <si>
    <t>envio extras sms</t>
  </si>
  <si>
    <t>monica castiblanco EPS</t>
  </si>
  <si>
    <t xml:space="preserve">ALQUILER SERVIDOR </t>
  </si>
  <si>
    <t>ALQUILER PROGRAMA</t>
  </si>
  <si>
    <t>abono prestamo</t>
  </si>
  <si>
    <t>??</t>
  </si>
  <si>
    <t>FABITO - EPS+ARL+PENSION AFILIACION</t>
  </si>
  <si>
    <t>FABITO - EPS+ARL+PENSION</t>
  </si>
  <si>
    <t>tiquetes</t>
  </si>
  <si>
    <t>SMS RECONOCIMIENTO</t>
  </si>
  <si>
    <t>disco duro y windows merka xpress</t>
  </si>
  <si>
    <t>impresora</t>
  </si>
  <si>
    <t>usb 16gb</t>
  </si>
  <si>
    <t>1 regulador</t>
  </si>
  <si>
    <t>1 teclado</t>
  </si>
  <si>
    <t>saldo impresora y accesorios pc</t>
  </si>
  <si>
    <t>1 mouse</t>
  </si>
  <si>
    <t>monica castiblanco seguridad social</t>
  </si>
  <si>
    <t>formateo</t>
  </si>
  <si>
    <t>saldo meses anteriores</t>
  </si>
  <si>
    <t>carcasa</t>
  </si>
  <si>
    <t>impresiones color para carpetas</t>
  </si>
  <si>
    <t>fuente</t>
  </si>
  <si>
    <t>sms recordatorio fiesta</t>
  </si>
  <si>
    <t>EPS LUCIA SARAZA</t>
  </si>
  <si>
    <t>EPS ALEX ZUÑIGA</t>
  </si>
  <si>
    <t>EPS  ROSA YATACUE</t>
  </si>
  <si>
    <t>EPS FABIO ALONSO ARROYAVE BOTERO</t>
  </si>
  <si>
    <t>EPS FABIO ALONSO ARROYAVE RIVAS</t>
  </si>
  <si>
    <t>LLAMADAS DOCENTES</t>
  </si>
  <si>
    <t>cambio de CPU - sede</t>
  </si>
  <si>
    <t>Mantenimiento portatil sede</t>
  </si>
  <si>
    <t>EPS  LUCITANIA CASA</t>
  </si>
  <si>
    <t>impresiones lideres por comuna</t>
  </si>
  <si>
    <t>sms vinculados x 2</t>
  </si>
  <si>
    <t xml:space="preserve">sms lideres </t>
  </si>
  <si>
    <t xml:space="preserve">recordatorio fiesta </t>
  </si>
  <si>
    <t>impresión carpetas BD</t>
  </si>
  <si>
    <t>recarga juan david internet fiesta</t>
  </si>
  <si>
    <t>impresiones no votan en comuna</t>
  </si>
  <si>
    <t>llamadas comunas 2-16-17-18</t>
  </si>
  <si>
    <t>p</t>
  </si>
  <si>
    <t>LLAMADAS CUMPLE JULIO</t>
  </si>
  <si>
    <t>ACUERDO BRAYAN CONGRESO</t>
  </si>
  <si>
    <t>Impresiones</t>
  </si>
  <si>
    <t>votan en otras comunas</t>
  </si>
  <si>
    <t>entregado</t>
  </si>
  <si>
    <t>recargas hasta 27-7-2019</t>
  </si>
  <si>
    <t>viven y votan</t>
  </si>
  <si>
    <t>llamadas 2 personas</t>
  </si>
  <si>
    <t>viven en otras comunas</t>
  </si>
  <si>
    <t>sms_recordatorio_fiesta</t>
  </si>
  <si>
    <t>sms clara luz</t>
  </si>
  <si>
    <t>sms_boletas2</t>
  </si>
  <si>
    <t>ospina</t>
  </si>
  <si>
    <t>sms lideres sabado</t>
  </si>
  <si>
    <t>formateos a Dicos duros nuevos</t>
  </si>
  <si>
    <t>instalacion y reparacionteclado portatil cristian</t>
  </si>
  <si>
    <t xml:space="preserve">instalacion teclado </t>
  </si>
  <si>
    <t>sms lanzamiento</t>
  </si>
  <si>
    <t>DEBE</t>
  </si>
  <si>
    <t xml:space="preserve">LLAMADAS CUMPLE </t>
  </si>
  <si>
    <t>FACTURA CELULARES FUNDACION SOS</t>
  </si>
  <si>
    <t>declaracion de renta brayan</t>
  </si>
  <si>
    <t>PAGO MOVISTAR FUND SOS</t>
  </si>
  <si>
    <t>afiliacion david muriel</t>
  </si>
  <si>
    <t>PAG0 - 18-1-19</t>
  </si>
  <si>
    <t>EPS  ANAYIBI</t>
  </si>
  <si>
    <t>EPS  DOLLY</t>
  </si>
  <si>
    <t>arreglo fuente pc casa carmen elena</t>
  </si>
  <si>
    <t>base de video beam y configuracion</t>
  </si>
  <si>
    <t>cambio de disco duro pc jhon</t>
  </si>
  <si>
    <t>pago factura movistar fundacion sos</t>
  </si>
  <si>
    <t>EPS FABIO ALONSO ARROYAVE BOTERO enero</t>
  </si>
  <si>
    <t>iva factura rolo</t>
  </si>
  <si>
    <t>oficina</t>
  </si>
  <si>
    <t>mitad</t>
  </si>
  <si>
    <t>iva factura hernan gonzalez</t>
  </si>
  <si>
    <t xml:space="preserve">manzano debe iva de factura </t>
  </si>
  <si>
    <t>PAGO ENERO 2020</t>
  </si>
  <si>
    <t>LLAMADAS CUMPLE Y CONCEJO FAAB</t>
  </si>
  <si>
    <t>ACUERDO BRAYAN CONGRESO FF</t>
  </si>
  <si>
    <t>INTERESES PRESTAMO AMPARO 1,5%</t>
  </si>
  <si>
    <t>ALQUILER SERVIDOR WEB - CUENTAS</t>
  </si>
  <si>
    <t>ALQUILER PROGRAMA BASE DE DATOS</t>
  </si>
  <si>
    <t>iglesia pendon primicias</t>
  </si>
  <si>
    <t>ok</t>
  </si>
  <si>
    <t xml:space="preserve">SMS FIESTA NOV Y DIC Y ENERO </t>
  </si>
  <si>
    <t>IMPRESIÓN TIQUETES</t>
  </si>
  <si>
    <t>Sala</t>
  </si>
  <si>
    <t>CONSIGNO A FABITO RIVAS</t>
  </si>
  <si>
    <t>cuenta</t>
  </si>
  <si>
    <t>PLANILLA MONICA CASTIBLANCO</t>
  </si>
  <si>
    <t>recarga 10 - internet iphone fiesta</t>
  </si>
  <si>
    <t>recarga 40 - solicito FAAB</t>
  </si>
  <si>
    <t>factura movistar fundacion feb</t>
  </si>
  <si>
    <t xml:space="preserve">pago planilla monica </t>
  </si>
  <si>
    <t>PAGO FEBRERO 2020</t>
  </si>
  <si>
    <t>SMS recordatorio</t>
  </si>
  <si>
    <t>cartucho impresora laser</t>
  </si>
  <si>
    <t>cargador samsung portatil</t>
  </si>
  <si>
    <t>PAGO MARZO 2020</t>
  </si>
  <si>
    <t>prestados</t>
  </si>
  <si>
    <t>faab</t>
  </si>
  <si>
    <t>ff</t>
  </si>
  <si>
    <t>intereses veronica peña</t>
  </si>
  <si>
    <t>ANA LUISA YOTENGO CUENE</t>
  </si>
  <si>
    <t>EDIS QUIÑONES</t>
  </si>
  <si>
    <t>PAGO ABRIL 2020</t>
  </si>
  <si>
    <t>CONCEJO FAAB</t>
  </si>
  <si>
    <t>instalacion tv - 3 tv - con ayudante</t>
  </si>
  <si>
    <t>instalacion tv 2 (19-03-2020)  - con ayudante</t>
  </si>
  <si>
    <t>recarga minutos aut fabio alonso</t>
  </si>
  <si>
    <t>COMPRA DE MERCANCIA HERRAMIENTAS casa</t>
  </si>
  <si>
    <t xml:space="preserve">compra intener corta BOTELLAS </t>
  </si>
  <si>
    <t>PAGO MAYO 2020</t>
  </si>
  <si>
    <t>putu</t>
  </si>
  <si>
    <t>CONSIGNACION</t>
  </si>
  <si>
    <t>CONSIG</t>
  </si>
  <si>
    <t>TRASFIRIO A JHON JAIRO FACTURA CASA</t>
  </si>
  <si>
    <t>PAGO SEGURIDAD MONICA ABRIL</t>
  </si>
  <si>
    <t>soat Dimax</t>
  </si>
  <si>
    <t>Brayan</t>
  </si>
  <si>
    <t>recarga a celular</t>
  </si>
  <si>
    <t>YA CUADRADO</t>
  </si>
  <si>
    <t>Mercado arroyave</t>
  </si>
  <si>
    <t>PAGO EPS MONICA CASTIBLANCO MAYO</t>
  </si>
  <si>
    <t>PAGO JUNIO 2020</t>
  </si>
  <si>
    <t xml:space="preserve">recarga </t>
  </si>
  <si>
    <t>AFILIACION EPS ARL CAJA DAYANA junio</t>
  </si>
  <si>
    <t>AFILIACION Y PAGO PLANILLA VIVIANA junio</t>
  </si>
  <si>
    <t>PRIMA JULIO 2020</t>
  </si>
  <si>
    <t>mitad prestacion</t>
  </si>
  <si>
    <t>intereses veronica peña junio</t>
  </si>
  <si>
    <t>PARA MANZANO QUE HABLO CON JHON JAIRO</t>
  </si>
  <si>
    <t>recarga HERMANO</t>
  </si>
  <si>
    <t>pago seguridad viviana agudelo julio</t>
  </si>
  <si>
    <t>EPS URIEL MAYORDOMO JULIO</t>
  </si>
  <si>
    <t>2 router para la finca</t>
  </si>
  <si>
    <t>PAGO JULIO 2020</t>
  </si>
  <si>
    <t>hamacas 2 mercadolibre</t>
  </si>
  <si>
    <t>eps jairo arroyave JULIO Y AGOSTO</t>
  </si>
  <si>
    <t>aire 12bty</t>
  </si>
  <si>
    <t xml:space="preserve">aire 18 btu </t>
  </si>
  <si>
    <t>EPS MONICA CASTIBLANCO JUNIO</t>
  </si>
  <si>
    <t>EPS MONICA CASTIBLANCO JULIO</t>
  </si>
  <si>
    <t>cargador15-simcar8-impresiones 7</t>
  </si>
  <si>
    <t>2 RECARGAS SIMCAR FF</t>
  </si>
  <si>
    <t>EPS URIEL MAYORDOMO AGOSTO</t>
  </si>
  <si>
    <t>PAGO AGOSTO 2020</t>
  </si>
  <si>
    <t>INTERESES PRESTAMO VERONICA PEÑA 1,5</t>
  </si>
  <si>
    <t>2 MESES</t>
  </si>
  <si>
    <t>uriel trochez sept</t>
  </si>
  <si>
    <t>viviana agudelo agosto</t>
  </si>
  <si>
    <t>abono a tarjeta falabella</t>
  </si>
  <si>
    <t>PENDT 1500</t>
  </si>
  <si>
    <t>SEGURIDAD SOCIAL MONICA AGOSTO</t>
  </si>
  <si>
    <t>pendt de mayo monica</t>
  </si>
  <si>
    <t>Recarga viviana</t>
  </si>
  <si>
    <t>PORTATIL DELL - para leidy quijano</t>
  </si>
  <si>
    <t>mouse para portatil leidy quijano</t>
  </si>
  <si>
    <t>eps fabito septiembre</t>
  </si>
  <si>
    <t>PAGO SEPTIEMBRE 2020</t>
  </si>
  <si>
    <t>uriel trochez EPS</t>
  </si>
  <si>
    <t>eps fabito octubre</t>
  </si>
  <si>
    <t>portatil d</t>
  </si>
  <si>
    <t>eps viviana agudelo</t>
  </si>
  <si>
    <t>eps monica castiblanco</t>
  </si>
  <si>
    <t>PAGO OCTUBRE 2020</t>
  </si>
  <si>
    <t>NUBE BASE DE DATOS</t>
  </si>
  <si>
    <t>JJportatil</t>
  </si>
  <si>
    <t>PAGO NOVIEMBRE 2020</t>
  </si>
  <si>
    <t>eps y arl4</t>
  </si>
  <si>
    <t>PLANILLA MONICA NOVIEMBRE</t>
  </si>
  <si>
    <t>reajuste de planilla viviana</t>
  </si>
  <si>
    <t xml:space="preserve">venta drops carmen elena </t>
  </si>
  <si>
    <t>PRIMA 2020</t>
  </si>
  <si>
    <t>MITAD B</t>
  </si>
  <si>
    <t>Compra de toner</t>
  </si>
  <si>
    <t>para fabito trasferencia 27-11-20</t>
  </si>
  <si>
    <t>FABIO FERNANDO TRASACCION BANCOLOMBIA</t>
  </si>
  <si>
    <t>recarga de 4 toner</t>
  </si>
  <si>
    <t>entregado a jhon jairo en oficina</t>
  </si>
  <si>
    <t>PAGO DICIEMBRE 2020</t>
  </si>
  <si>
    <t>leidy carrillo DIC</t>
  </si>
  <si>
    <t>leidy carrillo ENERO</t>
  </si>
  <si>
    <t>mauro fina DIC</t>
  </si>
  <si>
    <t>mauro fina enero</t>
  </si>
  <si>
    <t>completar los 2600</t>
  </si>
  <si>
    <t>PAGO VACACIONES 2020</t>
  </si>
  <si>
    <t>MITAD</t>
  </si>
  <si>
    <t>TRANSFERENCIA FF</t>
  </si>
  <si>
    <t>eps nestor</t>
  </si>
  <si>
    <t>PLANILLA DIC - ENERO</t>
  </si>
  <si>
    <t>PAGO ENERO 2021</t>
  </si>
  <si>
    <t>mauro fina FEBRERO</t>
  </si>
  <si>
    <t>juan david rodriguez eps febrero</t>
  </si>
  <si>
    <t>seguro mercedez - fabito</t>
  </si>
  <si>
    <t>leidy carrillo FEBRERO</t>
  </si>
  <si>
    <t>nestor giraldo eps febrero</t>
  </si>
  <si>
    <t>PLANILLA MONICA ENE ANEXO</t>
  </si>
  <si>
    <t xml:space="preserve">PLANILLA FABITO </t>
  </si>
  <si>
    <t>PLANILLA VIVIANA ENERO</t>
  </si>
  <si>
    <t>PLANILLA MONICA FEB</t>
  </si>
  <si>
    <t>PAGO FEBRERO 2021</t>
  </si>
  <si>
    <t>504 impresiones a color</t>
  </si>
  <si>
    <t>PENSION JUAN DAVID</t>
  </si>
  <si>
    <t>Fabito</t>
  </si>
  <si>
    <t>Viviana</t>
  </si>
  <si>
    <t>2 cables y tinta</t>
  </si>
  <si>
    <t>arreglo dvr y carador dvr oficina</t>
  </si>
  <si>
    <t>fuentes y video balum - oficina</t>
  </si>
  <si>
    <t>planilla FEB VIVIANA AGUDELO</t>
  </si>
  <si>
    <t>PAGO MARZO 2021</t>
  </si>
  <si>
    <t>EPS ALEX ZUÑIGA FINCA FAAB</t>
  </si>
  <si>
    <t>EPS MAURO FINCA FF</t>
  </si>
  <si>
    <t>EPS JUAN DAVID</t>
  </si>
  <si>
    <t>EPS NESTOR GIRALDO</t>
  </si>
  <si>
    <t>LEIDY CARRILLO</t>
  </si>
  <si>
    <t>planilla marzo monica castiblanco</t>
  </si>
  <si>
    <t>Documentos Rosa yatacue prestamo casa</t>
  </si>
  <si>
    <t>cambio torre sede</t>
  </si>
  <si>
    <t>ENVIADO A JOHAN PINO</t>
  </si>
  <si>
    <t>gastos bancos - 21millon trasferencias</t>
  </si>
  <si>
    <t>planilla marzo viviana agudelo</t>
  </si>
  <si>
    <t>mouse y cables para la sede</t>
  </si>
  <si>
    <t>arregloy mantenimiento video beam</t>
  </si>
  <si>
    <t>planilla abril monica castiblanco</t>
  </si>
  <si>
    <t>planilla marzo fabito</t>
  </si>
  <si>
    <t>4 x mil 6653</t>
  </si>
  <si>
    <t>viviana</t>
  </si>
  <si>
    <t>PAGO ABRIL 2021</t>
  </si>
  <si>
    <t>dic</t>
  </si>
  <si>
    <t>enero</t>
  </si>
  <si>
    <t>febrero</t>
  </si>
  <si>
    <t>marzo</t>
  </si>
  <si>
    <t>planillas</t>
  </si>
  <si>
    <t>planilla FEB VIVIANA AGUDELO abril (5-5-21)</t>
  </si>
  <si>
    <t>seguro dmax</t>
  </si>
  <si>
    <t>eps fabito</t>
  </si>
  <si>
    <t>planilla monica castiblanco</t>
  </si>
  <si>
    <t>PAGO MAYO 2021</t>
  </si>
  <si>
    <t>CONSIGNACION BANCOLOMBIA TRABJAADOR 16-5-21</t>
  </si>
  <si>
    <t>CONSIGNACION FABITO 20-5-21</t>
  </si>
  <si>
    <t xml:space="preserve">planilla amiga </t>
  </si>
  <si>
    <t>recarga arroyave 15-mayo</t>
  </si>
  <si>
    <t>planilla fabito 2/junio</t>
  </si>
  <si>
    <t>PAGO JUNIO 2021</t>
  </si>
  <si>
    <t>planilla viviana mayo</t>
  </si>
  <si>
    <t>planilla monica castiblanco junio</t>
  </si>
  <si>
    <t>consignacion andres trabajador finca 15-junio</t>
  </si>
  <si>
    <t>licencia original office</t>
  </si>
  <si>
    <t>consignacion andres trabajador finca 29-junio</t>
  </si>
  <si>
    <t>entregue en efectivo para rosa</t>
  </si>
  <si>
    <t xml:space="preserve">Mantenimiento 2 controles </t>
  </si>
  <si>
    <t xml:space="preserve">pago planilla vivi junio </t>
  </si>
  <si>
    <t>saldo con prima</t>
  </si>
  <si>
    <t>CONSIGNACION 9M</t>
  </si>
  <si>
    <t>CONSIGNACION ARREGLOS FINCA SEÑORA</t>
  </si>
  <si>
    <t>4X MIL</t>
  </si>
  <si>
    <t>EFECTIVO ENTREGADO A JHON</t>
  </si>
  <si>
    <t>CONSIGNACION RICHI EPS</t>
  </si>
  <si>
    <t>entregado en efectivo a jhon 13-julio-21</t>
  </si>
  <si>
    <t>PAGO PRIMA JULIO 2021</t>
  </si>
  <si>
    <t>planilla fabito junio</t>
  </si>
  <si>
    <t>planilla monica julio</t>
  </si>
  <si>
    <t>consignacion andres finca</t>
  </si>
  <si>
    <t>RECARGA CELULAR FAB</t>
  </si>
  <si>
    <t>4xmil segundo pago 9m2</t>
  </si>
  <si>
    <t>CONSIGNACION 9M-2</t>
  </si>
  <si>
    <t>PAGO TC FALABELLA</t>
  </si>
  <si>
    <t>entregado a jhon jairo</t>
  </si>
  <si>
    <t>PAGO JULIO 2021</t>
  </si>
  <si>
    <t>GIRO A NESTOR GIRALDO - 19-JULIO</t>
  </si>
  <si>
    <t>licencia office computador carmen elena</t>
  </si>
  <si>
    <t>Abono 500 cuenta rolo junio</t>
  </si>
  <si>
    <t>tablet pc asus convertible</t>
  </si>
  <si>
    <t>consignacion fabito 3-8-21</t>
  </si>
  <si>
    <t>planilla fabito julio-agosto</t>
  </si>
  <si>
    <t>planilla viviana agosto con el minimo 9-9-21</t>
  </si>
  <si>
    <t>PAGO AGOSTO 2021</t>
  </si>
  <si>
    <t>290 IMPRESIONES FAMILIARES Y AMIGOS GRUPO PRIMARIO</t>
  </si>
  <si>
    <t xml:space="preserve">210 Impresiones comunas - </t>
  </si>
  <si>
    <t>cable hdmi 10 metros</t>
  </si>
  <si>
    <t>Swiched 8 puerto casa e instalacion para la casa</t>
  </si>
  <si>
    <t>diadema, audifonos, bafle oficina</t>
  </si>
  <si>
    <t>4 tintas epson para la casa</t>
  </si>
  <si>
    <t>PAGO SEPTIEMBRE 2021</t>
  </si>
  <si>
    <t>EPS VIVIANA AGUDELO AGOSTO 2021</t>
  </si>
  <si>
    <t>planilla fabito</t>
  </si>
  <si>
    <t>soat monica castiblanco</t>
  </si>
  <si>
    <t>tera adata antigolpes</t>
  </si>
  <si>
    <t>3 cartuchos tintas samsung</t>
  </si>
  <si>
    <t>PAGO OCTUBRE 2021</t>
  </si>
  <si>
    <t>Mave_Anderson</t>
  </si>
  <si>
    <t>INSTALACION DE RED, SWICHED - CAMARA WIFI</t>
  </si>
  <si>
    <t>Disco Solido y formateo (Angie)</t>
  </si>
  <si>
    <t>Tio lenin</t>
  </si>
  <si>
    <t>smartv para tv</t>
  </si>
  <si>
    <t>Sargento Cuellar</t>
  </si>
  <si>
    <t>1 disco solido 240gb adata y formateo</t>
  </si>
  <si>
    <t>EPS VIVIANA AGUDELO SEPT - OCT 2021</t>
  </si>
  <si>
    <t>planilla fabito sept</t>
  </si>
  <si>
    <t>nelson muñoz</t>
  </si>
  <si>
    <t>disco duro solido - formateo y office</t>
  </si>
  <si>
    <t>RECARGAS</t>
  </si>
  <si>
    <t>trabajo votos</t>
  </si>
  <si>
    <t>EPS MONICA CAST. OCTUBRE</t>
  </si>
  <si>
    <t>prestamo en efectivo 10-22-21</t>
  </si>
  <si>
    <t>muro</t>
  </si>
  <si>
    <t>compra de office 365</t>
  </si>
  <si>
    <t>AFILIACION OCT</t>
  </si>
  <si>
    <t xml:space="preserve">revision instalacion </t>
  </si>
  <si>
    <t>EPS NOV JUDITH</t>
  </si>
  <si>
    <t>AFILIACION NOV ROZO</t>
  </si>
  <si>
    <t>pago eps viviana agudelo nov</t>
  </si>
  <si>
    <t>eps fabito nov</t>
  </si>
  <si>
    <t>consignacion fabito</t>
  </si>
  <si>
    <t>planilla jairo arroyave (15-11-21)</t>
  </si>
  <si>
    <t>EPS MONICA CAST. NOVIEMBRE (23-11-21)</t>
  </si>
  <si>
    <t>pago eps viviana agudelo dic  (23-11-21)</t>
  </si>
  <si>
    <t>PAGO NOVIEMBRE 2021</t>
  </si>
  <si>
    <t>EPS DIC JUDITH</t>
  </si>
  <si>
    <t>EPS DIC ROZO</t>
  </si>
  <si>
    <t>PAGO DICIEMBRE 2021</t>
  </si>
  <si>
    <t>EPS  Rosa Yatacue Rozo</t>
  </si>
  <si>
    <t>EPS Alex Zuñiga Finca Km30</t>
  </si>
  <si>
    <t>EPS Nestor Giraldo Juanchaco</t>
  </si>
  <si>
    <t>EPS Judith Rozo</t>
  </si>
  <si>
    <t>EPS Andres Jimenez  ROZO</t>
  </si>
  <si>
    <t>EPS Diana Paola Casa</t>
  </si>
  <si>
    <t>mitad congreso</t>
  </si>
  <si>
    <t>sept-oct-nov-dic completar concejo</t>
  </si>
  <si>
    <t>mensajes de texto detalles 4500</t>
  </si>
  <si>
    <t>ENTREGADO JJ</t>
  </si>
  <si>
    <t>PAGO ENERO 2022</t>
  </si>
  <si>
    <t>PAGO FEBRERO 2022</t>
  </si>
  <si>
    <t>PAGADOS</t>
  </si>
  <si>
    <t>EPS PENDIENTE ENERO</t>
  </si>
  <si>
    <t>GIRO A FELIX BUENAVENTURA 11-ENE-2022</t>
  </si>
  <si>
    <t>eps fabito pago dic</t>
  </si>
  <si>
    <t>eps fabito pago enero</t>
  </si>
  <si>
    <t>consignacion jose gonzalez 22-1-22</t>
  </si>
  <si>
    <t>planilla enero 2022 viviana agudelo</t>
  </si>
  <si>
    <t>planilla feb 2022 viviana agudelo</t>
  </si>
  <si>
    <t>soat carro FAAB808</t>
  </si>
  <si>
    <t>planilla enero 2022 monica castiblanco</t>
  </si>
  <si>
    <t>planilla febrero 2022 monica castiblanco</t>
  </si>
  <si>
    <t>Seguridad Social Campaña Oficinas enero</t>
  </si>
  <si>
    <t>Seguridad Social Campaña Publicidad enero</t>
  </si>
  <si>
    <t>pase en efectivo a jhon 3- FEB</t>
  </si>
  <si>
    <t>consignacion separar sitio</t>
  </si>
  <si>
    <t>consignacion 15-feb</t>
  </si>
  <si>
    <t>paso a manzano 25-2-22</t>
  </si>
  <si>
    <t>PAGO MARZO 2022</t>
  </si>
  <si>
    <t>para manzano 6-marzo-2022</t>
  </si>
  <si>
    <t>planilla marzo vivi agudelo</t>
  </si>
  <si>
    <t>planilla francy aguadelo dejo con jhon</t>
  </si>
  <si>
    <t>planilla monica marzo</t>
  </si>
  <si>
    <t>planilla jairo arroyave</t>
  </si>
  <si>
    <t>consignacion</t>
  </si>
  <si>
    <t>planilla fabito feb</t>
  </si>
  <si>
    <t>consignacion 2 jj 22-2-22 - vallas palmira</t>
  </si>
  <si>
    <t>carpas comuna 16</t>
  </si>
  <si>
    <t>almuerzos semana escrutinios equipo 201</t>
  </si>
  <si>
    <t>PAGO ABRIL 2022</t>
  </si>
  <si>
    <t>Cambio de disco duro camaras</t>
  </si>
  <si>
    <t>PLANILLA MARZO Y ABRIL JAIRO ARROYAVE</t>
  </si>
  <si>
    <t>hosting pagima arroyave.digital</t>
  </si>
  <si>
    <t>800 impresiones full color</t>
  </si>
  <si>
    <t>feb</t>
  </si>
  <si>
    <t>25 carpetas rojas</t>
  </si>
  <si>
    <t>recargas arroyave oficina 17-2-22</t>
  </si>
  <si>
    <t>planilla ene-feb jairo arroyave</t>
  </si>
  <si>
    <t>consignacion 17-feb</t>
  </si>
  <si>
    <t>consignacion 1 jj  19-2-22 dario arteaga - agua</t>
  </si>
  <si>
    <t>almuerzos valdemoro</t>
  </si>
  <si>
    <t>PAGO MAYO 2022</t>
  </si>
  <si>
    <t>LLAMADAS CUMPLEAÑEROS</t>
  </si>
  <si>
    <t>NUBE BASE DE DATOS - PROGRAMA</t>
  </si>
  <si>
    <t>soat camioneta dmax</t>
  </si>
  <si>
    <t>planilla mayo monica castiblanco</t>
  </si>
  <si>
    <t>planilla abril fabito</t>
  </si>
  <si>
    <t>PAGO JUNIO 2022</t>
  </si>
  <si>
    <t>EPS Diana Paola Casa - RETIRAR</t>
  </si>
  <si>
    <t>NANCY CAMPO - junio-julio</t>
  </si>
  <si>
    <t>RECARGAS PENDIENTE MAYO JUNIO</t>
  </si>
  <si>
    <t>compra camisas arroyave</t>
  </si>
  <si>
    <t>compra cortador y rayador pescado</t>
  </si>
  <si>
    <t>recargas JUNIO AGUDELO</t>
  </si>
  <si>
    <t>nestor giraldo - hernan gonzalez</t>
  </si>
  <si>
    <t>Consignación 19-julio</t>
  </si>
  <si>
    <t>afiliacion oriana</t>
  </si>
  <si>
    <t>PRIMA JULIO 2022</t>
  </si>
  <si>
    <t>PLANILLA JULIO MONICA</t>
  </si>
  <si>
    <t>PLANILLA  JUNIO FABITO</t>
  </si>
  <si>
    <t>consignaciones  22-7-22</t>
  </si>
  <si>
    <t>consignaciones  28-7-24</t>
  </si>
  <si>
    <t>PAGO JULIO 2022</t>
  </si>
  <si>
    <t>impresiones a color laser</t>
  </si>
  <si>
    <t>EPS NANCY CAMPO - retirar</t>
  </si>
  <si>
    <t>PLANILLA MONICA AGOSTO</t>
  </si>
  <si>
    <t>PLANILLA FABITO JULIO</t>
  </si>
  <si>
    <t>pollos</t>
  </si>
  <si>
    <t>PAGO AGOSTO 2022</t>
  </si>
  <si>
    <t>afiliacion eps martha</t>
  </si>
  <si>
    <t>recargas JULIO AGUDELO 29-7-22</t>
  </si>
  <si>
    <t>PLANILLA JULIO VIVIANA AGUDELO 29-7-22</t>
  </si>
  <si>
    <t>consignaciones  monica 23-7-23</t>
  </si>
  <si>
    <t>PLANILLA JULIO VIVIANA AGUDELO 08-agosto-</t>
  </si>
  <si>
    <t>PAGO SEPTIEMBRE 2022</t>
  </si>
  <si>
    <t>soat evert</t>
  </si>
  <si>
    <t>prestamo Jhon Rosero</t>
  </si>
  <si>
    <t>CARLOS MOJICA</t>
  </si>
  <si>
    <t>PAGO OCTUBRE 2022</t>
  </si>
  <si>
    <t>EPS martha</t>
  </si>
  <si>
    <t>camaras (200-balum 35 - fuentes- 24 instalacion 100)</t>
  </si>
  <si>
    <t>planilla viviana agudelo sept</t>
  </si>
  <si>
    <t>planilla viviana agudelo octubre</t>
  </si>
  <si>
    <t>FF - planilla agosto y septiembre con mora</t>
  </si>
  <si>
    <t>FF - planilla oct</t>
  </si>
  <si>
    <t>CONTROLES SEDE</t>
  </si>
  <si>
    <t>jjr OCT</t>
  </si>
  <si>
    <t>HOSTING CORREOS PL</t>
  </si>
  <si>
    <t>PAGO NOVIEMBRE 2022</t>
  </si>
  <si>
    <t>EPS JENNIFER NOGUERA</t>
  </si>
  <si>
    <t>EPS WILSON GOMEZ</t>
  </si>
  <si>
    <t>eps isabella bermudez</t>
  </si>
  <si>
    <t>cambio de aceite - mojica - 5-11-22</t>
  </si>
  <si>
    <t>compra café y otros - 5-11-22</t>
  </si>
  <si>
    <t>WHATSAPP NOV Y DIC</t>
  </si>
  <si>
    <t>planilla  monica castiblanco oct</t>
  </si>
  <si>
    <t>planilla  fabito  sept</t>
  </si>
  <si>
    <t>planilla  monica castiblanco NOV</t>
  </si>
  <si>
    <t>planilla fabito oct</t>
  </si>
  <si>
    <t>AFILIACION JENNIFER CASA ARROYAVE</t>
  </si>
  <si>
    <t>AFILIACION WILSON GOMEZ NOV</t>
  </si>
  <si>
    <t>planilla nov fabito</t>
  </si>
  <si>
    <t>planilla correccion oct fabio fernando</t>
  </si>
  <si>
    <t xml:space="preserve">Pago trabajador inscripcion partido liberal </t>
  </si>
  <si>
    <t xml:space="preserve">whatsapp encuesta </t>
  </si>
  <si>
    <t>consignacion 9-12-22</t>
  </si>
  <si>
    <t>consignacion fabito 1-12</t>
  </si>
  <si>
    <t>BOLETAS FAAB MEDELLIN</t>
  </si>
  <si>
    <t>consignacion susana 10-12-22</t>
  </si>
  <si>
    <t>PAGO DICIEMBRE 2022</t>
  </si>
  <si>
    <t>JOHANA BENITEZ</t>
  </si>
  <si>
    <t>Evento niños antonio nariño</t>
  </si>
  <si>
    <t>WHATSAPP OCT</t>
  </si>
  <si>
    <t>planilla  monica castiblanco DIC</t>
  </si>
  <si>
    <t>PAGO ENERO 2023</t>
  </si>
  <si>
    <t>EPS martha Bolaños</t>
  </si>
  <si>
    <t xml:space="preserve">DISCO DURO </t>
  </si>
  <si>
    <t>TRASFERENCIA FABITO</t>
  </si>
  <si>
    <t>CARGADOR PORTATIL LEIDY</t>
  </si>
  <si>
    <t>CARTUCHO IMPRESORA</t>
  </si>
  <si>
    <t>planilla dic agudelo</t>
  </si>
  <si>
    <t>planilla  monica castiblanco ENE</t>
  </si>
  <si>
    <t>planilla dic - fabito</t>
  </si>
  <si>
    <t>le entrego en efectivo</t>
  </si>
  <si>
    <t>PAGO FEB 2023</t>
  </si>
  <si>
    <t>planilla fabio fernando DIC</t>
  </si>
  <si>
    <t>Planilla fabio fernando ENE</t>
  </si>
  <si>
    <t>planilla monica castiblanco FEB</t>
  </si>
  <si>
    <t>planilla viviana FEB</t>
  </si>
  <si>
    <t>envio encuestas whatsapp  13.300</t>
  </si>
  <si>
    <t>refrigerio 2da reunion abogados</t>
  </si>
  <si>
    <t>PAGO MARZO 2023</t>
  </si>
  <si>
    <t>afiliacion y retiro de empleada</t>
  </si>
  <si>
    <t>Satisfaccion Fiesta Febrero (28-feb-23)</t>
  </si>
  <si>
    <t>CORRECCION PLANILLA MONICA ENE</t>
  </si>
  <si>
    <t>planilla monica castiblanco marzo</t>
  </si>
  <si>
    <t>planilla ff feb</t>
  </si>
  <si>
    <t>planilla ff marzo</t>
  </si>
  <si>
    <t>planilla fabito marzo</t>
  </si>
  <si>
    <t>PAGO ABRIL 2023</t>
  </si>
  <si>
    <t>arroz paisa fiesta enero</t>
  </si>
  <si>
    <t>planilla feb- lore</t>
  </si>
  <si>
    <t>planillas marzo - lore</t>
  </si>
  <si>
    <t>planillas abril - lore</t>
  </si>
  <si>
    <t>planilla fabito abril</t>
  </si>
  <si>
    <t>PAGO MAYO 2023</t>
  </si>
  <si>
    <t>diseño e impresión pendon</t>
  </si>
  <si>
    <t>transferencia luz parra</t>
  </si>
  <si>
    <t>planilla enero fabito</t>
  </si>
  <si>
    <t>carrtucho</t>
  </si>
  <si>
    <t>Envio Whatsapp Satisfaccion dia mujer</t>
  </si>
  <si>
    <t>incremento eps ene</t>
  </si>
  <si>
    <t>incremento eps feb</t>
  </si>
  <si>
    <t>gastos oficina</t>
  </si>
  <si>
    <t>CAMPAÑA</t>
  </si>
  <si>
    <t>HOSTING APLICACIÓN 2023</t>
  </si>
  <si>
    <t>DOMINIO .DIGITAL año 2023</t>
  </si>
  <si>
    <t>PAGO JUNIO 2023</t>
  </si>
  <si>
    <t>eps JULIANA MOLINA AFILIACION JUNIO</t>
  </si>
  <si>
    <t>eps JULIANA MOLINA JULIO</t>
  </si>
  <si>
    <t>Envio Whatsapp - Fiesta Mayo ( MAYO-23)</t>
  </si>
  <si>
    <t>Envio Whatsapp - Fiesta Junio (JUNIO-23)</t>
  </si>
  <si>
    <t>Envio Whatsapp - Encuesta Arroyave Abril</t>
  </si>
  <si>
    <t>Envio Whatsapp - cumple que no asistieron abril</t>
  </si>
  <si>
    <t>Envio Whatsapp - Convocatoria abogados</t>
  </si>
  <si>
    <t>PAGO PRIMA JULIO 2023</t>
  </si>
  <si>
    <t>planilla lorena</t>
  </si>
  <si>
    <t>FAAB</t>
  </si>
  <si>
    <t>prestamo jj pago laura 10 julio</t>
  </si>
  <si>
    <t>prestamo jj consignacion 11-julio</t>
  </si>
  <si>
    <t>OFICINA</t>
  </si>
  <si>
    <t>prestamo jj- compras oficina</t>
  </si>
  <si>
    <t>6 planillas y 4 afiliaciones JULIO</t>
  </si>
  <si>
    <t>PAGO JULIO 2023</t>
  </si>
  <si>
    <t>observacion</t>
  </si>
  <si>
    <t>taxi desmayo 21-7-23</t>
  </si>
  <si>
    <t>lector huella 28-7-23</t>
  </si>
  <si>
    <t>desayunos e hidratacion dia familia 50 personas</t>
  </si>
  <si>
    <t>prestamo fabio alonso- TARJETA falabella</t>
  </si>
  <si>
    <t>planilla feb fabito</t>
  </si>
  <si>
    <t>planilla fabito MAYO</t>
  </si>
  <si>
    <t>PAGO AGOSTO 2023</t>
  </si>
  <si>
    <t>almuerzos call center</t>
  </si>
  <si>
    <t>bingo c 16</t>
  </si>
  <si>
    <t>compra memorias y cargadores y auriculares</t>
  </si>
  <si>
    <t>REVISION IMPRESORA Y PC -  TECLADO ARROYAVE</t>
  </si>
  <si>
    <t>PRESTAMOS JJ CUCHILLOS</t>
  </si>
  <si>
    <t>COMPRA DE ACCESORIOS Y ANTENAS WIFI PARA CALL CENTER</t>
  </si>
  <si>
    <t>6 afiliaciones JUNIO</t>
  </si>
  <si>
    <t>PLANILLA ALEJANDRA Y RECARGAS AGOSTO</t>
  </si>
  <si>
    <t>PLANILLA ALEJANDRA SEPTIEMBRE</t>
  </si>
  <si>
    <t>LLAMADAS PREGRABADAS CONVOCATORIAS</t>
  </si>
  <si>
    <t>4077 - Invitacion Cumpleañeros Agosto 2023</t>
  </si>
  <si>
    <t>PAGO SEPTIEMBRE 2023</t>
  </si>
  <si>
    <t>compra de estabilizador servidor</t>
  </si>
  <si>
    <t>TORNILLOS CARPETAS</t>
  </si>
  <si>
    <t>24-9-23 - HIELO - AGUAS</t>
  </si>
  <si>
    <t>ARROZ CHINO CUMPLE</t>
  </si>
  <si>
    <t>UBER - COMUNAS</t>
  </si>
  <si>
    <t>UBER - VIERNES</t>
  </si>
  <si>
    <t>IMPRESIÓN CARPETAS PUESTOS ELECTORALES BD 600*1500</t>
  </si>
  <si>
    <t>COMPRA DE CARTUCHOS</t>
  </si>
  <si>
    <t>MANTENIMIENTO DE HARDWARE (LIMPIEZA DE VENTILADOR) LEIDY LOPEZ</t>
  </si>
  <si>
    <t>PAGO OCTUBRE 2023</t>
  </si>
  <si>
    <t>5 raspa</t>
  </si>
  <si>
    <t xml:space="preserve">Consignacion </t>
  </si>
  <si>
    <t>planilla monica castiblanco oct</t>
  </si>
  <si>
    <t>devuelvo a jj</t>
  </si>
  <si>
    <t>impresión bd</t>
  </si>
  <si>
    <t>planilla fabio fernando oct</t>
  </si>
  <si>
    <t xml:space="preserve">Cartuchos </t>
  </si>
  <si>
    <t>Planilla viviana agudelo 4 oct</t>
  </si>
  <si>
    <t>compras tablas y bisturiu</t>
  </si>
  <si>
    <t>compras de lapiceros</t>
  </si>
  <si>
    <t>CARGADOR ARROYAVE  7-oct</t>
  </si>
  <si>
    <t>2 forros y 5 vidrios iphone 15</t>
  </si>
  <si>
    <t>1 cargador y auriculares kelly</t>
  </si>
  <si>
    <t>CARGADOR ARROYAVE</t>
  </si>
  <si>
    <t>Lunes</t>
  </si>
  <si>
    <t>martes</t>
  </si>
  <si>
    <t>miercoles</t>
  </si>
  <si>
    <t>jueves</t>
  </si>
  <si>
    <t>viernes</t>
  </si>
  <si>
    <t>TOTAL</t>
  </si>
  <si>
    <t>Sindy</t>
  </si>
  <si>
    <t>Maribel</t>
  </si>
  <si>
    <t>Yurani</t>
  </si>
  <si>
    <t>viene</t>
  </si>
  <si>
    <t>Steven</t>
  </si>
  <si>
    <t>Robinson</t>
  </si>
  <si>
    <t>Pedro</t>
  </si>
  <si>
    <t>Vivian</t>
  </si>
  <si>
    <t>Alejandra</t>
  </si>
  <si>
    <t>Dilan</t>
  </si>
  <si>
    <t>Nikol</t>
  </si>
  <si>
    <t>Karen</t>
  </si>
  <si>
    <t>Laura</t>
  </si>
  <si>
    <t>Sara</t>
  </si>
  <si>
    <t>Cesar</t>
  </si>
  <si>
    <t>Mercy</t>
  </si>
  <si>
    <t>Miguel</t>
  </si>
  <si>
    <t xml:space="preserve">Alison </t>
  </si>
  <si>
    <t>Brayan 2</t>
  </si>
  <si>
    <t>Camilo</t>
  </si>
  <si>
    <t xml:space="preserve">compras </t>
  </si>
  <si>
    <t>PAGO NOVIEMBRE 2023</t>
  </si>
  <si>
    <t>CARGADOR  mac ARROYAVE  7-oct</t>
  </si>
  <si>
    <t>Planilla viviana agudelo 20  nov</t>
  </si>
  <si>
    <t>pagos censo dilan  16 dias</t>
  </si>
  <si>
    <t xml:space="preserve">perdomo </t>
  </si>
  <si>
    <t>cargador iphone</t>
  </si>
  <si>
    <t>SE ENTREGA EFECTIVO</t>
  </si>
  <si>
    <t>PAGO PRIMA DIC 2023</t>
  </si>
  <si>
    <t>pago faab - falabella</t>
  </si>
  <si>
    <t>consignacion a chiqui 19-dic</t>
  </si>
  <si>
    <t>PAGO DICIEMBRE 2023</t>
  </si>
  <si>
    <t>impresiones de votos y lideres para carpetas</t>
  </si>
  <si>
    <t>entrega</t>
  </si>
  <si>
    <t>PAGO ENERO 2024</t>
  </si>
  <si>
    <t>INTERESES ARROYAVE 5M</t>
  </si>
  <si>
    <t>EPS Alex Zuñiga Finca Km30 - 2024</t>
  </si>
  <si>
    <t>EPS Nestor Giraldo Juanchaco  - 2024</t>
  </si>
  <si>
    <t>EPS martha Bolaños  - 2024</t>
  </si>
  <si>
    <t>eps isabella bermudez  - 2024</t>
  </si>
  <si>
    <t>AURICULARES</t>
  </si>
  <si>
    <t>CARGADOR IPHONE</t>
  </si>
  <si>
    <t>ESTUCHE</t>
  </si>
  <si>
    <t>VIDRIO</t>
  </si>
  <si>
    <t>CARGADOR TIPO C</t>
  </si>
  <si>
    <t>tv apto sajama</t>
  </si>
  <si>
    <t>2 antenas tdt</t>
  </si>
  <si>
    <t>planilla ff dic</t>
  </si>
  <si>
    <t>planilla fabito dic</t>
  </si>
  <si>
    <t>CUENTA FEBRERO 2024</t>
  </si>
  <si>
    <t xml:space="preserve">BRAYAN CONGRESO </t>
  </si>
  <si>
    <t>INTERESES ARROYAVE 25M</t>
  </si>
  <si>
    <t>antena wifi pc emisora</t>
  </si>
  <si>
    <t>Mantenimiento impresora y equipo  casa carmen elena</t>
  </si>
  <si>
    <t>PLANILLA MONICA ENE</t>
  </si>
  <si>
    <t>viviana agudelo - planilla ene - feb</t>
  </si>
  <si>
    <t>CORRECCION PLANILLA DIC FF</t>
  </si>
  <si>
    <t>PLANILLA ENERO FF</t>
  </si>
  <si>
    <t>Planilla ff dic</t>
  </si>
  <si>
    <t>Planilla jairo arroyave ene</t>
  </si>
  <si>
    <t>PLANILLA MONICA DIC</t>
  </si>
  <si>
    <t>planilla fabito ene</t>
  </si>
  <si>
    <t>CORRECCION PLANILLA DIC FABITO</t>
  </si>
  <si>
    <t xml:space="preserve">se entrego en efectivo a jhon </t>
  </si>
  <si>
    <t>CUENTA MARZO 2024</t>
  </si>
  <si>
    <t>PAGO ENERO BRAYAN</t>
  </si>
  <si>
    <t>licencia portatil leidy</t>
  </si>
  <si>
    <t>licencia portatil jhon</t>
  </si>
  <si>
    <t>licencia casa arroyave</t>
  </si>
  <si>
    <t>toner x 65</t>
  </si>
  <si>
    <t>PLANILLA FABITO FEB</t>
  </si>
  <si>
    <t>PLANILLA FF FEB</t>
  </si>
  <si>
    <t>PLANILLA MONICA CASTIBLANCO FEB</t>
  </si>
  <si>
    <t>INTERESES ARROYAVE 40M</t>
  </si>
  <si>
    <t>CUENTA ABRIL 2024</t>
  </si>
  <si>
    <t>4XMIL retiro 40M</t>
  </si>
  <si>
    <t>RETIRO BANCO  40M</t>
  </si>
  <si>
    <t>PLANILLA FF MARZO</t>
  </si>
  <si>
    <t>PLANILLA MONICA CASTIBLANCO MARZO</t>
  </si>
  <si>
    <t>PLANILLA FABITO MARZO</t>
  </si>
  <si>
    <t>PAGO</t>
  </si>
  <si>
    <t>72 Impresiones a color</t>
  </si>
  <si>
    <t>Discos duros para pc finca</t>
  </si>
  <si>
    <t>PENDIENTE ENTREGAR</t>
  </si>
  <si>
    <t>CUENTA MAYO 2024</t>
  </si>
  <si>
    <t>PLANILLA FF abril</t>
  </si>
  <si>
    <t>PLANILLA MONICA CASTIBLANCO abril</t>
  </si>
  <si>
    <t>PLANILLA FABITO abril</t>
  </si>
  <si>
    <t>envio whatsapp dia maestro</t>
  </si>
  <si>
    <t>consignaciones jj</t>
  </si>
  <si>
    <t>4x1000</t>
  </si>
  <si>
    <t>carador 35  - cable 25 - estuche 25 - bolitas 15 - limpieza 15  - vidrios 35</t>
  </si>
  <si>
    <t>CUENTA JUNIO 2024</t>
  </si>
  <si>
    <t>PLANILLA FF MAYO</t>
  </si>
  <si>
    <t>PLANILLA MONICA CASTIBLANCO MAYO</t>
  </si>
  <si>
    <t>PLANILLA FABITO MAYO</t>
  </si>
  <si>
    <t>IMPRESIONES ZONAS ASAMBLEA Y ALCALDIA</t>
  </si>
  <si>
    <t>compre de mini lijadora amazon</t>
  </si>
  <si>
    <t>Video Beam EX3220</t>
  </si>
  <si>
    <t>PLANILLA DE AGUDELO JUNIO</t>
  </si>
  <si>
    <t>compra pse</t>
  </si>
  <si>
    <t>entrego en efectivo</t>
  </si>
  <si>
    <t>PRIMA JULIO 2024</t>
  </si>
  <si>
    <t>MITMAD</t>
  </si>
  <si>
    <t>PLANILLA FF junio</t>
  </si>
  <si>
    <t>PLANILLA MONICA CASTIBLANCO junio</t>
  </si>
  <si>
    <t>CUENTA JULIO 2024</t>
  </si>
  <si>
    <t>consignacion nequi benavidez - monica</t>
  </si>
  <si>
    <t>se le entrega a jhon en efectivo</t>
  </si>
  <si>
    <t>CUENTA AGOSTO 2024</t>
  </si>
  <si>
    <t>PLANILLA FF julio</t>
  </si>
  <si>
    <t>entrego efectivo</t>
  </si>
  <si>
    <t>consignacion evert alimentos km30</t>
  </si>
  <si>
    <t>w</t>
  </si>
  <si>
    <t>CUENTA SEPTIEMBRE 2024</t>
  </si>
  <si>
    <t>30-9-924</t>
  </si>
  <si>
    <t>Dominio arroyave.digital</t>
  </si>
  <si>
    <t>se le envio 50</t>
  </si>
  <si>
    <t>pago portofino seguridad social 3-oct</t>
  </si>
  <si>
    <t>CUENTA OCTUBRE 2024</t>
  </si>
  <si>
    <t>impresión de 443 hojas 2 libros ajedrez</t>
  </si>
  <si>
    <t xml:space="preserve">punta de cargador </t>
  </si>
  <si>
    <t>2 cartuchos toner impresora oficina</t>
  </si>
  <si>
    <t>abono intereses prestamo arroyave viejos</t>
  </si>
  <si>
    <t>CUENTA NOVIEMBRE 2024</t>
  </si>
  <si>
    <t>abono intereses prestamo arroyave - dic</t>
  </si>
  <si>
    <t>EPS Alex Zuñiga Finca Km30 RIESGO 4- 2024</t>
  </si>
  <si>
    <t>EPS Nestor Giraldo Juanchaco RIESGO 1 - 2024</t>
  </si>
  <si>
    <t>EPS martha Bolaños RIESGO 1 - 2024</t>
  </si>
  <si>
    <t>EPS LUIS ENRIQUE MATA RIESGO 2- 2024</t>
  </si>
  <si>
    <t>Invitacion extra OCTUBRE whatsapp aplazar evento</t>
  </si>
  <si>
    <t>Invitacion extra OCTUBRE invitacion evento</t>
  </si>
  <si>
    <t>Invitacion extra NOVIEMBRE invitacion evento</t>
  </si>
  <si>
    <t>impresión de libros 8 libros</t>
  </si>
  <si>
    <t>instalacion camaras mas materiales</t>
  </si>
  <si>
    <t>impresión fichas 2025</t>
  </si>
  <si>
    <t xml:space="preserve">Envio whatsapp lideres </t>
  </si>
  <si>
    <t>VIVIANA AGUDELO</t>
  </si>
  <si>
    <t>No</t>
  </si>
  <si>
    <t>NOMBRE</t>
  </si>
  <si>
    <t>Empresa</t>
  </si>
  <si>
    <t xml:space="preserve">DOÑA LUCY </t>
  </si>
  <si>
    <t>INTERES</t>
  </si>
  <si>
    <t>EINER MEJIA</t>
  </si>
  <si>
    <t>HUMBERTO PINEDA 3,5%</t>
  </si>
  <si>
    <t>LUIS EDUARDO MIRA</t>
  </si>
  <si>
    <t>JOHANA BARONA 1</t>
  </si>
  <si>
    <t>JOHANA BARONA 2</t>
  </si>
  <si>
    <t>MARTIN CHAVEZ</t>
  </si>
  <si>
    <t>OK</t>
  </si>
  <si>
    <t>CUENTA DICIEMBRE 2024</t>
  </si>
  <si>
    <t>PLANILLA FABITO ENE-DIC</t>
  </si>
  <si>
    <t>PLANILLA FF  ENE-DIC</t>
  </si>
  <si>
    <t xml:space="preserve">350 cantina 15 </t>
  </si>
  <si>
    <t xml:space="preserve">Instalación cámaras arroyave </t>
  </si>
  <si>
    <t xml:space="preserve">300 camisas </t>
  </si>
  <si>
    <t xml:space="preserve">20 ensalada </t>
  </si>
  <si>
    <t xml:space="preserve">150 EDWAR niños </t>
  </si>
  <si>
    <t>16 taxi</t>
  </si>
  <si>
    <t>27 d1</t>
  </si>
  <si>
    <t>244 comprar nanotronix</t>
  </si>
  <si>
    <t xml:space="preserve">7 taxi </t>
  </si>
  <si>
    <t>109 crema Isabella</t>
  </si>
  <si>
    <t xml:space="preserve">12 aborrajados </t>
  </si>
  <si>
    <t xml:space="preserve">1055 cambio batería </t>
  </si>
  <si>
    <t>150 busos</t>
  </si>
  <si>
    <t xml:space="preserve">20 viviana Gil </t>
  </si>
  <si>
    <t>220 gasolina 51212 km</t>
  </si>
  <si>
    <t xml:space="preserve">100 cumple Yesenia </t>
  </si>
  <si>
    <t xml:space="preserve"> 399 Mercado </t>
  </si>
  <si>
    <t xml:space="preserve">50 mamita </t>
  </si>
  <si>
    <t xml:space="preserve">27 hamburguesa </t>
  </si>
  <si>
    <t>4 parqueadero</t>
  </si>
  <si>
    <t xml:space="preserve">11 mecato </t>
  </si>
  <si>
    <t xml:space="preserve">150 estantería </t>
  </si>
  <si>
    <t xml:space="preserve">170 tabla Yesenia </t>
  </si>
  <si>
    <t xml:space="preserve">205 gasolina km 51923 </t>
  </si>
  <si>
    <t xml:space="preserve">16 helado </t>
  </si>
  <si>
    <t>100 macdonal</t>
  </si>
  <si>
    <t xml:space="preserve">90 internet </t>
  </si>
  <si>
    <t>316 factura emcali apto</t>
  </si>
  <si>
    <t>4 otros</t>
  </si>
  <si>
    <t xml:space="preserve">2000 ropa niños </t>
  </si>
  <si>
    <t>205 gasolina km 52620</t>
  </si>
  <si>
    <t xml:space="preserve">100 otros </t>
  </si>
  <si>
    <t>30 salida</t>
  </si>
  <si>
    <t xml:space="preserve">280 mercado </t>
  </si>
  <si>
    <t xml:space="preserve">40 d1 </t>
  </si>
  <si>
    <t>386 cambio de aceite kuy188</t>
  </si>
  <si>
    <t xml:space="preserve">170 hostil solidify </t>
  </si>
  <si>
    <t xml:space="preserve">175 comida </t>
  </si>
  <si>
    <t>127 ropa Camila</t>
  </si>
  <si>
    <t>50 tío Lenin</t>
  </si>
  <si>
    <t xml:space="preserve">530 ropa Brayan </t>
  </si>
  <si>
    <t>215 gasolina km 53288</t>
  </si>
  <si>
    <t>7 desayuno</t>
  </si>
  <si>
    <t xml:space="preserve">607 planilla diana molina </t>
  </si>
  <si>
    <t xml:space="preserve">60 regalo. Cami </t>
  </si>
  <si>
    <t xml:space="preserve">57 hamburguesa </t>
  </si>
  <si>
    <t xml:space="preserve">40 otros </t>
  </si>
  <si>
    <t xml:space="preserve">30 parqueadero. Dos </t>
  </si>
  <si>
    <t xml:space="preserve">485 ropa Camila y Santi </t>
  </si>
  <si>
    <t>100 camisas Ofc or</t>
  </si>
  <si>
    <t xml:space="preserve">2 helados </t>
  </si>
  <si>
    <t xml:space="preserve">300 ofrenda </t>
  </si>
  <si>
    <t xml:space="preserve">40 desayunos </t>
  </si>
  <si>
    <t xml:space="preserve">400 sacado </t>
  </si>
  <si>
    <t xml:space="preserve">441 detalles </t>
  </si>
  <si>
    <t xml:space="preserve">120 compras </t>
  </si>
  <si>
    <t xml:space="preserve">500 otros </t>
  </si>
  <si>
    <t xml:space="preserve">156 hosting </t>
  </si>
  <si>
    <t xml:space="preserve">37 juego Santi </t>
  </si>
  <si>
    <t xml:space="preserve">300 pérdida </t>
  </si>
  <si>
    <t xml:space="preserve">80 diego Gutierrez </t>
  </si>
  <si>
    <t>Iphone 16 Pro</t>
  </si>
  <si>
    <t xml:space="preserve">CESAR MANZANO </t>
  </si>
  <si>
    <t>PORTATIL DELL</t>
  </si>
  <si>
    <t>cadena einer</t>
  </si>
  <si>
    <t>PLANILLA MONICA ENE-DIC</t>
  </si>
  <si>
    <t>CUENTA ENERO 2025</t>
  </si>
  <si>
    <t>abono intereses prestamo arroyave - 30</t>
  </si>
  <si>
    <t>abono intereses prestamo arroyave - 50</t>
  </si>
  <si>
    <t>Invitacion extra ENERO invitacion evento</t>
  </si>
  <si>
    <t>PLANILLA FF  ENE</t>
  </si>
  <si>
    <t>PLANILLA FABITO ENE</t>
  </si>
  <si>
    <t>CUENTA FEBRERO 2025</t>
  </si>
  <si>
    <t>Invitacion extra FEBRERO invitacion evento</t>
  </si>
  <si>
    <t>Pantalla oficina</t>
  </si>
  <si>
    <t>cartuchos oficina</t>
  </si>
  <si>
    <t>PLANILLA FF  FEB</t>
  </si>
  <si>
    <t>AFILIACION JUAN DAVID ARROYAVE</t>
  </si>
  <si>
    <t>EPS JUAN DAVID ARROYAVE RIESGO 1</t>
  </si>
  <si>
    <t xml:space="preserve">EPS LUIS ENRIQUE MATA RIESGO 2 </t>
  </si>
  <si>
    <t xml:space="preserve">EPS martha Bolaños RIESGO 1 </t>
  </si>
  <si>
    <t xml:space="preserve">EPS Nestor Giraldo Juanchaco RIESGO 1 </t>
  </si>
  <si>
    <t xml:space="preserve">EPS Alex Zuñiga Finca Km30 RIESGO 4 </t>
  </si>
  <si>
    <t>Impresión de 4 libros ajedrez (28-feb)</t>
  </si>
  <si>
    <t>400 luis mata nequi</t>
  </si>
  <si>
    <t xml:space="preserve">180 servicios </t>
  </si>
  <si>
    <t xml:space="preserve">181 Dianey gases </t>
  </si>
  <si>
    <t>18 pollo</t>
  </si>
  <si>
    <t>200 Gasolina km 53915</t>
  </si>
  <si>
    <t xml:space="preserve">89 salida con Isabella </t>
  </si>
  <si>
    <t>25 desayunos</t>
  </si>
  <si>
    <t xml:space="preserve">70 regalado </t>
  </si>
  <si>
    <t xml:space="preserve">60 zapatos Camila </t>
  </si>
  <si>
    <t xml:space="preserve">50 zapatos papá </t>
  </si>
  <si>
    <t>40 peluqueada</t>
  </si>
  <si>
    <t xml:space="preserve">40 torta con Isabella </t>
  </si>
  <si>
    <t xml:space="preserve">16 parqueadero </t>
  </si>
  <si>
    <t xml:space="preserve">25 mecato </t>
  </si>
  <si>
    <t>24 parqueadero</t>
  </si>
  <si>
    <t>22 almuerzo</t>
  </si>
  <si>
    <t xml:space="preserve">48 hamburguesa </t>
  </si>
  <si>
    <t>50 almuerzo</t>
  </si>
  <si>
    <t>200 diana</t>
  </si>
  <si>
    <t>200 cine</t>
  </si>
  <si>
    <t xml:space="preserve">49 desayuno </t>
  </si>
  <si>
    <t xml:space="preserve">30 pastel carlos </t>
  </si>
  <si>
    <t>50 OTROS</t>
  </si>
  <si>
    <t xml:space="preserve">190 arreglo ventana </t>
  </si>
  <si>
    <t>180 plancha</t>
  </si>
  <si>
    <t>74 comida</t>
  </si>
  <si>
    <t>65 pollo</t>
  </si>
  <si>
    <t xml:space="preserve">24 parqueadero </t>
  </si>
  <si>
    <t xml:space="preserve">100 niños comida </t>
  </si>
  <si>
    <t xml:space="preserve">28 almuerzo </t>
  </si>
  <si>
    <t xml:space="preserve">90 Claude ia </t>
  </si>
  <si>
    <t xml:space="preserve">12 almuerzo </t>
  </si>
  <si>
    <t xml:space="preserve">20 chorizo </t>
  </si>
  <si>
    <t xml:space="preserve">195 impuesto juamvi </t>
  </si>
  <si>
    <t>212 gasolina km 54616</t>
  </si>
  <si>
    <t xml:space="preserve">110 d1 </t>
  </si>
  <si>
    <t>116 compras Isa</t>
  </si>
  <si>
    <t xml:space="preserve">31 regalo Isa fiesta </t>
  </si>
  <si>
    <t xml:space="preserve">200 diana </t>
  </si>
  <si>
    <t xml:space="preserve">44 glish </t>
  </si>
  <si>
    <t>30 Chiqui</t>
  </si>
  <si>
    <t xml:space="preserve">30 desayuno </t>
  </si>
  <si>
    <t>100 J.J. c arroyave</t>
  </si>
  <si>
    <t xml:space="preserve">270 traje Camila </t>
  </si>
  <si>
    <t xml:space="preserve">30 hamburguesas </t>
  </si>
  <si>
    <t xml:space="preserve">60 desayunos </t>
  </si>
  <si>
    <t xml:space="preserve">59 regalo Isaac </t>
  </si>
  <si>
    <t xml:space="preserve">5 jhon </t>
  </si>
  <si>
    <t xml:space="preserve">20 comida niños </t>
  </si>
  <si>
    <t xml:space="preserve">92 pago internet </t>
  </si>
  <si>
    <t>376 pago recibos emcali</t>
  </si>
  <si>
    <t xml:space="preserve">32 parqueadero </t>
  </si>
  <si>
    <t>6 aguas</t>
  </si>
  <si>
    <t xml:space="preserve">150 cumple Martín </t>
  </si>
  <si>
    <t xml:space="preserve">500 Cadena </t>
  </si>
  <si>
    <t xml:space="preserve">25 parqueadero </t>
  </si>
  <si>
    <t xml:space="preserve">52 comida </t>
  </si>
  <si>
    <t>70 BRYGAR dulces</t>
  </si>
  <si>
    <t xml:space="preserve">5 Simcard </t>
  </si>
  <si>
    <t xml:space="preserve">50 pollo </t>
  </si>
  <si>
    <t xml:space="preserve">200 caballos </t>
  </si>
  <si>
    <t xml:space="preserve">65 arroz mixto </t>
  </si>
  <si>
    <t xml:space="preserve">100 edgar </t>
  </si>
  <si>
    <t xml:space="preserve">270 parqueadero </t>
  </si>
  <si>
    <t xml:space="preserve">150 hamburguesas </t>
  </si>
  <si>
    <t>22 almuerzos</t>
  </si>
  <si>
    <t xml:space="preserve">1000 Isabella </t>
  </si>
  <si>
    <t>200 gasolina km 55281</t>
  </si>
  <si>
    <t>52 desayuno</t>
  </si>
  <si>
    <t>50 yuli</t>
  </si>
  <si>
    <t xml:space="preserve">50 torta </t>
  </si>
  <si>
    <t xml:space="preserve">45 chiflados </t>
  </si>
  <si>
    <t xml:space="preserve">498 JJ transferencia </t>
  </si>
  <si>
    <t>500 jp</t>
  </si>
  <si>
    <t xml:space="preserve">20 ayuda </t>
  </si>
  <si>
    <t xml:space="preserve">24 almuerzos </t>
  </si>
  <si>
    <t>30 certificado colegio</t>
  </si>
  <si>
    <t xml:space="preserve">1000 diana molina apoyo </t>
  </si>
  <si>
    <t>20 Mecato</t>
  </si>
  <si>
    <t xml:space="preserve">4 agua </t>
  </si>
  <si>
    <t xml:space="preserve">95 artículos </t>
  </si>
  <si>
    <t xml:space="preserve">49 cable </t>
  </si>
  <si>
    <t xml:space="preserve">26 lavada carro </t>
  </si>
  <si>
    <t>50 niños comida</t>
  </si>
  <si>
    <t>40 Chiqui</t>
  </si>
  <si>
    <t xml:space="preserve">20 cargadores </t>
  </si>
  <si>
    <t xml:space="preserve">600 estudio niños </t>
  </si>
  <si>
    <t xml:space="preserve">50 carne </t>
  </si>
  <si>
    <t xml:space="preserve">100 Angela </t>
  </si>
  <si>
    <t>80 pollo</t>
  </si>
  <si>
    <t>60 pollo</t>
  </si>
  <si>
    <t xml:space="preserve">101 hamburguesas </t>
  </si>
  <si>
    <t xml:space="preserve">50 almuerzo </t>
  </si>
  <si>
    <t xml:space="preserve">70 cargador </t>
  </si>
  <si>
    <t xml:space="preserve">460 monitor. 530 </t>
  </si>
  <si>
    <t xml:space="preserve">150 cartuchos 220 </t>
  </si>
  <si>
    <t xml:space="preserve">175 uniforme niños </t>
  </si>
  <si>
    <t>28 almuerzos</t>
  </si>
  <si>
    <t xml:space="preserve">15 desayunos </t>
  </si>
  <si>
    <t>14 desayunos</t>
  </si>
  <si>
    <t xml:space="preserve">22 Peluquiada </t>
  </si>
  <si>
    <t>22 pollo</t>
  </si>
  <si>
    <t xml:space="preserve">1000 diana </t>
  </si>
  <si>
    <t xml:space="preserve">40 salida niños </t>
  </si>
  <si>
    <t>212 gasolina Km 56046</t>
  </si>
  <si>
    <t xml:space="preserve">80 botiquín y otros </t>
  </si>
  <si>
    <t xml:space="preserve">1000 primicias </t>
  </si>
  <si>
    <t xml:space="preserve">150 coworking </t>
  </si>
  <si>
    <t xml:space="preserve">20 fruticas isa </t>
  </si>
  <si>
    <t xml:space="preserve">59 otros </t>
  </si>
  <si>
    <t>40 frutas</t>
  </si>
  <si>
    <t>350 mercado éxito</t>
  </si>
  <si>
    <t>281 impuesto fgt736</t>
  </si>
  <si>
    <t xml:space="preserve">50 reuniones coworking </t>
  </si>
  <si>
    <t xml:space="preserve">300 almuerzo </t>
  </si>
  <si>
    <t>20 MECATO</t>
  </si>
  <si>
    <t>JUAMVI</t>
  </si>
  <si>
    <t>PLANILLA VICTOR ENE</t>
  </si>
  <si>
    <t>PLANILLA VICTOR FEB</t>
  </si>
  <si>
    <t>CAJITA NU</t>
  </si>
  <si>
    <t>abono intereses prestamo arroyave - AGUDELO</t>
  </si>
  <si>
    <t>PREGUNTAR A JJ</t>
  </si>
  <si>
    <t>compra de camaras</t>
  </si>
  <si>
    <t>arreglo fotocopiadora harold</t>
  </si>
  <si>
    <t>10-feb.-25</t>
  </si>
  <si>
    <t>03-mar.-25</t>
  </si>
  <si>
    <t>ENE</t>
  </si>
  <si>
    <t>FEB</t>
  </si>
  <si>
    <t>ANGELA ORTIZ</t>
  </si>
  <si>
    <t>FF ARROYAVE</t>
  </si>
  <si>
    <t>Cuenta Facil</t>
  </si>
  <si>
    <t>CUENTA MARZO 2025</t>
  </si>
  <si>
    <t>abono intereses prestamo arroyave - 21</t>
  </si>
  <si>
    <t xml:space="preserve">IMPRESIÓN historico concejo </t>
  </si>
  <si>
    <t>20 f</t>
  </si>
  <si>
    <t xml:space="preserve">82 compras </t>
  </si>
  <si>
    <t xml:space="preserve">52 almuerzo </t>
  </si>
  <si>
    <t>100 piano Santi</t>
  </si>
  <si>
    <t xml:space="preserve">56 almuerzo </t>
  </si>
  <si>
    <t xml:space="preserve">125 mercado d1 </t>
  </si>
  <si>
    <t xml:space="preserve">15 helados </t>
  </si>
  <si>
    <t>213  gasolina km 56754</t>
  </si>
  <si>
    <t>170 Faab</t>
  </si>
  <si>
    <t xml:space="preserve">261 parqueadero </t>
  </si>
  <si>
    <t xml:space="preserve">2000 diana </t>
  </si>
  <si>
    <t xml:space="preserve">17 almuerzo </t>
  </si>
  <si>
    <t xml:space="preserve">540 diana carro </t>
  </si>
  <si>
    <t>80 almuerzo</t>
  </si>
  <si>
    <t xml:space="preserve">45 glish </t>
  </si>
  <si>
    <t xml:space="preserve">18 almuerzo </t>
  </si>
  <si>
    <t xml:space="preserve">20 otros </t>
  </si>
  <si>
    <t>12 web ckevingomez</t>
  </si>
  <si>
    <t xml:space="preserve">110 natación Camila </t>
  </si>
  <si>
    <t xml:space="preserve">20 reunión café </t>
  </si>
  <si>
    <t xml:space="preserve">250 Tablet Isabella </t>
  </si>
  <si>
    <t xml:space="preserve">90 compras tecnología </t>
  </si>
  <si>
    <t xml:space="preserve">700 Diezmo </t>
  </si>
  <si>
    <t>35 Peluquiada</t>
  </si>
  <si>
    <t xml:space="preserve">150 salida niños </t>
  </si>
  <si>
    <t xml:space="preserve">120 guías </t>
  </si>
  <si>
    <t xml:space="preserve">32 jugos </t>
  </si>
  <si>
    <t>2750 impuestos KUY188</t>
  </si>
  <si>
    <t>220 gasolina km 57567</t>
  </si>
  <si>
    <t>250 mercado d1</t>
  </si>
  <si>
    <t xml:space="preserve">200 lucíd </t>
  </si>
  <si>
    <t xml:space="preserve">150 karen </t>
  </si>
  <si>
    <t xml:space="preserve">50 alitas </t>
  </si>
  <si>
    <t xml:space="preserve">180 dominio BRYGAR.com </t>
  </si>
  <si>
    <t>180 dominio centercit.com</t>
  </si>
  <si>
    <t>Guardar</t>
  </si>
  <si>
    <t>para Brayan Garcia</t>
  </si>
  <si>
    <t>CuentaFacil</t>
  </si>
  <si>
    <t>para Jhon Rosero</t>
  </si>
  <si>
    <t>pago cuota febrero de Rosero</t>
  </si>
  <si>
    <t>pago cuota febrero de Martin</t>
  </si>
  <si>
    <t>ChatGpt Marzo</t>
  </si>
  <si>
    <t>Zencorp</t>
  </si>
  <si>
    <t>-</t>
  </si>
  <si>
    <t>Abono de aliados proyecto 2025</t>
  </si>
  <si>
    <t>Obervacion</t>
  </si>
  <si>
    <t>Proyecto</t>
  </si>
  <si>
    <t>Salida</t>
  </si>
  <si>
    <t>Entrada</t>
  </si>
  <si>
    <t>Fecha</t>
  </si>
  <si>
    <t>Reunion telk</t>
  </si>
  <si>
    <t>Compra portatil jhon Rosero</t>
  </si>
  <si>
    <t>Portatil Macbook Pro</t>
  </si>
  <si>
    <t>compras vidrios y estuches carmen elena</t>
  </si>
  <si>
    <t>Avapp</t>
  </si>
  <si>
    <t>Hosting Hostgator Avapp</t>
  </si>
  <si>
    <t>Brayan Garcia</t>
  </si>
  <si>
    <t>Jhon Rosero</t>
  </si>
  <si>
    <t>Abono del proyecto Zencorp</t>
  </si>
  <si>
    <t>IMPUESTOS</t>
  </si>
  <si>
    <t>LEONARDO ARROYAVE</t>
  </si>
  <si>
    <t>Dominio Cuentafacil.co 2 años</t>
  </si>
  <si>
    <t>IMPRESIÓN LIBRO AGUDELO</t>
  </si>
  <si>
    <t>PLANILLA FF  DIC</t>
  </si>
  <si>
    <t>INTERNET JUANCHACO</t>
  </si>
  <si>
    <t>PLANILLA FF  MARZO</t>
  </si>
  <si>
    <t>PLANILLA MONICA MARZO</t>
  </si>
  <si>
    <t>PAQUETE FAAB</t>
  </si>
  <si>
    <t>PRESTAMOM FAAB</t>
  </si>
  <si>
    <t>NEQUI JJ</t>
  </si>
  <si>
    <t>CUENTA ABRIL 2025</t>
  </si>
  <si>
    <t>Invitacion extra MARZO invitacion evento</t>
  </si>
  <si>
    <t>INVITACION LIDERES PRESENTACION CANDIDATOS</t>
  </si>
  <si>
    <t>Invitacion extra ABRIL invitacion evento</t>
  </si>
  <si>
    <t>MANZANO</t>
  </si>
  <si>
    <t>ENTRO</t>
  </si>
  <si>
    <t>NIKOL</t>
  </si>
  <si>
    <t>MONICA</t>
  </si>
  <si>
    <t>FF</t>
  </si>
  <si>
    <t>BINGO</t>
  </si>
  <si>
    <t>EXTENCION</t>
  </si>
  <si>
    <t>GASEOSAS</t>
  </si>
  <si>
    <t>NEQUI VALLECILLA</t>
  </si>
  <si>
    <t>CONSIGNACION 109900 - LBM SAS</t>
  </si>
  <si>
    <t>LUIS MATA - NEQUI</t>
  </si>
  <si>
    <t>CRUCE 3400</t>
  </si>
  <si>
    <t xml:space="preserve">Compra remedios ff </t>
  </si>
  <si>
    <t>PLANILLA VICTOR marzo</t>
  </si>
  <si>
    <t>10 jugos </t>
  </si>
  <si>
    <t>10 parqueadero </t>
  </si>
  <si>
    <t>12 desayuno</t>
  </si>
  <si>
    <t>10 pollo niños </t>
  </si>
  <si>
    <t>10 maduros </t>
  </si>
  <si>
    <t>16 almuerzo </t>
  </si>
  <si>
    <t>160 cena juamvi </t>
  </si>
  <si>
    <t>10 desayuno </t>
  </si>
  <si>
    <t>10 chorizos</t>
  </si>
  <si>
    <t>30 Netflix</t>
  </si>
  <si>
    <t>100 comida</t>
  </si>
  <si>
    <t>490 compra zapatos </t>
  </si>
  <si>
    <t>50 otros </t>
  </si>
  <si>
    <t>300 niños comida mamá </t>
  </si>
  <si>
    <t>250 mercado </t>
  </si>
  <si>
    <t>78 correa </t>
  </si>
  <si>
    <t>120 camisa </t>
  </si>
  <si>
    <t>30 otros </t>
  </si>
  <si>
    <t>322 Temu </t>
  </si>
  <si>
    <t>520 emcali</t>
  </si>
  <si>
    <t>11 gases</t>
  </si>
  <si>
    <t>9 desayuno</t>
  </si>
  <si>
    <t>30 almuerzos </t>
  </si>
  <si>
    <t>10 mango </t>
  </si>
  <si>
    <t>9 desayuno </t>
  </si>
  <si>
    <t>150 anuncios Facebook </t>
  </si>
  <si>
    <t>30 helados </t>
  </si>
  <si>
    <t>200 gasolina km 58182 </t>
  </si>
  <si>
    <t>215 comida Santi</t>
  </si>
  <si>
    <t>264 zapatos </t>
  </si>
  <si>
    <t>20 helado </t>
  </si>
  <si>
    <t>147 Facebook publicidad </t>
  </si>
  <si>
    <t>500 Isabella </t>
  </si>
  <si>
    <t>26 vueltas </t>
  </si>
  <si>
    <t>60 Isabella detalle </t>
  </si>
  <si>
    <t>50 transportes </t>
  </si>
  <si>
    <t>20 almuerzo </t>
  </si>
  <si>
    <t>20 d1 </t>
  </si>
  <si>
    <t>10 Desyuno </t>
  </si>
  <si>
    <t>30 longaniza</t>
  </si>
  <si>
    <t>11 pollo</t>
  </si>
  <si>
    <t>10 descanso niños </t>
  </si>
  <si>
    <t>10 descanso niños</t>
  </si>
  <si>
    <t>20 clínica </t>
  </si>
  <si>
    <t>1000 cadena Einer </t>
  </si>
  <si>
    <t>30 otros</t>
  </si>
  <si>
    <t>21 desayuno</t>
  </si>
  <si>
    <t>8 recreos </t>
  </si>
  <si>
    <t>100 miggo</t>
  </si>
  <si>
    <t>90 internet niños </t>
  </si>
  <si>
    <t>50 helados</t>
  </si>
  <si>
    <t>200 estanterías </t>
  </si>
  <si>
    <t>40 desayuno </t>
  </si>
  <si>
    <t>45 almuerzo </t>
  </si>
  <si>
    <t>130 macdonal </t>
  </si>
  <si>
    <t>200 gasolina km 58878</t>
  </si>
  <si>
    <t>40 rifa</t>
  </si>
  <si>
    <t>15 desayuno</t>
  </si>
  <si>
    <t>287 cumple amparo </t>
  </si>
  <si>
    <t>le pase a herm german sepulveda</t>
  </si>
  <si>
    <t>FECOP</t>
  </si>
  <si>
    <t>gustavo pacto valle</t>
  </si>
  <si>
    <t>pago cuota Marzo de Martin</t>
  </si>
  <si>
    <t>pago cuota Marzo de Rosero</t>
  </si>
  <si>
    <t>pago cuota Abril de Martin</t>
  </si>
  <si>
    <t>pago cuota Abril de Rosero</t>
  </si>
  <si>
    <t>Planilla Marzo Rosero</t>
  </si>
  <si>
    <t>Planilla Febebrero Rosero</t>
  </si>
  <si>
    <t>FAGA - INTEGRAL</t>
  </si>
  <si>
    <t>PLANILLA VICTOR feb</t>
  </si>
  <si>
    <t>PLANILLA FABITO ABRIL</t>
  </si>
  <si>
    <t>PLANILLA FF ABRIL</t>
  </si>
  <si>
    <t>PLANILLA NIKOL ABRIL</t>
  </si>
  <si>
    <t>PLANILLA MONICA ABRIL</t>
  </si>
  <si>
    <t xml:space="preserve">cruza lo de diana con pago de carmen elena </t>
  </si>
  <si>
    <t>CUENTA MAYO 2025</t>
  </si>
  <si>
    <t>Invitacion extra MAYO invitacion evento</t>
  </si>
  <si>
    <t>gabriel jaime arroyave</t>
  </si>
  <si>
    <t>950 pago planilla portofino</t>
  </si>
  <si>
    <t xml:space="preserve">440 ramos JJ oficina  (Pidió leidy) </t>
  </si>
  <si>
    <t xml:space="preserve">160 compras micro y estuche </t>
  </si>
  <si>
    <t xml:space="preserve">900 cámaras </t>
  </si>
  <si>
    <t>200 cámaras 2</t>
  </si>
  <si>
    <t>100 internet juan chaco</t>
  </si>
  <si>
    <t>PLANILLA VICTOR ABRIL</t>
  </si>
  <si>
    <t>PLANILLA MONICA MAYO</t>
  </si>
  <si>
    <t>PRESTAMO JJ - MOTOR JACUZZI KM30</t>
  </si>
  <si>
    <t>CONSIGNACION VINO - CANDIDATOS</t>
  </si>
  <si>
    <t>CONSIGNACION PAGO TARJETA MONICA CASTIBLANCO - MARKA</t>
  </si>
  <si>
    <t>3000 consignación JJ - FF</t>
  </si>
  <si>
    <t>1000 JJ trasferencia - FF</t>
  </si>
  <si>
    <t>21 impresiones leo * 1300</t>
  </si>
  <si>
    <t>700 nequi jj - YISELA ESPINOZA</t>
  </si>
  <si>
    <t>20000 JJ - PRESTAMO OFICINA</t>
  </si>
  <si>
    <t>fa</t>
  </si>
  <si>
    <t>fabito</t>
  </si>
  <si>
    <t>ofc</t>
  </si>
  <si>
    <t>leo</t>
  </si>
  <si>
    <t>300 JJ trasferencia NEQUI luis techo</t>
  </si>
  <si>
    <t>---</t>
  </si>
  <si>
    <t>gabriel jaime arroyave afiliacion mayo</t>
  </si>
  <si>
    <t>1 pc + partes + pantalla</t>
  </si>
  <si>
    <t>100 mercado olímpico</t>
  </si>
  <si>
    <t xml:space="preserve">1000 cadena Einer </t>
  </si>
  <si>
    <t>22 peluquiada</t>
  </si>
  <si>
    <t>18 desayuno</t>
  </si>
  <si>
    <t>84 chat gpu</t>
  </si>
  <si>
    <t xml:space="preserve">1000 amparo </t>
  </si>
  <si>
    <t xml:space="preserve">800 julio bravo </t>
  </si>
  <si>
    <t>73 grabaciones i365cam</t>
  </si>
  <si>
    <t xml:space="preserve">100 regalo Sebas </t>
  </si>
  <si>
    <t xml:space="preserve">50 comida niños </t>
  </si>
  <si>
    <t xml:space="preserve">300 karen niños </t>
  </si>
  <si>
    <t xml:space="preserve">25 desayuno </t>
  </si>
  <si>
    <t xml:space="preserve">106 compras </t>
  </si>
  <si>
    <t xml:space="preserve">30 medicamentos </t>
  </si>
  <si>
    <t>600 Isabella</t>
  </si>
  <si>
    <t>350 jp</t>
  </si>
  <si>
    <t xml:space="preserve">15 desayuno </t>
  </si>
  <si>
    <t>1000 jhon rosero</t>
  </si>
  <si>
    <t xml:space="preserve">33 pollo </t>
  </si>
  <si>
    <t xml:space="preserve">20 transporte niños </t>
  </si>
  <si>
    <t xml:space="preserve">20 desayuno 1 </t>
  </si>
  <si>
    <t xml:space="preserve">10 desayuno 2 </t>
  </si>
  <si>
    <t xml:space="preserve">150 compras issabella </t>
  </si>
  <si>
    <t xml:space="preserve">50 compras otros </t>
  </si>
  <si>
    <t xml:space="preserve">262 parqueadero mes </t>
  </si>
  <si>
    <t xml:space="preserve">50 pizza niños </t>
  </si>
  <si>
    <t>160 reloj</t>
  </si>
  <si>
    <t xml:space="preserve">50 m Isabella </t>
  </si>
  <si>
    <t xml:space="preserve">110 salida niños </t>
  </si>
  <si>
    <t xml:space="preserve">75 desayuno </t>
  </si>
  <si>
    <t>50 Gasolina km59628</t>
  </si>
  <si>
    <t>17 desayuno</t>
  </si>
  <si>
    <t>214 gasolina Km 59764</t>
  </si>
  <si>
    <t xml:space="preserve">24 pollo </t>
  </si>
  <si>
    <t xml:space="preserve">700 nequi mega </t>
  </si>
  <si>
    <t xml:space="preserve">35 keratina </t>
  </si>
  <si>
    <t xml:space="preserve">105 tratamientos Camila </t>
  </si>
  <si>
    <t xml:space="preserve">83 d1 </t>
  </si>
  <si>
    <t xml:space="preserve">17 ensalada </t>
  </si>
  <si>
    <t>180 salida niños</t>
  </si>
  <si>
    <t xml:space="preserve">260 mercado d1 </t>
  </si>
  <si>
    <t xml:space="preserve">150 niños cumple </t>
  </si>
  <si>
    <t xml:space="preserve">69 mouse </t>
  </si>
  <si>
    <t>20 helado</t>
  </si>
  <si>
    <t xml:space="preserve">80 comida niños </t>
  </si>
  <si>
    <t xml:space="preserve">50 uñas </t>
  </si>
  <si>
    <t xml:space="preserve">150 karen internet niños </t>
  </si>
  <si>
    <t xml:space="preserve">150 compras Camila </t>
  </si>
  <si>
    <t xml:space="preserve">200 arreglo iphone </t>
  </si>
  <si>
    <t xml:space="preserve">880 AirPod Pro 2 </t>
  </si>
  <si>
    <t>300 cumple rosero</t>
  </si>
  <si>
    <t>900 cadena einer</t>
  </si>
  <si>
    <t>300 moto jp</t>
  </si>
  <si>
    <t xml:space="preserve"> 25 almuerzo </t>
  </si>
  <si>
    <t>150 gasolina km 60255</t>
  </si>
  <si>
    <t xml:space="preserve">200 viaje </t>
  </si>
  <si>
    <t xml:space="preserve">200 ropa niños </t>
  </si>
  <si>
    <t xml:space="preserve">215 camisas </t>
  </si>
  <si>
    <t xml:space="preserve">100 comida </t>
  </si>
  <si>
    <t xml:space="preserve">175 interiores </t>
  </si>
  <si>
    <t xml:space="preserve">35 helados </t>
  </si>
  <si>
    <t xml:space="preserve">4250 llantas </t>
  </si>
  <si>
    <t>60 almuerzo Gisell</t>
  </si>
  <si>
    <t xml:space="preserve">1250 factura </t>
  </si>
  <si>
    <t xml:space="preserve">210 internet </t>
  </si>
  <si>
    <t xml:space="preserve">230 compras Isabella </t>
  </si>
  <si>
    <t xml:space="preserve">50 d1 </t>
  </si>
  <si>
    <t xml:space="preserve">30 licencia Office </t>
  </si>
  <si>
    <t>camisas 124</t>
  </si>
  <si>
    <t xml:space="preserve">Pantalonetas 62 </t>
  </si>
  <si>
    <t>Medias 35</t>
  </si>
  <si>
    <t>Crema Camila 42</t>
  </si>
  <si>
    <t>60 blusas jp</t>
  </si>
  <si>
    <t xml:space="preserve">750 diezmo </t>
  </si>
  <si>
    <t xml:space="preserve">150 almuerzo </t>
  </si>
  <si>
    <t>200 gasolina Km 60865</t>
  </si>
  <si>
    <t xml:space="preserve">50 carne almuerzo </t>
  </si>
  <si>
    <t xml:space="preserve">20 d1 </t>
  </si>
  <si>
    <t xml:space="preserve">82 ChatGPT </t>
  </si>
  <si>
    <t xml:space="preserve">700 jp </t>
  </si>
  <si>
    <t>modulo santiago</t>
  </si>
  <si>
    <t>planilla viviana agudelo</t>
  </si>
  <si>
    <t>LEONARDO ARROYAVE - junio</t>
  </si>
  <si>
    <t>LEONARDO ARROYAVE - afiliacion andres higinio - mayo</t>
  </si>
  <si>
    <t>USUARIO</t>
  </si>
  <si>
    <t xml:space="preserve">200 niños </t>
  </si>
  <si>
    <t>40 celular Chiqui</t>
  </si>
  <si>
    <t>32 ensaladas</t>
  </si>
  <si>
    <t xml:space="preserve">240 luis lopez zencorp </t>
  </si>
  <si>
    <t xml:space="preserve">1000 préstamo diana </t>
  </si>
  <si>
    <t xml:space="preserve">100 Isabella mes </t>
  </si>
  <si>
    <t xml:space="preserve">260 salida cine </t>
  </si>
  <si>
    <t xml:space="preserve">223 almuerzo </t>
  </si>
  <si>
    <t xml:space="preserve">100 interiores Isabella </t>
  </si>
  <si>
    <t xml:space="preserve">50 piano Santi </t>
  </si>
  <si>
    <t xml:space="preserve">20 compra licencia </t>
  </si>
  <si>
    <t xml:space="preserve">400 mercado </t>
  </si>
  <si>
    <t>5 Camila</t>
  </si>
  <si>
    <t>50 evan</t>
  </si>
  <si>
    <t xml:space="preserve">25 cicla Camila </t>
  </si>
  <si>
    <t xml:space="preserve">20 uvas </t>
  </si>
  <si>
    <t>300 comida jo</t>
  </si>
  <si>
    <t>172 Gasolina Km 61406</t>
  </si>
  <si>
    <t xml:space="preserve">8 jugos </t>
  </si>
  <si>
    <t xml:space="preserve">400 salida </t>
  </si>
  <si>
    <t xml:space="preserve">15 empanadas </t>
  </si>
  <si>
    <t xml:space="preserve">20 aguas </t>
  </si>
  <si>
    <t xml:space="preserve">73 almuerzo </t>
  </si>
  <si>
    <t xml:space="preserve">300 Angela </t>
  </si>
  <si>
    <t xml:space="preserve">80 usb original JJ Faab pesca </t>
  </si>
  <si>
    <t xml:space="preserve">20 aguas oficina </t>
  </si>
  <si>
    <t xml:space="preserve">45 almuerzos </t>
  </si>
  <si>
    <t xml:space="preserve">210 pago a luis lopez </t>
  </si>
  <si>
    <t xml:space="preserve">700 soat diana </t>
  </si>
  <si>
    <t>165 salida jp</t>
  </si>
  <si>
    <t xml:space="preserve">40 despinchada </t>
  </si>
  <si>
    <t xml:space="preserve">153 almuerzo niños </t>
  </si>
  <si>
    <t>80 tarjeta juegos</t>
  </si>
  <si>
    <t xml:space="preserve">255 ssl empresa </t>
  </si>
  <si>
    <t>57 dominio carlosapp.co</t>
  </si>
  <si>
    <t>90 internet niños</t>
  </si>
  <si>
    <t xml:space="preserve">33 dataico juamvi </t>
  </si>
  <si>
    <t xml:space="preserve">300 mercado niños </t>
  </si>
  <si>
    <t xml:space="preserve">150 viaje niños </t>
  </si>
  <si>
    <t xml:space="preserve">4000 predial apto </t>
  </si>
  <si>
    <t xml:space="preserve">50 almuerzos </t>
  </si>
  <si>
    <t xml:space="preserve">25 chuzos </t>
  </si>
  <si>
    <t xml:space="preserve">225 comida </t>
  </si>
  <si>
    <t>222 Gasolina km 62202</t>
  </si>
  <si>
    <t xml:space="preserve">151 ara Mercado </t>
  </si>
  <si>
    <t>144  d1 mercado</t>
  </si>
  <si>
    <t>Reunion Solidify</t>
  </si>
  <si>
    <t>impresiones leo</t>
  </si>
  <si>
    <t>CUENTA JUNIO 2025</t>
  </si>
  <si>
    <t>Invitacion extra JUNIO invitacion evento</t>
  </si>
  <si>
    <t>EPS gabriel jaime arroyave</t>
  </si>
  <si>
    <t>PLANILLA FABITO JUNIO</t>
  </si>
  <si>
    <t>PLANILLA MONICA JUNIO</t>
  </si>
  <si>
    <t>PLANILLA FF JUNIO</t>
  </si>
  <si>
    <t>2 cuentas de office para oficina</t>
  </si>
  <si>
    <t>1 cuenta offica carmen elena</t>
  </si>
  <si>
    <t>20000 - PRESTAMO FAAB</t>
  </si>
  <si>
    <t>PLANILLA VICTOR MAYO</t>
  </si>
  <si>
    <t>PLANILLA NIKOL MAYO</t>
  </si>
  <si>
    <t>LEONARDO ARROYAVE - JULIO</t>
  </si>
  <si>
    <t>$38.000</t>
  </si>
  <si>
    <t xml:space="preserve">VIVIANA AGUDELO   </t>
  </si>
  <si>
    <t>2 rollo cable instalar camaras</t>
  </si>
  <si>
    <t>micro sd</t>
  </si>
  <si>
    <t>1 disco duro de 1 tera</t>
  </si>
  <si>
    <t>1 camara oficina y video balum con fuente</t>
  </si>
  <si>
    <t>planilla de leidy lopez JULIO</t>
  </si>
  <si>
    <t>CUENTA JULIO 2025</t>
  </si>
  <si>
    <t>2 camaras imou y wifi</t>
  </si>
  <si>
    <t>2 micro sd 128gb</t>
  </si>
  <si>
    <t>herramientas para instalacion</t>
  </si>
  <si>
    <t>regulador</t>
  </si>
  <si>
    <t>camara web para casa doña carmen</t>
  </si>
  <si>
    <t xml:space="preserve">impresiones leo </t>
  </si>
  <si>
    <t xml:space="preserve">350 prestamo yuli </t>
  </si>
  <si>
    <t>80 cocina JJ</t>
  </si>
  <si>
    <t>300 alex muñoz JJ</t>
  </si>
  <si>
    <t xml:space="preserve">460 Daniel arroyave JJ </t>
  </si>
  <si>
    <t>190 cumple jhon</t>
  </si>
  <si>
    <t xml:space="preserve">60 transporte </t>
  </si>
  <si>
    <t xml:space="preserve">190 préstamo rosero cumple </t>
  </si>
  <si>
    <t xml:space="preserve">250 edgar garcia </t>
  </si>
  <si>
    <t xml:space="preserve">250 circo </t>
  </si>
  <si>
    <t>259 cosa isa</t>
  </si>
  <si>
    <t xml:space="preserve">230 merxado </t>
  </si>
  <si>
    <t xml:space="preserve">175 leche y otros Isabella </t>
  </si>
  <si>
    <t xml:space="preserve"> 157 salida con niños </t>
  </si>
  <si>
    <t xml:space="preserve"> 176 Gasolina km 62634</t>
  </si>
  <si>
    <t xml:space="preserve">30 lavada carro </t>
  </si>
  <si>
    <t xml:space="preserve">350 ropa </t>
  </si>
  <si>
    <t xml:space="preserve">150 jp </t>
  </si>
  <si>
    <t xml:space="preserve">500 jhon rosero prestamo </t>
  </si>
  <si>
    <t xml:space="preserve">2700 impresora </t>
  </si>
  <si>
    <t xml:space="preserve">710 tintas impresora </t>
  </si>
  <si>
    <t xml:space="preserve">103 salida </t>
  </si>
  <si>
    <t xml:space="preserve">130 Chiqui medicamento </t>
  </si>
  <si>
    <t xml:space="preserve">45 medicamentos </t>
  </si>
  <si>
    <t>220 compra Amazon</t>
  </si>
  <si>
    <t>245 compra Temu</t>
  </si>
  <si>
    <t>700 diezmo</t>
  </si>
  <si>
    <t>142 Temu</t>
  </si>
  <si>
    <t>20 caldo</t>
  </si>
  <si>
    <t xml:space="preserve">25 Peluquiada </t>
  </si>
  <si>
    <t>55 salida</t>
  </si>
  <si>
    <t xml:space="preserve">60 estuche iPad </t>
  </si>
  <si>
    <t xml:space="preserve">10 pan </t>
  </si>
  <si>
    <t>55 ccc mega</t>
  </si>
  <si>
    <t xml:space="preserve">157 reunión </t>
  </si>
  <si>
    <t xml:space="preserve">92 internet niños </t>
  </si>
  <si>
    <t>1000 cadena Einer</t>
  </si>
  <si>
    <t xml:space="preserve">150 zapatos niños </t>
  </si>
  <si>
    <t xml:space="preserve">14 desayuno </t>
  </si>
  <si>
    <t xml:space="preserve">59 piano Santi </t>
  </si>
  <si>
    <t xml:space="preserve">800 préstamo Angela cel </t>
  </si>
  <si>
    <t xml:space="preserve">115 reunión </t>
  </si>
  <si>
    <t xml:space="preserve">150 salido con todos </t>
  </si>
  <si>
    <t>100 otros</t>
  </si>
  <si>
    <t xml:space="preserve">420 mensualidad colegio </t>
  </si>
  <si>
    <t xml:space="preserve">12 desayuno </t>
  </si>
  <si>
    <t xml:space="preserve">47 dominio siembra </t>
  </si>
  <si>
    <t xml:space="preserve">30 niños pizza </t>
  </si>
  <si>
    <t>200 gasolina km 63305</t>
  </si>
  <si>
    <t>120 cámara arroyave</t>
  </si>
  <si>
    <t xml:space="preserve">100 niños </t>
  </si>
  <si>
    <t>Juanchaco</t>
  </si>
  <si>
    <t xml:space="preserve">500 abono julio bravo </t>
  </si>
  <si>
    <t>47 dominio zencorp</t>
  </si>
  <si>
    <t>chat gpt</t>
  </si>
  <si>
    <t>pago cuota Mayo de Martin</t>
  </si>
  <si>
    <t>pago cuota Mayo de Rosero</t>
  </si>
  <si>
    <t>pago cuota Junio de Martin</t>
  </si>
  <si>
    <t>pago cuota Junio de Rosero</t>
  </si>
  <si>
    <t>Planilla Abril Rosero</t>
  </si>
  <si>
    <t>Planilla Mayo Rosero</t>
  </si>
  <si>
    <t>Planilla Junio Rosero</t>
  </si>
  <si>
    <t>Solidify</t>
  </si>
  <si>
    <t>pago a gisell cuentas FEBRERO</t>
  </si>
  <si>
    <t>giselle cuentas CUENTA MARZO</t>
  </si>
  <si>
    <t>giselle cuentas CEUNTA ABRIL</t>
  </si>
  <si>
    <t>giselle cuentas CEUNTA MAYO</t>
  </si>
  <si>
    <t>giselle cuentas CUENTA JUNIO</t>
  </si>
  <si>
    <t>$450.000</t>
  </si>
  <si>
    <t>PLANILLA VICTOR JUNIO</t>
  </si>
  <si>
    <t>Prestamos</t>
  </si>
  <si>
    <t>Inversion</t>
  </si>
  <si>
    <t>JUANCHACO</t>
  </si>
  <si>
    <t>LEONARDO</t>
  </si>
  <si>
    <t>planilla valentina lopez - jj</t>
  </si>
  <si>
    <t>consignacion nequi</t>
  </si>
  <si>
    <t>CUENTA PRIMA JULIO 2025</t>
  </si>
  <si>
    <t>ENTREGO A JJ</t>
  </si>
  <si>
    <t>PLANILLA VICTOR JULIO</t>
  </si>
  <si>
    <t>CUENTA AGOSTO 2025</t>
  </si>
  <si>
    <t>abono intereses prestamo arroyave OFICINA - MARZO - (10)</t>
  </si>
  <si>
    <t>abono intereses prestamo arroyave OFICINA - ABRIL - (10)</t>
  </si>
  <si>
    <t>abono intereses prestamo arroyave OFICINA - MAYO - (43)</t>
  </si>
  <si>
    <t>PLANILLA MONICA JULIO</t>
  </si>
  <si>
    <t>PLANILLA FF JULIO</t>
  </si>
  <si>
    <t>PEDIDO FIOTY -productos naturales</t>
  </si>
  <si>
    <t>PEDIDO DULCE VIDA -productos naturales</t>
  </si>
  <si>
    <t>Compartir oficina</t>
  </si>
  <si>
    <t>salida pm</t>
  </si>
  <si>
    <t>karen para niños</t>
  </si>
  <si>
    <t>favor leidy</t>
  </si>
  <si>
    <t>OFICINA ARROYAVE</t>
  </si>
  <si>
    <t>LUIS VALENCIA CAMIONETA</t>
  </si>
  <si>
    <t>LUIS VALENCIA - PRESTAMO</t>
  </si>
  <si>
    <t>impresiones formato lideres y vinculados</t>
  </si>
  <si>
    <t xml:space="preserve">300 dollarcity </t>
  </si>
  <si>
    <t xml:space="preserve">120 olímpica </t>
  </si>
  <si>
    <t xml:space="preserve">1100 licencia jp </t>
  </si>
  <si>
    <t xml:space="preserve">250 salida jp </t>
  </si>
  <si>
    <t>160 salida pm</t>
  </si>
  <si>
    <t>220 gasolina km 63974</t>
  </si>
  <si>
    <t xml:space="preserve">100 cita médica </t>
  </si>
  <si>
    <t xml:space="preserve">80 salida isabela </t>
  </si>
  <si>
    <t xml:space="preserve">23 desayuno </t>
  </si>
  <si>
    <t xml:space="preserve">150 almuerzo cumple </t>
  </si>
  <si>
    <t>55 salida jp</t>
  </si>
  <si>
    <t xml:space="preserve">185 almuerzo </t>
  </si>
  <si>
    <t xml:space="preserve">30 heladería </t>
  </si>
  <si>
    <t xml:space="preserve">130 d1 </t>
  </si>
  <si>
    <t>25 olímpica</t>
  </si>
  <si>
    <t xml:space="preserve">260 plomo Faab </t>
  </si>
  <si>
    <t xml:space="preserve">110 paquete Faab </t>
  </si>
  <si>
    <t xml:space="preserve">25 desayuno Isa </t>
  </si>
  <si>
    <t xml:space="preserve">89 internet niños </t>
  </si>
  <si>
    <t xml:space="preserve">220 mensualidad colegio niños </t>
  </si>
  <si>
    <t xml:space="preserve">230 recreación niños </t>
  </si>
  <si>
    <t xml:space="preserve">1000 jhon rosero </t>
  </si>
  <si>
    <t xml:space="preserve">25 desayunos </t>
  </si>
  <si>
    <t>101 claro monica JJ</t>
  </si>
  <si>
    <t>150 gasolina km 64491</t>
  </si>
  <si>
    <t>300 tardes caleñas</t>
  </si>
  <si>
    <t>209 pago Internet</t>
  </si>
  <si>
    <t xml:space="preserve">65 almuerzo </t>
  </si>
  <si>
    <t xml:space="preserve">70 helados ingenio </t>
  </si>
  <si>
    <t xml:space="preserve">35 Chiqui </t>
  </si>
  <si>
    <t xml:space="preserve">70 shampu Camila </t>
  </si>
  <si>
    <t xml:space="preserve">3000 jhon rosero </t>
  </si>
  <si>
    <t xml:space="preserve">189 salida cuenta fácil Gisell </t>
  </si>
  <si>
    <t xml:space="preserve">500 abono fiesta Isabella </t>
  </si>
  <si>
    <t xml:space="preserve">65 salida comer </t>
  </si>
  <si>
    <t xml:space="preserve">461 factura casa </t>
  </si>
  <si>
    <t xml:space="preserve">22 factura gases </t>
  </si>
  <si>
    <t xml:space="preserve">140 almuerzo </t>
  </si>
  <si>
    <t xml:space="preserve">130 cañaveral </t>
  </si>
  <si>
    <t xml:space="preserve">50 almuerzos Angela </t>
  </si>
  <si>
    <t>75 reunión pm</t>
  </si>
  <si>
    <t>47 dominio Cmj</t>
  </si>
  <si>
    <t xml:space="preserve">47 Dominio 2 </t>
  </si>
  <si>
    <t xml:space="preserve">187 reunión pm </t>
  </si>
  <si>
    <t xml:space="preserve">220 Gasolina km 65111 </t>
  </si>
  <si>
    <t xml:space="preserve">45 ensaladas </t>
  </si>
  <si>
    <t>100 salida jp</t>
  </si>
  <si>
    <t>300 salida con niños</t>
  </si>
  <si>
    <t>PM</t>
  </si>
  <si>
    <t>MONICA JJ</t>
  </si>
  <si>
    <t>PRESTAMO FAAB</t>
  </si>
  <si>
    <t>Invitacion extra JULIO invitacion evento</t>
  </si>
  <si>
    <t>Invitacion extra AGOSTO invitacion evento</t>
  </si>
  <si>
    <t>abono intereses prestamo arroyave OFICINA - JUNIO - (59)</t>
  </si>
  <si>
    <t>abono intereses prestamo arroyave OFICINA - JULIO - (57)</t>
  </si>
  <si>
    <t>cradado</t>
  </si>
  <si>
    <t>PLANILLA FABITO AGOSTO</t>
  </si>
  <si>
    <t>CUENTA SEPTIEMBRE 2025</t>
  </si>
  <si>
    <t>PLANILLA FF AGOSTO</t>
  </si>
  <si>
    <t>ANGELA ORTIZ AGOSTO</t>
  </si>
  <si>
    <t>SARA TORO AGOSTO</t>
  </si>
  <si>
    <t>abono intereses prestamo arroyave OFICINA - AGOSTO - (55)</t>
  </si>
  <si>
    <t>CARLOSAPP</t>
  </si>
  <si>
    <t>SIEMBRA20</t>
  </si>
  <si>
    <t>CMJRADICAL</t>
  </si>
  <si>
    <t>PACTO</t>
  </si>
  <si>
    <t>TOTAL MENSUAL</t>
  </si>
  <si>
    <t xml:space="preserve">FORMATO FICHAS </t>
  </si>
  <si>
    <t>FORMATOS LIDERES</t>
  </si>
  <si>
    <t>IMPRESIÓN BARRIOS CALI, 20242025</t>
  </si>
  <si>
    <t>Invitacion extra SEPT invitacion evento cumple+lideres</t>
  </si>
  <si>
    <t>CUENTA OCTUBRE 2025</t>
  </si>
  <si>
    <t>Invitacion extra OCT invitacion evento cumple+lideres</t>
  </si>
  <si>
    <t>PLANILLA MONICA SEPT</t>
  </si>
  <si>
    <t>PLANILLA FF SEPT</t>
  </si>
  <si>
    <t>PLANILLA FABITO SEPT</t>
  </si>
  <si>
    <t>PLANILLAS DE LEONARDO ARROYAVE</t>
  </si>
  <si>
    <t xml:space="preserve">100 carlos guerra internet </t>
  </si>
  <si>
    <t xml:space="preserve">120 deporte niños </t>
  </si>
  <si>
    <t xml:space="preserve">210 compra 3 tóner JJ </t>
  </si>
  <si>
    <t xml:space="preserve">81 chat gpt </t>
  </si>
  <si>
    <t xml:space="preserve">1400 Angela préstamo </t>
  </si>
  <si>
    <t xml:space="preserve">350 salida </t>
  </si>
  <si>
    <t xml:space="preserve">70 panadería </t>
  </si>
  <si>
    <t xml:space="preserve">18 desayuno </t>
  </si>
  <si>
    <t xml:space="preserve">240 salida con todos </t>
  </si>
  <si>
    <t xml:space="preserve">30 cosas Camila </t>
  </si>
  <si>
    <t xml:space="preserve">370 Mercado </t>
  </si>
  <si>
    <t xml:space="preserve">100 pm </t>
  </si>
  <si>
    <t xml:space="preserve">100 almuerzo cumple </t>
  </si>
  <si>
    <t>100 publicidad Facebook</t>
  </si>
  <si>
    <t xml:space="preserve">279 empresa marketing </t>
  </si>
  <si>
    <t xml:space="preserve">80 Angela </t>
  </si>
  <si>
    <t>180 Gasolina km 65650</t>
  </si>
  <si>
    <t xml:space="preserve">150 reunión </t>
  </si>
  <si>
    <t xml:space="preserve">200 mensualidad niños </t>
  </si>
  <si>
    <t xml:space="preserve">70 cumple Chiqui </t>
  </si>
  <si>
    <t xml:space="preserve">200 nequi diana Isabella </t>
  </si>
  <si>
    <t xml:space="preserve">90 leche isabella </t>
  </si>
  <si>
    <t xml:space="preserve">90 otros Isabella </t>
  </si>
  <si>
    <t>150 Cañaveralejo</t>
  </si>
  <si>
    <t xml:space="preserve">450 trasferencia JJ </t>
  </si>
  <si>
    <t xml:space="preserve">100 salida </t>
  </si>
  <si>
    <t xml:space="preserve">200 edgar </t>
  </si>
  <si>
    <t xml:space="preserve">15 frutas </t>
  </si>
  <si>
    <t xml:space="preserve">10 Isabella </t>
  </si>
  <si>
    <t xml:space="preserve">160 renovación gps </t>
  </si>
  <si>
    <t>267 cambio avapp</t>
  </si>
  <si>
    <t xml:space="preserve">100 almuerzo cumple aleja </t>
  </si>
  <si>
    <t xml:space="preserve">80 piano Santi </t>
  </si>
  <si>
    <t xml:space="preserve">100 maría torres fiesta JJ </t>
  </si>
  <si>
    <t>200 Gasolina km 66309</t>
  </si>
  <si>
    <t>1074 soat kuy188 2-nov</t>
  </si>
  <si>
    <t>40 lechonas</t>
  </si>
  <si>
    <t xml:space="preserve">40 pollo </t>
  </si>
  <si>
    <t>92 salida jp</t>
  </si>
  <si>
    <t xml:space="preserve">30 peluche Isa </t>
  </si>
  <si>
    <t>350 zapatillas</t>
  </si>
  <si>
    <t xml:space="preserve">32 resma </t>
  </si>
  <si>
    <t xml:space="preserve">2915 liquidación Daniela </t>
  </si>
  <si>
    <t xml:space="preserve">95 pm </t>
  </si>
  <si>
    <t xml:space="preserve">85 pm </t>
  </si>
  <si>
    <t xml:space="preserve">120 Depronto niños </t>
  </si>
  <si>
    <t xml:space="preserve">260 despedida Daniela </t>
  </si>
  <si>
    <t xml:space="preserve">300 vitrina abono </t>
  </si>
  <si>
    <t xml:space="preserve">20 desayunos </t>
  </si>
  <si>
    <t xml:space="preserve">228 mercado </t>
  </si>
  <si>
    <t xml:space="preserve">150 fiestas isa </t>
  </si>
  <si>
    <t xml:space="preserve">60 desayuno </t>
  </si>
  <si>
    <t xml:space="preserve">748 lociones </t>
  </si>
  <si>
    <t xml:space="preserve">300 vitrinas </t>
  </si>
  <si>
    <t>380 ganancia portatil yerly</t>
  </si>
  <si>
    <t>3000 JJ sede equipos tablones  callcenter</t>
  </si>
  <si>
    <t>Planilla julio Rosero</t>
  </si>
  <si>
    <t>devolucion dinero</t>
  </si>
  <si>
    <t>tv 65</t>
  </si>
  <si>
    <t>mitad prima</t>
  </si>
  <si>
    <t xml:space="preserve">EPS MARLY  VIAFARA </t>
  </si>
  <si>
    <t xml:space="preserve">EPS MARLY  VIAFARA afiliacion </t>
  </si>
  <si>
    <t>PLANILLA FABITO OCTUBRE</t>
  </si>
  <si>
    <t>PLANILLA MONICA OCTUBRE</t>
  </si>
  <si>
    <t>PLANILLA FF OCTUBRE</t>
  </si>
  <si>
    <t xml:space="preserve">3000 compra de SMS y audio </t>
  </si>
  <si>
    <t>60 almuerzos</t>
  </si>
  <si>
    <t xml:space="preserve">100 almuerzos oficina </t>
  </si>
  <si>
    <t>220 Gasolina km 66907</t>
  </si>
  <si>
    <t>335 comida</t>
  </si>
  <si>
    <t xml:space="preserve">504 transferencia JJ </t>
  </si>
  <si>
    <t xml:space="preserve">65 tela préstamo Angela </t>
  </si>
  <si>
    <t xml:space="preserve">780 monitor BRYGAR </t>
  </si>
  <si>
    <t xml:space="preserve">100 amparo almuerzo y Saturno </t>
  </si>
  <si>
    <t>106 MacDonald</t>
  </si>
  <si>
    <t xml:space="preserve">290 compras homecenter </t>
  </si>
  <si>
    <t>550 jp</t>
  </si>
  <si>
    <t xml:space="preserve">80 boleta leidy </t>
  </si>
  <si>
    <t xml:space="preserve">40 mensajería </t>
  </si>
  <si>
    <t xml:space="preserve">500 mercado casa </t>
  </si>
  <si>
    <t xml:space="preserve">80 almuerzo </t>
  </si>
  <si>
    <t xml:space="preserve">336 discos duros </t>
  </si>
  <si>
    <t xml:space="preserve">410 pantalla 24 pulgadas </t>
  </si>
  <si>
    <t xml:space="preserve">115 reunión pm </t>
  </si>
  <si>
    <t xml:space="preserve">20 taxis </t>
  </si>
  <si>
    <t xml:space="preserve">389 cambio aceite kuy188 </t>
  </si>
  <si>
    <t>220 gasolina km 67521</t>
  </si>
  <si>
    <t xml:space="preserve">350 Niños </t>
  </si>
  <si>
    <t xml:space="preserve">150 reunión con JJ </t>
  </si>
  <si>
    <t xml:space="preserve">50 azúcar y otros </t>
  </si>
  <si>
    <t xml:space="preserve">89 reunión pm </t>
  </si>
  <si>
    <t xml:space="preserve">250 mano obra Fabián </t>
  </si>
  <si>
    <t>320 espejo negocio</t>
  </si>
  <si>
    <t>50 resma</t>
  </si>
  <si>
    <t xml:space="preserve">110 almuerzo </t>
  </si>
  <si>
    <t xml:space="preserve">500 protemplo </t>
  </si>
  <si>
    <t xml:space="preserve">298 servicios </t>
  </si>
  <si>
    <t xml:space="preserve">520 mercado </t>
  </si>
  <si>
    <t xml:space="preserve">120 entrenamiento niños </t>
  </si>
  <si>
    <t xml:space="preserve">450 manzano cobrar JJ raspa </t>
  </si>
  <si>
    <t xml:space="preserve">100 tintas </t>
  </si>
  <si>
    <t>125 alas salida</t>
  </si>
  <si>
    <t xml:space="preserve">225 construcción negocio </t>
  </si>
  <si>
    <t xml:space="preserve">410 teclados mouse padmouse regulados </t>
  </si>
  <si>
    <t xml:space="preserve">50 fundas </t>
  </si>
  <si>
    <t>120 ALMUER&lt;O</t>
  </si>
  <si>
    <t>20 DESAYUNO</t>
  </si>
  <si>
    <t>1788 láminas PVC  -ropa</t>
  </si>
  <si>
    <t xml:space="preserve">portátil oficina coorporativo i5 11ava gen </t>
  </si>
  <si>
    <t>portatil</t>
  </si>
  <si>
    <t>envio a 8000 jovenes votacion pov</t>
  </si>
  <si>
    <t>envio a 300 vinculados trabajo barrios</t>
  </si>
  <si>
    <t>envio 250 jovenes comuna 10</t>
  </si>
  <si>
    <t>envio 250 lideres comuna 10</t>
  </si>
  <si>
    <t>campaña envio jovenes lideres uso aplicación</t>
  </si>
  <si>
    <t>campaña envio jovenes lideres  y vinculados como votar pov</t>
  </si>
  <si>
    <t>jovenes_CMJ</t>
  </si>
  <si>
    <t>Ingreso Fya Carlos Hernan</t>
  </si>
  <si>
    <t>Envios</t>
  </si>
  <si>
    <t>censo cmj</t>
  </si>
  <si>
    <t>censo carlosapp</t>
  </si>
  <si>
    <t>abono intereses prestamo arroyave OFICINA - SEPT - (59)</t>
  </si>
  <si>
    <t>abono intereses prestamo arroyave OFICINA - OCT - (71)</t>
  </si>
  <si>
    <t>FERNANDO CARVAJAL - FACTURA No. 10244 - Brayan autoriza prestamo</t>
  </si>
  <si>
    <t xml:space="preserve">VICTOR PALERMO </t>
  </si>
  <si>
    <t>VIVIANA AGUDELO AGOSTO</t>
  </si>
  <si>
    <t>FERNANDO CARVAJAL - FACTURA No. 10561 - Brayan autoriza prestamo</t>
  </si>
  <si>
    <t>PLANILLA RUBEN CUELLAR</t>
  </si>
  <si>
    <t>CUENTA NOVIEMBRE 2025</t>
  </si>
  <si>
    <t>Invitacion extra NOV invitacion evento cumple+lideres</t>
  </si>
  <si>
    <t>220 Km 68129</t>
  </si>
  <si>
    <t xml:space="preserve">10 refrigerio </t>
  </si>
  <si>
    <t xml:space="preserve">300 trabajo construcción negocio </t>
  </si>
  <si>
    <t xml:space="preserve">5000 presto diana cristian </t>
  </si>
  <si>
    <t xml:space="preserve">3000 presto Jessica Ramírez </t>
  </si>
  <si>
    <t>479 arriendo sur jp</t>
  </si>
  <si>
    <t xml:space="preserve">300 adelanto Juan David Rodríguez </t>
  </si>
  <si>
    <t xml:space="preserve">50 otros empresa </t>
  </si>
  <si>
    <t xml:space="preserve">50 cumple Yesenia </t>
  </si>
  <si>
    <t xml:space="preserve">300 reunión pm </t>
  </si>
  <si>
    <t xml:space="preserve">200 karen </t>
  </si>
  <si>
    <t>3000 compras jp</t>
  </si>
  <si>
    <t xml:space="preserve">426 compras jp centro </t>
  </si>
  <si>
    <t>530 compras jp centro</t>
  </si>
  <si>
    <t xml:space="preserve">126 compras jp Daniela </t>
  </si>
  <si>
    <t>1195 compras jp centro 18nov</t>
  </si>
  <si>
    <t xml:space="preserve">50 pollo Roosty </t>
  </si>
  <si>
    <t>10 montada</t>
  </si>
  <si>
    <t>195 Hotel</t>
  </si>
  <si>
    <t>45 D1</t>
  </si>
  <si>
    <t xml:space="preserve">64 Desayuno </t>
  </si>
  <si>
    <t xml:space="preserve">36 Almuerzo </t>
  </si>
  <si>
    <t xml:space="preserve">71 Comida </t>
  </si>
  <si>
    <t xml:space="preserve">40 Ara </t>
  </si>
  <si>
    <t xml:space="preserve">25 Peajes </t>
  </si>
  <si>
    <t xml:space="preserve">750 préstamo a leidy lopez </t>
  </si>
  <si>
    <t xml:space="preserve">392 disco 260 y diademas </t>
  </si>
  <si>
    <t xml:space="preserve">980 compras jp centro </t>
  </si>
  <si>
    <t xml:space="preserve">1000 jhon rosero apuestas </t>
  </si>
  <si>
    <t>230 Gasolina km 68830</t>
  </si>
  <si>
    <t xml:space="preserve">930 Mercado </t>
  </si>
  <si>
    <t xml:space="preserve">60 comida </t>
  </si>
  <si>
    <t>300 niños k</t>
  </si>
  <si>
    <t xml:space="preserve">40 almuerzos </t>
  </si>
  <si>
    <t xml:space="preserve">50 otris </t>
  </si>
  <si>
    <t xml:space="preserve">1400 portátil ANDERSON </t>
  </si>
  <si>
    <t xml:space="preserve">300 cine </t>
  </si>
  <si>
    <t xml:space="preserve">527 compra zapatos </t>
  </si>
  <si>
    <t>95 jeans santiago</t>
  </si>
  <si>
    <t>EPS MARLY  VIAFARA NOV CON RETIRO</t>
  </si>
  <si>
    <t>PADMOUSE - Y OTROS CALL</t>
  </si>
  <si>
    <t>Diademas 6</t>
  </si>
  <si>
    <t>Compra de regalos MUESTRAS</t>
  </si>
  <si>
    <t>Regalos dic MUESTRAS</t>
  </si>
  <si>
    <t>Pantalla 27" 201</t>
  </si>
  <si>
    <t>audio_sorteo_proximo</t>
  </si>
  <si>
    <t>audio sorteo a FYA</t>
  </si>
  <si>
    <t>audio_REUNIONES COMUNA 9 (GUAYAQUIL,ARANJUEZ,JUNIN)</t>
  </si>
  <si>
    <t>audio_REUNIONES COMUNA 9 (BRETAÑA Y ALAMEDA)</t>
  </si>
  <si>
    <t>audio_REUNIONES COMUNA 9 (OBRERO,SUCRE)</t>
  </si>
  <si>
    <t>audio_REUNIONES COMUNA 9 (Belalcazar,Manuel Maria Buenaventura)</t>
  </si>
  <si>
    <t>audio_COMUNA 12 - 6PM</t>
  </si>
  <si>
    <t>audio_COMUNA 12 - 630 PM</t>
  </si>
  <si>
    <t>audio_COMUNA 12 - 7PM</t>
  </si>
  <si>
    <t>audio_LLAMADA LIDERES PARA LA FIESTA NOV</t>
  </si>
  <si>
    <t>audio_Llamada cumpleañeros Nov</t>
  </si>
  <si>
    <t>audio_COMUNA 2 - 430</t>
  </si>
  <si>
    <t>audio_COMUNA 2 - 510</t>
  </si>
  <si>
    <t>audio_COMUNA 2 - 6PM</t>
  </si>
  <si>
    <t>audio_COMUNA 2 - 7PM</t>
  </si>
  <si>
    <t>whatsApp_video_sorteo_lideres</t>
  </si>
  <si>
    <t>whatsApp_INSCRIPCION CEDULAS</t>
  </si>
  <si>
    <t>whatsApp_invitacion_sorteo_arroyavista_2025</t>
  </si>
  <si>
    <t>whatsApp_Reuniones_Comunas_2025</t>
  </si>
  <si>
    <t>whatsApp_invitacion lideres a fiesta noviembre</t>
  </si>
  <si>
    <t>whatsApp_sorteo_arroyavista_2025_eventos</t>
  </si>
  <si>
    <t>whatsApp_compartir_sorteo</t>
  </si>
  <si>
    <t>Impresión votaciones Nariño y Cauca</t>
  </si>
  <si>
    <t>Impresión libro ajedrez</t>
  </si>
  <si>
    <t>PLANILLA FABITO NOV</t>
  </si>
  <si>
    <t>PLANILLA FABITO DIC</t>
  </si>
  <si>
    <t>PLANILLA MONICA NOV</t>
  </si>
  <si>
    <t>PLANILLA FF NOV</t>
  </si>
  <si>
    <t>CUENTA DICIEMBRE 2025</t>
  </si>
  <si>
    <t>abono intereses prestamo arroyave OFICINA - NOV - (84)</t>
  </si>
  <si>
    <t>FERNANDO CARVAJAL - FACTURA No. 11120 - Brayan Garcia autoriza</t>
  </si>
  <si>
    <t>VIVIANA AGUDELO DIC</t>
  </si>
  <si>
    <t>Jovenes_lideres</t>
  </si>
  <si>
    <t>Jovenes_carlosapp</t>
  </si>
  <si>
    <t>8 SEGURIDA SOCIAL NOV - CALL CENTER</t>
  </si>
  <si>
    <t>15 SEGURIDAD SOCIAL DIC - CALL CENTER</t>
  </si>
  <si>
    <t>comuna 8 zona 1 730</t>
  </si>
  <si>
    <t>comuna 8 zona 1 700</t>
  </si>
  <si>
    <t>comuna 8 zona 3 630</t>
  </si>
  <si>
    <t>comuna 8 zona 3 600</t>
  </si>
  <si>
    <t>comuna 8 zona 4 530</t>
  </si>
  <si>
    <t>LANZAMIENTO 20 DIC</t>
  </si>
  <si>
    <t>LANZAMIENTO 17 DIC</t>
  </si>
  <si>
    <t>REUNION REPUBLICA ISRAEL C16</t>
  </si>
  <si>
    <t>REUNION CIUDAD 2000 C16</t>
  </si>
  <si>
    <t>REUNION MARIANO RAMOS C16</t>
  </si>
  <si>
    <t>REUNION LA UNION C16</t>
  </si>
  <si>
    <t>REUNON ANTONIO NARIÑO C16</t>
  </si>
  <si>
    <t>MONTEBELLO REUNION</t>
  </si>
  <si>
    <t>LANZAMIENTO 12 DIC</t>
  </si>
  <si>
    <t>LANZAMIENTO 11 DIC</t>
  </si>
  <si>
    <t>inscripcion candidato</t>
  </si>
  <si>
    <t>comuna 18</t>
  </si>
  <si>
    <t>comuna 15 - 6:30pm</t>
  </si>
  <si>
    <t>comuna 15 - 6pm</t>
  </si>
  <si>
    <t>comuna 15 - 5pm</t>
  </si>
  <si>
    <t>COMUNA 14 - 8PM</t>
  </si>
  <si>
    <t>COMUNA 14 - 7PM</t>
  </si>
  <si>
    <t>COMUNA 14 - 6PM</t>
  </si>
  <si>
    <t>liderazgo nuevo DEPARTAMENTOS</t>
  </si>
  <si>
    <t>INSCRIPCION DE CANDIDATOS</t>
  </si>
  <si>
    <t>boletas_faroles_lideres</t>
  </si>
  <si>
    <t>lanzamiento_lideres</t>
  </si>
  <si>
    <t>Invitacion Lanzanmiento Campaña BD general</t>
  </si>
  <si>
    <t>recordatorio_sorteo</t>
  </si>
  <si>
    <t>recordatorio lideres sorteo</t>
  </si>
  <si>
    <t>asistencia_eventos_sorteo</t>
  </si>
  <si>
    <t>detalle dic</t>
  </si>
  <si>
    <t>SORTEO FINAL</t>
  </si>
  <si>
    <t>abono intereses prestamo arroyave OFICINA - DIC - (108)</t>
  </si>
  <si>
    <t>Sorteo_2025_BASE DE DATOS GENERAL</t>
  </si>
  <si>
    <t>API CENSO A BASE DE DATOS</t>
  </si>
  <si>
    <t xml:space="preserve">SMS </t>
  </si>
  <si>
    <t>Invitacion extra invitacion eventos</t>
  </si>
  <si>
    <t>pago cuota Julio de Martin</t>
  </si>
  <si>
    <t>pago cuota Julio de Rosero</t>
  </si>
  <si>
    <t>pago cuota agosto de Martin</t>
  </si>
  <si>
    <t>pago cuota agosto de Rosero</t>
  </si>
  <si>
    <t>giselle cuentas CUENTA</t>
  </si>
  <si>
    <t>Pago cuota angela ortiz nov y dic</t>
  </si>
  <si>
    <t>Pago cuota martin chavez nov y dic</t>
  </si>
  <si>
    <t>Pago cuota yazmin dic</t>
  </si>
  <si>
    <t>pago cuota avapp</t>
  </si>
  <si>
    <t>yerly cuentas</t>
  </si>
  <si>
    <t xml:space="preserve">DICIEMBRE VACACIONES </t>
  </si>
  <si>
    <t>MANTENIMIENTO LIBARDO MADRID</t>
  </si>
  <si>
    <t>PROYECTO JUGUETES</t>
  </si>
  <si>
    <t xml:space="preserve">PROYECTO JUGUETES 2 - COMISION </t>
  </si>
  <si>
    <t xml:space="preserve">100 camisa quest </t>
  </si>
  <si>
    <t>380 Jeans quest</t>
  </si>
  <si>
    <t xml:space="preserve">60 pelota Camila </t>
  </si>
  <si>
    <t xml:space="preserve">80 muñeca Isabella </t>
  </si>
  <si>
    <t xml:space="preserve">500 Juan David resto trabajo </t>
  </si>
  <si>
    <t xml:space="preserve">80 ChatGPT </t>
  </si>
  <si>
    <t>150 grado AO</t>
  </si>
  <si>
    <t xml:space="preserve">45 Google espacio </t>
  </si>
  <si>
    <t>20 taxi</t>
  </si>
  <si>
    <t xml:space="preserve">48 entreno Santi </t>
  </si>
  <si>
    <t xml:space="preserve">5200 inversiones </t>
  </si>
  <si>
    <t xml:space="preserve">15 pollo </t>
  </si>
  <si>
    <t>17 tanpones jp</t>
  </si>
  <si>
    <t xml:space="preserve">172 pampero </t>
  </si>
  <si>
    <t xml:space="preserve">273 HOMECENTER </t>
  </si>
  <si>
    <t>33 pelo jp</t>
  </si>
  <si>
    <t xml:space="preserve">38 donalds </t>
  </si>
  <si>
    <t xml:space="preserve">30 cena </t>
  </si>
  <si>
    <t xml:space="preserve">220 gasolina 69444 km </t>
  </si>
  <si>
    <t xml:space="preserve">300 edgar garcia </t>
  </si>
  <si>
    <t xml:space="preserve">90 piano Santi </t>
  </si>
  <si>
    <t xml:space="preserve">40 almuerzo </t>
  </si>
  <si>
    <t>36 uñas Camila</t>
  </si>
  <si>
    <t xml:space="preserve">1250 soat amparo cobrar </t>
  </si>
  <si>
    <t xml:space="preserve">180 graduación Camila </t>
  </si>
  <si>
    <t xml:space="preserve">210 pensión niños </t>
  </si>
  <si>
    <t>130 comida</t>
  </si>
  <si>
    <t>1055 ropa 1</t>
  </si>
  <si>
    <t xml:space="preserve">314 ropa 2 </t>
  </si>
  <si>
    <t xml:space="preserve">511 ropa 3 </t>
  </si>
  <si>
    <t xml:space="preserve">24 prqueadero </t>
  </si>
  <si>
    <t xml:space="preserve">50 yuli vuelta </t>
  </si>
  <si>
    <t>110 zapatos jp</t>
  </si>
  <si>
    <t xml:space="preserve">550 karen niños </t>
  </si>
  <si>
    <t xml:space="preserve">274 comida leños </t>
  </si>
  <si>
    <t xml:space="preserve">6 parqueadero </t>
  </si>
  <si>
    <t xml:space="preserve">40 trae  </t>
  </si>
  <si>
    <t xml:space="preserve">800 salida </t>
  </si>
  <si>
    <t xml:space="preserve">750 Xbox </t>
  </si>
  <si>
    <t>1008 servicios aptos</t>
  </si>
  <si>
    <t xml:space="preserve">200 control Xbox </t>
  </si>
  <si>
    <t xml:space="preserve">29 gases occidente </t>
  </si>
  <si>
    <t xml:space="preserve">320 celular </t>
  </si>
  <si>
    <t xml:space="preserve">680 mercado </t>
  </si>
  <si>
    <t xml:space="preserve">900 celular </t>
  </si>
  <si>
    <t xml:space="preserve">100 iglesia </t>
  </si>
  <si>
    <t xml:space="preserve">100 juegos niños </t>
  </si>
  <si>
    <t xml:space="preserve">280 almuerzo </t>
  </si>
  <si>
    <t xml:space="preserve">300 préstamo Yesenia </t>
  </si>
  <si>
    <t xml:space="preserve">400 boletas JJ </t>
  </si>
  <si>
    <t>250 Gasolina 70150</t>
  </si>
  <si>
    <t xml:space="preserve">salida cuenta fácil Gisell </t>
  </si>
  <si>
    <t>PLANILLAS FABITO 2025</t>
  </si>
  <si>
    <t>GASTOS OFICINA Y FAAB 2025</t>
  </si>
  <si>
    <t>FERNANDO CARVAJAL - 2025</t>
  </si>
  <si>
    <t>VICTOR PALERMO  (6 PLANILLAS DIC)</t>
  </si>
  <si>
    <t xml:space="preserve">PORTATIL DE CRISTIAN </t>
  </si>
  <si>
    <t>COMPRAS Y OTROS CAMPAÑA 2025</t>
  </si>
  <si>
    <t>LLAMADAS PREGRABADAS CAMPAÑA 2025</t>
  </si>
  <si>
    <t>CAMPAÑAS DE WHATSAPP API CAMPAÑA 2025</t>
  </si>
  <si>
    <t xml:space="preserve">Intereses </t>
  </si>
  <si>
    <t>PLANILLA FF DIC</t>
  </si>
  <si>
    <t>PLANILLA FABITO AJUSTE DIC</t>
  </si>
  <si>
    <t xml:space="preserve">PRESTAMO OFICINA - 20000 JJ </t>
  </si>
  <si>
    <t>PRESTAMO FAAB - 20000</t>
  </si>
  <si>
    <t>PLANILLA CARMEN ELENA DIC</t>
  </si>
  <si>
    <t>PLANILLA CARMEN ELENA RIVAS</t>
  </si>
  <si>
    <t>VARELA</t>
  </si>
  <si>
    <t>SOMOS C</t>
  </si>
  <si>
    <t>BTURA</t>
  </si>
  <si>
    <t>L-103</t>
  </si>
  <si>
    <t>ARL TEMA ECHEVERRY Y MURIEL</t>
  </si>
  <si>
    <t>AFILIACION ARL CALL CENTER 22 PERSONAS ENERO</t>
  </si>
  <si>
    <t>AFILIACION ARL GRUPO PUBLICIDAD 15 PERSONAS DIAS ENERO</t>
  </si>
  <si>
    <t>CUENTA FEBRERO 2026</t>
  </si>
  <si>
    <t>CUENTA ENERO 2026</t>
  </si>
  <si>
    <t>PLANILLA MONICA ENERO 2026</t>
  </si>
  <si>
    <t>PLANILLA FF ENERO 2026</t>
  </si>
  <si>
    <t>PLANILLA CARMEN ELENA ENERO 2026</t>
  </si>
  <si>
    <t>PLANILLAS DE LEONARDO ARROYAVE ENERO 2026</t>
  </si>
  <si>
    <t>pago jj en efectivo</t>
  </si>
  <si>
    <t xml:space="preserve"> </t>
  </si>
  <si>
    <t>PLANILLA FABITO  ENERO 2026</t>
  </si>
  <si>
    <t xml:space="preserve">Dia electoral - puesto </t>
  </si>
  <si>
    <t>138027 X 80</t>
  </si>
  <si>
    <t>40000 X 100</t>
  </si>
  <si>
    <t>77507 X 100</t>
  </si>
  <si>
    <t>36602 X 100</t>
  </si>
  <si>
    <t>TOTAL CORTE A  DICIEMBRE</t>
  </si>
  <si>
    <t>TOTAL CORTE A MARZO</t>
  </si>
  <si>
    <t xml:space="preserve">TOTAL CAMPAÑA </t>
  </si>
  <si>
    <t xml:space="preserve">CRUCE </t>
  </si>
  <si>
    <t>AFILIACION ARL CALL CENTER 24 PERSONAS FEBRERO PUBLICIDAD</t>
  </si>
  <si>
    <t>AFILIACION ARL CALL CENTER 25 PERSONAS FEBRERO CALLCENTER</t>
  </si>
  <si>
    <t>ACTUALIZACION CENSO A 95784 CEDULAS X 80PESOS</t>
  </si>
  <si>
    <t>LLAMADAS DE ENERO A FEBRERO X 85 PESOS</t>
  </si>
  <si>
    <t>ENVIOS DE WHATAPP ENERO X 100</t>
  </si>
  <si>
    <t>ENVIOS DE WHATAPP FEBRERO X 100</t>
  </si>
  <si>
    <t xml:space="preserve">ENVIOS DIA ELECTORAL CON PUESTA DE VOTACION </t>
  </si>
  <si>
    <t xml:space="preserve">prestamo FAAB - 15 - 12 DE RASPA </t>
  </si>
  <si>
    <t>aplicación aliados roosty</t>
  </si>
  <si>
    <t>aplicación jorge mina 2 meses</t>
  </si>
  <si>
    <t>aplicación fundacion mafe portela 2 meses</t>
  </si>
  <si>
    <t>AFILIACION ARL CALL CENTER 25 PERSONAS marzo CALLCENTER</t>
  </si>
  <si>
    <t>CUENTA MARZO 2026</t>
  </si>
  <si>
    <t>Cruce Geovoto</t>
  </si>
  <si>
    <t>PLANILLAS DE LEONARDO ARROYAVE FEBRERO 2026</t>
  </si>
  <si>
    <t>PLANILLA MONICA FEBRERO 2026</t>
  </si>
  <si>
    <t>PLANILLA FF FEBRERO 2026</t>
  </si>
  <si>
    <t>PLANILLA FABITO  FEBRERO 2026</t>
  </si>
  <si>
    <t>PLANILLA CARMEN ELENA FEBRERO 2026</t>
  </si>
  <si>
    <t>PLANILLAS SARA Y ANGELA CONCEJO FEBRERO 2026</t>
  </si>
  <si>
    <t>PAGADA</t>
  </si>
  <si>
    <t>abono 10 en 11-feb</t>
  </si>
  <si>
    <t>abono 10m el 11-feb</t>
  </si>
  <si>
    <t>planilla viviana agudelo feb</t>
  </si>
  <si>
    <t>planilla viviana agudelo abril</t>
  </si>
  <si>
    <t>CUENTA ABRIL 2026</t>
  </si>
  <si>
    <t>PLANILLAS DE LEONARDO ARROYAVE MARZO 2026</t>
  </si>
  <si>
    <t>PLANILLAS SARA Y ANGELA CONCEJO MARZO 2026</t>
  </si>
  <si>
    <t>prestamo 10 y 10 a la cuenta de putu</t>
  </si>
  <si>
    <t>4 x mill X 2  = amparo a brayan y brayan a putu</t>
  </si>
  <si>
    <t xml:space="preserve">Diana Molina </t>
  </si>
  <si>
    <t>Amparo Vidal</t>
  </si>
  <si>
    <t>juamvi2@hotmail.com</t>
  </si>
  <si>
    <t>Amparo.3000</t>
  </si>
  <si>
    <t>Diana.3000</t>
  </si>
  <si>
    <t>CONTRASEÑA</t>
  </si>
  <si>
    <t>IUD</t>
  </si>
  <si>
    <t>MT5 Login	
28885992
MT5 Password	
Kk7qB&amp;kk
MT5 Server	
VantageInternational-Live 5
Acc Type	
Raw ECN</t>
  </si>
  <si>
    <t>MT5</t>
  </si>
  <si>
    <t>Usuario de MT5	
28885678
Contraseña de MT5	
@Y4WG$Be
Servidor de MT5	
VantageInternational-Live 5
Acc Type	
Raw ECN</t>
  </si>
  <si>
    <t>dianaleja0509@hotmail.com</t>
  </si>
  <si>
    <t>CELULAR</t>
  </si>
  <si>
    <t>alperdomo@gmail.com</t>
  </si>
  <si>
    <t>Jessica Perdomo</t>
  </si>
  <si>
    <t>Perdomo.3000</t>
  </si>
  <si>
    <t>sede local sexta</t>
  </si>
  <si>
    <t xml:space="preserve">servicios sexta </t>
  </si>
  <si>
    <t>CUENTA MAYO 2026</t>
  </si>
  <si>
    <t xml:space="preserve">NUEVO SISTEMA CAMARAS OFICINA  (5 CAMRAS IMOU Y NVR) </t>
  </si>
  <si>
    <t>pendiente abril</t>
  </si>
  <si>
    <t xml:space="preserve">consignacion </t>
  </si>
  <si>
    <t>consignacion 0000</t>
  </si>
  <si>
    <t>150 comida salida </t>
  </si>
  <si>
    <t>250 salida rueda </t>
  </si>
  <si>
    <t>45 Google play oficina </t>
  </si>
  <si>
    <t>450 zerossl </t>
  </si>
  <si>
    <t>65 desayunos líderes </t>
  </si>
  <si>
    <t>162 salida comer </t>
  </si>
  <si>
    <t>174 programa espía </t>
  </si>
  <si>
    <t>30 desayuno </t>
  </si>
  <si>
    <t>12 pollo</t>
  </si>
  <si>
    <t>30 Netflix </t>
  </si>
  <si>
    <t>75 ChatGPT </t>
  </si>
  <si>
    <t>75 raiwal </t>
  </si>
  <si>
    <t>47 dominio mina301 afro </t>
  </si>
  <si>
    <t>150 drogar jp</t>
  </si>
  <si>
    <t>200 otros </t>
  </si>
  <si>
    <t>180 internet niños </t>
  </si>
  <si>
    <t>220 gasolina km 70818</t>
  </si>
  <si>
    <t>62 dominio geovoto </t>
  </si>
  <si>
    <t>180 salida jp </t>
  </si>
  <si>
    <t>20 otros </t>
  </si>
  <si>
    <t>20 Santi </t>
  </si>
  <si>
    <t>60 desayuno </t>
  </si>
  <si>
    <t>600 mercado </t>
  </si>
  <si>
    <t>200 pito ecuador </t>
  </si>
  <si>
    <t>60 donde yuli </t>
  </si>
  <si>
    <t>70 pizza </t>
  </si>
  <si>
    <t>500 jhon rosero préstamo </t>
  </si>
  <si>
    <t>500 recarga llamadas </t>
  </si>
  <si>
    <t>600 yerli avapp </t>
  </si>
  <si>
    <t>180 maletín Isabella </t>
  </si>
  <si>
    <t>240 zapatos y medias </t>
  </si>
  <si>
    <t>607 impuestos mega </t>
  </si>
  <si>
    <t>24 parqueadero </t>
  </si>
  <si>
    <t>Entro 1500 cámara bruta </t>
  </si>
  <si>
    <t>900 préstamo Angela </t>
  </si>
  <si>
    <t>185 salida jp pampero </t>
  </si>
  <si>
    <t>830 mercado </t>
  </si>
  <si>
    <t>20 Gopass </t>
  </si>
  <si>
    <t>20 zapatos Santi </t>
  </si>
  <si>
    <t>250 zapatos Santi Camila </t>
  </si>
  <si>
    <t>45 helado</t>
  </si>
  <si>
    <t>200 líder Weimar </t>
  </si>
  <si>
    <t>175 consignación JJ </t>
  </si>
  <si>
    <t>390 consignación JJ</t>
  </si>
  <si>
    <t>60 almuerzos </t>
  </si>
  <si>
    <t>45 recargas celulares </t>
  </si>
  <si>
    <t>728 útiles niños </t>
  </si>
  <si>
    <t>8 taxi </t>
  </si>
  <si>
    <t>600 recapchat capsolver </t>
  </si>
  <si>
    <t>200 gasolina km71491 </t>
  </si>
  <si>
    <t>500 Viaticos jhon rosero </t>
  </si>
  <si>
    <t>100 almuerzo </t>
  </si>
  <si>
    <t>150 zapatos jp</t>
  </si>
  <si>
    <t>50 desayuno </t>
  </si>
  <si>
    <t>70 cena </t>
  </si>
  <si>
    <t>480 uniformes niños </t>
  </si>
  <si>
    <t>150 jhon rosero </t>
  </si>
  <si>
    <t>215 póliza avapp </t>
  </si>
  <si>
    <t>350 jhon rosero 2 total 500</t>
  </si>
  <si>
    <t>25 Parqueadero</t>
  </si>
  <si>
    <t>40 2 Almuerzos</t>
  </si>
  <si>
    <t>120 almuerzos 2 </t>
  </si>
  <si>
    <t>205 entradas piscina </t>
  </si>
  <si>
    <t>600 préstamo k</t>
  </si>
  <si>
    <t>50 pizza </t>
  </si>
  <si>
    <t>80 almuerzo </t>
  </si>
  <si>
    <t>148 parqueadero feb</t>
  </si>
  <si>
    <t>206 Gasolina 72133 km </t>
  </si>
  <si>
    <t>1044 impuestos mega </t>
  </si>
  <si>
    <t>1055 servicios </t>
  </si>
  <si>
    <t>680 licencia renovación </t>
  </si>
  <si>
    <t>40 almuerzos </t>
  </si>
  <si>
    <t>24 desayuno</t>
  </si>
  <si>
    <t>3800 cama</t>
  </si>
  <si>
    <t>500 primicias </t>
  </si>
  <si>
    <t>950 soat znn042</t>
  </si>
  <si>
    <t>250 pérdida Brayan  tienda </t>
  </si>
  <si>
    <t>250 pérdida rosero tienda </t>
  </si>
  <si>
    <t>206 gasolina Km 72967</t>
  </si>
  <si>
    <t>110 almuerzo</t>
  </si>
  <si>
    <t>35 desayuno</t>
  </si>
  <si>
    <t>80 ensaladas</t>
  </si>
  <si>
    <t>972 mercado</t>
  </si>
  <si>
    <t>2900 TV </t>
  </si>
  <si>
    <t>64 comida </t>
  </si>
  <si>
    <t>20 desayuno </t>
  </si>
  <si>
    <t>500 sábanas </t>
  </si>
  <si>
    <t>59 salida </t>
  </si>
  <si>
    <t>1020 ollas y otros </t>
  </si>
  <si>
    <t>131 comida jp </t>
  </si>
  <si>
    <t>208 compras base TV </t>
  </si>
  <si>
    <t>50 salida camila </t>
  </si>
  <si>
    <t>220 gasolina  km 73564</t>
  </si>
  <si>
    <t>1100 Mercado </t>
  </si>
  <si>
    <t>288 licuadora y pitadora </t>
  </si>
  <si>
    <t>200 gasolina Km 74144</t>
  </si>
  <si>
    <t>50 niños </t>
  </si>
  <si>
    <t>240 pintura </t>
  </si>
  <si>
    <t> 800 cámaras y comercio </t>
  </si>
  <si>
    <t>1000 jr </t>
  </si>
  <si>
    <t>1500 jhon rosero </t>
  </si>
  <si>
    <t>100 compras Isa</t>
  </si>
  <si>
    <t>150 15, Sarita</t>
  </si>
  <si>
    <t>470 freidora </t>
  </si>
  <si>
    <t>75. Purgantes</t>
  </si>
  <si>
    <t>756 Mercado </t>
  </si>
  <si>
    <t>150 macdonald </t>
  </si>
  <si>
    <t>80 compras cocina </t>
  </si>
  <si>
    <t>400 Raywall </t>
  </si>
  <si>
    <t>100 jp uñas </t>
  </si>
  <si>
    <t>35 almuerzo </t>
  </si>
  <si>
    <t>60 servidor contabo </t>
  </si>
  <si>
    <t>150 cumple padre</t>
  </si>
  <si>
    <t>200 cine </t>
  </si>
  <si>
    <t>200 salida niños </t>
  </si>
  <si>
    <t>1078 emcali apto 2 meses</t>
  </si>
  <si>
    <t>100 compras Temu</t>
  </si>
  <si>
    <t>1000 karen niños </t>
  </si>
  <si>
    <t>110 jabón perdomo </t>
  </si>
  <si>
    <t>150 jp Temu </t>
  </si>
  <si>
    <t>40 almuerzos</t>
  </si>
  <si>
    <t>45 almuerzos </t>
  </si>
  <si>
    <t>600 cumple madre </t>
  </si>
  <si>
    <t>100 otros </t>
  </si>
  <si>
    <t>214 gasolina km 74754</t>
  </si>
  <si>
    <t>2660 impuesto kuy188</t>
  </si>
  <si>
    <t>64 salida km18</t>
  </si>
  <si>
    <t>154 gym </t>
  </si>
  <si>
    <t>2190 arriende BRYGAR </t>
  </si>
  <si>
    <t>658 marcado </t>
  </si>
  <si>
    <t>100 productos aseo </t>
  </si>
  <si>
    <t>1000 préstamo Jeimy </t>
  </si>
  <si>
    <t>200 trasteo karen </t>
  </si>
  <si>
    <t>1500 rosero </t>
  </si>
  <si>
    <t>100 regalos </t>
  </si>
  <si>
    <t>30 desayuno</t>
  </si>
  <si>
    <t>20 ensalada </t>
  </si>
  <si>
    <t>200 edgar garcia </t>
  </si>
  <si>
    <t>250 lmuerzo dia madre</t>
  </si>
  <si>
    <t>50 almuerzo niños </t>
  </si>
  <si>
    <t>25 almuerzo </t>
  </si>
  <si>
    <t>490 Google avapp </t>
  </si>
  <si>
    <t>56 almuerzos </t>
  </si>
  <si>
    <t>480 colchón </t>
  </si>
  <si>
    <t>100 comida </t>
  </si>
  <si>
    <t>150 almuerzo </t>
  </si>
  <si>
    <t>205 compra Temu</t>
  </si>
  <si>
    <t>40 ensaladas </t>
  </si>
  <si>
    <t>200 préstamo camilo Jiménez </t>
  </si>
  <si>
    <t>200 recargas </t>
  </si>
  <si>
    <t>221 gasolina km 75343 </t>
  </si>
  <si>
    <t>20 almuerzo. </t>
  </si>
  <si>
    <t>200 préstamo jhon rosero </t>
  </si>
  <si>
    <t>100 préstamo jhon rosero </t>
  </si>
  <si>
    <t>20 uvas </t>
  </si>
  <si>
    <t>220 internet </t>
  </si>
  <si>
    <t>40 oficina </t>
  </si>
  <si>
    <t>50 santiago 2do lugar </t>
  </si>
  <si>
    <t>48 almuerzos </t>
  </si>
  <si>
    <t>50 helado </t>
  </si>
  <si>
    <t>500 préstamo jhon rosero</t>
  </si>
  <si>
    <t>70 comida </t>
  </si>
  <si>
    <t>prestamo jhon rosero</t>
  </si>
  <si>
    <t>impuesto contrato cuenta facil 2026</t>
  </si>
  <si>
    <t>CONTRATO CUENTA FACIL 2026</t>
  </si>
  <si>
    <t>sede local sexta ABRIL</t>
  </si>
  <si>
    <t>sede local sexta MAYO</t>
  </si>
  <si>
    <t>servicios sexta ABRIL (ENERGIA-AGUA-INTERNET)</t>
  </si>
  <si>
    <t>servicios sexta MAYO (ENERGIA-AGUA-INTERNET)</t>
  </si>
  <si>
    <t>impuesto facturas campaña CIT CENTER (IVA+IMPUESTO)</t>
  </si>
  <si>
    <t>impuesto facturas campaña TRANSPORTES (IMPUESTO 60MX4,5%)</t>
  </si>
  <si>
    <t>–</t>
  </si>
  <si>
    <t xml:space="preserve">Abono 10 en 11-feb - (20350 abono mayo) - (20350 abono junio) </t>
  </si>
  <si>
    <t>PLANILLA MONICA  2026</t>
  </si>
  <si>
    <t>CUENTA JUNIO 2026</t>
  </si>
  <si>
    <t>sede local sexta JUNIO</t>
  </si>
  <si>
    <t>servicios sexta JUNIO (ENERGIA-AGUA-INTERNET)</t>
  </si>
  <si>
    <t>pendiente MAYO</t>
  </si>
  <si>
    <t>PLANILLAS SARA Y ANGELA CONCEJO MAYO 2026</t>
  </si>
  <si>
    <t>PLANILLAS DE LEONARDO ARROYAVE MAYO 2026</t>
  </si>
  <si>
    <t>planillas ff,carmen,monica se facturo en el programa sin prestamo</t>
  </si>
  <si>
    <t>abono intereses prestamo arroyave - faab</t>
  </si>
  <si>
    <t>abono junio</t>
  </si>
  <si>
    <t>abono julio</t>
  </si>
  <si>
    <t>abono agosto</t>
  </si>
  <si>
    <t>seguridad social amparo cuota 1</t>
  </si>
  <si>
    <t>seguridad social amparo cuota 2</t>
  </si>
  <si>
    <t>100 almuerzo cumple Gisell </t>
  </si>
  <si>
    <t>282 jp uñas pelo </t>
  </si>
  <si>
    <t>17 gases occidente niños </t>
  </si>
  <si>
    <t>50 almuerzo </t>
  </si>
  <si>
    <t>65 hamburguesas </t>
  </si>
  <si>
    <t>1000 amparo nequi </t>
  </si>
  <si>
    <t>400 jhon rosero</t>
  </si>
  <si>
    <t>1000 karen niños</t>
  </si>
  <si>
    <t>6500 rosero</t>
  </si>
  <si>
    <t>208 ropa</t>
  </si>
  <si>
    <t>130 figuras panini </t>
  </si>
  <si>
    <t> 230 gasolina Km 75963</t>
  </si>
  <si>
    <t>25 cajita</t>
  </si>
  <si>
    <t>75 alistas </t>
  </si>
  <si>
    <t>350 compras</t>
  </si>
  <si>
    <t>56 desayuno </t>
  </si>
  <si>
    <t>728 mercado </t>
  </si>
  <si>
    <t>133 raywal</t>
  </si>
  <si>
    <t>320 cena cumple jp</t>
  </si>
  <si>
    <t>120 hamburguesas </t>
  </si>
  <si>
    <t>300 abogado </t>
  </si>
  <si>
    <t>20 pan </t>
  </si>
  <si>
    <t>120 helados </t>
  </si>
  <si>
    <t>500 préstamo rosero </t>
  </si>
  <si>
    <t>51 peluquiadas </t>
  </si>
  <si>
    <t>230 HOMECENTER </t>
  </si>
  <si>
    <t>210 pantalla</t>
  </si>
  <si>
    <t>10 sonido </t>
  </si>
  <si>
    <t>70 santiago </t>
  </si>
  <si>
    <t>Iva</t>
  </si>
  <si>
    <t>contabilidad</t>
  </si>
  <si>
    <t>Martin</t>
  </si>
  <si>
    <t>Jhon</t>
  </si>
  <si>
    <t>pago junio</t>
  </si>
  <si>
    <t>recibo emcali</t>
  </si>
  <si>
    <t>PROYECTOS</t>
  </si>
  <si>
    <t>ABONO JENNIFER CARLOSAPP</t>
  </si>
  <si>
    <t>MARITZA QUIÑONES</t>
  </si>
  <si>
    <t>JEIMY OCAMPO</t>
  </si>
  <si>
    <t>OSCAR TORO (PAPA SARA)</t>
  </si>
  <si>
    <t>LUIS FERNANDO DELGADO</t>
  </si>
  <si>
    <t>CAMPAÑA ARROYAVE</t>
  </si>
  <si>
    <t>GEOVOTO</t>
  </si>
  <si>
    <t>MT5 Login	
28886050
MT5 Password	
i$82JCsv
MT5 Server	
VantageInternational-Live 5
Acc Type	
Raw ECN</t>
  </si>
  <si>
    <t>invertido</t>
  </si>
  <si>
    <t>ganado</t>
  </si>
  <si>
    <t>CUENTA JULIO 2026</t>
  </si>
  <si>
    <t xml:space="preserve"> - (20350 abono julio) </t>
  </si>
  <si>
    <t>PLANILLAS DE LEONARDO ARROYAVE JUNIO 2026</t>
  </si>
  <si>
    <t>sede local sexta JULIO</t>
  </si>
  <si>
    <t>servicios sexta JULIO (ENERGIA-AGUA-INTERNET)</t>
  </si>
  <si>
    <t>prestamo brayan oficina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</si>
</sst>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$&quot;\ #,##0;[Red]\-&quot;$&quot;\ #,##0"/>
    <numFmt numFmtId="165" formatCode="_-&quot;$&quot;\ * #,##0.00_-;\-&quot;$&quot;\ * #,##0.00_-;_-&quot;$&quot;\ * &quot;-&quot;??_-;_-@_-"/>
    <numFmt numFmtId="166" formatCode="&quot;$&quot;#,##0"/>
    <numFmt numFmtId="167" formatCode="&quot;$&quot;\ #,##0"/>
    <numFmt numFmtId="168" formatCode="[$$-240A]\ #,##0;[Red][$$-240A]\ #,##0"/>
    <numFmt numFmtId="169" formatCode="[$-F800]dddd\,\ mmmm\ dd\,\ yyyy"/>
    <numFmt numFmtId="173" formatCode="[$$-240A]\ #,##0"/>
    <numFmt numFmtId="175" formatCode="dd\-mmm\-yy"/>
    <numFmt numFmtId="176" formatCode="0.0%"/>
    <numFmt numFmtId="177" formatCode="_-&quot;$&quot;\ * #,##0_-;\-&quot;$&quot;\ * #,##0_-;_-&quot;$&quot;\ * &quot;-&quot;??_-;_-@_-"/>
    <numFmt numFmtId="178" formatCode="#,##0.00\ &quot;€&quot;"/>
    <numFmt numFmtId="179" formatCode="_-[$$-240A]\ * #,##0_-;\-[$$-240A]\ * #,##0_-;_-[$$-240A]\ * &quot;-&quot;_-;_-@_-"/>
  </numFmts>
  <fonts count="3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8"/>
      <color rgb="FF000000"/>
      <name val="Roboto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4"/>
      <color rgb="FF212529"/>
      <name val="Arial"/>
      <family val="2"/>
    </font>
    <font>
      <sz val="10"/>
      <color rgb="FF212529"/>
      <name val="Arial"/>
      <family val="2"/>
    </font>
    <font>
      <sz val="12"/>
      <color rgb="FF212529"/>
      <name val="Calibri"/>
      <family val="2"/>
      <scheme val="minor"/>
    </font>
    <font>
      <b/>
      <sz val="11"/>
      <name val="Calibri (Cuerpo)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00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9B95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14" fillId="0" borderId="0"/>
    <xf numFmtId="0" fontId="13" fillId="0" borderId="0"/>
    <xf numFmtId="0" fontId="17" fillId="0" borderId="0"/>
    <xf numFmtId="9" fontId="18" fillId="0" borderId="0" applyFont="0" applyFill="0" applyBorder="0" applyAlignment="0" applyProtection="0"/>
    <xf numFmtId="165" fontId="18" fillId="0" borderId="0" applyFont="0" applyFill="0" applyBorder="0" applyAlignment="0" applyProtection="0"/>
  </cellStyleXfs>
  <cellXfs count="402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2" fillId="2" borderId="0" xfId="0" applyNumberFormat="1" applyFont="1" applyFill="1" applyAlignment="1">
      <alignment horizontal="center"/>
    </xf>
    <xf numFmtId="0" fontId="2" fillId="2" borderId="1" xfId="0" applyFont="1" applyFill="1" applyBorder="1"/>
    <xf numFmtId="1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0" fontId="3" fillId="0" borderId="0" xfId="1"/>
    <xf numFmtId="0" fontId="0" fillId="0" borderId="2" xfId="0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166" fontId="4" fillId="3" borderId="1" xfId="0" applyNumberFormat="1" applyFont="1" applyFill="1" applyBorder="1" applyAlignment="1">
      <alignment horizontal="center"/>
    </xf>
    <xf numFmtId="0" fontId="0" fillId="5" borderId="1" xfId="0" applyFill="1" applyBorder="1"/>
    <xf numFmtId="1" fontId="0" fillId="5" borderId="1" xfId="0" applyNumberFormat="1" applyFill="1" applyBorder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6" fontId="0" fillId="6" borderId="1" xfId="0" applyNumberFormat="1" applyFill="1" applyBorder="1" applyAlignment="1">
      <alignment horizontal="center"/>
    </xf>
    <xf numFmtId="166" fontId="0" fillId="0" borderId="0" xfId="0" applyNumberFormat="1"/>
    <xf numFmtId="0" fontId="0" fillId="2" borderId="1" xfId="0" applyFill="1" applyBorder="1"/>
    <xf numFmtId="0" fontId="9" fillId="7" borderId="0" xfId="0" applyFont="1" applyFill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166" fontId="2" fillId="7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7" fontId="2" fillId="2" borderId="1" xfId="0" applyNumberFormat="1" applyFont="1" applyFill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2" fillId="2" borderId="0" xfId="0" applyNumberFormat="1" applyFont="1" applyFill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0" fontId="0" fillId="7" borderId="1" xfId="0" applyFill="1" applyBorder="1"/>
    <xf numFmtId="0" fontId="0" fillId="2" borderId="0" xfId="0" applyFill="1" applyAlignment="1">
      <alignment horizontal="center"/>
    </xf>
    <xf numFmtId="15" fontId="0" fillId="2" borderId="0" xfId="0" applyNumberFormat="1" applyFill="1" applyAlignment="1">
      <alignment horizontal="center"/>
    </xf>
    <xf numFmtId="0" fontId="2" fillId="9" borderId="1" xfId="0" applyFont="1" applyFill="1" applyBorder="1" applyAlignment="1">
      <alignment horizontal="center"/>
    </xf>
    <xf numFmtId="166" fontId="2" fillId="9" borderId="1" xfId="0" applyNumberFormat="1" applyFont="1" applyFill="1" applyBorder="1" applyAlignment="1">
      <alignment horizontal="center"/>
    </xf>
    <xf numFmtId="0" fontId="2" fillId="9" borderId="1" xfId="0" applyFont="1" applyFill="1" applyBorder="1"/>
    <xf numFmtId="14" fontId="0" fillId="0" borderId="1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4" fontId="0" fillId="0" borderId="0" xfId="0" applyNumberFormat="1"/>
    <xf numFmtId="0" fontId="0" fillId="2" borderId="0" xfId="0" applyFill="1"/>
    <xf numFmtId="3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7" xfId="0" applyBorder="1"/>
    <xf numFmtId="0" fontId="0" fillId="0" borderId="2" xfId="0" applyBorder="1"/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0" fillId="7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7" fontId="0" fillId="5" borderId="1" xfId="0" applyNumberFormat="1" applyFill="1" applyBorder="1" applyAlignment="1">
      <alignment horizontal="center"/>
    </xf>
    <xf numFmtId="166" fontId="2" fillId="2" borderId="6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7" borderId="1" xfId="0" applyFont="1" applyFill="1" applyBorder="1"/>
    <xf numFmtId="10" fontId="0" fillId="7" borderId="1" xfId="0" applyNumberFormat="1" applyFill="1" applyBorder="1" applyAlignment="1">
      <alignment horizontal="center"/>
    </xf>
    <xf numFmtId="167" fontId="0" fillId="0" borderId="1" xfId="0" applyNumberFormat="1" applyBorder="1" applyAlignment="1">
      <alignment horizontal="left"/>
    </xf>
    <xf numFmtId="3" fontId="0" fillId="0" borderId="0" xfId="0" applyNumberFormat="1"/>
    <xf numFmtId="14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3" borderId="1" xfId="0" applyFill="1" applyBorder="1"/>
    <xf numFmtId="1" fontId="0" fillId="3" borderId="1" xfId="0" applyNumberForma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8" fontId="0" fillId="0" borderId="0" xfId="0" applyNumberFormat="1"/>
    <xf numFmtId="0" fontId="0" fillId="0" borderId="8" xfId="0" applyBorder="1"/>
    <xf numFmtId="0" fontId="0" fillId="5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14" fontId="0" fillId="7" borderId="1" xfId="0" applyNumberFormat="1" applyFill="1" applyBorder="1" applyAlignment="1">
      <alignment horizontal="center"/>
    </xf>
    <xf numFmtId="16" fontId="0" fillId="0" borderId="0" xfId="0" applyNumberFormat="1"/>
    <xf numFmtId="166" fontId="0" fillId="5" borderId="0" xfId="0" applyNumberFormat="1" applyFill="1" applyAlignment="1">
      <alignment horizontal="center"/>
    </xf>
    <xf numFmtId="166" fontId="0" fillId="0" borderId="1" xfId="0" applyNumberFormat="1" applyBorder="1" applyAlignment="1">
      <alignment horizontal="left"/>
    </xf>
    <xf numFmtId="166" fontId="0" fillId="5" borderId="0" xfId="0" applyNumberFormat="1" applyFill="1"/>
    <xf numFmtId="166" fontId="0" fillId="0" borderId="1" xfId="0" applyNumberFormat="1" applyBorder="1"/>
    <xf numFmtId="0" fontId="0" fillId="0" borderId="10" xfId="0" applyBorder="1"/>
    <xf numFmtId="166" fontId="2" fillId="7" borderId="11" xfId="0" applyNumberFormat="1" applyFont="1" applyFill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169" fontId="0" fillId="2" borderId="1" xfId="0" applyNumberForma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166" fontId="0" fillId="13" borderId="1" xfId="0" applyNumberFormat="1" applyFill="1" applyBorder="1" applyAlignment="1">
      <alignment horizontal="center"/>
    </xf>
    <xf numFmtId="0" fontId="0" fillId="13" borderId="1" xfId="0" applyFill="1" applyBorder="1"/>
    <xf numFmtId="169" fontId="0" fillId="13" borderId="1" xfId="0" applyNumberFormat="1" applyFill="1" applyBorder="1" applyAlignment="1">
      <alignment horizontal="center"/>
    </xf>
    <xf numFmtId="167" fontId="0" fillId="13" borderId="1" xfId="0" applyNumberFormat="1" applyFill="1" applyBorder="1" applyAlignment="1">
      <alignment horizontal="center"/>
    </xf>
    <xf numFmtId="166" fontId="11" fillId="0" borderId="0" xfId="0" applyNumberFormat="1" applyFont="1" applyAlignment="1">
      <alignment horizontal="center"/>
    </xf>
    <xf numFmtId="169" fontId="0" fillId="7" borderId="1" xfId="0" applyNumberForma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13" borderId="1" xfId="0" applyFill="1" applyBorder="1" applyAlignment="1">
      <alignment horizontal="center"/>
    </xf>
    <xf numFmtId="167" fontId="0" fillId="7" borderId="1" xfId="0" applyNumberFormat="1" applyFill="1" applyBorder="1" applyAlignment="1">
      <alignment horizontal="left"/>
    </xf>
    <xf numFmtId="173" fontId="0" fillId="0" borderId="0" xfId="0" applyNumberFormat="1"/>
    <xf numFmtId="173" fontId="0" fillId="2" borderId="0" xfId="0" applyNumberFormat="1" applyFill="1"/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173" fontId="0" fillId="0" borderId="0" xfId="0" applyNumberFormat="1" applyAlignment="1">
      <alignment horizontal="center"/>
    </xf>
    <xf numFmtId="169" fontId="0" fillId="15" borderId="1" xfId="0" applyNumberFormat="1" applyFill="1" applyBorder="1" applyAlignment="1">
      <alignment horizontal="center"/>
    </xf>
    <xf numFmtId="167" fontId="0" fillId="15" borderId="1" xfId="0" applyNumberFormat="1" applyFill="1" applyBorder="1" applyAlignment="1">
      <alignment horizontal="center"/>
    </xf>
    <xf numFmtId="0" fontId="0" fillId="15" borderId="1" xfId="0" applyFill="1" applyBorder="1"/>
    <xf numFmtId="167" fontId="0" fillId="15" borderId="0" xfId="0" applyNumberFormat="1" applyFill="1" applyAlignment="1">
      <alignment horizontal="center"/>
    </xf>
    <xf numFmtId="166" fontId="0" fillId="7" borderId="2" xfId="0" applyNumberFormat="1" applyFill="1" applyBorder="1" applyAlignment="1">
      <alignment horizontal="center"/>
    </xf>
    <xf numFmtId="173" fontId="2" fillId="2" borderId="1" xfId="0" applyNumberFormat="1" applyFont="1" applyFill="1" applyBorder="1" applyAlignment="1">
      <alignment horizontal="center"/>
    </xf>
    <xf numFmtId="173" fontId="0" fillId="0" borderId="1" xfId="0" applyNumberFormat="1" applyBorder="1" applyAlignment="1">
      <alignment horizontal="center"/>
    </xf>
    <xf numFmtId="173" fontId="0" fillId="2" borderId="1" xfId="0" applyNumberFormat="1" applyFill="1" applyBorder="1" applyAlignment="1">
      <alignment horizontal="center"/>
    </xf>
    <xf numFmtId="0" fontId="0" fillId="4" borderId="1" xfId="0" applyFill="1" applyBorder="1"/>
    <xf numFmtId="166" fontId="0" fillId="0" borderId="2" xfId="0" applyNumberFormat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167" fontId="0" fillId="16" borderId="1" xfId="0" applyNumberFormat="1" applyFill="1" applyBorder="1" applyAlignment="1">
      <alignment horizontal="center"/>
    </xf>
    <xf numFmtId="167" fontId="0" fillId="17" borderId="1" xfId="0" applyNumberFormat="1" applyFill="1" applyBorder="1" applyAlignment="1">
      <alignment horizontal="center"/>
    </xf>
    <xf numFmtId="0" fontId="0" fillId="7" borderId="2" xfId="0" applyFill="1" applyBorder="1"/>
    <xf numFmtId="166" fontId="0" fillId="7" borderId="2" xfId="0" applyNumberFormat="1" applyFill="1" applyBorder="1" applyAlignment="1">
      <alignment horizontal="left"/>
    </xf>
    <xf numFmtId="167" fontId="0" fillId="7" borderId="0" xfId="0" applyNumberFormat="1" applyFill="1" applyAlignment="1">
      <alignment horizontal="center"/>
    </xf>
    <xf numFmtId="166" fontId="0" fillId="18" borderId="1" xfId="0" applyNumberFormat="1" applyFill="1" applyBorder="1" applyAlignment="1">
      <alignment horizontal="center"/>
    </xf>
    <xf numFmtId="166" fontId="0" fillId="2" borderId="0" xfId="0" applyNumberFormat="1" applyFill="1" applyAlignment="1">
      <alignment horizontal="center"/>
    </xf>
    <xf numFmtId="167" fontId="0" fillId="0" borderId="0" xfId="0" applyNumberFormat="1"/>
    <xf numFmtId="1" fontId="0" fillId="7" borderId="1" xfId="0" applyNumberFormat="1" applyFill="1" applyBorder="1" applyAlignment="1">
      <alignment horizontal="center"/>
    </xf>
    <xf numFmtId="169" fontId="0" fillId="5" borderId="1" xfId="0" applyNumberFormat="1" applyFill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7" fontId="0" fillId="4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left"/>
    </xf>
    <xf numFmtId="173" fontId="0" fillId="0" borderId="1" xfId="0" applyNumberFormat="1" applyBorder="1"/>
    <xf numFmtId="173" fontId="0" fillId="7" borderId="1" xfId="0" applyNumberFormat="1" applyFill="1" applyBorder="1" applyAlignment="1">
      <alignment horizontal="center"/>
    </xf>
    <xf numFmtId="14" fontId="0" fillId="13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5" fillId="0" borderId="0" xfId="0" applyFont="1"/>
    <xf numFmtId="173" fontId="0" fillId="2" borderId="0" xfId="0" applyNumberFormat="1" applyFill="1" applyAlignment="1">
      <alignment horizontal="center"/>
    </xf>
    <xf numFmtId="14" fontId="0" fillId="13" borderId="1" xfId="0" applyNumberFormat="1" applyFill="1" applyBorder="1" applyAlignment="1">
      <alignment horizontal="left"/>
    </xf>
    <xf numFmtId="0" fontId="12" fillId="0" borderId="1" xfId="3" applyFont="1" applyBorder="1" applyAlignment="1">
      <alignment wrapText="1"/>
    </xf>
    <xf numFmtId="169" fontId="2" fillId="2" borderId="1" xfId="0" applyNumberFormat="1" applyFont="1" applyFill="1" applyBorder="1" applyAlignment="1">
      <alignment horizontal="center"/>
    </xf>
    <xf numFmtId="0" fontId="12" fillId="0" borderId="1" xfId="3" applyFont="1" applyBorder="1" applyAlignment="1">
      <alignment horizontal="center" wrapText="1"/>
    </xf>
    <xf numFmtId="173" fontId="2" fillId="2" borderId="6" xfId="0" applyNumberFormat="1" applyFont="1" applyFill="1" applyBorder="1" applyAlignment="1">
      <alignment horizontal="center"/>
    </xf>
    <xf numFmtId="3" fontId="12" fillId="0" borderId="1" xfId="3" applyNumberFormat="1" applyFont="1" applyBorder="1" applyAlignment="1">
      <alignment horizontal="center" wrapText="1"/>
    </xf>
    <xf numFmtId="167" fontId="0" fillId="19" borderId="1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7" fontId="0" fillId="4" borderId="0" xfId="0" applyNumberForma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0" borderId="0" xfId="1" applyAlignment="1">
      <alignment horizontal="center"/>
    </xf>
    <xf numFmtId="0" fontId="2" fillId="2" borderId="8" xfId="0" applyFont="1" applyFill="1" applyBorder="1"/>
    <xf numFmtId="0" fontId="19" fillId="20" borderId="1" xfId="4" applyFont="1" applyFill="1" applyBorder="1" applyAlignment="1">
      <alignment horizontal="center"/>
    </xf>
    <xf numFmtId="10" fontId="0" fillId="0" borderId="0" xfId="5" applyNumberFormat="1" applyFont="1"/>
    <xf numFmtId="3" fontId="12" fillId="5" borderId="1" xfId="3" applyNumberFormat="1" applyFont="1" applyFill="1" applyBorder="1" applyAlignment="1">
      <alignment horizontal="center" wrapText="1"/>
    </xf>
    <xf numFmtId="9" fontId="0" fillId="0" borderId="0" xfId="0" applyNumberFormat="1"/>
    <xf numFmtId="3" fontId="0" fillId="2" borderId="0" xfId="0" applyNumberFormat="1" applyFill="1"/>
    <xf numFmtId="173" fontId="2" fillId="5" borderId="1" xfId="0" applyNumberFormat="1" applyFont="1" applyFill="1" applyBorder="1" applyAlignment="1">
      <alignment horizontal="center"/>
    </xf>
    <xf numFmtId="166" fontId="2" fillId="5" borderId="1" xfId="0" applyNumberFormat="1" applyFont="1" applyFill="1" applyBorder="1" applyAlignment="1">
      <alignment horizontal="center"/>
    </xf>
    <xf numFmtId="173" fontId="0" fillId="5" borderId="1" xfId="0" applyNumberFormat="1" applyFill="1" applyBorder="1" applyAlignment="1">
      <alignment horizontal="center"/>
    </xf>
    <xf numFmtId="173" fontId="2" fillId="5" borderId="1" xfId="0" applyNumberFormat="1" applyFont="1" applyFill="1" applyBorder="1"/>
    <xf numFmtId="173" fontId="2" fillId="5" borderId="6" xfId="0" applyNumberFormat="1" applyFont="1" applyFill="1" applyBorder="1" applyAlignment="1">
      <alignment horizontal="center"/>
    </xf>
    <xf numFmtId="166" fontId="2" fillId="5" borderId="6" xfId="0" applyNumberFormat="1" applyFont="1" applyFill="1" applyBorder="1" applyAlignment="1">
      <alignment horizontal="center"/>
    </xf>
    <xf numFmtId="10" fontId="0" fillId="5" borderId="1" xfId="0" applyNumberForma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16" fontId="0" fillId="0" borderId="0" xfId="0" applyNumberFormat="1" applyAlignment="1">
      <alignment horizontal="center"/>
    </xf>
    <xf numFmtId="9" fontId="2" fillId="2" borderId="1" xfId="5" applyFont="1" applyFill="1" applyBorder="1" applyAlignment="1">
      <alignment horizontal="center"/>
    </xf>
    <xf numFmtId="9" fontId="0" fillId="0" borderId="0" xfId="5" applyFont="1"/>
    <xf numFmtId="176" fontId="0" fillId="0" borderId="1" xfId="5" applyNumberFormat="1" applyFont="1" applyBorder="1" applyAlignment="1">
      <alignment horizontal="center"/>
    </xf>
    <xf numFmtId="166" fontId="0" fillId="7" borderId="1" xfId="0" applyNumberFormat="1" applyFill="1" applyBorder="1"/>
    <xf numFmtId="0" fontId="2" fillId="5" borderId="0" xfId="0" applyFont="1" applyFill="1"/>
    <xf numFmtId="167" fontId="2" fillId="5" borderId="0" xfId="0" applyNumberFormat="1" applyFont="1" applyFill="1" applyAlignment="1">
      <alignment horizontal="center"/>
    </xf>
    <xf numFmtId="0" fontId="2" fillId="5" borderId="1" xfId="0" applyFont="1" applyFill="1" applyBorder="1"/>
    <xf numFmtId="167" fontId="2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73" fontId="2" fillId="0" borderId="1" xfId="0" applyNumberFormat="1" applyFont="1" applyBorder="1" applyAlignment="1">
      <alignment horizontal="center"/>
    </xf>
    <xf numFmtId="173" fontId="2" fillId="0" borderId="1" xfId="0" applyNumberFormat="1" applyFont="1" applyBorder="1"/>
    <xf numFmtId="166" fontId="2" fillId="0" borderId="0" xfId="0" applyNumberFormat="1" applyFont="1" applyAlignment="1">
      <alignment horizontal="center"/>
    </xf>
    <xf numFmtId="3" fontId="19" fillId="0" borderId="1" xfId="3" applyNumberFormat="1" applyFont="1" applyBorder="1" applyAlignment="1">
      <alignment horizontal="center" wrapText="1"/>
    </xf>
    <xf numFmtId="3" fontId="19" fillId="5" borderId="1" xfId="3" applyNumberFormat="1" applyFont="1" applyFill="1" applyBorder="1" applyAlignment="1">
      <alignment horizontal="center" wrapText="1"/>
    </xf>
    <xf numFmtId="16" fontId="0" fillId="0" borderId="1" xfId="0" applyNumberFormat="1" applyBorder="1" applyAlignment="1">
      <alignment horizontal="center"/>
    </xf>
    <xf numFmtId="9" fontId="0" fillId="0" borderId="0" xfId="5" applyFont="1" applyAlignment="1">
      <alignment horizontal="center"/>
    </xf>
    <xf numFmtId="164" fontId="0" fillId="0" borderId="0" xfId="0" applyNumberFormat="1"/>
    <xf numFmtId="167" fontId="11" fillId="0" borderId="1" xfId="0" applyNumberFormat="1" applyFont="1" applyBorder="1" applyAlignment="1">
      <alignment horizontal="center"/>
    </xf>
    <xf numFmtId="166" fontId="11" fillId="0" borderId="1" xfId="0" applyNumberFormat="1" applyFont="1" applyBorder="1" applyAlignment="1">
      <alignment horizontal="center"/>
    </xf>
    <xf numFmtId="3" fontId="19" fillId="4" borderId="1" xfId="3" applyNumberFormat="1" applyFont="1" applyFill="1" applyBorder="1" applyAlignment="1">
      <alignment horizontal="center" wrapText="1"/>
    </xf>
    <xf numFmtId="10" fontId="0" fillId="0" borderId="1" xfId="5" applyNumberFormat="1" applyFont="1" applyBorder="1" applyAlignment="1">
      <alignment horizontal="center"/>
    </xf>
    <xf numFmtId="176" fontId="0" fillId="7" borderId="1" xfId="5" applyNumberFormat="1" applyFont="1" applyFill="1" applyBorder="1" applyAlignment="1">
      <alignment horizontal="center"/>
    </xf>
    <xf numFmtId="166" fontId="2" fillId="11" borderId="1" xfId="0" applyNumberFormat="1" applyFont="1" applyFill="1" applyBorder="1" applyAlignment="1">
      <alignment horizontal="center"/>
    </xf>
    <xf numFmtId="0" fontId="12" fillId="0" borderId="1" xfId="4" applyFont="1" applyBorder="1" applyAlignment="1">
      <alignment wrapText="1"/>
    </xf>
    <xf numFmtId="175" fontId="12" fillId="0" borderId="1" xfId="4" applyNumberFormat="1" applyFont="1" applyBorder="1" applyAlignment="1">
      <alignment horizontal="center" wrapText="1"/>
    </xf>
    <xf numFmtId="0" fontId="12" fillId="0" borderId="1" xfId="4" applyFont="1" applyBorder="1" applyAlignment="1">
      <alignment horizontal="center" wrapText="1"/>
    </xf>
    <xf numFmtId="0" fontId="2" fillId="2" borderId="12" xfId="0" applyFont="1" applyFill="1" applyBorder="1"/>
    <xf numFmtId="0" fontId="0" fillId="0" borderId="12" xfId="0" applyBorder="1" applyAlignment="1">
      <alignment horizontal="center"/>
    </xf>
    <xf numFmtId="0" fontId="0" fillId="0" borderId="12" xfId="0" applyBorder="1"/>
    <xf numFmtId="167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2" fillId="2" borderId="12" xfId="0" applyFont="1" applyFill="1" applyBorder="1" applyAlignment="1">
      <alignment horizontal="center"/>
    </xf>
    <xf numFmtId="168" fontId="2" fillId="9" borderId="12" xfId="0" applyNumberFormat="1" applyFont="1" applyFill="1" applyBorder="1" applyAlignment="1">
      <alignment horizontal="center"/>
    </xf>
    <xf numFmtId="168" fontId="0" fillId="0" borderId="12" xfId="0" applyNumberFormat="1" applyBorder="1" applyAlignment="1">
      <alignment horizontal="center"/>
    </xf>
    <xf numFmtId="168" fontId="0" fillId="2" borderId="12" xfId="0" applyNumberFormat="1" applyFill="1" applyBorder="1" applyAlignment="1">
      <alignment horizontal="center"/>
    </xf>
    <xf numFmtId="173" fontId="2" fillId="2" borderId="12" xfId="0" applyNumberFormat="1" applyFont="1" applyFill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173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left"/>
    </xf>
    <xf numFmtId="173" fontId="0" fillId="2" borderId="12" xfId="0" applyNumberFormat="1" applyFill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16" fontId="0" fillId="0" borderId="12" xfId="0" applyNumberForma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3" fontId="19" fillId="0" borderId="12" xfId="3" applyNumberFormat="1" applyFont="1" applyBorder="1" applyAlignment="1">
      <alignment horizontal="center" wrapText="1"/>
    </xf>
    <xf numFmtId="166" fontId="2" fillId="0" borderId="12" xfId="0" applyNumberFormat="1" applyFont="1" applyBorder="1" applyAlignment="1">
      <alignment horizontal="center"/>
    </xf>
    <xf numFmtId="169" fontId="0" fillId="0" borderId="12" xfId="0" applyNumberFormat="1" applyBorder="1" applyAlignment="1">
      <alignment horizontal="center"/>
    </xf>
    <xf numFmtId="16" fontId="0" fillId="0" borderId="1" xfId="0" applyNumberFormat="1" applyBorder="1"/>
    <xf numFmtId="168" fontId="0" fillId="7" borderId="12" xfId="0" applyNumberFormat="1" applyFill="1" applyBorder="1" applyAlignment="1">
      <alignment horizontal="center"/>
    </xf>
    <xf numFmtId="10" fontId="0" fillId="7" borderId="1" xfId="5" applyNumberFormat="1" applyFont="1" applyFill="1" applyBorder="1" applyAlignment="1">
      <alignment horizontal="center"/>
    </xf>
    <xf numFmtId="173" fontId="2" fillId="5" borderId="12" xfId="0" applyNumberFormat="1" applyFont="1" applyFill="1" applyBorder="1" applyAlignment="1">
      <alignment horizontal="center"/>
    </xf>
    <xf numFmtId="14" fontId="0" fillId="3" borderId="12" xfId="0" applyNumberFormat="1" applyFill="1" applyBorder="1" applyAlignment="1">
      <alignment horizontal="center"/>
    </xf>
    <xf numFmtId="166" fontId="0" fillId="3" borderId="12" xfId="0" applyNumberFormat="1" applyFill="1" applyBorder="1" applyAlignment="1">
      <alignment horizontal="center"/>
    </xf>
    <xf numFmtId="0" fontId="0" fillId="3" borderId="12" xfId="0" applyFill="1" applyBorder="1"/>
    <xf numFmtId="3" fontId="19" fillId="5" borderId="12" xfId="3" applyNumberFormat="1" applyFont="1" applyFill="1" applyBorder="1" applyAlignment="1">
      <alignment horizontal="center" wrapText="1"/>
    </xf>
    <xf numFmtId="166" fontId="0" fillId="5" borderId="12" xfId="0" applyNumberFormat="1" applyFill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2" fillId="5" borderId="12" xfId="0" applyNumberFormat="1" applyFont="1" applyFill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0" fontId="21" fillId="0" borderId="12" xfId="0" applyFont="1" applyBorder="1"/>
    <xf numFmtId="3" fontId="22" fillId="0" borderId="12" xfId="3" applyNumberFormat="1" applyFont="1" applyBorder="1" applyAlignment="1">
      <alignment horizontal="center" wrapText="1"/>
    </xf>
    <xf numFmtId="0" fontId="21" fillId="0" borderId="1" xfId="0" applyFont="1" applyBorder="1"/>
    <xf numFmtId="177" fontId="0" fillId="0" borderId="12" xfId="6" applyNumberFormat="1" applyFont="1" applyBorder="1" applyAlignment="1">
      <alignment horizontal="center"/>
    </xf>
    <xf numFmtId="173" fontId="0" fillId="0" borderId="12" xfId="0" applyNumberFormat="1" applyBorder="1"/>
    <xf numFmtId="173" fontId="2" fillId="5" borderId="13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7" fontId="0" fillId="8" borderId="1" xfId="0" applyNumberFormat="1" applyFill="1" applyBorder="1" applyAlignment="1">
      <alignment horizontal="center"/>
    </xf>
    <xf numFmtId="169" fontId="0" fillId="8" borderId="1" xfId="0" applyNumberFormat="1" applyFill="1" applyBorder="1" applyAlignment="1">
      <alignment horizontal="center"/>
    </xf>
    <xf numFmtId="0" fontId="0" fillId="8" borderId="1" xfId="0" applyFill="1" applyBorder="1"/>
    <xf numFmtId="176" fontId="0" fillId="8" borderId="1" xfId="5" applyNumberFormat="1" applyFont="1" applyFill="1" applyBorder="1" applyAlignment="1">
      <alignment horizontal="center"/>
    </xf>
    <xf numFmtId="10" fontId="0" fillId="0" borderId="12" xfId="5" applyNumberFormat="1" applyFont="1" applyBorder="1" applyAlignment="1">
      <alignment horizontal="center"/>
    </xf>
    <xf numFmtId="169" fontId="0" fillId="7" borderId="12" xfId="0" applyNumberFormat="1" applyFill="1" applyBorder="1" applyAlignment="1">
      <alignment horizontal="center"/>
    </xf>
    <xf numFmtId="0" fontId="0" fillId="7" borderId="12" xfId="0" applyFill="1" applyBorder="1"/>
    <xf numFmtId="167" fontId="0" fillId="7" borderId="12" xfId="0" applyNumberFormat="1" applyFill="1" applyBorder="1" applyAlignment="1">
      <alignment horizontal="center"/>
    </xf>
    <xf numFmtId="10" fontId="0" fillId="7" borderId="12" xfId="5" applyNumberFormat="1" applyFont="1" applyFill="1" applyBorder="1" applyAlignment="1">
      <alignment horizontal="center"/>
    </xf>
    <xf numFmtId="0" fontId="2" fillId="9" borderId="12" xfId="0" applyFont="1" applyFill="1" applyBorder="1"/>
    <xf numFmtId="166" fontId="2" fillId="9" borderId="12" xfId="0" applyNumberFormat="1" applyFont="1" applyFill="1" applyBorder="1" applyAlignment="1">
      <alignment horizontal="center"/>
    </xf>
    <xf numFmtId="166" fontId="0" fillId="2" borderId="12" xfId="0" applyNumberFormat="1" applyFill="1" applyBorder="1" applyAlignment="1">
      <alignment horizontal="center"/>
    </xf>
    <xf numFmtId="10" fontId="0" fillId="5" borderId="12" xfId="0" applyNumberForma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2" borderId="12" xfId="0" applyFill="1" applyBorder="1"/>
    <xf numFmtId="177" fontId="0" fillId="0" borderId="0" xfId="6" applyNumberFormat="1" applyFont="1"/>
    <xf numFmtId="177" fontId="2" fillId="2" borderId="12" xfId="6" applyNumberFormat="1" applyFont="1" applyFill="1" applyBorder="1"/>
    <xf numFmtId="177" fontId="0" fillId="0" borderId="12" xfId="6" applyNumberFormat="1" applyFont="1" applyBorder="1"/>
    <xf numFmtId="177" fontId="2" fillId="21" borderId="12" xfId="6" applyNumberFormat="1" applyFont="1" applyFill="1" applyBorder="1"/>
    <xf numFmtId="177" fontId="2" fillId="15" borderId="12" xfId="6" applyNumberFormat="1" applyFont="1" applyFill="1" applyBorder="1"/>
    <xf numFmtId="177" fontId="2" fillId="2" borderId="12" xfId="6" applyNumberFormat="1" applyFont="1" applyFill="1" applyBorder="1" applyAlignment="1">
      <alignment horizontal="center"/>
    </xf>
    <xf numFmtId="0" fontId="0" fillId="21" borderId="12" xfId="0" applyFill="1" applyBorder="1"/>
    <xf numFmtId="164" fontId="2" fillId="0" borderId="12" xfId="0" applyNumberFormat="1" applyFont="1" applyBorder="1" applyAlignment="1">
      <alignment horizontal="center"/>
    </xf>
    <xf numFmtId="164" fontId="2" fillId="5" borderId="12" xfId="0" applyNumberFormat="1" applyFont="1" applyFill="1" applyBorder="1" applyAlignment="1">
      <alignment horizontal="center"/>
    </xf>
    <xf numFmtId="164" fontId="2" fillId="5" borderId="0" xfId="0" applyNumberFormat="1" applyFont="1" applyFill="1" applyAlignment="1">
      <alignment horizontal="center"/>
    </xf>
    <xf numFmtId="14" fontId="0" fillId="5" borderId="12" xfId="0" applyNumberFormat="1" applyFill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2" fillId="2" borderId="12" xfId="0" applyNumberFormat="1" applyFont="1" applyFill="1" applyBorder="1" applyAlignment="1">
      <alignment horizontal="center"/>
    </xf>
    <xf numFmtId="1" fontId="2" fillId="2" borderId="0" xfId="0" applyNumberFormat="1" applyFont="1" applyFill="1" applyAlignment="1">
      <alignment horizontal="center"/>
    </xf>
    <xf numFmtId="166" fontId="2" fillId="0" borderId="14" xfId="0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73" fontId="2" fillId="0" borderId="12" xfId="0" applyNumberFormat="1" applyFont="1" applyBorder="1" applyAlignment="1">
      <alignment horizontal="center"/>
    </xf>
    <xf numFmtId="173" fontId="2" fillId="0" borderId="12" xfId="0" applyNumberFormat="1" applyFont="1" applyBorder="1"/>
    <xf numFmtId="177" fontId="2" fillId="5" borderId="12" xfId="6" applyNumberFormat="1" applyFont="1" applyFill="1" applyBorder="1"/>
    <xf numFmtId="166" fontId="0" fillId="0" borderId="14" xfId="0" applyNumberFormat="1" applyBorder="1" applyAlignment="1">
      <alignment horizontal="center"/>
    </xf>
    <xf numFmtId="167" fontId="0" fillId="2" borderId="12" xfId="0" applyNumberFormat="1" applyFill="1" applyBorder="1" applyAlignment="1">
      <alignment horizontal="center"/>
    </xf>
    <xf numFmtId="167" fontId="0" fillId="5" borderId="12" xfId="0" applyNumberFormat="1" applyFill="1" applyBorder="1" applyAlignment="1">
      <alignment horizontal="center"/>
    </xf>
    <xf numFmtId="166" fontId="2" fillId="5" borderId="14" xfId="0" applyNumberFormat="1" applyFont="1" applyFill="1" applyBorder="1" applyAlignment="1">
      <alignment horizontal="center"/>
    </xf>
    <xf numFmtId="178" fontId="0" fillId="0" borderId="12" xfId="0" applyNumberFormat="1" applyBorder="1" applyAlignment="1">
      <alignment horizontal="center"/>
    </xf>
    <xf numFmtId="16" fontId="0" fillId="5" borderId="0" xfId="0" applyNumberFormat="1" applyFill="1" applyAlignment="1">
      <alignment horizontal="center"/>
    </xf>
    <xf numFmtId="16" fontId="0" fillId="5" borderId="12" xfId="0" applyNumberFormat="1" applyFill="1" applyBorder="1" applyAlignment="1">
      <alignment horizontal="center"/>
    </xf>
    <xf numFmtId="14" fontId="0" fillId="0" borderId="12" xfId="0" quotePrefix="1" applyNumberFormat="1" applyBorder="1" applyAlignment="1">
      <alignment horizontal="center"/>
    </xf>
    <xf numFmtId="0" fontId="2" fillId="13" borderId="1" xfId="0" applyFont="1" applyFill="1" applyBorder="1"/>
    <xf numFmtId="0" fontId="2" fillId="13" borderId="12" xfId="0" applyFont="1" applyFill="1" applyBorder="1"/>
    <xf numFmtId="166" fontId="2" fillId="13" borderId="1" xfId="0" applyNumberFormat="1" applyFont="1" applyFill="1" applyBorder="1" applyAlignment="1">
      <alignment horizontal="center"/>
    </xf>
    <xf numFmtId="166" fontId="2" fillId="13" borderId="12" xfId="0" applyNumberFormat="1" applyFont="1" applyFill="1" applyBorder="1" applyAlignment="1">
      <alignment horizontal="center"/>
    </xf>
    <xf numFmtId="0" fontId="3" fillId="0" borderId="12" xfId="1" applyBorder="1"/>
    <xf numFmtId="1" fontId="2" fillId="0" borderId="0" xfId="0" applyNumberFormat="1" applyFont="1" applyAlignment="1">
      <alignment horizontal="center"/>
    </xf>
    <xf numFmtId="1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177" fontId="23" fillId="12" borderId="12" xfId="6" applyNumberFormat="1" applyFont="1" applyFill="1" applyBorder="1" applyAlignment="1">
      <alignment horizontal="left"/>
    </xf>
    <xf numFmtId="16" fontId="24" fillId="0" borderId="12" xfId="0" applyNumberFormat="1" applyFont="1" applyBorder="1" applyAlignment="1">
      <alignment horizontal="center"/>
    </xf>
    <xf numFmtId="0" fontId="24" fillId="0" borderId="13" xfId="0" applyFont="1" applyBorder="1"/>
    <xf numFmtId="1" fontId="25" fillId="0" borderId="13" xfId="0" applyNumberFormat="1" applyFont="1" applyBorder="1" applyAlignment="1">
      <alignment horizontal="center"/>
    </xf>
    <xf numFmtId="3" fontId="25" fillId="0" borderId="13" xfId="0" applyNumberFormat="1" applyFont="1" applyBorder="1" applyAlignment="1">
      <alignment horizontal="center" wrapText="1"/>
    </xf>
    <xf numFmtId="166" fontId="25" fillId="0" borderId="13" xfId="0" applyNumberFormat="1" applyFont="1" applyBorder="1" applyAlignment="1">
      <alignment horizontal="center"/>
    </xf>
    <xf numFmtId="1" fontId="24" fillId="0" borderId="13" xfId="0" applyNumberFormat="1" applyFont="1" applyBorder="1" applyAlignment="1">
      <alignment horizontal="center"/>
    </xf>
    <xf numFmtId="0" fontId="2" fillId="5" borderId="12" xfId="0" applyFont="1" applyFill="1" applyBorder="1"/>
    <xf numFmtId="0" fontId="24" fillId="11" borderId="12" xfId="0" applyFont="1" applyFill="1" applyBorder="1"/>
    <xf numFmtId="1" fontId="2" fillId="11" borderId="12" xfId="0" applyNumberFormat="1" applyFont="1" applyFill="1" applyBorder="1" applyAlignment="1">
      <alignment horizontal="center"/>
    </xf>
    <xf numFmtId="16" fontId="0" fillId="11" borderId="12" xfId="0" applyNumberFormat="1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166" fontId="25" fillId="5" borderId="13" xfId="0" applyNumberFormat="1" applyFont="1" applyFill="1" applyBorder="1" applyAlignment="1">
      <alignment horizontal="center"/>
    </xf>
    <xf numFmtId="0" fontId="23" fillId="6" borderId="0" xfId="0" applyFont="1" applyFill="1"/>
    <xf numFmtId="0" fontId="23" fillId="6" borderId="12" xfId="0" applyFont="1" applyFill="1" applyBorder="1"/>
    <xf numFmtId="0" fontId="23" fillId="6" borderId="12" xfId="0" applyFont="1" applyFill="1" applyBorder="1" applyAlignment="1">
      <alignment horizontal="center"/>
    </xf>
    <xf numFmtId="179" fontId="0" fillId="0" borderId="12" xfId="0" applyNumberFormat="1" applyBorder="1" applyAlignment="1">
      <alignment horizontal="center"/>
    </xf>
    <xf numFmtId="179" fontId="0" fillId="0" borderId="12" xfId="0" applyNumberFormat="1" applyBorder="1"/>
    <xf numFmtId="179" fontId="23" fillId="6" borderId="12" xfId="0" applyNumberFormat="1" applyFont="1" applyFill="1" applyBorder="1" applyAlignment="1">
      <alignment horizontal="center"/>
    </xf>
    <xf numFmtId="179" fontId="23" fillId="6" borderId="0" xfId="0" applyNumberFormat="1" applyFont="1" applyFill="1"/>
    <xf numFmtId="179" fontId="0" fillId="2" borderId="12" xfId="0" applyNumberFormat="1" applyFill="1" applyBorder="1" applyAlignment="1">
      <alignment horizontal="center"/>
    </xf>
    <xf numFmtId="179" fontId="0" fillId="2" borderId="12" xfId="0" applyNumberFormat="1" applyFill="1" applyBorder="1"/>
    <xf numFmtId="166" fontId="2" fillId="11" borderId="12" xfId="0" applyNumberFormat="1" applyFont="1" applyFill="1" applyBorder="1" applyAlignment="1">
      <alignment horizontal="center"/>
    </xf>
    <xf numFmtId="3" fontId="22" fillId="5" borderId="12" xfId="3" applyNumberFormat="1" applyFont="1" applyFill="1" applyBorder="1" applyAlignment="1">
      <alignment horizontal="center" wrapText="1"/>
    </xf>
    <xf numFmtId="0" fontId="26" fillId="0" borderId="0" xfId="0" applyFont="1"/>
    <xf numFmtId="0" fontId="27" fillId="0" borderId="12" xfId="0" applyFont="1" applyBorder="1"/>
    <xf numFmtId="0" fontId="0" fillId="2" borderId="12" xfId="0" applyFill="1" applyBorder="1" applyAlignment="1">
      <alignment horizontal="center"/>
    </xf>
    <xf numFmtId="0" fontId="1" fillId="0" borderId="12" xfId="0" applyFont="1" applyBorder="1"/>
    <xf numFmtId="1" fontId="2" fillId="0" borderId="13" xfId="0" applyNumberFormat="1" applyFont="1" applyBorder="1" applyAlignment="1">
      <alignment horizontal="center"/>
    </xf>
    <xf numFmtId="0" fontId="28" fillId="0" borderId="12" xfId="0" applyFont="1" applyBorder="1"/>
    <xf numFmtId="166" fontId="2" fillId="22" borderId="1" xfId="0" applyNumberFormat="1" applyFont="1" applyFill="1" applyBorder="1" applyAlignment="1">
      <alignment horizontal="center"/>
    </xf>
    <xf numFmtId="166" fontId="2" fillId="22" borderId="12" xfId="0" applyNumberFormat="1" applyFont="1" applyFill="1" applyBorder="1" applyAlignment="1">
      <alignment horizontal="center"/>
    </xf>
    <xf numFmtId="3" fontId="19" fillId="22" borderId="1" xfId="3" applyNumberFormat="1" applyFont="1" applyFill="1" applyBorder="1" applyAlignment="1">
      <alignment horizontal="center" wrapText="1"/>
    </xf>
    <xf numFmtId="166" fontId="29" fillId="0" borderId="1" xfId="0" applyNumberFormat="1" applyFont="1" applyBorder="1" applyAlignment="1">
      <alignment horizontal="center"/>
    </xf>
    <xf numFmtId="166" fontId="29" fillId="0" borderId="12" xfId="0" applyNumberFormat="1" applyFont="1" applyBorder="1" applyAlignment="1">
      <alignment horizontal="center"/>
    </xf>
    <xf numFmtId="3" fontId="29" fillId="0" borderId="1" xfId="3" applyNumberFormat="1" applyFont="1" applyBorder="1" applyAlignment="1">
      <alignment horizontal="center" wrapText="1"/>
    </xf>
    <xf numFmtId="179" fontId="0" fillId="10" borderId="12" xfId="0" applyNumberFormat="1" applyFill="1" applyBorder="1" applyAlignment="1">
      <alignment horizontal="center" vertical="center"/>
    </xf>
    <xf numFmtId="166" fontId="2" fillId="2" borderId="12" xfId="0" applyNumberFormat="1" applyFont="1" applyFill="1" applyBorder="1" applyAlignment="1">
      <alignment horizontal="center"/>
    </xf>
    <xf numFmtId="166" fontId="2" fillId="4" borderId="12" xfId="0" applyNumberFormat="1" applyFont="1" applyFill="1" applyBorder="1" applyAlignment="1">
      <alignment horizontal="center"/>
    </xf>
    <xf numFmtId="3" fontId="22" fillId="4" borderId="12" xfId="3" applyNumberFormat="1" applyFont="1" applyFill="1" applyBorder="1" applyAlignment="1">
      <alignment horizontal="center" wrapText="1"/>
    </xf>
    <xf numFmtId="15" fontId="0" fillId="0" borderId="12" xfId="0" applyNumberFormat="1" applyBorder="1"/>
    <xf numFmtId="3" fontId="19" fillId="0" borderId="0" xfId="3" applyNumberFormat="1" applyFont="1" applyAlignment="1">
      <alignment horizontal="center" wrapText="1"/>
    </xf>
    <xf numFmtId="16" fontId="0" fillId="23" borderId="12" xfId="0" applyNumberFormat="1" applyFill="1" applyBorder="1" applyAlignment="1">
      <alignment horizontal="center"/>
    </xf>
    <xf numFmtId="0" fontId="0" fillId="23" borderId="1" xfId="0" applyFill="1" applyBorder="1"/>
    <xf numFmtId="15" fontId="0" fillId="23" borderId="12" xfId="0" applyNumberFormat="1" applyFill="1" applyBorder="1"/>
    <xf numFmtId="0" fontId="0" fillId="23" borderId="12" xfId="0" applyFill="1" applyBorder="1"/>
    <xf numFmtId="16" fontId="0" fillId="24" borderId="12" xfId="0" applyNumberFormat="1" applyFill="1" applyBorder="1" applyAlignment="1">
      <alignment horizontal="center"/>
    </xf>
    <xf numFmtId="0" fontId="0" fillId="24" borderId="12" xfId="0" applyFill="1" applyBorder="1"/>
    <xf numFmtId="0" fontId="0" fillId="24" borderId="0" xfId="0" applyFill="1"/>
    <xf numFmtId="15" fontId="0" fillId="24" borderId="12" xfId="0" applyNumberFormat="1" applyFill="1" applyBorder="1"/>
    <xf numFmtId="16" fontId="0" fillId="24" borderId="0" xfId="0" applyNumberFormat="1" applyFill="1" applyAlignment="1">
      <alignment horizontal="center"/>
    </xf>
    <xf numFmtId="16" fontId="0" fillId="21" borderId="12" xfId="0" applyNumberFormat="1" applyFill="1" applyBorder="1" applyAlignment="1">
      <alignment horizontal="center"/>
    </xf>
    <xf numFmtId="16" fontId="0" fillId="15" borderId="12" xfId="0" applyNumberFormat="1" applyFill="1" applyBorder="1" applyAlignment="1">
      <alignment horizontal="center"/>
    </xf>
    <xf numFmtId="0" fontId="0" fillId="15" borderId="12" xfId="0" applyFill="1" applyBorder="1"/>
    <xf numFmtId="15" fontId="0" fillId="15" borderId="12" xfId="0" applyNumberFormat="1" applyFill="1" applyBorder="1"/>
    <xf numFmtId="15" fontId="0" fillId="21" borderId="12" xfId="0" applyNumberFormat="1" applyFill="1" applyBorder="1"/>
    <xf numFmtId="0" fontId="24" fillId="24" borderId="12" xfId="0" applyFont="1" applyFill="1" applyBorder="1"/>
    <xf numFmtId="1" fontId="2" fillId="17" borderId="12" xfId="0" applyNumberFormat="1" applyFont="1" applyFill="1" applyBorder="1" applyAlignment="1">
      <alignment horizontal="center"/>
    </xf>
    <xf numFmtId="166" fontId="2" fillId="17" borderId="1" xfId="0" applyNumberFormat="1" applyFont="1" applyFill="1" applyBorder="1" applyAlignment="1">
      <alignment horizontal="center"/>
    </xf>
    <xf numFmtId="0" fontId="0" fillId="17" borderId="12" xfId="0" applyFill="1" applyBorder="1" applyAlignment="1">
      <alignment horizontal="center"/>
    </xf>
    <xf numFmtId="166" fontId="2" fillId="17" borderId="12" xfId="0" applyNumberFormat="1" applyFont="1" applyFill="1" applyBorder="1" applyAlignment="1">
      <alignment horizontal="center"/>
    </xf>
    <xf numFmtId="16" fontId="0" fillId="25" borderId="12" xfId="0" applyNumberFormat="1" applyFill="1" applyBorder="1" applyAlignment="1">
      <alignment horizontal="center"/>
    </xf>
    <xf numFmtId="0" fontId="0" fillId="25" borderId="12" xfId="0" applyFill="1" applyBorder="1"/>
    <xf numFmtId="0" fontId="28" fillId="25" borderId="12" xfId="0" applyFont="1" applyFill="1" applyBorder="1"/>
    <xf numFmtId="0" fontId="1" fillId="25" borderId="12" xfId="0" applyFont="1" applyFill="1" applyBorder="1"/>
    <xf numFmtId="15" fontId="0" fillId="25" borderId="12" xfId="0" applyNumberFormat="1" applyFill="1" applyBorder="1"/>
    <xf numFmtId="16" fontId="0" fillId="26" borderId="12" xfId="0" applyNumberFormat="1" applyFill="1" applyBorder="1" applyAlignment="1">
      <alignment horizontal="center"/>
    </xf>
    <xf numFmtId="0" fontId="0" fillId="26" borderId="12" xfId="0" applyFill="1" applyBorder="1"/>
    <xf numFmtId="15" fontId="0" fillId="26" borderId="12" xfId="0" applyNumberFormat="1" applyFill="1" applyBorder="1"/>
    <xf numFmtId="166" fontId="2" fillId="27" borderId="12" xfId="0" applyNumberFormat="1" applyFont="1" applyFill="1" applyBorder="1" applyAlignment="1">
      <alignment horizontal="center"/>
    </xf>
    <xf numFmtId="16" fontId="0" fillId="27" borderId="0" xfId="0" applyNumberFormat="1" applyFill="1" applyAlignment="1">
      <alignment horizontal="center"/>
    </xf>
    <xf numFmtId="179" fontId="0" fillId="0" borderId="0" xfId="0" applyNumberFormat="1"/>
    <xf numFmtId="0" fontId="0" fillId="0" borderId="0" xfId="0" applyAlignment="1">
      <alignment horizontal="right"/>
    </xf>
    <xf numFmtId="0" fontId="2" fillId="5" borderId="0" xfId="0" applyFont="1" applyFill="1" applyAlignment="1">
      <alignment horizontal="center"/>
    </xf>
    <xf numFmtId="3" fontId="0" fillId="2" borderId="12" xfId="0" applyNumberFormat="1" applyFill="1" applyBorder="1" applyAlignment="1">
      <alignment horizontal="center"/>
    </xf>
    <xf numFmtId="179" fontId="2" fillId="5" borderId="0" xfId="0" applyNumberFormat="1" applyFont="1" applyFill="1" applyAlignment="1">
      <alignment horizontal="center"/>
    </xf>
    <xf numFmtId="0" fontId="2" fillId="5" borderId="12" xfId="0" applyFont="1" applyFill="1" applyBorder="1" applyAlignment="1">
      <alignment horizontal="center"/>
    </xf>
    <xf numFmtId="179" fontId="2" fillId="5" borderId="12" xfId="0" applyNumberFormat="1" applyFont="1" applyFill="1" applyBorder="1" applyAlignment="1">
      <alignment horizontal="center"/>
    </xf>
    <xf numFmtId="166" fontId="2" fillId="14" borderId="12" xfId="0" applyNumberFormat="1" applyFont="1" applyFill="1" applyBorder="1" applyAlignment="1">
      <alignment horizontal="center"/>
    </xf>
    <xf numFmtId="14" fontId="2" fillId="14" borderId="12" xfId="0" applyNumberFormat="1" applyFont="1" applyFill="1" applyBorder="1" applyAlignment="1">
      <alignment horizontal="center"/>
    </xf>
    <xf numFmtId="14" fontId="2" fillId="0" borderId="12" xfId="0" applyNumberFormat="1" applyFont="1" applyBorder="1" applyAlignment="1">
      <alignment horizontal="center"/>
    </xf>
    <xf numFmtId="166" fontId="29" fillId="14" borderId="1" xfId="0" applyNumberFormat="1" applyFont="1" applyFill="1" applyBorder="1" applyAlignment="1">
      <alignment horizontal="center"/>
    </xf>
    <xf numFmtId="166" fontId="29" fillId="14" borderId="12" xfId="0" applyNumberFormat="1" applyFont="1" applyFill="1" applyBorder="1" applyAlignment="1">
      <alignment horizontal="center"/>
    </xf>
    <xf numFmtId="1" fontId="2" fillId="14" borderId="12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166" fontId="2" fillId="24" borderId="12" xfId="0" applyNumberFormat="1" applyFont="1" applyFill="1" applyBorder="1" applyAlignment="1">
      <alignment horizontal="center"/>
    </xf>
    <xf numFmtId="166" fontId="2" fillId="15" borderId="1" xfId="0" applyNumberFormat="1" applyFont="1" applyFill="1" applyBorder="1" applyAlignment="1">
      <alignment horizontal="center"/>
    </xf>
    <xf numFmtId="0" fontId="0" fillId="15" borderId="1" xfId="0" applyFill="1" applyBorder="1" applyAlignment="1">
      <alignment horizontal="left"/>
    </xf>
    <xf numFmtId="16" fontId="0" fillId="4" borderId="0" xfId="0" applyNumberFormat="1" applyFill="1" applyAlignment="1">
      <alignment horizontal="center"/>
    </xf>
    <xf numFmtId="3" fontId="19" fillId="14" borderId="12" xfId="3" applyNumberFormat="1" applyFont="1" applyFill="1" applyBorder="1" applyAlignment="1">
      <alignment horizontal="center" wrapText="1"/>
    </xf>
    <xf numFmtId="16" fontId="0" fillId="14" borderId="0" xfId="0" applyNumberFormat="1" applyFill="1" applyAlignment="1">
      <alignment horizontal="center"/>
    </xf>
    <xf numFmtId="166" fontId="0" fillId="4" borderId="12" xfId="0" applyNumberFormat="1" applyFill="1" applyBorder="1" applyAlignment="1">
      <alignment horizontal="center"/>
    </xf>
    <xf numFmtId="3" fontId="19" fillId="4" borderId="12" xfId="3" applyNumberFormat="1" applyFont="1" applyFill="1" applyBorder="1" applyAlignment="1">
      <alignment horizontal="center" wrapText="1"/>
    </xf>
    <xf numFmtId="173" fontId="2" fillId="5" borderId="0" xfId="0" applyNumberFormat="1" applyFont="1" applyFill="1" applyAlignment="1">
      <alignment horizontal="center"/>
    </xf>
    <xf numFmtId="0" fontId="0" fillId="0" borderId="14" xfId="0" applyBorder="1"/>
    <xf numFmtId="173" fontId="2" fillId="5" borderId="14" xfId="0" applyNumberFormat="1" applyFont="1" applyFill="1" applyBorder="1" applyAlignment="1">
      <alignment horizontal="center"/>
    </xf>
    <xf numFmtId="3" fontId="16" fillId="2" borderId="0" xfId="0" applyNumberFormat="1" applyFont="1" applyFill="1" applyAlignment="1">
      <alignment horizontal="center" vertical="center"/>
    </xf>
    <xf numFmtId="0" fontId="16" fillId="0" borderId="12" xfId="0" applyFont="1" applyBorder="1"/>
    <xf numFmtId="9" fontId="0" fillId="0" borderId="12" xfId="0" applyNumberFormat="1" applyBorder="1"/>
    <xf numFmtId="3" fontId="0" fillId="0" borderId="12" xfId="0" applyNumberFormat="1" applyBorder="1"/>
    <xf numFmtId="9" fontId="0" fillId="0" borderId="8" xfId="0" applyNumberFormat="1" applyBorder="1"/>
    <xf numFmtId="4" fontId="16" fillId="2" borderId="0" xfId="0" applyNumberFormat="1" applyFont="1" applyFill="1" applyAlignment="1">
      <alignment horizontal="center"/>
    </xf>
    <xf numFmtId="3" fontId="16" fillId="2" borderId="0" xfId="0" applyNumberFormat="1" applyFont="1" applyFill="1"/>
    <xf numFmtId="166" fontId="0" fillId="0" borderId="12" xfId="0" applyNumberFormat="1" applyBorder="1"/>
    <xf numFmtId="0" fontId="0" fillId="0" borderId="12" xfId="0" applyBorder="1" applyAlignment="1">
      <alignment wrapText="1"/>
    </xf>
    <xf numFmtId="166" fontId="0" fillId="4" borderId="0" xfId="0" applyNumberFormat="1" applyFill="1" applyAlignment="1">
      <alignment horizontal="center"/>
    </xf>
    <xf numFmtId="15" fontId="0" fillId="0" borderId="12" xfId="0" applyNumberFormat="1" applyBorder="1" applyAlignment="1">
      <alignment horizontal="center"/>
    </xf>
    <xf numFmtId="0" fontId="20" fillId="2" borderId="5" xfId="0" applyFont="1" applyFill="1" applyBorder="1" applyAlignment="1">
      <alignment horizontal="center"/>
    </xf>
    <xf numFmtId="14" fontId="2" fillId="2" borderId="0" xfId="0" applyNumberFormat="1" applyFont="1" applyFill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9" xfId="0" applyFont="1" applyFill="1" applyBorder="1" applyAlignment="1">
      <alignment horizontal="center"/>
    </xf>
    <xf numFmtId="17" fontId="8" fillId="2" borderId="15" xfId="0" applyNumberFormat="1" applyFont="1" applyFill="1" applyBorder="1" applyAlignment="1">
      <alignment horizontal="center"/>
    </xf>
    <xf numFmtId="17" fontId="8" fillId="2" borderId="16" xfId="0" applyNumberFormat="1" applyFont="1" applyFill="1" applyBorder="1" applyAlignment="1">
      <alignment horizontal="center"/>
    </xf>
    <xf numFmtId="17" fontId="8" fillId="2" borderId="13" xfId="0" applyNumberFormat="1" applyFont="1" applyFill="1" applyBorder="1" applyAlignment="1">
      <alignment horizontal="center"/>
    </xf>
    <xf numFmtId="17" fontId="8" fillId="2" borderId="1" xfId="0" applyNumberFormat="1" applyFont="1" applyFill="1" applyBorder="1" applyAlignment="1">
      <alignment horizontal="center"/>
    </xf>
    <xf numFmtId="17" fontId="8" fillId="2" borderId="4" xfId="0" applyNumberFormat="1" applyFont="1" applyFill="1" applyBorder="1" applyAlignment="1">
      <alignment horizontal="center"/>
    </xf>
    <xf numFmtId="17" fontId="8" fillId="2" borderId="5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</cellXfs>
  <cellStyles count="7">
    <cellStyle name="Hipervínculo" xfId="1" builtinId="8"/>
    <cellStyle name="Moneda" xfId="6" builtinId="4"/>
    <cellStyle name="Normal" xfId="0" builtinId="0"/>
    <cellStyle name="Normal 2" xfId="2" xr:uid="{956CC76D-D9D8-4A80-9E7A-85B4604E720C}"/>
    <cellStyle name="Normal_CAMPAÑA" xfId="3" xr:uid="{959497D2-5022-4551-8C8A-C61C33B723B0}"/>
    <cellStyle name="Normal_mensual" xfId="4" xr:uid="{D25D1EBF-BD3D-4245-B398-7CE489372B66}"/>
    <cellStyle name="Porcentaje" xfId="5" builtinId="5"/>
  </cellStyles>
  <dxfs count="0"/>
  <tableStyles count="0" defaultTableStyle="TableStyleMedium2" defaultPivotStyle="PivotStyleLight16"/>
  <colors>
    <mruColors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ayan Garcia Vidal" id="{1CD6DABC-5DE4-48CB-9FAD-D73A811E17DD}" userId="1713401a22e31706" providerId="Windows Live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N3" dT="2025-06-04T22:29:38.34" personId="{1CD6DABC-5DE4-48CB-9FAD-D73A811E17DD}" id="{216D86AB-0191-8246-8BE9-CD479E39BF21}">
    <text xml:space="preserve">2-mayo
</text>
  </threadedComment>
  <threadedComment ref="BO3" dT="2025-06-04T22:28:29.91" personId="{1CD6DABC-5DE4-48CB-9FAD-D73A811E17DD}" id="{99D81F0E-14C4-824A-BBA8-5648CD8CBB16}">
    <text>3-junio</text>
  </threadedComment>
  <threadedComment ref="BP3" dT="2025-06-04T22:28:29.91" personId="{1CD6DABC-5DE4-48CB-9FAD-D73A811E17DD}" id="{B5D99211-E51B-6544-813C-D04BC94A2700}">
    <text>28-junio</text>
  </threadedComment>
  <threadedComment ref="BQ3" dT="2025-06-04T22:28:29.91" personId="{1CD6DABC-5DE4-48CB-9FAD-D73A811E17DD}" id="{B5B7A532-1467-2D47-B46E-20B8A187FE87}">
    <text>31-julio</text>
  </threadedComment>
  <threadedComment ref="AP6" dT="2023-05-16T17:52:49.01" personId="{1CD6DABC-5DE4-48CB-9FAD-D73A811E17DD}" id="{24784FA4-F467-44BB-848C-5162BF4E1D31}">
    <text>Recibe megamudanzas</text>
  </threadedComment>
  <threadedComment ref="AO9" dT="2023-04-01T21:44:53.54" personId="{1CD6DABC-5DE4-48CB-9FAD-D73A811E17DD}" id="{133FFB3D-4C7E-41D1-A6E2-FC09CE394F08}">
    <text xml:space="preserve">De recargas
</text>
  </threadedComment>
  <threadedComment ref="T10" dT="2021-07-01T02:40:13.86" personId="{1CD6DABC-5DE4-48CB-9FAD-D73A811E17DD}" id="{1ABF65D0-2632-4FA2-946E-46BB0233E06C}">
    <text>30-6-21</text>
  </threadedComment>
  <threadedComment ref="W10" dT="2021-10-01T02:06:01.76" personId="{1CD6DABC-5DE4-48CB-9FAD-D73A811E17DD}" id="{4893B506-6B48-4E3A-BD29-90E04A17EAF5}">
    <text>30-9-21</text>
  </threadedComment>
  <threadedComment ref="AH10" dT="2022-09-09T19:38:21.84" personId="{1CD6DABC-5DE4-48CB-9FAD-D73A811E17DD}" id="{885FE209-84EA-4B19-9213-9C3CD9AB3499}">
    <text>9-9-22
Desconto 1 pago</text>
  </threadedComment>
  <threadedComment ref="AI10" dT="2022-09-09T19:38:21.84" personId="{1CD6DABC-5DE4-48CB-9FAD-D73A811E17DD}" id="{0B3E9D5D-1148-431D-A3D7-D910173B216D}">
    <text>9-9-22
Desconto 1 pago</text>
  </threadedComment>
  <threadedComment ref="AJ10" dT="2022-12-24T23:00:39.25" personId="{1CD6DABC-5DE4-48CB-9FAD-D73A811E17DD}" id="{EDC5D4A4-C783-4595-942B-801626706297}">
    <text>Se descontó dic-22</text>
  </threadedComment>
  <threadedComment ref="AK10" dT="2022-12-24T23:00:39.25" personId="{1CD6DABC-5DE4-48CB-9FAD-D73A811E17DD}" id="{B82BC5C3-011A-47DF-A3BA-8E97D33B0D5B}">
    <text>Se descontó dic-22</text>
  </threadedComment>
  <threadedComment ref="AL10" dT="2022-12-24T23:00:39.25" personId="{1CD6DABC-5DE4-48CB-9FAD-D73A811E17DD}" id="{BF4ABE30-D9AF-47C9-8CD0-37A81AC8EE95}">
    <text>Se descontó dic-22</text>
  </threadedComment>
  <threadedComment ref="AM10" dT="2023-08-12T02:24:24.61" personId="{1CD6DABC-5DE4-48CB-9FAD-D73A811E17DD}" id="{DE0C7363-D9A1-4315-A81B-57643A11B82C}">
    <text>30-mayo-2023</text>
  </threadedComment>
  <threadedComment ref="AN10" dT="2023-08-12T02:24:24.61" personId="{1CD6DABC-5DE4-48CB-9FAD-D73A811E17DD}" id="{3A6BF356-276D-4EA9-AC3C-D897395D14BE}">
    <text>30-mayo-2023</text>
  </threadedComment>
  <threadedComment ref="AO10" dT="2023-08-12T02:24:24.61" personId="{1CD6DABC-5DE4-48CB-9FAD-D73A811E17DD}" id="{BE8F18EC-8FDD-4B3E-A083-940D1C0B1CA5}">
    <text>30-mayo-2023</text>
  </threadedComment>
  <threadedComment ref="AP10" dT="2023-08-12T02:24:24.61" personId="{1CD6DABC-5DE4-48CB-9FAD-D73A811E17DD}" id="{475899DE-4FB1-43C2-84F0-C8B9A1469EC6}">
    <text>30-mayo-2023</text>
  </threadedComment>
  <threadedComment ref="AQ10" dT="2023-08-12T02:24:24.61" personId="{1CD6DABC-5DE4-48CB-9FAD-D73A811E17DD}" id="{3C8BD9E8-EB39-482C-8988-CE8ECBB32977}">
    <text>30-mayo-2023</text>
  </threadedComment>
  <threadedComment ref="BA10" dT="2024-04-02T01:00:01.22" personId="{1CD6DABC-5DE4-48CB-9FAD-D73A811E17DD}" id="{CC6D3B83-11BC-47AB-93DF-C4BEBE1A570B}">
    <text>1-4-24</text>
  </threadedComment>
  <threadedComment ref="BD10" dT="2024-07-30T02:16:53.17" personId="{1CD6DABC-5DE4-48CB-9FAD-D73A811E17DD}" id="{AF4AAF4C-2283-4771-94EE-F55D50E3C0F7}">
    <text>15-7-24</text>
  </threadedComment>
  <threadedComment ref="BE10" dT="2024-12-27T20:30:42.24" personId="{1CD6DABC-5DE4-48CB-9FAD-D73A811E17DD}" id="{618F5873-D8CB-41F3-8D34-98AE1D999157}">
    <text>Pago 660 julio y agosto
19-sept</text>
  </threadedComment>
  <threadedComment ref="BF10" dT="2024-12-27T20:30:42.24" personId="{1CD6DABC-5DE4-48CB-9FAD-D73A811E17DD}" id="{1AB3DC52-4981-4CF3-BF0A-B0A2D34EE2CD}">
    <text>Pago 660 julio y agosto
19-sept</text>
  </threadedComment>
  <threadedComment ref="BG10" dT="2024-12-27T20:31:12.59" personId="{1CD6DABC-5DE4-48CB-9FAD-D73A811E17DD}" id="{D2D01943-A229-45BD-ABF2-E8ABD0DF1C40}">
    <text>30-sept</text>
  </threadedComment>
  <threadedComment ref="BH10" dT="2024-12-27T20:31:26.96" personId="{1CD6DABC-5DE4-48CB-9FAD-D73A811E17DD}" id="{5F3F689E-4757-47D7-8582-07AC1E1B2411}">
    <text>31-oct</text>
  </threadedComment>
  <threadedComment ref="BI10" dT="2024-12-27T20:31:26.96" personId="{1CD6DABC-5DE4-48CB-9FAD-D73A811E17DD}" id="{C11DBA8A-98EB-47CD-8D4E-5119E42F4520}">
    <text>30-nov</text>
  </threadedComment>
  <threadedComment ref="U11" dT="2021-12-09T22:30:30.04" personId="{1CD6DABC-5DE4-48CB-9FAD-D73A811E17DD}" id="{AB7E656A-9924-45D4-9162-04F29859541C}">
    <text>9-12-21</text>
  </threadedComment>
  <threadedComment ref="V11" dT="2021-12-09T22:30:30.04" personId="{1CD6DABC-5DE4-48CB-9FAD-D73A811E17DD}" id="{D27F0C4F-1E50-450E-AC42-7411F2FE1770}">
    <text>9-12-21</text>
  </threadedComment>
  <threadedComment ref="W11" dT="2021-12-09T22:30:30.04" personId="{1CD6DABC-5DE4-48CB-9FAD-D73A811E17DD}" id="{6A386976-8A76-4750-A03F-8F9369294A29}">
    <text>9-12-21</text>
  </threadedComment>
  <threadedComment ref="X11" dT="2022-02-26T02:03:09.72" personId="{1CD6DABC-5DE4-48CB-9FAD-D73A811E17DD}" id="{D3BCAA0A-250A-4708-BCE9-A93D28D839F7}">
    <text>17-2-22</text>
  </threadedComment>
  <threadedComment ref="Y11" dT="2022-02-26T02:03:15.22" personId="{1CD6DABC-5DE4-48CB-9FAD-D73A811E17DD}" id="{06BF0452-27C5-4830-AC74-9E1B82262C7F}">
    <text>17-2-22</text>
  </threadedComment>
  <threadedComment ref="Z11" dT="2022-05-23T18:09:56.36" personId="{1CD6DABC-5DE4-48CB-9FAD-D73A811E17DD}" id="{0124EFB4-033D-4AB5-AB00-C7399A471A73}">
    <text>12-mayo-2022
consigno</text>
  </threadedComment>
  <threadedComment ref="AA11" dT="2022-06-08T14:52:24.97" personId="{1CD6DABC-5DE4-48CB-9FAD-D73A811E17DD}" id="{50798050-FA74-4554-9661-85A40770F1B2}">
    <text>8-junio-22</text>
  </threadedComment>
  <threadedComment ref="AB11" dT="2022-06-08T14:52:24.97" personId="{1CD6DABC-5DE4-48CB-9FAD-D73A811E17DD}" id="{4CEF5011-BCEC-48E8-9280-42352EAB80AA}">
    <text>8-junio-22</text>
  </threadedComment>
  <threadedComment ref="AC11" dT="2022-09-09T15:25:21.73" personId="{1CD6DABC-5DE4-48CB-9FAD-D73A811E17DD}" id="{E8BD0BE7-5821-4B06-B5F6-4348D95A2DDA}">
    <text>7-9-22
840</text>
  </threadedComment>
  <threadedComment ref="AD11" dT="2022-09-09T15:25:21.73" personId="{1CD6DABC-5DE4-48CB-9FAD-D73A811E17DD}" id="{0CC53249-66C9-428D-A0B7-F05B4D1BB8E5}">
    <text>7-9-22
840</text>
  </threadedComment>
  <threadedComment ref="AE11" dT="2022-09-09T15:25:21.73" personId="{1CD6DABC-5DE4-48CB-9FAD-D73A811E17DD}" id="{25F6A465-A734-44A2-A474-DFCBBE008122}">
    <text>7-9-22
840</text>
  </threadedComment>
  <threadedComment ref="AF11" dT="2022-08-03T15:31:55.24" personId="{1CD6DABC-5DE4-48CB-9FAD-D73A811E17DD}" id="{C4618DA4-2622-4CC7-B772-2466CDBBE76A}">
    <text>3-agosto-22</text>
  </threadedComment>
  <threadedComment ref="AG11" dT="2022-08-03T15:32:04.16" personId="{1CD6DABC-5DE4-48CB-9FAD-D73A811E17DD}" id="{D83602D7-21BE-49DF-905E-C58E73B1CB90}">
    <text>3-agosto-22</text>
  </threadedComment>
  <threadedComment ref="AH11" dT="2022-12-23T17:37:15.34" personId="{1CD6DABC-5DE4-48CB-9FAD-D73A811E17DD}" id="{EBDEF40A-44C9-47B3-838C-EA97984646FF}">
    <text>12-NOV</text>
  </threadedComment>
  <threadedComment ref="AI11" dT="2022-12-23T17:38:11.79" personId="{1CD6DABC-5DE4-48CB-9FAD-D73A811E17DD}" id="{CB063524-227C-434F-9BFA-FB4E796BF6CE}">
    <text>17-NOV</text>
  </threadedComment>
  <threadedComment ref="AJ11" dT="2022-12-23T17:38:11.79" personId="{1CD6DABC-5DE4-48CB-9FAD-D73A811E17DD}" id="{112AABF0-67C5-44F8-B125-FEA625E26C4A}">
    <text>17-NOV</text>
  </threadedComment>
  <threadedComment ref="AK11" dT="2023-04-13T19:31:56.39" personId="{1CD6DABC-5DE4-48CB-9FAD-D73A811E17DD}" id="{2E59FDA5-C1EB-4CC3-9288-8AEE81F8CA52}">
    <text>13-abril-2023</text>
  </threadedComment>
  <threadedComment ref="AL11" dT="2023-04-13T19:31:56.39" personId="{1CD6DABC-5DE4-48CB-9FAD-D73A811E17DD}" id="{83889B7A-ACA2-4755-A701-7FC51A89678E}">
    <text>13-abril-2023</text>
  </threadedComment>
  <threadedComment ref="AM11" dT="2023-05-16T17:51:55.39" personId="{1CD6DABC-5DE4-48CB-9FAD-D73A811E17DD}" id="{BB10AF56-908F-43F2-A0EB-DA17D7456FBC}">
    <text>16-5-23</text>
  </threadedComment>
  <threadedComment ref="AN11" dT="2023-05-16T17:51:55.39" personId="{1CD6DABC-5DE4-48CB-9FAD-D73A811E17DD}" id="{346A1506-2C99-407F-88B9-761FF3C14587}">
    <text>16-5-23</text>
  </threadedComment>
  <threadedComment ref="AO11" dT="2023-12-20T14:05:11.33" personId="{1CD6DABC-5DE4-48CB-9FAD-D73A811E17DD}" id="{785F6AD9-4AFD-4F1C-AF82-DCC38E93DF79}">
    <text xml:space="preserve">19-dic
</text>
  </threadedComment>
  <threadedComment ref="AP11" dT="2023-12-20T14:05:11.33" personId="{1CD6DABC-5DE4-48CB-9FAD-D73A811E17DD}" id="{8BF2D81D-23CE-4D39-B3C0-CC910A12B72C}">
    <text xml:space="preserve">19-dic
</text>
  </threadedComment>
  <threadedComment ref="AQ11" dT="2023-12-20T14:05:11.33" personId="{1CD6DABC-5DE4-48CB-9FAD-D73A811E17DD}" id="{A3A0277D-76C1-48CE-9B81-4C58E3F0395E}">
    <text xml:space="preserve">19-dic
</text>
  </threadedComment>
  <threadedComment ref="AR11" dT="2024-02-01T20:22:20.67" personId="{1CD6DABC-5DE4-48CB-9FAD-D73A811E17DD}" id="{1F6D2881-9869-4E39-A7A2-D949E6F72357}">
    <text>23-enero</text>
  </threadedComment>
  <threadedComment ref="AS11" dT="2024-02-01T20:22:20.67" personId="{1CD6DABC-5DE4-48CB-9FAD-D73A811E17DD}" id="{7F365EAF-46B9-42DE-B93A-B594B2580C87}">
    <text>23-enero</text>
  </threadedComment>
  <threadedComment ref="AT11" dT="2024-02-01T20:22:20.67" personId="{1CD6DABC-5DE4-48CB-9FAD-D73A811E17DD}" id="{8D5EA4CD-E342-4034-9E60-46E1ECE0E5DB}">
    <text>23-enero</text>
  </threadedComment>
  <threadedComment ref="AU11" dT="2024-04-12T22:32:43.22" personId="{1CD6DABC-5DE4-48CB-9FAD-D73A811E17DD}" id="{E64856C5-B5FE-496E-97A6-FEFF023918FD}">
    <text>12-4-24</text>
  </threadedComment>
  <threadedComment ref="AV11" dT="2024-04-12T22:32:43.22" personId="{1CD6DABC-5DE4-48CB-9FAD-D73A811E17DD}" id="{AFCE65D1-C661-443F-9E01-9BEF18799564}">
    <text>12-4-24</text>
  </threadedComment>
  <threadedComment ref="AW11" dT="2024-04-12T22:32:43.22" personId="{1CD6DABC-5DE4-48CB-9FAD-D73A811E17DD}" id="{BA808E2C-51C2-48C3-A137-C3913D567857}">
    <text>12-4-24</text>
  </threadedComment>
  <threadedComment ref="AX11" dT="2024-04-12T22:32:43.22" personId="{1CD6DABC-5DE4-48CB-9FAD-D73A811E17DD}" id="{1B101F37-5CC8-452E-87B0-866ABD284E78}">
    <text>12-4-24</text>
  </threadedComment>
  <threadedComment ref="AY11" dT="2024-02-01T20:22:37.98" personId="{1CD6DABC-5DE4-48CB-9FAD-D73A811E17DD}" id="{FC25E3AD-0577-488D-997C-636C0C0E5D47}">
    <text>25 enero</text>
  </threadedComment>
  <threadedComment ref="AZ11" dT="2024-02-19T20:57:13.65" personId="{1CD6DABC-5DE4-48CB-9FAD-D73A811E17DD}" id="{1EE7CC40-0B08-4696-8AA4-CD2A772D4883}">
    <text>13-feb</text>
  </threadedComment>
  <threadedComment ref="BA11" dT="2024-03-28T00:33:15.99" personId="{1CD6DABC-5DE4-48CB-9FAD-D73A811E17DD}" id="{EA3D471A-0B83-404C-A9DE-E7573BB0B5E7}">
    <text xml:space="preserve">15-3-24
</text>
  </threadedComment>
  <threadedComment ref="BB11" dT="2024-12-27T20:34:03.95" personId="{1CD6DABC-5DE4-48CB-9FAD-D73A811E17DD}" id="{6BE24F89-45E6-4D0C-9EBF-422685A950C6}">
    <text xml:space="preserve">21-mayo
</text>
  </threadedComment>
  <threadedComment ref="BC11" dT="2024-07-30T02:16:53.17" personId="{1CD6DABC-5DE4-48CB-9FAD-D73A811E17DD}" id="{C9A90E92-AC99-4EC0-B361-7FAFDA750254}">
    <text>15-7-24</text>
  </threadedComment>
  <threadedComment ref="BD11" dT="2024-07-30T02:16:53.17" personId="{1CD6DABC-5DE4-48CB-9FAD-D73A811E17DD}" id="{C621EE00-85B1-4E50-88FD-93EFD285C204}">
    <text>15-7-24</text>
  </threadedComment>
  <threadedComment ref="BE11" dT="2024-12-27T20:34:39.94" personId="{1CD6DABC-5DE4-48CB-9FAD-D73A811E17DD}" id="{E597338C-65D9-43DA-8E45-02053F15A2AD}">
    <text>21-agosto</text>
  </threadedComment>
  <threadedComment ref="BF11" dT="2024-12-27T20:34:51.99" personId="{1CD6DABC-5DE4-48CB-9FAD-D73A811E17DD}" id="{75448DB9-8D50-4F6C-B865-2B0D769418C2}">
    <text>18-sept</text>
  </threadedComment>
  <threadedComment ref="BG11" dT="2024-12-27T20:35:04.82" personId="{1CD6DABC-5DE4-48CB-9FAD-D73A811E17DD}" id="{A62121C4-CDB9-4AF2-A52F-2A37DD725521}">
    <text>6-nov</text>
  </threadedComment>
  <threadedComment ref="BH11" dT="2024-12-27T20:35:23.84" personId="{1CD6DABC-5DE4-48CB-9FAD-D73A811E17DD}" id="{86EF18FA-4A6C-4499-B310-013AC30FE293}">
    <text>10-dic</text>
  </threadedComment>
  <threadedComment ref="W12" dT="2022-02-10T22:18:27.03" personId="{1CD6DABC-5DE4-48CB-9FAD-D73A811E17DD}" id="{9BD5BFBD-F08B-4E47-93F9-76932490AA15}">
    <text>10-2-22
consigno sept oct y nov</text>
  </threadedComment>
  <threadedComment ref="X12" dT="2022-02-10T22:18:27.03" personId="{1CD6DABC-5DE4-48CB-9FAD-D73A811E17DD}" id="{8A2D45DB-2089-485A-8DB0-9EB6B297C3C7}">
    <text>10-2-22
consigno sept oct y nov</text>
  </threadedComment>
  <threadedComment ref="Y12" dT="2022-02-10T22:18:27.03" personId="{1CD6DABC-5DE4-48CB-9FAD-D73A811E17DD}" id="{AC34C03F-1A9F-4029-9543-9C74B243E148}">
    <text>10-2-22
consigno sept oct y nov</text>
  </threadedComment>
  <threadedComment ref="Z12" dT="2022-06-10T21:20:38.94" personId="{1CD6DABC-5DE4-48CB-9FAD-D73A811E17DD}" id="{94A5D90A-73EB-4253-9474-E6601EFA8BB1}">
    <text>560 
10-junio-2022
dic ene</text>
  </threadedComment>
  <threadedComment ref="AA12" dT="2022-06-10T21:20:38.94" personId="{1CD6DABC-5DE4-48CB-9FAD-D73A811E17DD}" id="{58A8CE34-4F0B-427D-B823-0A72FA2C9363}">
    <text>560 
10-junio-2022
dic ene</text>
  </threadedComment>
  <threadedComment ref="AB12" dT="2022-08-02T23:42:45.76" personId="{1CD6DABC-5DE4-48CB-9FAD-D73A811E17DD}" id="{879A2717-B44B-4F42-ABB9-2EFD8FB2B90F}">
    <text>2-agosto-2022</text>
  </threadedComment>
  <threadedComment ref="AC12" dT="2022-08-02T23:42:45.76" personId="{1CD6DABC-5DE4-48CB-9FAD-D73A811E17DD}" id="{3DF2C875-F777-4C12-8494-7E9BC9F95D07}">
    <text>2-agosto-2022</text>
  </threadedComment>
  <threadedComment ref="AD12" dT="2022-08-10T21:50:56.84" personId="{1CD6DABC-5DE4-48CB-9FAD-D73A811E17DD}" id="{D4642BFD-2EA1-4AD7-B425-B27B35C50006}">
    <text>10-agosto-2022
1380000
pago abril - mayo - junio - julio 
mantenimiento pc</text>
  </threadedComment>
  <threadedComment ref="AE12" dT="2022-08-10T21:50:56.84" personId="{1CD6DABC-5DE4-48CB-9FAD-D73A811E17DD}" id="{47150782-D806-42AB-9CEE-6FA7E9AD34C9}">
    <text>10-agosto-2022
1380000
pago abril - mayo - junio - julio 
mantenimiento pc</text>
  </threadedComment>
  <threadedComment ref="AF12" dT="2022-08-10T21:50:56.84" personId="{1CD6DABC-5DE4-48CB-9FAD-D73A811E17DD}" id="{C9A84899-0B13-4327-A69F-AE63D8579A5A}">
    <text>10-agosto-2022
1380000
pago abril - mayo - junio - julio 
mantenimiento pc</text>
  </threadedComment>
  <threadedComment ref="AG12" dT="2022-08-10T21:50:56.84" personId="{1CD6DABC-5DE4-48CB-9FAD-D73A811E17DD}" id="{352035CF-EF98-4513-B34E-17AEA265F701}">
    <text>10-agosto-2022
1380000
pago abril - mayo - junio - julio 
mantenimiento pc</text>
  </threadedComment>
  <threadedComment ref="AH12" dT="2022-12-24T22:59:48.28" personId="{1CD6DABC-5DE4-48CB-9FAD-D73A811E17DD}" id="{2DD624EA-6207-4333-8B69-ED05E20C8173}">
    <text>24-12-22 - 840mil</text>
  </threadedComment>
  <threadedComment ref="AI12" dT="2022-12-24T22:59:48.28" personId="{1CD6DABC-5DE4-48CB-9FAD-D73A811E17DD}" id="{696106E1-9A96-47E2-AD06-73BA91E9A7FD}">
    <text>24-12-22 - 840mil</text>
  </threadedComment>
  <threadedComment ref="AJ12" dT="2022-12-24T22:59:48.28" personId="{1CD6DABC-5DE4-48CB-9FAD-D73A811E17DD}" id="{D1F7E232-3636-4F1E-B388-821B929C297D}">
    <text>24-12-22 - 840mil</text>
  </threadedComment>
  <threadedComment ref="AK12" dT="2023-05-16T18:17:02.66" personId="{1CD6DABC-5DE4-48CB-9FAD-D73A811E17DD}" id="{A8F97EAE-8D09-49FD-85DF-3E16E0AA2CC2}">
    <text>16-5-23</text>
  </threadedComment>
  <threadedComment ref="AL12" dT="2023-05-16T18:17:02.66" personId="{1CD6DABC-5DE4-48CB-9FAD-D73A811E17DD}" id="{FA304D85-07AB-4D59-A5BE-6C4045E910C2}">
    <text>16-5-23</text>
  </threadedComment>
  <threadedComment ref="AM12" dT="2023-05-16T18:17:02.66" personId="{1CD6DABC-5DE4-48CB-9FAD-D73A811E17DD}" id="{CEE0FF73-CC87-4A77-B056-5522844FFBF0}">
    <text>16-5-23</text>
  </threadedComment>
  <threadedComment ref="AN12" dT="2024-02-19T16:57:55.72" personId="{1CD6DABC-5DE4-48CB-9FAD-D73A811E17DD}" id="{96C13FC0-187E-4810-B1FE-2CEA714DBDE6}">
    <text>15-feb</text>
  </threadedComment>
  <threadedComment ref="AO12" dT="2024-02-19T16:57:55.72" personId="{1CD6DABC-5DE4-48CB-9FAD-D73A811E17DD}" id="{08B436AE-E8FC-4CD8-85E7-93B6AFAC62ED}">
    <text>15-feb</text>
  </threadedComment>
  <threadedComment ref="AP12" dT="2024-02-19T16:57:55.72" personId="{1CD6DABC-5DE4-48CB-9FAD-D73A811E17DD}" id="{F2EDCDD6-50A5-41A2-8910-26B45330F8ED}">
    <text>15-feb</text>
  </threadedComment>
  <threadedComment ref="AY12" dT="2024-02-19T16:57:55.72" personId="{1CD6DABC-5DE4-48CB-9FAD-D73A811E17DD}" id="{EB1B829D-E801-4501-AB79-5EC7EC5A9D38}">
    <text>15-feb</text>
  </threadedComment>
  <threadedComment ref="AZ12" dT="2024-03-09T19:15:55.62" personId="{1CD6DABC-5DE4-48CB-9FAD-D73A811E17DD}" id="{D049299D-1D6A-41D1-9D72-207E14EF0B84}">
    <text>8-marzo</text>
  </threadedComment>
  <threadedComment ref="BA12" dT="2024-12-17T22:07:02.97" personId="{1CD6DABC-5DE4-48CB-9FAD-D73A811E17DD}" id="{82589CE8-BD0E-4018-9B01-E53495807CAD}">
    <text xml:space="preserve">14-sept
</text>
  </threadedComment>
  <threadedComment ref="BB12" dT="2024-12-17T22:07:02.97" personId="{1CD6DABC-5DE4-48CB-9FAD-D73A811E17DD}" id="{5DD0125A-9EBD-47BB-8124-9E3E8620706F}">
    <text xml:space="preserve">14-sept
</text>
  </threadedComment>
  <threadedComment ref="BC12" dT="2024-12-27T20:23:51.34" personId="{1CD6DABC-5DE4-48CB-9FAD-D73A811E17DD}" id="{0BD37FB4-D6E3-4C8E-A8DF-EE3B1E5EE68D}">
    <text xml:space="preserve">19-dic
Abono 1400
mayo a sept
</text>
  </threadedComment>
  <threadedComment ref="BD12" dT="2024-12-27T20:23:51.34" personId="{1CD6DABC-5DE4-48CB-9FAD-D73A811E17DD}" id="{FE4B60DB-8ED0-4A6B-BBA4-B1A8BE4E3599}">
    <text xml:space="preserve">19-dic
Abono 1400
mayo a sept
</text>
  </threadedComment>
  <threadedComment ref="BE12" dT="2024-12-27T20:23:51.34" personId="{1CD6DABC-5DE4-48CB-9FAD-D73A811E17DD}" id="{2E93BCB5-14E0-4D3E-B75B-2262390F4D72}">
    <text xml:space="preserve">19-dic
Abono 1400
mayo a sept
</text>
  </threadedComment>
  <threadedComment ref="BF12" dT="2024-12-27T20:23:51.34" personId="{1CD6DABC-5DE4-48CB-9FAD-D73A811E17DD}" id="{C462D255-A8B5-4B1B-B651-B45F525DF940}">
    <text xml:space="preserve">19-dic
Abono 1400
mayo a sept
</text>
  </threadedComment>
  <threadedComment ref="BG12" dT="2024-12-27T20:23:51.34" personId="{1CD6DABC-5DE4-48CB-9FAD-D73A811E17DD}" id="{AF4CB89C-678A-4468-8D33-AC896F7BF656}">
    <text xml:space="preserve">19-dic
Abono 1400
mayo a sept
</text>
  </threadedComment>
  <threadedComment ref="BQ12" dT="2025-08-09T21:58:48.77" personId="{1CD6DABC-5DE4-48CB-9FAD-D73A811E17DD}" id="{EDFC86E8-3F39-B640-9086-91AB1FE3D95F}">
    <text>28-julio</text>
  </threadedComment>
  <threadedComment ref="BM13" dT="2025-08-09T22:01:17.20" personId="{1CD6DABC-5DE4-48CB-9FAD-D73A811E17DD}" id="{A9F14EAE-3975-3B4D-AA6A-F711DBEED561}">
    <text>1-abril</text>
  </threadedComment>
  <threadedComment ref="BN13" dT="2025-08-09T22:00:58.56" personId="{1CD6DABC-5DE4-48CB-9FAD-D73A811E17DD}" id="{07179A23-48CC-F64D-B21D-417E90A5D3DF}">
    <text>30-abril</text>
  </threadedComment>
  <threadedComment ref="BO13" dT="2025-08-09T22:00:40.88" personId="{1CD6DABC-5DE4-48CB-9FAD-D73A811E17DD}" id="{A0F07755-1F44-C34C-99E7-4FF661F41695}">
    <text>5-junio</text>
  </threadedComment>
  <threadedComment ref="BP13" dT="2025-08-09T22:00:13.83" personId="{1CD6DABC-5DE4-48CB-9FAD-D73A811E17DD}" id="{96279BA6-8FCF-DF42-937D-7A9970211080}">
    <text xml:space="preserve">360 31-jul
</text>
  </threadedComment>
  <threadedComment ref="BQ13" dT="2025-08-09T22:00:13.83" personId="{1CD6DABC-5DE4-48CB-9FAD-D73A811E17DD}" id="{B6C31FD4-F4C5-8B4E-ADA7-10ECCCCC5351}">
    <text xml:space="preserve">360 31-jul
</text>
  </threadedComment>
  <threadedComment ref="BR13" dT="2026-01-02T18:21:03.17" personId="{1CD6DABC-5DE4-48CB-9FAD-D73A811E17DD}" id="{A60D97EC-08DA-6742-B69D-523EA9F8A775}">
    <text xml:space="preserve">22-oct
</text>
  </threadedComment>
  <threadedComment ref="BS13" dT="2026-01-02T18:21:03.17" personId="{1CD6DABC-5DE4-48CB-9FAD-D73A811E17DD}" id="{5A191C3A-9F2A-784A-BA3D-3CA116DD4A90}">
    <text xml:space="preserve">22-oct
</text>
  </threadedComment>
  <threadedComment ref="BT13" dT="2026-01-02T18:20:30.11" personId="{1CD6DABC-5DE4-48CB-9FAD-D73A811E17DD}" id="{EC50526C-8214-7143-A884-ADD821C250BD}">
    <text>2-dic</text>
  </threadedComment>
  <threadedComment ref="BU13" dT="2026-01-02T18:20:30.11" personId="{1CD6DABC-5DE4-48CB-9FAD-D73A811E17DD}" id="{FEDBDB51-2A49-0940-A7ED-ACA0920D536D}">
    <text>2-dic</text>
  </threadedComment>
  <threadedComment ref="AD16" dT="2022-06-16T02:49:00.76" personId="{1CD6DABC-5DE4-48CB-9FAD-D73A811E17DD}" id="{E06E3986-CF39-4FF7-92E2-5FB0D899FE27}">
    <text>15-6-22</text>
  </threadedComment>
  <threadedComment ref="AE16" dT="2022-06-10T19:40:37.00" personId="{1CD6DABC-5DE4-48CB-9FAD-D73A811E17DD}" id="{8FCD52A1-1356-429F-A97A-4735E37836E2}">
    <text>10-junio-22</text>
  </threadedComment>
  <threadedComment ref="AF16" dT="2022-07-08T21:17:07.53" personId="{1CD6DABC-5DE4-48CB-9FAD-D73A811E17DD}" id="{D8E79C55-13F5-4D25-BA4F-2C041FE5F989}">
    <text xml:space="preserve">5-7-22
</text>
  </threadedComment>
  <threadedComment ref="X19" dT="2022-04-02T02:58:08.11" personId="{1CD6DABC-5DE4-48CB-9FAD-D73A811E17DD}" id="{944D9291-C158-4E85-9BF5-23BBF93002A2}">
    <text>1-4-22</text>
  </threadedComment>
  <threadedComment ref="Y19" dT="2022-04-02T02:58:08.11" personId="{1CD6DABC-5DE4-48CB-9FAD-D73A811E17DD}" id="{68B05654-3AAB-4650-96E9-D9616F3A9AE9}">
    <text>1-4-22</text>
  </threadedComment>
  <threadedComment ref="Z19" dT="2022-04-02T02:58:08.11" personId="{1CD6DABC-5DE4-48CB-9FAD-D73A811E17DD}" id="{4156C02C-C81E-4C23-9D38-786542328D31}">
    <text>1-4-22</text>
  </threadedComment>
  <threadedComment ref="AA19" dT="2022-04-02T02:58:08.11" personId="{1CD6DABC-5DE4-48CB-9FAD-D73A811E17DD}" id="{C1772F80-49F0-41C1-AFFA-D21368F6AE64}">
    <text>1-4-22</text>
  </threadedComment>
  <threadedComment ref="AB19" dT="2022-04-02T02:58:08.11" personId="{1CD6DABC-5DE4-48CB-9FAD-D73A811E17DD}" id="{D56BD32B-5B05-4B81-9004-63CE4C7DEE0B}">
    <text>1-4-22</text>
  </threadedComment>
  <threadedComment ref="AD20" dT="2022-05-05T16:21:14.13" personId="{1CD6DABC-5DE4-48CB-9FAD-D73A811E17DD}" id="{7E8653F7-898D-4205-AC2D-BC1540A8B6EE}">
    <text>3-5-22</text>
  </threadedComment>
  <threadedComment ref="AE20" dT="2022-06-09T23:41:22.89" personId="{1CD6DABC-5DE4-48CB-9FAD-D73A811E17DD}" id="{18A9D49B-595D-4876-9A2B-FACE8D06EE86}">
    <text>6-5-22</text>
  </threadedComment>
  <threadedComment ref="AF20" dT="2022-07-16T17:49:54.54" personId="{1CD6DABC-5DE4-48CB-9FAD-D73A811E17DD}" id="{A99FEB2E-87E9-4B90-8DB9-A0620C8771B7}">
    <text>15-7-22</text>
  </threadedComment>
  <threadedComment ref="Z22" dT="2021-12-19T00:27:13.79" personId="{1CD6DABC-5DE4-48CB-9FAD-D73A811E17DD}" id="{BA15A2B5-93BC-4B28-9CC6-EF360C760E60}">
    <text>18-12-21</text>
  </threadedComment>
  <threadedComment ref="Z22" dT="2021-12-30T02:40:52.84" personId="{1CD6DABC-5DE4-48CB-9FAD-D73A811E17DD}" id="{A28BC2EA-A149-44CA-9CE3-047B5EA8DD55}" parentId="{BA15A2B5-93BC-4B28-9CC6-EF360C760E60}">
    <text>29-12-21 300</text>
  </threadedComment>
  <threadedComment ref="AB22" dT="2022-03-23T02:02:17.58" personId="{1CD6DABC-5DE4-48CB-9FAD-D73A811E17DD}" id="{1F1D8D6C-A77E-4F13-802B-9A9FD513FA3A}">
    <text>me entrego amparo - 15-2-22</text>
  </threadedComment>
  <threadedComment ref="AC22" dT="2022-03-23T02:02:03.35" personId="{1CD6DABC-5DE4-48CB-9FAD-D73A811E17DD}" id="{6A781B82-563A-4DF6-82DF-B75C91680A87}">
    <text>22-3-22, me entrego amparo</text>
  </threadedComment>
  <threadedComment ref="AE22" dT="2022-05-05T14:54:49.01" personId="{1CD6DABC-5DE4-48CB-9FAD-D73A811E17DD}" id="{7A5C3C7E-F6D4-4218-BBA3-28C28D607C0A}">
    <text>3-mayo-22</text>
  </threadedComment>
  <threadedComment ref="AG22" dT="2022-06-29T23:03:02.16" personId="{1CD6DABC-5DE4-48CB-9FAD-D73A811E17DD}" id="{EAA09C20-5C8B-48EC-871F-7C0533B6E8BC}">
    <text>25-JUNIO-22</text>
  </threadedComment>
  <threadedComment ref="AJ22" dT="2022-09-28T23:25:14.99" personId="{1CD6DABC-5DE4-48CB-9FAD-D73A811E17DD}" id="{CCBE1EC5-39DB-4457-8C22-482F78C8A705}">
    <text>28-9-22</text>
  </threadedComment>
  <threadedComment ref="AK22" dT="2022-11-05T22:32:55.57" personId="{1CD6DABC-5DE4-48CB-9FAD-D73A811E17DD}" id="{3020BE7C-9A55-4A07-87F0-A97282AFCB7A}">
    <text>31-oct-22</text>
  </threadedComment>
  <threadedComment ref="AN22" dT="2022-09-28T23:25:14.99" personId="{1CD6DABC-5DE4-48CB-9FAD-D73A811E17DD}" id="{A1EE26CE-986C-46D8-B939-1E4611472899}">
    <text>5-FEB-23</text>
  </threadedComment>
  <threadedComment ref="AO22" dT="2023-03-25T20:19:26.36" personId="{1CD6DABC-5DE4-48CB-9FAD-D73A811E17DD}" id="{BEC46EBD-4FBE-46C9-B750-FCDEE6B4F0CE}">
    <text>25-3-23</text>
  </threadedComment>
  <threadedComment ref="AT22" dT="2023-08-12T02:16:47.63" personId="{1CD6DABC-5DE4-48CB-9FAD-D73A811E17DD}" id="{3A23FB24-9902-4C1B-B99D-6D4B452F18B2}">
    <text>10-8-2023</text>
  </threadedComment>
  <threadedComment ref="Z23" dT="2022-02-26T02:08:11.54" personId="{1CD6DABC-5DE4-48CB-9FAD-D73A811E17DD}" id="{1F3F6CBA-AD20-4F9B-90D7-36AB0E354C60}">
    <text>20-12-21</text>
  </threadedComment>
  <threadedComment ref="AA23" dT="2022-02-26T02:08:01.07" personId="{1CD6DABC-5DE4-48CB-9FAD-D73A811E17DD}" id="{1208D2B4-3A2F-4F43-AC02-ECA5A7F2F0F3}">
    <text>14-1-22</text>
  </threadedComment>
  <threadedComment ref="AB23" dT="2022-02-26T02:07:51.53" personId="{1CD6DABC-5DE4-48CB-9FAD-D73A811E17DD}" id="{0326BA20-8462-4561-9188-2DEC34BBCD04}">
    <text>22-2-22</text>
  </threadedComment>
  <threadedComment ref="AC23" dT="2022-07-11T02:54:32.86" personId="{1CD6DABC-5DE4-48CB-9FAD-D73A811E17DD}" id="{A8380AC9-CE2C-4D21-BE0B-24A5DE4A4945}">
    <text>14-3-22</text>
  </threadedComment>
  <threadedComment ref="AF23" dT="2022-07-11T02:54:11.15" personId="{1CD6DABC-5DE4-48CB-9FAD-D73A811E17DD}" id="{3FA28A70-A437-4944-B845-61C3AF953CCD}">
    <text>17-6-22</text>
  </threadedComment>
  <threadedComment ref="AH23" dT="2022-07-11T02:54:11.15" personId="{1CD6DABC-5DE4-48CB-9FAD-D73A811E17DD}" id="{A4ADF9B7-4481-40DE-924F-26728B994573}">
    <text>1-8-22</text>
  </threadedComment>
  <threadedComment ref="AI23" dT="2022-09-12T19:05:51.38" personId="{1CD6DABC-5DE4-48CB-9FAD-D73A811E17DD}" id="{80E796D1-6AD1-417A-B162-494DA8D88669}">
    <text>12-9-22 abono nequi</text>
  </threadedComment>
  <threadedComment ref="AJ23" dT="2022-12-24T23:02:41.56" personId="{1CD6DABC-5DE4-48CB-9FAD-D73A811E17DD}" id="{BDE80D85-91D6-454E-9B3D-7590D31B89E9}">
    <text>18-10-22</text>
  </threadedComment>
  <threadedComment ref="AK23" dT="2022-12-24T23:02:25.60" personId="{1CD6DABC-5DE4-48CB-9FAD-D73A811E17DD}" id="{61D4A463-2513-4D75-882F-A165D6B0F577}">
    <text>16-11-22</text>
  </threadedComment>
  <threadedComment ref="AL23" dT="2022-12-24T23:03:28.68" personId="{1CD6DABC-5DE4-48CB-9FAD-D73A811E17DD}" id="{6B124C61-9872-4675-912D-8A525692B848}">
    <text>100 en efectivo dic-22</text>
  </threadedComment>
  <threadedComment ref="AM23" dT="2023-02-14T22:35:20.98" personId="{1CD6DABC-5DE4-48CB-9FAD-D73A811E17DD}" id="{08B7A9C0-AAE1-4229-B2F3-FB6F4EACC438}">
    <text>16-ENERO</text>
  </threadedComment>
  <threadedComment ref="AN23" dT="2023-02-14T22:35:37.71" personId="{1CD6DABC-5DE4-48CB-9FAD-D73A811E17DD}" id="{92D2F4BE-0DD3-413A-9C65-B5C505B5814A}">
    <text>13-FEB</text>
  </threadedComment>
  <threadedComment ref="AP23" dT="2023-05-16T21:09:01.53" personId="{1CD6DABC-5DE4-48CB-9FAD-D73A811E17DD}" id="{CD36C2A2-EB92-4694-B738-82818FA1DD48}">
    <text>15-abril-23</text>
  </threadedComment>
  <threadedComment ref="AQ23" dT="2023-05-16T21:09:17.57" personId="{1CD6DABC-5DE4-48CB-9FAD-D73A811E17DD}" id="{115AAEAE-0E41-4F21-98B9-088511E5449C}">
    <text xml:space="preserve">16-mayo-23
</text>
  </threadedComment>
  <threadedComment ref="AR23" dT="2023-06-14T20:44:23.88" personId="{1CD6DABC-5DE4-48CB-9FAD-D73A811E17DD}" id="{6FCAA1CE-B21D-4B7D-B7E7-7E1B7ABB6C64}">
    <text>13-junio-2023</text>
  </threadedComment>
  <threadedComment ref="AS23" dT="2023-08-12T12:28:08.83" personId="{1CD6DABC-5DE4-48CB-9FAD-D73A811E17DD}" id="{5DF7C983-400D-4EBC-A8B7-6AB4E965DC81}">
    <text>18-7-23</text>
  </threadedComment>
  <threadedComment ref="AP25" dT="2023-04-04T23:43:34.10" personId="{1CD6DABC-5DE4-48CB-9FAD-D73A811E17DD}" id="{A0AA14FE-5180-4309-9EC9-22DB9934EA23}">
    <text>3-abril</text>
  </threadedComment>
  <threadedComment ref="AE26" dT="2022-05-06T01:56:19.41" personId="{1CD6DABC-5DE4-48CB-9FAD-D73A811E17DD}" id="{B0C81B9A-EF9D-4C2C-B837-9F17383A5246}">
    <text>5-5-22</text>
  </threadedComment>
  <threadedComment ref="AF26" dT="2022-07-16T19:51:45.15" personId="{1CD6DABC-5DE4-48CB-9FAD-D73A811E17DD}" id="{C938DEBF-A3B8-4B99-AA51-B20CBBC909BC}">
    <text>10-6-22</text>
  </threadedComment>
  <threadedComment ref="AG26" dT="2022-07-16T19:51:53.65" personId="{1CD6DABC-5DE4-48CB-9FAD-D73A811E17DD}" id="{AAE95B6C-204A-4223-A87F-7DB294A8C3D4}">
    <text>10-7-22</text>
  </threadedComment>
  <threadedComment ref="AP27" dT="2023-06-18T23:09:23.13" personId="{1CD6DABC-5DE4-48CB-9FAD-D73A811E17DD}" id="{3B3CD2E9-BA79-4980-B4DA-697F6EB5CA95}">
    <text>15-4-23</text>
  </threadedComment>
  <threadedComment ref="AR27" dT="2023-06-18T23:09:33.05" personId="{1CD6DABC-5DE4-48CB-9FAD-D73A811E17DD}" id="{20AC89C1-F865-4878-9BAA-A2BF0EE0625B}">
    <text>15-6-23</text>
  </threadedComment>
  <threadedComment ref="AD28" dT="2022-04-30T22:56:10.19" personId="{1CD6DABC-5DE4-48CB-9FAD-D73A811E17DD}" id="{A44A0E4E-D843-4FEB-B591-7AF7F77B30CA}">
    <text>30-4-22</text>
  </threadedComment>
  <threadedComment ref="AI28" dT="2022-09-12T03:13:16.42" personId="{1CD6DABC-5DE4-48CB-9FAD-D73A811E17DD}" id="{6BF0F684-B487-46E4-9828-D468DEFF68F1}">
    <text>11-9-22 dio en la iglesia</text>
  </threadedComment>
  <threadedComment ref="AL28" dT="2022-12-24T22:56:56.29" personId="{1CD6DABC-5DE4-48CB-9FAD-D73A811E17DD}" id="{4ADA7C0A-0836-4BD7-AFBB-853260352190}">
    <text>20-12-22</text>
  </threadedComment>
  <threadedComment ref="AS30" dT="2023-08-12T02:31:31.40" personId="{1CD6DABC-5DE4-48CB-9FAD-D73A811E17DD}" id="{02862139-DF6A-4B86-8ED3-1502393FB537}">
    <text>2-agosto-23</text>
  </threadedComment>
  <threadedComment ref="T32" dT="2021-06-30T02:38:09.22" personId="{1CD6DABC-5DE4-48CB-9FAD-D73A811E17DD}" id="{EE910B18-44BF-4091-AC59-ACBD9BCD96EA}">
    <text>29-6-21 trasferencia</text>
  </threadedComment>
  <threadedComment ref="AH32" dT="2022-09-10T02:38:53.15" personId="{1CD6DABC-5DE4-48CB-9FAD-D73A811E17DD}" id="{3D05654A-275A-47CE-8228-9D4E6B88D747}">
    <text>Entrego a brayan en agosto</text>
  </threadedComment>
  <threadedComment ref="AI32" dT="2022-09-10T02:38:40.23" personId="{1CD6DABC-5DE4-48CB-9FAD-D73A811E17DD}" id="{73F6DD2A-5504-4FD0-BFBE-F9FD785DF083}">
    <text>Entrego a diana 9-sept-22</text>
  </threadedComment>
  <threadedComment ref="AI35" dT="2022-09-04T01:39:42.76" personId="{1CD6DABC-5DE4-48CB-9FAD-D73A811E17DD}" id="{B7D329D2-7E19-49C4-8ACD-C70DFF14993F}">
    <text>ABONO 400 EL 3-SEP-22</text>
  </threadedComment>
  <threadedComment ref="AK35" dT="2022-11-16T02:56:20.36" personId="{1CD6DABC-5DE4-48CB-9FAD-D73A811E17DD}" id="{2AEB1CF4-6627-4086-9F7A-8B0B24EAC012}">
    <text>8-NOV</text>
  </threadedComment>
  <threadedComment ref="AL35" dT="2022-12-24T22:57:48.07" personId="{1CD6DABC-5DE4-48CB-9FAD-D73A811E17DD}" id="{4839C28C-CD7D-48DA-A5F4-2D4AC8C29AEB}">
    <text>23-12-22</text>
  </threadedComment>
  <threadedComment ref="AB39" dT="2022-03-01T02:55:50.16" personId="{1CD6DABC-5DE4-48CB-9FAD-D73A811E17DD}" id="{091F9958-9088-4EC6-A917-026F121EB08F}">
    <text>28-2-22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931" dT="2022-11-11T21:00:59.90" personId="{1CD6DABC-5DE4-48CB-9FAD-D73A811E17DD}" id="{ADAF406C-C52B-4258-83DF-233F130BA65C}">
    <text>ing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53" dT="2021-09-24T14:41:51.50" personId="{1CD6DABC-5DE4-48CB-9FAD-D73A811E17DD}" id="{99138B06-E7C3-4126-B4DE-22E08F2ADDDF}">
    <text>24-sept-2021</text>
  </threadedComment>
  <threadedComment ref="C54" dT="2021-11-01T03:14:52.42" personId="{1CD6DABC-5DE4-48CB-9FAD-D73A811E17DD}" id="{686CC861-C0C9-47A9-ACCC-73FE4C306403}">
    <text>se le presto 2millon mas</text>
  </threadedComment>
  <threadedComment ref="G54" dT="2021-11-20T03:27:46.84" personId="{1CD6DABC-5DE4-48CB-9FAD-D73A811E17DD}" id="{BFDDD4B9-C2F6-40C8-9909-83B92E9F8E6D}">
    <text>19-11-21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alperdomo@gmail.com" TargetMode="External"/><Relationship Id="rId2" Type="http://schemas.openxmlformats.org/officeDocument/2006/relationships/hyperlink" Target="mailto:dianaleja0509@hotmail.com" TargetMode="External"/><Relationship Id="rId1" Type="http://schemas.openxmlformats.org/officeDocument/2006/relationships/hyperlink" Target="mailto:juamvi2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R67"/>
  <sheetViews>
    <sheetView zoomScale="125" zoomScaleNormal="130" workbookViewId="0">
      <pane ySplit="1" topLeftCell="A2" activePane="bottomLeft" state="frozen"/>
      <selection activeCell="B1" sqref="B1"/>
      <selection pane="bottomLeft" activeCell="BS11" sqref="BS11"/>
    </sheetView>
  </sheetViews>
  <sheetFormatPr baseColWidth="10" defaultColWidth="10.6640625" defaultRowHeight="15" x14ac:dyDescent="0.2"/>
  <cols>
    <col min="1" max="1" width="23.83203125" customWidth="1"/>
    <col min="2" max="2" width="11.5" style="3" customWidth="1"/>
    <col min="3" max="3" width="11.6640625" style="3" hidden="1" customWidth="1"/>
    <col min="4" max="4" width="10.33203125" style="3" hidden="1" customWidth="1"/>
    <col min="5" max="5" width="10.6640625" style="3" hidden="1" customWidth="1"/>
    <col min="6" max="7" width="11.33203125" style="3" hidden="1" customWidth="1"/>
    <col min="8" max="8" width="12.33203125" style="3" hidden="1" customWidth="1"/>
    <col min="9" max="10" width="11" style="3" hidden="1" customWidth="1"/>
    <col min="11" max="20" width="12" style="3" hidden="1" customWidth="1"/>
    <col min="21" max="21" width="13" style="3" hidden="1" customWidth="1"/>
    <col min="22" max="22" width="12" style="3" hidden="1" customWidth="1"/>
    <col min="23" max="37" width="13.33203125" style="3" hidden="1" customWidth="1"/>
    <col min="38" max="50" width="13.33203125" style="102" hidden="1" customWidth="1"/>
    <col min="51" max="54" width="12.1640625" style="102" hidden="1" customWidth="1"/>
    <col min="55" max="55" width="11.83203125" style="102" hidden="1" customWidth="1"/>
    <col min="56" max="58" width="12.1640625" style="102" hidden="1" customWidth="1"/>
    <col min="59" max="60" width="12.33203125" style="102" hidden="1" customWidth="1"/>
    <col min="61" max="61" width="12.5" style="102" hidden="1" customWidth="1"/>
    <col min="62" max="66" width="13.33203125" style="102" hidden="1" customWidth="1"/>
    <col min="67" max="74" width="13.33203125" style="102" customWidth="1"/>
    <col min="75" max="80" width="11" style="102" customWidth="1"/>
    <col min="81" max="81" width="13.33203125" style="102" customWidth="1"/>
    <col min="82" max="82" width="13" customWidth="1"/>
    <col min="83" max="83" width="6.6640625" style="1" customWidth="1"/>
    <col min="84" max="84" width="5.5" style="1" customWidth="1"/>
    <col min="85" max="85" width="2.6640625" customWidth="1"/>
    <col min="86" max="86" width="4.6640625" customWidth="1"/>
    <col min="87" max="87" width="14.5" customWidth="1"/>
    <col min="88" max="88" width="13" customWidth="1"/>
    <col min="93" max="93" width="37.33203125" bestFit="1" customWidth="1"/>
  </cols>
  <sheetData>
    <row r="1" spans="1:96" x14ac:dyDescent="0.2">
      <c r="A1" s="39" t="s">
        <v>0</v>
      </c>
      <c r="B1" s="40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2</v>
      </c>
      <c r="P1" s="27" t="s">
        <v>3</v>
      </c>
      <c r="Q1" s="27" t="s">
        <v>4</v>
      </c>
      <c r="R1" s="27" t="s">
        <v>5</v>
      </c>
      <c r="S1" s="27" t="s">
        <v>6</v>
      </c>
      <c r="T1" s="27" t="s">
        <v>7</v>
      </c>
      <c r="U1" s="27" t="s">
        <v>8</v>
      </c>
      <c r="V1" s="27" t="s">
        <v>9</v>
      </c>
      <c r="W1" s="27" t="s">
        <v>10</v>
      </c>
      <c r="X1" s="27" t="s">
        <v>11</v>
      </c>
      <c r="Y1" s="27" t="s">
        <v>12</v>
      </c>
      <c r="Z1" s="27" t="s">
        <v>13</v>
      </c>
      <c r="AA1" s="27" t="s">
        <v>2</v>
      </c>
      <c r="AB1" s="27" t="s">
        <v>3</v>
      </c>
      <c r="AC1" s="27" t="s">
        <v>4</v>
      </c>
      <c r="AD1" s="27" t="s">
        <v>5</v>
      </c>
      <c r="AE1" s="27" t="s">
        <v>6</v>
      </c>
      <c r="AF1" s="27" t="s">
        <v>7</v>
      </c>
      <c r="AG1" s="27" t="s">
        <v>8</v>
      </c>
      <c r="AH1" s="27" t="s">
        <v>9</v>
      </c>
      <c r="AI1" s="27" t="s">
        <v>10</v>
      </c>
      <c r="AJ1" s="27" t="s">
        <v>11</v>
      </c>
      <c r="AK1" s="27" t="s">
        <v>12</v>
      </c>
      <c r="AL1" s="108" t="s">
        <v>13</v>
      </c>
      <c r="AM1" s="108" t="s">
        <v>2</v>
      </c>
      <c r="AN1" s="108" t="s">
        <v>3</v>
      </c>
      <c r="AO1" s="108" t="s">
        <v>4</v>
      </c>
      <c r="AP1" s="108" t="s">
        <v>5</v>
      </c>
      <c r="AQ1" s="108" t="s">
        <v>6</v>
      </c>
      <c r="AR1" s="108" t="s">
        <v>7</v>
      </c>
      <c r="AS1" s="108" t="s">
        <v>8</v>
      </c>
      <c r="AT1" s="108" t="s">
        <v>9</v>
      </c>
      <c r="AU1" s="108" t="s">
        <v>10</v>
      </c>
      <c r="AV1" s="108" t="s">
        <v>11</v>
      </c>
      <c r="AW1" s="108" t="s">
        <v>12</v>
      </c>
      <c r="AX1" s="108" t="s">
        <v>13</v>
      </c>
      <c r="AY1" s="150" t="s">
        <v>2</v>
      </c>
      <c r="AZ1" s="150" t="s">
        <v>3</v>
      </c>
      <c r="BA1" s="150" t="s">
        <v>4</v>
      </c>
      <c r="BB1" s="150" t="s">
        <v>5</v>
      </c>
      <c r="BC1" s="150" t="s">
        <v>6</v>
      </c>
      <c r="BD1" s="150" t="s">
        <v>7</v>
      </c>
      <c r="BE1" s="150" t="s">
        <v>8</v>
      </c>
      <c r="BF1" s="150" t="s">
        <v>9</v>
      </c>
      <c r="BG1" s="150" t="s">
        <v>10</v>
      </c>
      <c r="BH1" s="150" t="s">
        <v>11</v>
      </c>
      <c r="BI1" s="150" t="s">
        <v>12</v>
      </c>
      <c r="BJ1" s="150" t="s">
        <v>13</v>
      </c>
      <c r="BK1" s="150" t="s">
        <v>2</v>
      </c>
      <c r="BL1" s="150" t="s">
        <v>3</v>
      </c>
      <c r="BM1" s="150" t="s">
        <v>4</v>
      </c>
      <c r="BN1" s="150" t="s">
        <v>5</v>
      </c>
      <c r="BO1" s="208" t="s">
        <v>6</v>
      </c>
      <c r="BP1" s="150" t="s">
        <v>7</v>
      </c>
      <c r="BQ1" s="150" t="s">
        <v>8</v>
      </c>
      <c r="BR1" s="150" t="s">
        <v>9</v>
      </c>
      <c r="BS1" s="150" t="s">
        <v>10</v>
      </c>
      <c r="BT1" s="150" t="s">
        <v>11</v>
      </c>
      <c r="BU1" s="150" t="s">
        <v>12</v>
      </c>
      <c r="BV1" s="150" t="s">
        <v>13</v>
      </c>
      <c r="BW1" s="150" t="s">
        <v>2</v>
      </c>
      <c r="BX1" s="150" t="s">
        <v>3</v>
      </c>
      <c r="BY1" s="150" t="s">
        <v>4</v>
      </c>
      <c r="BZ1" s="150" t="s">
        <v>5</v>
      </c>
      <c r="CA1" s="150" t="s">
        <v>6</v>
      </c>
      <c r="CB1" s="150" t="s">
        <v>7</v>
      </c>
      <c r="CC1" s="208"/>
      <c r="CD1" s="151" t="s">
        <v>14</v>
      </c>
      <c r="CE1" s="151" t="s">
        <v>15</v>
      </c>
      <c r="CF1" s="157"/>
      <c r="CI1" s="28" t="s">
        <v>16</v>
      </c>
      <c r="CJ1" s="28" t="s">
        <v>1</v>
      </c>
      <c r="CN1" s="3"/>
    </row>
    <row r="2" spans="1:96" x14ac:dyDescent="0.2">
      <c r="A2" s="41" t="s">
        <v>17</v>
      </c>
      <c r="B2" s="40">
        <v>1000000</v>
      </c>
      <c r="C2" s="13">
        <v>1113000</v>
      </c>
      <c r="D2" s="13">
        <v>1588000</v>
      </c>
      <c r="E2" s="13">
        <v>1732000</v>
      </c>
      <c r="F2" s="13">
        <v>1422000</v>
      </c>
      <c r="G2" s="13">
        <v>1000000</v>
      </c>
      <c r="H2" s="13">
        <v>1000000</v>
      </c>
      <c r="I2" s="13">
        <v>1500000</v>
      </c>
      <c r="J2" s="13">
        <v>1800000</v>
      </c>
      <c r="K2" s="13">
        <v>3100000</v>
      </c>
      <c r="L2" s="13">
        <v>2708500</v>
      </c>
      <c r="M2" s="13">
        <v>2800000</v>
      </c>
      <c r="N2" s="13">
        <v>2553300</v>
      </c>
      <c r="O2" s="13">
        <v>3033000</v>
      </c>
      <c r="P2" s="13">
        <v>3500000</v>
      </c>
      <c r="Q2" s="13">
        <v>2500000</v>
      </c>
      <c r="R2" s="13">
        <v>3740000</v>
      </c>
      <c r="S2" s="13">
        <v>2500000</v>
      </c>
      <c r="T2" s="13">
        <v>3050000</v>
      </c>
      <c r="U2" s="13">
        <v>4890000</v>
      </c>
      <c r="V2" s="13">
        <v>4000000</v>
      </c>
      <c r="W2" s="13">
        <v>3800000</v>
      </c>
      <c r="X2" s="13">
        <v>4000000</v>
      </c>
      <c r="Y2" s="13">
        <v>3750000</v>
      </c>
      <c r="Z2" s="13">
        <v>4500000</v>
      </c>
      <c r="AA2" s="13">
        <v>6000000</v>
      </c>
      <c r="AB2" s="13">
        <v>4700000</v>
      </c>
      <c r="AC2" s="13">
        <v>5000000</v>
      </c>
      <c r="AD2" s="13">
        <v>5000000</v>
      </c>
      <c r="AE2" s="13">
        <v>4000000</v>
      </c>
      <c r="AF2" s="13">
        <v>5500000</v>
      </c>
      <c r="AG2" s="13">
        <v>3800000</v>
      </c>
      <c r="AH2" s="13">
        <v>4500000</v>
      </c>
      <c r="AI2" s="13">
        <v>5000000</v>
      </c>
      <c r="AJ2" s="13">
        <v>4500000</v>
      </c>
      <c r="AK2" s="13">
        <v>7000000</v>
      </c>
      <c r="AL2" s="13">
        <v>10000000</v>
      </c>
      <c r="AM2" s="13">
        <v>6000000</v>
      </c>
      <c r="AN2" s="13">
        <v>6800000</v>
      </c>
      <c r="AO2" s="13">
        <v>7000000</v>
      </c>
      <c r="AP2" s="109">
        <v>8000000</v>
      </c>
      <c r="AQ2" s="109">
        <v>5500000</v>
      </c>
      <c r="AR2" s="168">
        <v>7000000</v>
      </c>
      <c r="AS2" s="168">
        <v>7000000</v>
      </c>
      <c r="AT2" s="168">
        <v>7000000</v>
      </c>
      <c r="AU2" s="168">
        <v>7000000</v>
      </c>
      <c r="AV2" s="169">
        <v>10000000</v>
      </c>
      <c r="AW2" s="168">
        <v>8000000</v>
      </c>
      <c r="AX2" s="170">
        <v>10000000</v>
      </c>
      <c r="AY2" s="150">
        <v>5000000</v>
      </c>
      <c r="AZ2" s="150">
        <v>7000000</v>
      </c>
      <c r="BA2" s="150">
        <v>6000000</v>
      </c>
      <c r="BB2" s="150">
        <v>6470000</v>
      </c>
      <c r="BC2" s="150">
        <v>5500000</v>
      </c>
      <c r="BD2" s="150">
        <v>4700000</v>
      </c>
      <c r="BE2" s="150">
        <v>8000000</v>
      </c>
      <c r="BF2" s="150">
        <v>6200000</v>
      </c>
      <c r="BG2" s="150">
        <v>6000000</v>
      </c>
      <c r="BH2" s="150">
        <v>7000000</v>
      </c>
      <c r="BI2" s="150">
        <v>5000000</v>
      </c>
      <c r="BJ2" s="150">
        <v>7000000</v>
      </c>
      <c r="BK2" s="150">
        <v>5000000</v>
      </c>
      <c r="BL2" s="150">
        <v>7000000</v>
      </c>
      <c r="BM2" s="150">
        <v>6000000</v>
      </c>
      <c r="BN2" s="150">
        <v>5700000</v>
      </c>
      <c r="BO2" s="150">
        <v>6500000</v>
      </c>
      <c r="BP2" s="150">
        <v>5000000</v>
      </c>
      <c r="BQ2" s="150">
        <v>7500000</v>
      </c>
      <c r="BR2" s="150">
        <v>6000000</v>
      </c>
      <c r="BS2" s="150">
        <v>9000000</v>
      </c>
      <c r="BT2" s="150">
        <v>4500000</v>
      </c>
      <c r="BU2" s="150">
        <v>4500000</v>
      </c>
      <c r="BV2" s="150">
        <v>6000000</v>
      </c>
      <c r="BW2" s="208">
        <v>5600000</v>
      </c>
      <c r="BX2" s="208">
        <v>4500000</v>
      </c>
      <c r="BY2" s="208">
        <v>7000000</v>
      </c>
      <c r="BZ2" s="208">
        <v>6000000</v>
      </c>
      <c r="CA2" s="208">
        <v>7000000</v>
      </c>
      <c r="CB2" s="208"/>
      <c r="CC2" s="208"/>
      <c r="CD2" s="21"/>
      <c r="CE2" s="156"/>
      <c r="CF2" s="22"/>
      <c r="CI2" s="25" t="s">
        <v>18</v>
      </c>
      <c r="CJ2" s="13">
        <v>700000</v>
      </c>
      <c r="CN2" s="3"/>
    </row>
    <row r="3" spans="1:96" x14ac:dyDescent="0.2">
      <c r="A3" s="233" t="s">
        <v>4226</v>
      </c>
      <c r="B3" s="234">
        <v>3500000</v>
      </c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5"/>
      <c r="S3" s="235"/>
      <c r="T3" s="235"/>
      <c r="U3" s="235"/>
      <c r="V3" s="235"/>
      <c r="W3" s="235"/>
      <c r="X3" s="235"/>
      <c r="Y3" s="235"/>
      <c r="Z3" s="235"/>
      <c r="AA3" s="235"/>
      <c r="AB3" s="235"/>
      <c r="AC3" s="235"/>
      <c r="AD3" s="235"/>
      <c r="AE3" s="235"/>
      <c r="AF3" s="235"/>
      <c r="AG3" s="235"/>
      <c r="AH3" s="235"/>
      <c r="AI3" s="235"/>
      <c r="AJ3" s="235"/>
      <c r="AK3" s="235"/>
      <c r="AL3" s="235"/>
      <c r="AM3" s="235"/>
      <c r="AN3" s="235"/>
      <c r="AO3" s="235"/>
      <c r="AP3" s="196"/>
      <c r="AQ3" s="196"/>
      <c r="AR3" s="255"/>
      <c r="AS3" s="255"/>
      <c r="AT3" s="255"/>
      <c r="AU3" s="255"/>
      <c r="AV3" s="256"/>
      <c r="AW3" s="255"/>
      <c r="AX3" s="170"/>
      <c r="AY3" s="208"/>
      <c r="AZ3" s="208"/>
      <c r="BA3" s="208"/>
      <c r="BB3" s="208"/>
      <c r="BC3" s="208"/>
      <c r="BD3" s="208"/>
      <c r="BE3" s="208"/>
      <c r="BF3" s="208"/>
      <c r="BG3" s="208"/>
      <c r="BH3" s="208"/>
      <c r="BI3" s="208"/>
      <c r="BJ3" s="208"/>
      <c r="BK3" s="208">
        <v>0</v>
      </c>
      <c r="BL3" s="208">
        <v>0</v>
      </c>
      <c r="BM3" s="208">
        <v>3700000</v>
      </c>
      <c r="BN3" s="208">
        <v>3996000</v>
      </c>
      <c r="BO3" s="208">
        <v>3848000</v>
      </c>
      <c r="BP3" s="208">
        <v>3878000</v>
      </c>
      <c r="BQ3" s="208">
        <v>3992000</v>
      </c>
      <c r="BR3" s="150">
        <v>4188000</v>
      </c>
      <c r="BS3" s="150">
        <v>4133000</v>
      </c>
      <c r="BT3" s="150">
        <v>4506000</v>
      </c>
      <c r="BU3" s="150">
        <v>4391000</v>
      </c>
      <c r="BV3" s="150">
        <v>4314000</v>
      </c>
      <c r="BW3" s="208"/>
      <c r="BX3" s="208"/>
      <c r="BY3" s="208"/>
      <c r="BZ3" s="208"/>
      <c r="CA3" s="208"/>
      <c r="CB3" s="208"/>
      <c r="CC3" s="208"/>
      <c r="CD3" s="213"/>
      <c r="CE3" s="236"/>
      <c r="CF3" s="237"/>
      <c r="CI3" s="238"/>
      <c r="CJ3" s="235"/>
      <c r="CN3" s="3"/>
    </row>
    <row r="4" spans="1:96" x14ac:dyDescent="0.2">
      <c r="A4" s="41" t="s">
        <v>19</v>
      </c>
      <c r="B4" s="40">
        <v>0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2550000</v>
      </c>
      <c r="N4" s="13">
        <v>2500000</v>
      </c>
      <c r="O4" s="13">
        <v>2500000</v>
      </c>
      <c r="P4" s="13">
        <v>650000</v>
      </c>
      <c r="Q4" s="13">
        <v>1500000</v>
      </c>
      <c r="R4" s="13">
        <v>700000</v>
      </c>
      <c r="S4" s="13">
        <v>1150000</v>
      </c>
      <c r="T4" s="13">
        <v>2000000</v>
      </c>
      <c r="U4" s="13">
        <v>2250000</v>
      </c>
      <c r="V4" s="13">
        <v>2500000</v>
      </c>
      <c r="W4" s="13">
        <v>2500000</v>
      </c>
      <c r="X4" s="13">
        <v>2500000</v>
      </c>
      <c r="Y4" s="13">
        <v>2500000</v>
      </c>
      <c r="Z4" s="13">
        <v>2500000</v>
      </c>
      <c r="AA4" s="13">
        <v>2000000</v>
      </c>
      <c r="AB4" s="13">
        <v>2000000</v>
      </c>
      <c r="AC4" s="13">
        <v>2000000</v>
      </c>
      <c r="AD4" s="13">
        <v>2000000</v>
      </c>
      <c r="AE4" s="13">
        <v>2000000</v>
      </c>
      <c r="AF4" s="13">
        <v>2500000</v>
      </c>
      <c r="AG4" s="13">
        <v>2500000</v>
      </c>
      <c r="AH4" s="13">
        <v>2500000</v>
      </c>
      <c r="AI4" s="13">
        <v>2500000</v>
      </c>
      <c r="AJ4" s="13">
        <v>2200000</v>
      </c>
      <c r="AK4" s="13">
        <v>2500000</v>
      </c>
      <c r="AL4" s="13">
        <v>2500000</v>
      </c>
      <c r="AM4" s="13">
        <v>2500000</v>
      </c>
      <c r="AN4" s="13">
        <v>2000000</v>
      </c>
      <c r="AO4" s="13">
        <v>2000000</v>
      </c>
      <c r="AP4" s="13">
        <v>2000000</v>
      </c>
      <c r="AQ4" s="13">
        <v>2000000</v>
      </c>
      <c r="AR4" s="13">
        <v>2000000</v>
      </c>
      <c r="AS4" s="13">
        <v>2000000</v>
      </c>
      <c r="AT4" s="13">
        <v>2000000</v>
      </c>
      <c r="AU4" s="13">
        <v>2000000</v>
      </c>
      <c r="AV4" s="13">
        <v>2500000</v>
      </c>
      <c r="AW4" s="13">
        <v>2500000</v>
      </c>
      <c r="AX4" s="13">
        <v>2500000</v>
      </c>
      <c r="AY4" s="150">
        <v>2500000</v>
      </c>
      <c r="AZ4" s="150">
        <v>3000000</v>
      </c>
      <c r="BA4" s="150">
        <v>3000000</v>
      </c>
      <c r="BB4" s="151">
        <v>2500000</v>
      </c>
      <c r="BC4" s="151">
        <v>2000000</v>
      </c>
      <c r="BD4" s="151">
        <v>1100000</v>
      </c>
      <c r="BE4" s="151">
        <v>1400000</v>
      </c>
      <c r="BF4" s="151">
        <v>1300000</v>
      </c>
      <c r="BG4" s="151">
        <v>1500000</v>
      </c>
      <c r="BH4" s="151">
        <v>1500000</v>
      </c>
      <c r="BI4" s="151">
        <v>1500000</v>
      </c>
      <c r="BJ4" s="151">
        <v>1500000</v>
      </c>
      <c r="BK4" s="151">
        <v>1500000</v>
      </c>
      <c r="BL4" s="151">
        <v>2000000</v>
      </c>
      <c r="BM4" s="151">
        <v>1000000</v>
      </c>
      <c r="BN4" s="151">
        <v>2000000</v>
      </c>
      <c r="BO4" s="151">
        <v>2000000</v>
      </c>
      <c r="BP4" s="151">
        <v>2000000</v>
      </c>
      <c r="BQ4" s="151">
        <v>2000000</v>
      </c>
      <c r="BR4" s="151">
        <v>1750000</v>
      </c>
      <c r="BS4" s="151">
        <v>2000000</v>
      </c>
      <c r="BT4" s="151">
        <v>2000000</v>
      </c>
      <c r="BU4" s="151">
        <v>2000000</v>
      </c>
      <c r="BV4" s="221"/>
      <c r="BW4" s="221"/>
      <c r="BX4" s="221"/>
      <c r="BY4" s="221"/>
      <c r="BZ4" s="221"/>
      <c r="CA4" s="221"/>
      <c r="CB4" s="221"/>
      <c r="CC4" s="221"/>
      <c r="CD4" s="21"/>
      <c r="CE4" s="156"/>
      <c r="CF4" s="22"/>
      <c r="CI4" s="25" t="s">
        <v>20</v>
      </c>
      <c r="CJ4" s="13">
        <v>500000</v>
      </c>
      <c r="CN4" s="3"/>
    </row>
    <row r="5" spans="1:96" x14ac:dyDescent="0.2">
      <c r="A5" s="41" t="s">
        <v>21</v>
      </c>
      <c r="B5" s="40">
        <v>0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>
        <v>0</v>
      </c>
      <c r="AW5" s="13">
        <v>0</v>
      </c>
      <c r="AX5" s="13">
        <v>0</v>
      </c>
      <c r="AY5" s="150">
        <v>0</v>
      </c>
      <c r="AZ5" s="150">
        <v>0</v>
      </c>
      <c r="BA5" s="150">
        <v>0</v>
      </c>
      <c r="BB5" s="151">
        <v>0</v>
      </c>
      <c r="BC5" s="151">
        <v>0</v>
      </c>
      <c r="BD5" s="151">
        <v>1400000</v>
      </c>
      <c r="BE5" s="151">
        <v>1500000</v>
      </c>
      <c r="BF5" s="151">
        <v>1600000</v>
      </c>
      <c r="BG5" s="151">
        <v>1700000</v>
      </c>
      <c r="BH5" s="151">
        <v>2000000</v>
      </c>
      <c r="BI5" s="151">
        <v>3000000</v>
      </c>
      <c r="BJ5" s="151">
        <v>2500000</v>
      </c>
      <c r="BK5" s="151">
        <v>1500000</v>
      </c>
      <c r="BL5" s="151">
        <v>0</v>
      </c>
      <c r="BM5" s="151">
        <v>3000000</v>
      </c>
      <c r="BN5" s="151">
        <v>2500000</v>
      </c>
      <c r="BO5" s="151">
        <v>2000000</v>
      </c>
      <c r="BP5" s="208">
        <v>0</v>
      </c>
      <c r="BQ5" s="151">
        <v>1500000</v>
      </c>
      <c r="BR5" s="151">
        <v>2000000</v>
      </c>
      <c r="BS5" s="151">
        <v>1300000</v>
      </c>
      <c r="BT5" s="151">
        <v>2000000</v>
      </c>
      <c r="BU5" s="151">
        <v>1400000</v>
      </c>
      <c r="BV5" s="221"/>
      <c r="BW5" s="221"/>
      <c r="BX5" s="221"/>
      <c r="BY5" s="221"/>
      <c r="BZ5" s="221"/>
      <c r="CA5" s="221"/>
      <c r="CB5" s="221"/>
      <c r="CC5" s="221"/>
      <c r="CD5" s="21"/>
      <c r="CE5" s="156"/>
      <c r="CF5" s="22"/>
      <c r="CI5" s="25"/>
      <c r="CJ5" s="13"/>
      <c r="CN5" s="3"/>
    </row>
    <row r="6" spans="1:96" hidden="1" x14ac:dyDescent="0.2">
      <c r="A6" s="41" t="s">
        <v>22</v>
      </c>
      <c r="B6" s="40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10">
        <v>685000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27"/>
      <c r="AW6" s="127"/>
      <c r="AX6" s="127"/>
      <c r="AY6" s="127"/>
      <c r="AZ6" s="127"/>
      <c r="BA6" s="127"/>
      <c r="BB6" s="151">
        <v>2000000</v>
      </c>
      <c r="BC6" s="127"/>
      <c r="BD6" s="127"/>
      <c r="BE6" s="127"/>
      <c r="BF6" s="127"/>
      <c r="BG6" s="127"/>
      <c r="BH6" s="127"/>
      <c r="BI6" s="127"/>
      <c r="BJ6" s="127"/>
      <c r="BK6" s="221"/>
      <c r="BL6" s="221"/>
      <c r="BM6" s="221"/>
      <c r="BN6" s="221"/>
      <c r="BO6" s="221"/>
      <c r="BP6" s="221"/>
      <c r="BQ6" s="221"/>
      <c r="BR6" s="221"/>
      <c r="BS6" s="221"/>
      <c r="BT6" s="221"/>
      <c r="BU6" s="221"/>
      <c r="BV6" s="221"/>
      <c r="BW6" s="221"/>
      <c r="BX6" s="221"/>
      <c r="BY6" s="221"/>
      <c r="BZ6" s="221"/>
      <c r="CA6" s="221"/>
      <c r="CB6" s="221"/>
      <c r="CC6" s="221"/>
      <c r="CD6" s="21"/>
      <c r="CE6" s="156"/>
      <c r="CF6" s="22"/>
      <c r="CI6" s="25"/>
      <c r="CJ6" s="13"/>
      <c r="CN6" s="3"/>
    </row>
    <row r="7" spans="1:96" x14ac:dyDescent="0.2">
      <c r="A7" s="233" t="s">
        <v>4074</v>
      </c>
      <c r="B7" s="234"/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235"/>
      <c r="P7" s="235"/>
      <c r="Q7" s="235"/>
      <c r="R7" s="235"/>
      <c r="S7" s="235"/>
      <c r="T7" s="235"/>
      <c r="U7" s="235"/>
      <c r="V7" s="235"/>
      <c r="W7" s="235"/>
      <c r="X7" s="235"/>
      <c r="Y7" s="235"/>
      <c r="Z7" s="235"/>
      <c r="AA7" s="235"/>
      <c r="AB7" s="235"/>
      <c r="AC7" s="235"/>
      <c r="AD7" s="235"/>
      <c r="AE7" s="235"/>
      <c r="AF7" s="235"/>
      <c r="AG7" s="235"/>
      <c r="AH7" s="235"/>
      <c r="AI7" s="235"/>
      <c r="AJ7" s="235"/>
      <c r="AK7" s="235"/>
      <c r="AL7" s="235"/>
      <c r="AM7" s="235"/>
      <c r="AN7" s="198"/>
      <c r="AO7" s="235"/>
      <c r="AP7" s="235"/>
      <c r="AQ7" s="235"/>
      <c r="AR7" s="235"/>
      <c r="AS7" s="235"/>
      <c r="AT7" s="235"/>
      <c r="AU7" s="235"/>
      <c r="AV7" s="221"/>
      <c r="AW7" s="221"/>
      <c r="AX7" s="221"/>
      <c r="AY7" s="221"/>
      <c r="AZ7" s="221"/>
      <c r="BA7" s="221"/>
      <c r="BB7" s="215"/>
      <c r="BC7" s="221"/>
      <c r="BD7" s="221"/>
      <c r="BE7" s="221"/>
      <c r="BF7" s="221"/>
      <c r="BG7" s="221"/>
      <c r="BH7" s="221"/>
      <c r="BI7" s="221"/>
      <c r="BJ7" s="221"/>
      <c r="BK7" s="221"/>
      <c r="BL7" s="151">
        <v>2470000</v>
      </c>
      <c r="BM7" s="151">
        <v>2470000</v>
      </c>
      <c r="BN7" s="151">
        <v>2470000</v>
      </c>
      <c r="BO7" s="151">
        <v>2470000</v>
      </c>
      <c r="BP7" s="151">
        <v>2470000</v>
      </c>
      <c r="BQ7" s="151">
        <v>2470000</v>
      </c>
      <c r="BR7" s="151">
        <v>2470000</v>
      </c>
      <c r="BS7" s="151">
        <v>0</v>
      </c>
      <c r="BT7" s="151">
        <v>0</v>
      </c>
      <c r="BU7" s="151">
        <v>0</v>
      </c>
      <c r="BV7" s="151">
        <v>28000000</v>
      </c>
      <c r="BW7" s="215"/>
      <c r="BX7" s="215"/>
      <c r="BY7" s="215"/>
      <c r="BZ7" s="215"/>
      <c r="CA7" s="215"/>
      <c r="CB7" s="215"/>
      <c r="CC7" s="215"/>
      <c r="CD7" s="213"/>
      <c r="CE7" s="236"/>
      <c r="CF7" s="237"/>
      <c r="CI7" s="238"/>
      <c r="CJ7" s="235"/>
      <c r="CN7" s="3"/>
    </row>
    <row r="8" spans="1:96" x14ac:dyDescent="0.2">
      <c r="A8" s="41" t="s">
        <v>23</v>
      </c>
      <c r="B8" s="40">
        <v>800000</v>
      </c>
      <c r="C8" s="13">
        <v>1000000</v>
      </c>
      <c r="D8" s="13">
        <v>1000000</v>
      </c>
      <c r="E8" s="13">
        <v>1000000</v>
      </c>
      <c r="F8" s="13">
        <v>1000000</v>
      </c>
      <c r="G8" s="13">
        <v>500000</v>
      </c>
      <c r="H8" s="13">
        <v>500000</v>
      </c>
      <c r="I8" s="13">
        <v>500000</v>
      </c>
      <c r="J8" s="13">
        <v>500000</v>
      </c>
      <c r="K8" s="13">
        <v>500000</v>
      </c>
      <c r="L8" s="13">
        <v>500000</v>
      </c>
      <c r="M8" s="13">
        <v>500000</v>
      </c>
      <c r="N8" s="13">
        <v>500000</v>
      </c>
      <c r="O8" s="13">
        <v>500000</v>
      </c>
      <c r="P8" s="13">
        <v>500000</v>
      </c>
      <c r="Q8" s="13">
        <v>500000</v>
      </c>
      <c r="R8" s="13">
        <v>500000</v>
      </c>
      <c r="S8" s="13">
        <v>500000</v>
      </c>
      <c r="T8" s="13">
        <v>500000</v>
      </c>
      <c r="U8" s="13">
        <v>500000</v>
      </c>
      <c r="V8" s="13">
        <v>500000</v>
      </c>
      <c r="W8" s="13">
        <v>500000</v>
      </c>
      <c r="X8" s="13">
        <v>500000</v>
      </c>
      <c r="Y8" s="13">
        <v>500000</v>
      </c>
      <c r="Z8" s="13">
        <v>500000</v>
      </c>
      <c r="AA8" s="13">
        <v>1000000</v>
      </c>
      <c r="AB8" s="13">
        <v>1000000</v>
      </c>
      <c r="AC8" s="13">
        <v>1000000</v>
      </c>
      <c r="AD8" s="13">
        <v>1000000</v>
      </c>
      <c r="AE8" s="13">
        <v>1000000</v>
      </c>
      <c r="AF8" s="13">
        <v>1000000</v>
      </c>
      <c r="AG8" s="13">
        <v>1000000</v>
      </c>
      <c r="AH8" s="13">
        <v>1000000</v>
      </c>
      <c r="AI8" s="13">
        <v>1000000</v>
      </c>
      <c r="AJ8" s="13">
        <v>1000000</v>
      </c>
      <c r="AK8" s="13">
        <v>1000000</v>
      </c>
      <c r="AL8" s="13">
        <v>1000000</v>
      </c>
      <c r="AM8" s="13">
        <v>1000000</v>
      </c>
      <c r="AN8" s="13">
        <v>1000000</v>
      </c>
      <c r="AO8" s="13">
        <v>1000000</v>
      </c>
      <c r="AP8" s="13">
        <v>1000000</v>
      </c>
      <c r="AQ8" s="13">
        <v>1000000</v>
      </c>
      <c r="AR8" s="13">
        <v>1000000</v>
      </c>
      <c r="AS8" s="13">
        <v>1000000</v>
      </c>
      <c r="AT8" s="13">
        <v>1000000</v>
      </c>
      <c r="AU8" s="13">
        <v>1000000</v>
      </c>
      <c r="AV8" s="13">
        <v>1000000</v>
      </c>
      <c r="AW8" s="13">
        <v>1000000</v>
      </c>
      <c r="AX8" s="13">
        <v>1000000</v>
      </c>
      <c r="AY8" s="151">
        <v>2000000</v>
      </c>
      <c r="AZ8" s="151">
        <v>2000000</v>
      </c>
      <c r="BA8" s="151">
        <v>2000000</v>
      </c>
      <c r="BB8" s="151">
        <v>2000000</v>
      </c>
      <c r="BC8" s="151">
        <v>2000000</v>
      </c>
      <c r="BD8" s="151">
        <v>2000000</v>
      </c>
      <c r="BE8" s="151">
        <v>2000000</v>
      </c>
      <c r="BF8" s="151">
        <v>2000000</v>
      </c>
      <c r="BG8" s="151">
        <v>2000000</v>
      </c>
      <c r="BH8" s="151">
        <v>2000000</v>
      </c>
      <c r="BI8" s="151">
        <v>2000000</v>
      </c>
      <c r="BJ8" s="151">
        <v>2000000</v>
      </c>
      <c r="BK8" s="151">
        <v>2000000</v>
      </c>
      <c r="BL8" s="151">
        <v>2000000</v>
      </c>
      <c r="BM8" s="151">
        <v>2000000</v>
      </c>
      <c r="BN8" s="151">
        <v>2000000</v>
      </c>
      <c r="BO8" s="151">
        <v>2000000</v>
      </c>
      <c r="BP8" s="151">
        <v>2000000</v>
      </c>
      <c r="BQ8" s="151">
        <v>2000000</v>
      </c>
      <c r="BR8" s="151">
        <v>2000000</v>
      </c>
      <c r="BS8" s="151">
        <v>2000000</v>
      </c>
      <c r="BT8" s="151">
        <v>2000000</v>
      </c>
      <c r="BU8" s="151">
        <v>2000000</v>
      </c>
      <c r="BV8" s="151">
        <v>2000000</v>
      </c>
      <c r="BW8" s="215"/>
      <c r="BX8" s="215"/>
      <c r="BY8" s="215"/>
      <c r="BZ8" s="215"/>
      <c r="CA8" s="215"/>
      <c r="CB8" s="215"/>
      <c r="CC8" s="215"/>
      <c r="CD8" s="21"/>
      <c r="CE8" s="22"/>
      <c r="CF8" s="22"/>
      <c r="CI8" s="25" t="s">
        <v>24</v>
      </c>
      <c r="CJ8" s="13">
        <v>600000</v>
      </c>
      <c r="CN8" s="3"/>
    </row>
    <row r="9" spans="1:96" hidden="1" x14ac:dyDescent="0.2">
      <c r="A9" s="41" t="s">
        <v>25</v>
      </c>
      <c r="B9" s="40">
        <v>500000</v>
      </c>
      <c r="C9" s="34">
        <v>-500000</v>
      </c>
      <c r="D9" s="13">
        <v>525000</v>
      </c>
      <c r="E9" s="13">
        <v>160000</v>
      </c>
      <c r="F9" s="13">
        <v>270000</v>
      </c>
      <c r="G9" s="46">
        <v>-200000</v>
      </c>
      <c r="H9" s="46">
        <v>-72000</v>
      </c>
      <c r="I9" s="13">
        <v>136000</v>
      </c>
      <c r="J9" s="13">
        <v>422000</v>
      </c>
      <c r="K9" s="13">
        <v>400000</v>
      </c>
      <c r="L9" s="13">
        <v>283000</v>
      </c>
      <c r="M9" s="46">
        <v>-382000</v>
      </c>
      <c r="N9" s="13">
        <v>398000</v>
      </c>
      <c r="O9" s="46">
        <v>-300000</v>
      </c>
      <c r="P9" s="13">
        <v>445000</v>
      </c>
      <c r="Q9" s="13">
        <v>320000</v>
      </c>
      <c r="R9" s="13">
        <v>333000</v>
      </c>
      <c r="S9" s="13">
        <v>692000</v>
      </c>
      <c r="T9" s="13">
        <v>700000</v>
      </c>
      <c r="U9" s="13">
        <v>600000</v>
      </c>
      <c r="V9" s="13">
        <v>196000</v>
      </c>
      <c r="W9" s="13">
        <v>180000</v>
      </c>
      <c r="X9" s="13">
        <v>652000</v>
      </c>
      <c r="Y9" s="13">
        <v>800000</v>
      </c>
      <c r="Z9" s="13">
        <v>350000</v>
      </c>
      <c r="AA9" s="13">
        <v>553000</v>
      </c>
      <c r="AB9" s="13">
        <v>280000</v>
      </c>
      <c r="AC9" s="13">
        <v>570000</v>
      </c>
      <c r="AD9" s="13">
        <v>226000</v>
      </c>
      <c r="AE9" s="13">
        <v>330000</v>
      </c>
      <c r="AF9" s="13">
        <v>502000</v>
      </c>
      <c r="AG9" s="13">
        <v>300000</v>
      </c>
      <c r="AH9" s="13">
        <v>406000</v>
      </c>
      <c r="AI9" s="13">
        <v>350000</v>
      </c>
      <c r="AJ9" s="13">
        <v>929000</v>
      </c>
      <c r="AK9" s="13">
        <v>580000</v>
      </c>
      <c r="AL9" s="13">
        <v>800000</v>
      </c>
      <c r="AM9" s="13">
        <v>0</v>
      </c>
      <c r="AN9" s="13">
        <v>62000</v>
      </c>
      <c r="AO9" s="13">
        <v>210000</v>
      </c>
      <c r="AP9" s="13">
        <v>-487000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27"/>
      <c r="AY9" s="151">
        <v>798000</v>
      </c>
      <c r="AZ9" s="151">
        <v>788000</v>
      </c>
      <c r="BA9" s="151">
        <v>811000</v>
      </c>
      <c r="BB9" s="151">
        <v>811000</v>
      </c>
      <c r="BC9" s="151">
        <v>767000</v>
      </c>
      <c r="BD9" s="151">
        <v>691000</v>
      </c>
      <c r="BE9" s="151">
        <v>490000</v>
      </c>
      <c r="BF9" s="151">
        <v>478000</v>
      </c>
      <c r="BG9" s="151">
        <v>572000</v>
      </c>
      <c r="BH9" s="151">
        <v>389000</v>
      </c>
      <c r="BI9" s="151">
        <v>509000</v>
      </c>
      <c r="BJ9" s="151">
        <v>389000</v>
      </c>
      <c r="BK9" s="221">
        <v>0</v>
      </c>
      <c r="BL9" s="221">
        <v>0</v>
      </c>
      <c r="BM9" s="221"/>
      <c r="BN9" s="221"/>
      <c r="BO9" s="221"/>
      <c r="BP9" s="221"/>
      <c r="BQ9" s="221"/>
      <c r="BR9" s="221"/>
      <c r="BS9" s="221"/>
      <c r="BT9" s="221"/>
      <c r="BU9" s="221"/>
      <c r="BV9" s="221"/>
      <c r="BW9" s="221"/>
      <c r="BX9" s="221"/>
      <c r="BY9" s="221"/>
      <c r="BZ9" s="221"/>
      <c r="CA9" s="221"/>
      <c r="CB9" s="221"/>
      <c r="CC9" s="221"/>
      <c r="CD9" s="21"/>
      <c r="CE9" s="22"/>
      <c r="CF9" s="22"/>
      <c r="CI9" s="5" t="s">
        <v>26</v>
      </c>
      <c r="CJ9" s="7">
        <v>400000</v>
      </c>
      <c r="CN9" s="3"/>
    </row>
    <row r="10" spans="1:96" x14ac:dyDescent="0.2">
      <c r="A10" s="266" t="s">
        <v>27</v>
      </c>
      <c r="B10" s="268">
        <v>125000</v>
      </c>
      <c r="C10" s="13">
        <v>500000</v>
      </c>
      <c r="D10" s="13">
        <v>500000</v>
      </c>
      <c r="E10" s="13">
        <v>125000</v>
      </c>
      <c r="F10" s="13">
        <v>125000</v>
      </c>
      <c r="G10" s="13">
        <v>125000</v>
      </c>
      <c r="H10" s="13">
        <v>250000</v>
      </c>
      <c r="I10" s="13">
        <v>250000</v>
      </c>
      <c r="J10" s="13">
        <v>250000</v>
      </c>
      <c r="K10" s="13">
        <v>250000</v>
      </c>
      <c r="L10" s="13">
        <v>250000</v>
      </c>
      <c r="M10" s="13">
        <v>200000</v>
      </c>
      <c r="N10" s="13">
        <v>200000</v>
      </c>
      <c r="O10" s="13">
        <v>200000</v>
      </c>
      <c r="P10" s="13">
        <v>250000</v>
      </c>
      <c r="Q10" s="13">
        <v>250000</v>
      </c>
      <c r="R10" s="13">
        <v>250000</v>
      </c>
      <c r="S10" s="13">
        <v>250000</v>
      </c>
      <c r="T10" s="13">
        <v>330000</v>
      </c>
      <c r="U10" s="13">
        <v>330000</v>
      </c>
      <c r="V10" s="13">
        <v>330000</v>
      </c>
      <c r="W10" s="13">
        <v>330000</v>
      </c>
      <c r="X10" s="13">
        <v>330000</v>
      </c>
      <c r="Y10" s="13">
        <v>330000</v>
      </c>
      <c r="Z10" s="13">
        <v>330000</v>
      </c>
      <c r="AA10" s="13">
        <v>330000</v>
      </c>
      <c r="AB10" s="13">
        <v>330000</v>
      </c>
      <c r="AC10" s="13">
        <v>330000</v>
      </c>
      <c r="AD10" s="13">
        <v>330000</v>
      </c>
      <c r="AE10" s="13">
        <v>330000</v>
      </c>
      <c r="AF10" s="13">
        <v>330000</v>
      </c>
      <c r="AG10" s="13">
        <v>330000</v>
      </c>
      <c r="AH10" s="13">
        <v>330000</v>
      </c>
      <c r="AI10" s="13">
        <v>330000</v>
      </c>
      <c r="AJ10" s="13">
        <v>330000</v>
      </c>
      <c r="AK10" s="13">
        <v>330000</v>
      </c>
      <c r="AL10" s="13">
        <v>330000</v>
      </c>
      <c r="AM10" s="108">
        <v>330000</v>
      </c>
      <c r="AN10" s="108">
        <v>330000</v>
      </c>
      <c r="AO10" s="108">
        <v>330000</v>
      </c>
      <c r="AP10" s="108">
        <v>330000</v>
      </c>
      <c r="AQ10" s="108">
        <v>330000</v>
      </c>
      <c r="AR10" s="108">
        <v>330000</v>
      </c>
      <c r="AS10" s="108">
        <v>330000</v>
      </c>
      <c r="AT10" s="108">
        <v>330000</v>
      </c>
      <c r="AU10" s="108">
        <v>330000</v>
      </c>
      <c r="AV10" s="108">
        <v>330000</v>
      </c>
      <c r="AW10" s="108">
        <v>330000</v>
      </c>
      <c r="AX10" s="108">
        <v>330000</v>
      </c>
      <c r="AY10" s="150">
        <v>330000</v>
      </c>
      <c r="AZ10" s="150">
        <v>330000</v>
      </c>
      <c r="BA10" s="150">
        <v>330000</v>
      </c>
      <c r="BB10" s="150">
        <v>330000</v>
      </c>
      <c r="BC10" s="150">
        <v>330000</v>
      </c>
      <c r="BD10" s="150">
        <v>330000</v>
      </c>
      <c r="BE10" s="150">
        <v>330000</v>
      </c>
      <c r="BF10" s="150">
        <v>330000</v>
      </c>
      <c r="BG10" s="150">
        <v>330000</v>
      </c>
      <c r="BH10" s="150">
        <v>330000</v>
      </c>
      <c r="BI10" s="150">
        <v>330000</v>
      </c>
      <c r="BJ10" s="150">
        <v>330000</v>
      </c>
      <c r="BK10" s="150">
        <v>380000</v>
      </c>
      <c r="BL10" s="150">
        <v>380000</v>
      </c>
      <c r="BM10" s="150">
        <v>380000</v>
      </c>
      <c r="BN10" s="150">
        <v>380000</v>
      </c>
      <c r="BO10" s="150">
        <v>380000</v>
      </c>
      <c r="BP10" s="150">
        <v>380000</v>
      </c>
      <c r="BQ10" s="150">
        <v>380000</v>
      </c>
      <c r="BR10" s="150">
        <v>380000</v>
      </c>
      <c r="BS10" s="150">
        <v>380000</v>
      </c>
      <c r="BT10" s="150">
        <v>380000</v>
      </c>
      <c r="BU10" s="150">
        <v>380000</v>
      </c>
      <c r="BV10" s="150">
        <v>380000</v>
      </c>
      <c r="BW10" s="208"/>
      <c r="BX10" s="208"/>
      <c r="BY10" s="208"/>
      <c r="BZ10" s="208"/>
      <c r="CA10" s="208"/>
      <c r="CB10" s="208"/>
      <c r="CC10" s="208"/>
      <c r="CD10" s="21"/>
      <c r="CE10" s="22"/>
      <c r="CF10" s="22"/>
      <c r="CI10" s="5" t="s">
        <v>28</v>
      </c>
      <c r="CJ10" s="7">
        <v>200000</v>
      </c>
      <c r="CN10" s="3"/>
    </row>
    <row r="11" spans="1:96" x14ac:dyDescent="0.2">
      <c r="A11" s="266" t="s">
        <v>29</v>
      </c>
      <c r="B11" s="268">
        <v>125000</v>
      </c>
      <c r="C11" s="13">
        <v>500000</v>
      </c>
      <c r="D11" s="13">
        <v>500000</v>
      </c>
      <c r="E11" s="13">
        <v>125000</v>
      </c>
      <c r="F11" s="13">
        <v>125000</v>
      </c>
      <c r="G11" s="13">
        <v>125000</v>
      </c>
      <c r="H11" s="13">
        <v>250000</v>
      </c>
      <c r="I11" s="13">
        <v>250000</v>
      </c>
      <c r="J11" s="13">
        <v>250000</v>
      </c>
      <c r="K11" s="13">
        <v>250000</v>
      </c>
      <c r="L11" s="13">
        <v>250000</v>
      </c>
      <c r="M11" s="13">
        <v>250000</v>
      </c>
      <c r="N11" s="13">
        <v>250000</v>
      </c>
      <c r="O11" s="13">
        <v>250000</v>
      </c>
      <c r="P11" s="13">
        <v>250000</v>
      </c>
      <c r="Q11" s="13">
        <v>250000</v>
      </c>
      <c r="R11" s="13">
        <v>250000</v>
      </c>
      <c r="S11" s="13">
        <v>250000</v>
      </c>
      <c r="T11" s="13">
        <v>570000</v>
      </c>
      <c r="U11" s="13">
        <v>330000</v>
      </c>
      <c r="V11" s="13">
        <v>330000</v>
      </c>
      <c r="W11" s="13">
        <v>330000</v>
      </c>
      <c r="X11" s="13">
        <v>280000</v>
      </c>
      <c r="Y11" s="13">
        <v>280000</v>
      </c>
      <c r="Z11" s="13">
        <v>280000</v>
      </c>
      <c r="AA11" s="13">
        <v>280000</v>
      </c>
      <c r="AB11" s="13">
        <v>280000</v>
      </c>
      <c r="AC11" s="120">
        <v>280000</v>
      </c>
      <c r="AD11" s="120">
        <v>280000</v>
      </c>
      <c r="AE11" s="120">
        <v>280000</v>
      </c>
      <c r="AF11" s="13">
        <v>280000</v>
      </c>
      <c r="AG11" s="13">
        <v>330000</v>
      </c>
      <c r="AH11" s="13">
        <v>330000</v>
      </c>
      <c r="AI11" s="13">
        <v>330000</v>
      </c>
      <c r="AJ11" s="13">
        <v>330000</v>
      </c>
      <c r="AK11" s="13">
        <v>330000</v>
      </c>
      <c r="AL11" s="13">
        <v>330000</v>
      </c>
      <c r="AM11" s="13">
        <v>330000</v>
      </c>
      <c r="AN11" s="13">
        <v>330000</v>
      </c>
      <c r="AO11" s="13">
        <v>330000</v>
      </c>
      <c r="AP11" s="13">
        <v>330000</v>
      </c>
      <c r="AQ11" s="13">
        <v>330000</v>
      </c>
      <c r="AR11" s="13">
        <v>330000</v>
      </c>
      <c r="AS11" s="13">
        <v>330000</v>
      </c>
      <c r="AT11" s="13">
        <v>330000</v>
      </c>
      <c r="AU11" s="108">
        <v>330000</v>
      </c>
      <c r="AV11" s="108">
        <v>330000</v>
      </c>
      <c r="AW11" s="108">
        <v>330000</v>
      </c>
      <c r="AX11" s="108">
        <v>330000</v>
      </c>
      <c r="AY11" s="151">
        <v>330000</v>
      </c>
      <c r="AZ11" s="150">
        <v>330000</v>
      </c>
      <c r="BA11" s="150">
        <v>330000</v>
      </c>
      <c r="BB11" s="150">
        <v>330000</v>
      </c>
      <c r="BC11" s="208">
        <v>330000</v>
      </c>
      <c r="BD11" s="208">
        <v>330000</v>
      </c>
      <c r="BE11" s="208">
        <v>330000</v>
      </c>
      <c r="BF11" s="208">
        <v>330000</v>
      </c>
      <c r="BG11" s="208">
        <v>330000</v>
      </c>
      <c r="BH11" s="208">
        <v>330000</v>
      </c>
      <c r="BI11" s="208">
        <v>330000</v>
      </c>
      <c r="BJ11" s="208">
        <v>330000</v>
      </c>
      <c r="BK11" s="150">
        <v>380000</v>
      </c>
      <c r="BL11" s="150">
        <v>380000</v>
      </c>
      <c r="BM11" s="150">
        <v>380000</v>
      </c>
      <c r="BN11" s="150">
        <v>380000</v>
      </c>
      <c r="BO11" s="221"/>
      <c r="BP11" s="221"/>
      <c r="BQ11" s="221"/>
      <c r="BR11" s="221"/>
      <c r="BS11" s="221"/>
      <c r="BT11" s="221"/>
      <c r="BU11" s="221"/>
      <c r="BV11" s="221"/>
      <c r="BW11" s="221"/>
      <c r="BX11" s="221"/>
      <c r="BY11" s="221"/>
      <c r="BZ11" s="221"/>
      <c r="CA11" s="221"/>
      <c r="CB11" s="221"/>
      <c r="CC11" s="221"/>
      <c r="CD11" s="21"/>
      <c r="CE11" s="22"/>
      <c r="CF11" s="22"/>
      <c r="CI11" s="5" t="s">
        <v>30</v>
      </c>
      <c r="CJ11" s="7">
        <v>120000</v>
      </c>
      <c r="CN11" s="3"/>
      <c r="CQ11" t="s">
        <v>31</v>
      </c>
      <c r="CR11" s="7">
        <v>860000</v>
      </c>
    </row>
    <row r="12" spans="1:96" x14ac:dyDescent="0.2">
      <c r="A12" s="266" t="s">
        <v>32</v>
      </c>
      <c r="B12" s="268">
        <v>200000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300000</v>
      </c>
      <c r="O12" s="13">
        <v>200000</v>
      </c>
      <c r="P12" s="13">
        <v>200000</v>
      </c>
      <c r="Q12" s="13">
        <v>200000</v>
      </c>
      <c r="R12" s="13">
        <v>280000</v>
      </c>
      <c r="S12" s="13">
        <v>280000</v>
      </c>
      <c r="T12" s="13">
        <v>280000</v>
      </c>
      <c r="U12" s="13">
        <v>280000</v>
      </c>
      <c r="V12" s="13">
        <v>280000</v>
      </c>
      <c r="W12" s="13">
        <v>280000</v>
      </c>
      <c r="X12" s="13">
        <v>280000</v>
      </c>
      <c r="Y12" s="13">
        <v>280000</v>
      </c>
      <c r="Z12" s="13">
        <v>280000</v>
      </c>
      <c r="AA12" s="13">
        <v>280000</v>
      </c>
      <c r="AB12" s="13">
        <v>280000</v>
      </c>
      <c r="AC12" s="13">
        <v>280000</v>
      </c>
      <c r="AD12" s="13">
        <v>280000</v>
      </c>
      <c r="AE12" s="13">
        <v>280000</v>
      </c>
      <c r="AF12" s="13">
        <v>280000</v>
      </c>
      <c r="AG12" s="13">
        <v>280000</v>
      </c>
      <c r="AH12" s="13">
        <v>280000</v>
      </c>
      <c r="AI12" s="13">
        <v>280000</v>
      </c>
      <c r="AJ12" s="13">
        <v>280000</v>
      </c>
      <c r="AK12" s="45">
        <v>280000</v>
      </c>
      <c r="AL12" s="45">
        <v>280000</v>
      </c>
      <c r="AM12" s="59">
        <v>280000</v>
      </c>
      <c r="AN12" s="108">
        <v>280000</v>
      </c>
      <c r="AO12" s="108">
        <v>280000</v>
      </c>
      <c r="AP12" s="108">
        <v>280000</v>
      </c>
      <c r="AQ12" s="127"/>
      <c r="AR12" s="127"/>
      <c r="AS12" s="127"/>
      <c r="AT12" s="127"/>
      <c r="AU12" s="127"/>
      <c r="AV12" s="127"/>
      <c r="AW12" s="127"/>
      <c r="AX12" s="127"/>
      <c r="AY12" s="150">
        <v>280000</v>
      </c>
      <c r="AZ12" s="150">
        <v>280000</v>
      </c>
      <c r="BA12" s="150">
        <v>280000</v>
      </c>
      <c r="BB12" s="150">
        <v>280000</v>
      </c>
      <c r="BC12" s="150">
        <v>280000</v>
      </c>
      <c r="BD12" s="150">
        <v>280000</v>
      </c>
      <c r="BE12" s="150">
        <v>280000</v>
      </c>
      <c r="BF12" s="150">
        <v>280000</v>
      </c>
      <c r="BG12" s="150">
        <v>280000</v>
      </c>
      <c r="BH12" s="150">
        <v>280000</v>
      </c>
      <c r="BI12" s="150">
        <v>280000</v>
      </c>
      <c r="BJ12" s="150">
        <v>280000</v>
      </c>
      <c r="BK12" s="150">
        <v>280000</v>
      </c>
      <c r="BL12" s="150">
        <v>280000</v>
      </c>
      <c r="BM12" s="150">
        <v>280000</v>
      </c>
      <c r="BN12" s="150">
        <v>280000</v>
      </c>
      <c r="BO12" s="208">
        <v>0</v>
      </c>
      <c r="BP12" s="208">
        <v>0</v>
      </c>
      <c r="BQ12" s="150">
        <v>830000</v>
      </c>
      <c r="BR12" s="221"/>
      <c r="BS12" s="221"/>
      <c r="BT12" s="221"/>
      <c r="BU12" s="221"/>
      <c r="BV12" s="221"/>
      <c r="BW12" s="221"/>
      <c r="BX12" s="221"/>
      <c r="BY12" s="221"/>
      <c r="BZ12" s="221"/>
      <c r="CA12" s="221"/>
      <c r="CB12" s="221"/>
      <c r="CC12" s="221"/>
      <c r="CD12" s="21"/>
      <c r="CE12" s="22"/>
      <c r="CF12" s="22"/>
      <c r="CI12" s="5" t="s">
        <v>33</v>
      </c>
      <c r="CJ12" s="7">
        <v>500000</v>
      </c>
      <c r="CN12" s="3"/>
      <c r="CR12" s="7"/>
    </row>
    <row r="13" spans="1:96" x14ac:dyDescent="0.2">
      <c r="A13" s="267" t="s">
        <v>4234</v>
      </c>
      <c r="B13" s="269">
        <v>180000</v>
      </c>
      <c r="C13" s="235"/>
      <c r="D13" s="235"/>
      <c r="E13" s="235"/>
      <c r="F13" s="235"/>
      <c r="G13" s="235"/>
      <c r="H13" s="235"/>
      <c r="I13" s="235"/>
      <c r="J13" s="235"/>
      <c r="K13" s="235"/>
      <c r="L13" s="235"/>
      <c r="M13" s="235"/>
      <c r="N13" s="235"/>
      <c r="O13" s="235"/>
      <c r="P13" s="235"/>
      <c r="Q13" s="235"/>
      <c r="R13" s="235"/>
      <c r="S13" s="235"/>
      <c r="T13" s="235"/>
      <c r="U13" s="235"/>
      <c r="V13" s="235"/>
      <c r="W13" s="235"/>
      <c r="X13" s="235"/>
      <c r="Y13" s="235"/>
      <c r="Z13" s="235"/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59"/>
      <c r="AL13" s="259"/>
      <c r="AM13" s="260"/>
      <c r="AN13" s="194"/>
      <c r="AO13" s="194"/>
      <c r="AP13" s="194"/>
      <c r="AQ13" s="221"/>
      <c r="AR13" s="221"/>
      <c r="AS13" s="221"/>
      <c r="AT13" s="221"/>
      <c r="AU13" s="221"/>
      <c r="AV13" s="221"/>
      <c r="AW13" s="221"/>
      <c r="AX13" s="221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>
        <v>0</v>
      </c>
      <c r="BI13" s="208">
        <v>0</v>
      </c>
      <c r="BJ13" s="208">
        <v>0</v>
      </c>
      <c r="BK13" s="208">
        <v>0</v>
      </c>
      <c r="BL13" s="208">
        <v>0</v>
      </c>
      <c r="BM13" s="208">
        <v>300000</v>
      </c>
      <c r="BN13" s="208">
        <v>180000</v>
      </c>
      <c r="BO13" s="208">
        <v>180000</v>
      </c>
      <c r="BP13" s="208">
        <v>180000</v>
      </c>
      <c r="BQ13" s="208">
        <v>180000</v>
      </c>
      <c r="BR13" s="151">
        <v>180000</v>
      </c>
      <c r="BS13" s="151">
        <v>180000</v>
      </c>
      <c r="BT13" s="151">
        <v>180000</v>
      </c>
      <c r="BU13" s="151">
        <v>180000</v>
      </c>
      <c r="CD13" s="213"/>
      <c r="CE13" s="237"/>
      <c r="CF13" s="237"/>
      <c r="CI13" s="187"/>
      <c r="CJ13" s="216"/>
      <c r="CN13" s="3"/>
      <c r="CR13" s="216"/>
    </row>
    <row r="14" spans="1:96" x14ac:dyDescent="0.2">
      <c r="A14" s="41" t="s">
        <v>34</v>
      </c>
      <c r="B14" s="40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45"/>
      <c r="AL14" s="45"/>
      <c r="AM14" s="59"/>
      <c r="AN14" s="127"/>
      <c r="AO14" s="127"/>
      <c r="AP14" s="127"/>
      <c r="AQ14" s="127"/>
      <c r="AR14" s="108">
        <v>0</v>
      </c>
      <c r="AS14" s="108">
        <v>0</v>
      </c>
      <c r="AT14" s="108">
        <v>0</v>
      </c>
      <c r="AU14" s="108">
        <v>0</v>
      </c>
      <c r="AV14" s="108">
        <v>0</v>
      </c>
      <c r="AW14" s="108">
        <v>0</v>
      </c>
      <c r="AX14" s="108">
        <v>0</v>
      </c>
      <c r="AY14" s="151">
        <v>2419000</v>
      </c>
      <c r="AZ14" s="151">
        <v>3118706.2066772114</v>
      </c>
      <c r="BA14" s="151">
        <v>3337892.3456915128</v>
      </c>
      <c r="BB14" s="151">
        <v>2789696</v>
      </c>
      <c r="BC14" s="151">
        <v>2000000</v>
      </c>
      <c r="BD14" s="151">
        <v>2000000</v>
      </c>
      <c r="BE14" s="151">
        <v>2000000</v>
      </c>
      <c r="BF14" s="151">
        <v>2000000</v>
      </c>
      <c r="BG14" s="151">
        <v>2000000</v>
      </c>
      <c r="BH14" s="151">
        <v>2000000</v>
      </c>
      <c r="BI14" s="151">
        <v>2000000</v>
      </c>
      <c r="BJ14" s="151">
        <v>2789696</v>
      </c>
      <c r="BK14" s="151">
        <v>2200000</v>
      </c>
      <c r="BL14" s="151">
        <v>2200000</v>
      </c>
      <c r="BM14" s="151">
        <v>2200000</v>
      </c>
      <c r="BN14" s="151">
        <v>2200000</v>
      </c>
      <c r="BO14" s="151">
        <v>2200000</v>
      </c>
      <c r="BP14" s="151">
        <v>3200000</v>
      </c>
      <c r="BQ14" s="151">
        <v>3200000</v>
      </c>
      <c r="BR14" s="221"/>
      <c r="BS14" s="221"/>
      <c r="BT14" s="221"/>
      <c r="BU14" s="221"/>
      <c r="BV14" s="221"/>
      <c r="BW14" s="221"/>
      <c r="BX14" s="221"/>
      <c r="BY14" s="221"/>
      <c r="BZ14" s="221"/>
      <c r="CA14" s="221"/>
      <c r="CB14" s="221"/>
      <c r="CC14" s="221"/>
      <c r="CD14" s="21"/>
      <c r="CE14" s="22"/>
      <c r="CF14" s="22"/>
      <c r="CI14" s="5"/>
      <c r="CJ14" s="7"/>
      <c r="CN14" s="3"/>
      <c r="CR14" s="7"/>
    </row>
    <row r="15" spans="1:96" x14ac:dyDescent="0.2">
      <c r="A15" s="41" t="s">
        <v>35</v>
      </c>
      <c r="B15" s="40">
        <v>500000</v>
      </c>
      <c r="C15" s="13">
        <v>500000</v>
      </c>
      <c r="D15" s="13">
        <v>500000</v>
      </c>
      <c r="E15" s="13">
        <v>500000</v>
      </c>
      <c r="F15" s="13">
        <v>500000</v>
      </c>
      <c r="G15" s="13">
        <v>500000</v>
      </c>
      <c r="H15" s="13">
        <v>500000</v>
      </c>
      <c r="I15" s="13">
        <v>500000</v>
      </c>
      <c r="J15" s="13">
        <v>500000</v>
      </c>
      <c r="K15" s="13">
        <v>500000</v>
      </c>
      <c r="L15" s="13">
        <v>500000</v>
      </c>
      <c r="M15" s="13">
        <v>500000</v>
      </c>
      <c r="N15" s="13">
        <v>500000</v>
      </c>
      <c r="O15" s="13">
        <v>500000</v>
      </c>
      <c r="P15" s="13">
        <v>500000</v>
      </c>
      <c r="Q15" s="13">
        <v>500000</v>
      </c>
      <c r="R15" s="13">
        <v>500000</v>
      </c>
      <c r="S15" s="13">
        <v>500000</v>
      </c>
      <c r="T15" s="13">
        <v>500000</v>
      </c>
      <c r="U15" s="13">
        <v>500000</v>
      </c>
      <c r="V15" s="13">
        <v>500000</v>
      </c>
      <c r="W15" s="13">
        <v>500000</v>
      </c>
      <c r="X15" s="13">
        <v>500000</v>
      </c>
      <c r="Y15" s="13">
        <v>500000</v>
      </c>
      <c r="Z15" s="13">
        <v>500000</v>
      </c>
      <c r="AA15" s="13">
        <v>500000</v>
      </c>
      <c r="AB15" s="13">
        <v>500000</v>
      </c>
      <c r="AC15" s="13">
        <v>500000</v>
      </c>
      <c r="AD15" s="13">
        <v>500000</v>
      </c>
      <c r="AE15" s="13">
        <v>500000</v>
      </c>
      <c r="AF15" s="13">
        <v>500000</v>
      </c>
      <c r="AG15" s="13">
        <v>500000</v>
      </c>
      <c r="AH15" s="13">
        <v>500000</v>
      </c>
      <c r="AI15" s="13">
        <v>500000</v>
      </c>
      <c r="AJ15" s="13">
        <v>500000</v>
      </c>
      <c r="AK15" s="13">
        <v>500000</v>
      </c>
      <c r="AL15" s="13">
        <v>500000</v>
      </c>
      <c r="AM15" s="13">
        <v>600000</v>
      </c>
      <c r="AN15" s="13">
        <v>600000</v>
      </c>
      <c r="AO15" s="13">
        <v>600000</v>
      </c>
      <c r="AP15" s="13">
        <v>600000</v>
      </c>
      <c r="AQ15" s="13">
        <v>600000</v>
      </c>
      <c r="AR15" s="27">
        <v>600000</v>
      </c>
      <c r="AS15" s="27">
        <v>600000</v>
      </c>
      <c r="AT15" s="27">
        <v>600000</v>
      </c>
      <c r="AU15" s="27">
        <v>600000</v>
      </c>
      <c r="AV15" s="27">
        <v>600000</v>
      </c>
      <c r="AW15" s="27">
        <v>600000</v>
      </c>
      <c r="AX15" s="27">
        <v>600000</v>
      </c>
      <c r="AY15" s="151">
        <v>600000</v>
      </c>
      <c r="AZ15" s="151">
        <v>750000</v>
      </c>
      <c r="BA15" s="151">
        <v>750000</v>
      </c>
      <c r="BB15" s="151">
        <v>750000</v>
      </c>
      <c r="BC15" s="151">
        <v>750000</v>
      </c>
      <c r="BD15" s="151">
        <v>750000</v>
      </c>
      <c r="BE15" s="151">
        <v>750000</v>
      </c>
      <c r="BF15" s="151">
        <v>750000</v>
      </c>
      <c r="BG15" s="151">
        <v>750000</v>
      </c>
      <c r="BH15" s="151">
        <v>750000</v>
      </c>
      <c r="BI15" s="151">
        <v>750000</v>
      </c>
      <c r="BJ15" s="151">
        <v>750000</v>
      </c>
      <c r="BK15" s="151">
        <v>750000</v>
      </c>
      <c r="BL15" s="151">
        <v>750000</v>
      </c>
      <c r="BM15" s="151">
        <v>750000</v>
      </c>
      <c r="BN15" s="151">
        <v>750000</v>
      </c>
      <c r="BO15" s="151">
        <v>750000</v>
      </c>
      <c r="BP15" s="151">
        <v>750000</v>
      </c>
      <c r="BQ15" s="151">
        <v>750000</v>
      </c>
      <c r="BR15" s="151">
        <v>750000</v>
      </c>
      <c r="BS15" s="151">
        <v>750000</v>
      </c>
      <c r="BT15" s="151">
        <v>750000</v>
      </c>
      <c r="BU15" s="151">
        <v>750000</v>
      </c>
      <c r="BV15" s="151">
        <v>750000</v>
      </c>
      <c r="BW15" s="215"/>
      <c r="BX15" s="215"/>
      <c r="BY15" s="215"/>
      <c r="BZ15" s="215"/>
      <c r="CA15" s="215"/>
      <c r="CB15" s="215"/>
      <c r="CC15" s="215"/>
      <c r="CD15" s="21"/>
      <c r="CE15" s="22"/>
      <c r="CF15" s="22"/>
      <c r="CI15" s="5" t="s">
        <v>36</v>
      </c>
      <c r="CJ15" s="7">
        <v>150000</v>
      </c>
      <c r="CN15" s="3"/>
      <c r="CQ15" t="s">
        <v>31</v>
      </c>
      <c r="CR15" s="7">
        <v>860000</v>
      </c>
    </row>
    <row r="16" spans="1:96" hidden="1" x14ac:dyDescent="0.2">
      <c r="A16" s="41" t="s">
        <v>37</v>
      </c>
      <c r="B16" s="40">
        <v>500000</v>
      </c>
      <c r="C16" s="13">
        <v>500000</v>
      </c>
      <c r="D16" s="13">
        <v>500000</v>
      </c>
      <c r="E16" s="13">
        <v>500000</v>
      </c>
      <c r="F16" s="13">
        <v>500000</v>
      </c>
      <c r="G16" s="13">
        <v>500000</v>
      </c>
      <c r="H16" s="13">
        <v>500000</v>
      </c>
      <c r="I16" s="13">
        <v>500000</v>
      </c>
      <c r="J16" s="13">
        <v>500000</v>
      </c>
      <c r="K16" s="13">
        <v>500000</v>
      </c>
      <c r="L16" s="13">
        <v>500000</v>
      </c>
      <c r="M16" s="13">
        <v>500000</v>
      </c>
      <c r="N16" s="13">
        <v>500000</v>
      </c>
      <c r="O16" s="13">
        <v>500000</v>
      </c>
      <c r="P16" s="13">
        <v>500000</v>
      </c>
      <c r="Q16" s="13">
        <v>500000</v>
      </c>
      <c r="R16" s="13">
        <v>500000</v>
      </c>
      <c r="S16" s="13">
        <v>500000</v>
      </c>
      <c r="T16" s="13">
        <v>500000</v>
      </c>
      <c r="U16" s="13">
        <v>500000</v>
      </c>
      <c r="V16" s="13">
        <v>500000</v>
      </c>
      <c r="W16" s="13">
        <v>500000</v>
      </c>
      <c r="X16" s="13">
        <v>500000</v>
      </c>
      <c r="Y16" s="13">
        <v>500000</v>
      </c>
      <c r="Z16" s="13">
        <v>500000</v>
      </c>
      <c r="AA16" s="7"/>
      <c r="AB16" s="7"/>
      <c r="AC16" s="7"/>
      <c r="AD16" s="13">
        <v>500000</v>
      </c>
      <c r="AE16" s="13">
        <v>500000</v>
      </c>
      <c r="AF16" s="13">
        <v>500000</v>
      </c>
      <c r="AG16" s="5"/>
      <c r="AH16" s="5"/>
      <c r="AI16" s="5"/>
      <c r="AJ16" s="5"/>
      <c r="AK16" s="5"/>
      <c r="AL16" s="127"/>
      <c r="AM16" s="127"/>
      <c r="AN16" s="127"/>
      <c r="AO16" s="127"/>
      <c r="AP16" s="127"/>
      <c r="AQ16" s="127"/>
      <c r="AR16" s="169"/>
      <c r="AS16" s="169"/>
      <c r="AT16" s="169"/>
      <c r="AU16" s="169"/>
      <c r="AV16" s="169"/>
      <c r="AW16" s="169"/>
      <c r="AX16" s="169"/>
      <c r="AY16" s="127"/>
      <c r="AZ16" s="127"/>
      <c r="BA16" s="127"/>
      <c r="BB16" s="127"/>
      <c r="BC16" s="127"/>
      <c r="BD16" s="127"/>
      <c r="BE16" s="127"/>
      <c r="BF16" s="127"/>
      <c r="BG16" s="127"/>
      <c r="BH16" s="127"/>
      <c r="BI16" s="127"/>
      <c r="BJ16" s="127"/>
      <c r="BK16" s="127"/>
      <c r="BL16" s="127"/>
      <c r="BM16" s="221"/>
      <c r="BN16" s="221"/>
      <c r="BO16" s="221"/>
      <c r="BP16" s="221"/>
      <c r="BQ16" s="221"/>
      <c r="BR16" s="221"/>
      <c r="BS16" s="221"/>
      <c r="BT16" s="221"/>
      <c r="BU16" s="221"/>
      <c r="BV16" s="221"/>
      <c r="BW16" s="221"/>
      <c r="BX16" s="221"/>
      <c r="BY16" s="221"/>
      <c r="BZ16" s="221"/>
      <c r="CA16" s="221"/>
      <c r="CB16" s="221"/>
      <c r="CC16" s="221"/>
      <c r="CD16" s="21"/>
      <c r="CE16" s="22"/>
      <c r="CF16" s="22"/>
      <c r="CI16" s="5" t="s">
        <v>38</v>
      </c>
      <c r="CJ16" s="7">
        <v>500000</v>
      </c>
      <c r="CN16" s="3"/>
    </row>
    <row r="17" spans="1:92" hidden="1" x14ac:dyDescent="0.2">
      <c r="A17" s="41" t="s">
        <v>39</v>
      </c>
      <c r="B17" s="40">
        <v>200000</v>
      </c>
      <c r="C17" s="13">
        <v>200000</v>
      </c>
      <c r="D17" s="13">
        <v>200000</v>
      </c>
      <c r="E17" s="13">
        <v>200000</v>
      </c>
      <c r="F17" s="13">
        <v>200000</v>
      </c>
      <c r="G17" s="13">
        <v>200000</v>
      </c>
      <c r="H17" s="13">
        <v>200000</v>
      </c>
      <c r="I17" s="13">
        <v>200000</v>
      </c>
      <c r="J17" s="13">
        <v>200000</v>
      </c>
      <c r="K17" s="13">
        <v>200000</v>
      </c>
      <c r="L17" s="13">
        <v>200000</v>
      </c>
      <c r="M17" s="13">
        <v>200000</v>
      </c>
      <c r="N17" s="13">
        <v>200000</v>
      </c>
      <c r="O17" s="13">
        <v>150000</v>
      </c>
      <c r="P17" s="13">
        <v>200000</v>
      </c>
      <c r="Q17" s="13">
        <v>200000</v>
      </c>
      <c r="R17" s="13">
        <v>200000</v>
      </c>
      <c r="S17" s="13">
        <v>200000</v>
      </c>
      <c r="T17" s="13">
        <v>200000</v>
      </c>
      <c r="U17" s="13">
        <v>200000</v>
      </c>
      <c r="V17" s="13">
        <v>200000</v>
      </c>
      <c r="W17" s="13">
        <v>200000</v>
      </c>
      <c r="X17" s="13">
        <v>200000</v>
      </c>
      <c r="Y17" s="13">
        <v>200000</v>
      </c>
      <c r="Z17" s="13">
        <v>200000</v>
      </c>
      <c r="AA17" s="13">
        <v>200000</v>
      </c>
      <c r="AB17" s="13">
        <v>200000</v>
      </c>
      <c r="AC17" s="13">
        <v>200000</v>
      </c>
      <c r="AD17" s="13">
        <v>200000</v>
      </c>
      <c r="AE17" s="29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110">
        <v>0</v>
      </c>
      <c r="AM17" s="110">
        <v>0</v>
      </c>
      <c r="AN17" s="110">
        <v>0</v>
      </c>
      <c r="AO17" s="110">
        <v>0</v>
      </c>
      <c r="AP17" s="110">
        <v>0</v>
      </c>
      <c r="AQ17" s="110">
        <v>0</v>
      </c>
      <c r="AR17" s="108">
        <v>0</v>
      </c>
      <c r="AS17" s="108">
        <v>0</v>
      </c>
      <c r="AT17" s="108">
        <v>0</v>
      </c>
      <c r="AU17" s="108">
        <v>0</v>
      </c>
      <c r="AV17" s="108">
        <v>0</v>
      </c>
      <c r="AW17" s="108">
        <v>0</v>
      </c>
      <c r="AX17" s="108">
        <v>0</v>
      </c>
      <c r="AY17" s="127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7"/>
      <c r="BL17" s="127"/>
      <c r="BM17" s="221"/>
      <c r="BN17" s="221"/>
      <c r="BO17" s="221"/>
      <c r="BP17" s="221"/>
      <c r="BQ17" s="221"/>
      <c r="BR17" s="221"/>
      <c r="BS17" s="221"/>
      <c r="BT17" s="221"/>
      <c r="BU17" s="221"/>
      <c r="BV17" s="221"/>
      <c r="BW17" s="221"/>
      <c r="BX17" s="221"/>
      <c r="BY17" s="221"/>
      <c r="BZ17" s="221"/>
      <c r="CA17" s="221"/>
      <c r="CB17" s="221"/>
      <c r="CC17" s="221"/>
      <c r="CD17" s="21"/>
      <c r="CE17" s="22"/>
      <c r="CF17" s="22"/>
      <c r="CI17" s="5"/>
      <c r="CJ17" s="7"/>
      <c r="CN17" s="3"/>
    </row>
    <row r="18" spans="1:92" x14ac:dyDescent="0.2">
      <c r="A18" s="41" t="s">
        <v>40</v>
      </c>
      <c r="B18" s="40">
        <v>300000</v>
      </c>
      <c r="C18" s="13">
        <v>300000</v>
      </c>
      <c r="D18" s="13">
        <v>300000</v>
      </c>
      <c r="E18" s="13">
        <v>300000</v>
      </c>
      <c r="F18" s="13">
        <v>300000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250000</v>
      </c>
      <c r="M18" s="13">
        <v>250000</v>
      </c>
      <c r="N18" s="13">
        <v>250000</v>
      </c>
      <c r="O18" s="13">
        <v>250000</v>
      </c>
      <c r="P18" s="13">
        <v>250000</v>
      </c>
      <c r="Q18" s="13">
        <v>250000</v>
      </c>
      <c r="R18" s="13">
        <v>250000</v>
      </c>
      <c r="S18" s="13">
        <v>250000</v>
      </c>
      <c r="T18" s="13">
        <v>250000</v>
      </c>
      <c r="U18" s="13">
        <v>250000</v>
      </c>
      <c r="V18" s="13">
        <v>250000</v>
      </c>
      <c r="W18" s="13">
        <v>250000</v>
      </c>
      <c r="X18" s="13">
        <v>250000</v>
      </c>
      <c r="Y18" s="13">
        <v>250000</v>
      </c>
      <c r="Z18" s="13">
        <v>250000</v>
      </c>
      <c r="AA18" s="13">
        <v>250000</v>
      </c>
      <c r="AB18" s="13">
        <v>250000</v>
      </c>
      <c r="AC18" s="13">
        <v>250000</v>
      </c>
      <c r="AD18" s="13">
        <v>250000</v>
      </c>
      <c r="AE18" s="13">
        <v>250000</v>
      </c>
      <c r="AF18" s="13">
        <v>250000</v>
      </c>
      <c r="AG18" s="13">
        <v>250000</v>
      </c>
      <c r="AH18" s="13">
        <v>250000</v>
      </c>
      <c r="AI18" s="13">
        <v>250000</v>
      </c>
      <c r="AJ18" s="13">
        <v>250000</v>
      </c>
      <c r="AK18" s="13">
        <v>250000</v>
      </c>
      <c r="AL18" s="13">
        <v>250000</v>
      </c>
      <c r="AM18" s="13">
        <v>250000</v>
      </c>
      <c r="AN18" s="13">
        <v>250000</v>
      </c>
      <c r="AO18" s="13">
        <v>250000</v>
      </c>
      <c r="AP18" s="13">
        <v>250000</v>
      </c>
      <c r="AQ18" s="13">
        <v>250000</v>
      </c>
      <c r="AR18" s="27">
        <v>250000</v>
      </c>
      <c r="AS18" s="27">
        <v>250000</v>
      </c>
      <c r="AT18" s="27">
        <v>250000</v>
      </c>
      <c r="AU18" s="27">
        <v>250000</v>
      </c>
      <c r="AV18" s="27">
        <v>250000</v>
      </c>
      <c r="AW18" s="27">
        <v>250000</v>
      </c>
      <c r="AX18" s="27">
        <v>250000</v>
      </c>
      <c r="AY18" s="151">
        <v>250000</v>
      </c>
      <c r="AZ18" s="151">
        <v>250000</v>
      </c>
      <c r="BA18" s="151">
        <v>250000</v>
      </c>
      <c r="BB18" s="151">
        <v>250000</v>
      </c>
      <c r="BC18" s="151">
        <v>250000</v>
      </c>
      <c r="BD18" s="151">
        <v>250000</v>
      </c>
      <c r="BE18" s="151">
        <v>250000</v>
      </c>
      <c r="BF18" s="151">
        <v>250000</v>
      </c>
      <c r="BG18" s="151">
        <v>250000</v>
      </c>
      <c r="BH18" s="151">
        <v>250000</v>
      </c>
      <c r="BI18" s="151">
        <v>250000</v>
      </c>
      <c r="BJ18" s="151">
        <v>250000</v>
      </c>
      <c r="BK18" s="151">
        <v>250000</v>
      </c>
      <c r="BL18" s="151">
        <v>250000</v>
      </c>
      <c r="BM18" s="151">
        <v>250000</v>
      </c>
      <c r="BN18" s="151">
        <v>250000</v>
      </c>
      <c r="BO18" s="151">
        <v>250000</v>
      </c>
      <c r="BP18" s="151">
        <v>250000</v>
      </c>
      <c r="BQ18" s="151">
        <v>250000</v>
      </c>
      <c r="BR18" s="151">
        <v>250000</v>
      </c>
      <c r="BS18" s="151">
        <v>250000</v>
      </c>
      <c r="BT18" s="151">
        <v>250000</v>
      </c>
      <c r="BU18" s="151">
        <v>250000</v>
      </c>
      <c r="BV18" s="151">
        <v>250000</v>
      </c>
      <c r="BW18" s="215"/>
      <c r="BX18" s="215"/>
      <c r="BY18" s="215"/>
      <c r="BZ18" s="215"/>
      <c r="CA18" s="215"/>
      <c r="CB18" s="215"/>
      <c r="CC18" s="215"/>
      <c r="CD18" s="21"/>
      <c r="CE18" s="22"/>
      <c r="CF18" s="22"/>
      <c r="CI18" s="5"/>
      <c r="CJ18" s="7"/>
      <c r="CN18" s="3"/>
    </row>
    <row r="19" spans="1:92" hidden="1" x14ac:dyDescent="0.2">
      <c r="A19" s="41" t="s">
        <v>41</v>
      </c>
      <c r="B19" s="40">
        <v>120000</v>
      </c>
      <c r="C19" s="13">
        <v>500000</v>
      </c>
      <c r="D19" s="13">
        <v>500000</v>
      </c>
      <c r="E19" s="13">
        <v>75000</v>
      </c>
      <c r="F19" s="13">
        <v>75000</v>
      </c>
      <c r="G19" s="13">
        <v>100000</v>
      </c>
      <c r="H19" s="13">
        <v>100000</v>
      </c>
      <c r="I19" s="13">
        <v>100000</v>
      </c>
      <c r="J19" s="13">
        <v>100000</v>
      </c>
      <c r="K19" s="13">
        <v>100000</v>
      </c>
      <c r="L19" s="13">
        <v>100000</v>
      </c>
      <c r="M19" s="13">
        <v>100000</v>
      </c>
      <c r="N19" s="13">
        <v>100000</v>
      </c>
      <c r="O19" s="13">
        <v>75000</v>
      </c>
      <c r="P19" s="13">
        <v>75000</v>
      </c>
      <c r="Q19" s="13">
        <v>75000</v>
      </c>
      <c r="R19" s="13">
        <v>75000</v>
      </c>
      <c r="S19" s="13">
        <v>75000</v>
      </c>
      <c r="T19" s="13">
        <v>75000</v>
      </c>
      <c r="U19" s="13">
        <v>75000</v>
      </c>
      <c r="V19" s="13">
        <v>100000</v>
      </c>
      <c r="W19" s="13">
        <v>75000</v>
      </c>
      <c r="X19" s="13">
        <v>75000</v>
      </c>
      <c r="Y19" s="13">
        <v>75000</v>
      </c>
      <c r="Z19" s="13">
        <v>75000</v>
      </c>
      <c r="AA19" s="13">
        <v>75000</v>
      </c>
      <c r="AB19" s="13">
        <v>75000</v>
      </c>
      <c r="AC19" s="7"/>
      <c r="AD19" s="5"/>
      <c r="AE19" s="5"/>
      <c r="AF19" s="5"/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127"/>
      <c r="AQ19" s="127"/>
      <c r="AR19" s="127"/>
      <c r="AS19" s="127"/>
      <c r="AT19" s="127"/>
      <c r="AU19" s="127"/>
      <c r="AV19" s="127"/>
      <c r="AW19" s="127"/>
      <c r="AX19" s="127"/>
      <c r="AY19" s="153"/>
      <c r="AZ19" s="127"/>
      <c r="BA19" s="127"/>
      <c r="BB19" s="127"/>
      <c r="BC19" s="127"/>
      <c r="BD19" s="127"/>
      <c r="BE19" s="127"/>
      <c r="BF19" s="127"/>
      <c r="BG19" s="127"/>
      <c r="BH19" s="127"/>
      <c r="BI19" s="127"/>
      <c r="BJ19" s="127"/>
      <c r="BK19" s="221"/>
      <c r="BL19" s="221"/>
      <c r="BM19" s="221"/>
      <c r="BN19" s="221"/>
      <c r="BO19" s="221"/>
      <c r="BP19" s="221"/>
      <c r="BQ19" s="221"/>
      <c r="BR19" s="221"/>
      <c r="BS19" s="221"/>
      <c r="BT19" s="221"/>
      <c r="BU19" s="221"/>
      <c r="BV19" s="221"/>
      <c r="BW19" s="221"/>
      <c r="BX19" s="221"/>
      <c r="BY19" s="221"/>
      <c r="BZ19" s="221"/>
      <c r="CA19" s="221"/>
      <c r="CB19" s="221"/>
      <c r="CC19" s="221"/>
      <c r="CD19" s="21"/>
      <c r="CE19" s="156"/>
      <c r="CF19" s="22"/>
      <c r="CI19" s="5"/>
      <c r="CJ19" s="7"/>
      <c r="CN19" s="3"/>
    </row>
    <row r="20" spans="1:92" x14ac:dyDescent="0.2">
      <c r="A20" s="41" t="s">
        <v>42</v>
      </c>
      <c r="B20" s="40">
        <v>980000</v>
      </c>
      <c r="C20" s="13">
        <v>980000</v>
      </c>
      <c r="D20" s="13">
        <v>980000</v>
      </c>
      <c r="E20" s="13">
        <v>980000</v>
      </c>
      <c r="F20" s="13">
        <v>980000</v>
      </c>
      <c r="G20" s="13">
        <v>1970000</v>
      </c>
      <c r="H20" s="13">
        <v>2200000</v>
      </c>
      <c r="I20" s="13">
        <v>0</v>
      </c>
      <c r="J20" s="13">
        <v>0</v>
      </c>
      <c r="K20" s="13">
        <v>0</v>
      </c>
      <c r="L20" s="13">
        <v>0</v>
      </c>
      <c r="M20" s="13">
        <v>2000000</v>
      </c>
      <c r="N20" s="13">
        <v>1900000</v>
      </c>
      <c r="O20" s="13">
        <v>1800000</v>
      </c>
      <c r="P20" s="13">
        <v>1800000</v>
      </c>
      <c r="Q20" s="13">
        <v>2000000</v>
      </c>
      <c r="R20" s="13">
        <v>2000000</v>
      </c>
      <c r="S20" s="13">
        <v>2000000</v>
      </c>
      <c r="T20" s="13">
        <v>2000000</v>
      </c>
      <c r="U20" s="13">
        <v>2000000</v>
      </c>
      <c r="V20" s="13">
        <v>2000000</v>
      </c>
      <c r="W20" s="13">
        <v>2000000</v>
      </c>
      <c r="X20" s="13">
        <v>2000000</v>
      </c>
      <c r="Y20" s="13">
        <v>2000000</v>
      </c>
      <c r="Z20" s="13">
        <v>500000</v>
      </c>
      <c r="AA20" s="27">
        <v>3280000</v>
      </c>
      <c r="AB20" s="13">
        <v>2982000</v>
      </c>
      <c r="AC20" s="27">
        <v>3280000</v>
      </c>
      <c r="AD20" s="27">
        <v>3280000</v>
      </c>
      <c r="AE20" s="27">
        <v>3280000</v>
      </c>
      <c r="AF20" s="27">
        <v>3362000</v>
      </c>
      <c r="AG20" s="27">
        <v>3100000</v>
      </c>
      <c r="AH20" s="27">
        <v>3837000</v>
      </c>
      <c r="AI20" s="27">
        <v>4320000</v>
      </c>
      <c r="AJ20" s="27">
        <v>4300000</v>
      </c>
      <c r="AK20" s="27">
        <v>3918000</v>
      </c>
      <c r="AL20" s="27">
        <v>3918000</v>
      </c>
      <c r="AM20" s="27">
        <v>4300000</v>
      </c>
      <c r="AN20" s="27">
        <v>4200000</v>
      </c>
      <c r="AO20" s="27">
        <v>3967000</v>
      </c>
      <c r="AP20" s="27">
        <v>3967000</v>
      </c>
      <c r="AQ20" s="27">
        <v>3800000</v>
      </c>
      <c r="AR20" s="27">
        <v>4300000</v>
      </c>
      <c r="AS20" s="27">
        <v>3000000</v>
      </c>
      <c r="AT20" s="27">
        <v>3970000</v>
      </c>
      <c r="AU20" s="27">
        <v>3970000</v>
      </c>
      <c r="AV20" s="27">
        <v>3970000</v>
      </c>
      <c r="AW20" s="27">
        <v>4300000</v>
      </c>
      <c r="AX20" s="27">
        <v>3000000</v>
      </c>
      <c r="AY20" s="150">
        <v>2500000</v>
      </c>
      <c r="AZ20" s="151">
        <v>4300000</v>
      </c>
      <c r="BA20" s="151">
        <v>3203000</v>
      </c>
      <c r="BB20" s="151">
        <v>4000000</v>
      </c>
      <c r="BC20" s="151">
        <v>3760000</v>
      </c>
      <c r="BD20" s="151">
        <v>3760000</v>
      </c>
      <c r="BE20" s="151">
        <v>3760000</v>
      </c>
      <c r="BF20" s="151">
        <v>3946000</v>
      </c>
      <c r="BG20" s="151">
        <v>4119000</v>
      </c>
      <c r="BH20" s="215">
        <v>4500000</v>
      </c>
      <c r="BI20" s="154">
        <v>4200000</v>
      </c>
      <c r="BJ20" s="151">
        <v>3946000</v>
      </c>
      <c r="BK20" s="215">
        <v>4500000</v>
      </c>
      <c r="BL20" s="215">
        <v>4500000</v>
      </c>
      <c r="BM20" s="215">
        <v>4500000</v>
      </c>
      <c r="BN20" s="215">
        <v>4500000</v>
      </c>
      <c r="BO20" s="215">
        <v>4500000</v>
      </c>
      <c r="BP20" s="215">
        <v>4500000</v>
      </c>
      <c r="BQ20" s="215">
        <v>4500000</v>
      </c>
      <c r="BR20" s="215">
        <v>4500000</v>
      </c>
      <c r="BS20" s="215">
        <v>4500000</v>
      </c>
      <c r="BT20" s="215">
        <v>4500000</v>
      </c>
      <c r="BU20" s="215">
        <v>4500000</v>
      </c>
      <c r="BV20" s="215">
        <v>4500000</v>
      </c>
      <c r="BW20" s="215"/>
      <c r="BX20" s="215"/>
      <c r="BY20" s="215"/>
      <c r="BZ20" s="215"/>
      <c r="CA20" s="215"/>
      <c r="CB20" s="215"/>
      <c r="CC20" s="215"/>
      <c r="CD20" s="21"/>
      <c r="CE20" s="156"/>
      <c r="CF20" s="22"/>
      <c r="CI20" s="5"/>
      <c r="CJ20" s="7"/>
      <c r="CN20" s="3"/>
    </row>
    <row r="21" spans="1:92" ht="16" hidden="1" thickBot="1" x14ac:dyDescent="0.25">
      <c r="A21" s="41" t="s">
        <v>43</v>
      </c>
      <c r="B21" s="40">
        <f>CD21*CE21</f>
        <v>110250.00000000001</v>
      </c>
      <c r="C21" s="13">
        <v>0</v>
      </c>
      <c r="D21" s="13">
        <v>35000</v>
      </c>
      <c r="E21" s="13">
        <v>35000</v>
      </c>
      <c r="F21" s="13">
        <v>35000</v>
      </c>
      <c r="G21" s="13">
        <v>35000</v>
      </c>
      <c r="H21" s="13">
        <v>35000</v>
      </c>
      <c r="I21" s="13">
        <v>256000</v>
      </c>
      <c r="J21" s="13">
        <v>291000</v>
      </c>
      <c r="K21" s="13">
        <v>300000</v>
      </c>
      <c r="L21" s="13">
        <v>300000</v>
      </c>
      <c r="M21" s="13">
        <v>300000</v>
      </c>
      <c r="N21" s="13">
        <v>300000</v>
      </c>
      <c r="O21" s="13">
        <v>300000</v>
      </c>
      <c r="P21" s="13">
        <v>300000</v>
      </c>
      <c r="Q21" s="13">
        <v>300000</v>
      </c>
      <c r="R21" s="13">
        <v>300000</v>
      </c>
      <c r="S21" s="13">
        <v>300000</v>
      </c>
      <c r="T21" s="13">
        <v>300000</v>
      </c>
      <c r="U21" s="13">
        <v>300000</v>
      </c>
      <c r="V21" s="13">
        <v>300000</v>
      </c>
      <c r="W21" s="13">
        <v>300000</v>
      </c>
      <c r="X21" s="13">
        <v>250000</v>
      </c>
      <c r="Y21" s="13">
        <v>250000</v>
      </c>
      <c r="Z21" s="13">
        <v>250000</v>
      </c>
      <c r="AA21" s="13">
        <v>250000</v>
      </c>
      <c r="AB21" s="13">
        <v>210000</v>
      </c>
      <c r="AC21" s="13">
        <v>200000</v>
      </c>
      <c r="AD21" s="13">
        <v>50000</v>
      </c>
      <c r="AE21" s="13">
        <v>250000</v>
      </c>
      <c r="AF21" s="29">
        <v>0</v>
      </c>
      <c r="AG21" s="13">
        <v>250000</v>
      </c>
      <c r="AH21" s="13">
        <v>250000</v>
      </c>
      <c r="AI21" s="13">
        <v>200000</v>
      </c>
      <c r="AJ21" s="13">
        <v>200000</v>
      </c>
      <c r="AK21" s="13">
        <v>90000</v>
      </c>
      <c r="AL21" s="110">
        <v>200000</v>
      </c>
      <c r="AM21" s="110">
        <v>0</v>
      </c>
      <c r="AN21" s="110">
        <v>200000</v>
      </c>
      <c r="AO21" s="110">
        <v>200000</v>
      </c>
      <c r="AP21" s="110">
        <v>200000</v>
      </c>
      <c r="AQ21" s="110">
        <v>200000</v>
      </c>
      <c r="AR21" s="110">
        <v>100000</v>
      </c>
      <c r="AS21" s="110">
        <v>200000</v>
      </c>
      <c r="AT21" s="110">
        <v>200000</v>
      </c>
      <c r="AU21" s="110">
        <v>0</v>
      </c>
      <c r="AV21" s="110">
        <v>200000</v>
      </c>
      <c r="AW21" s="110">
        <v>200000</v>
      </c>
      <c r="AX21" s="110">
        <v>0</v>
      </c>
      <c r="AY21" s="150"/>
      <c r="AZ21" s="150"/>
      <c r="BA21" s="150"/>
      <c r="BB21" s="150"/>
      <c r="BC21" s="127"/>
      <c r="BD21" s="127"/>
      <c r="BE21" s="127"/>
      <c r="BF21" s="127"/>
      <c r="BG21" s="127"/>
      <c r="BH21" s="127"/>
      <c r="BI21" s="127"/>
      <c r="BJ21" s="127"/>
      <c r="BK21" s="221"/>
      <c r="BL21" s="221"/>
      <c r="BM21" s="221"/>
      <c r="BN21" s="221"/>
      <c r="BO21" s="221"/>
      <c r="BP21" s="221"/>
      <c r="BQ21" s="221"/>
      <c r="BR21" s="221"/>
      <c r="BS21" s="221"/>
      <c r="BT21" s="221"/>
      <c r="BU21" s="221"/>
      <c r="BV21" s="221"/>
      <c r="BW21" s="221"/>
      <c r="BX21" s="221"/>
      <c r="BY21" s="221"/>
      <c r="BZ21" s="221"/>
      <c r="CA21" s="221"/>
      <c r="CB21" s="221"/>
      <c r="CC21" s="221"/>
      <c r="CD21" s="21">
        <v>3150000</v>
      </c>
      <c r="CE21" s="156">
        <v>3.5000000000000003E-2</v>
      </c>
      <c r="CF21" s="22">
        <v>30</v>
      </c>
      <c r="CI21" s="83"/>
      <c r="CJ21" s="84">
        <f>SUM(CJ2:CJ20)</f>
        <v>3670000</v>
      </c>
      <c r="CN21" s="3"/>
    </row>
    <row r="22" spans="1:92" hidden="1" x14ac:dyDescent="0.2">
      <c r="A22" s="41" t="s">
        <v>44</v>
      </c>
      <c r="B22" s="40">
        <f>CD22*CE22</f>
        <v>280000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35000</v>
      </c>
      <c r="M22" s="13">
        <v>105000</v>
      </c>
      <c r="N22" s="13">
        <v>105000</v>
      </c>
      <c r="O22" s="13">
        <v>105000</v>
      </c>
      <c r="P22" s="13">
        <v>280000</v>
      </c>
      <c r="Q22" s="13">
        <v>0</v>
      </c>
      <c r="R22" s="13">
        <v>1000000</v>
      </c>
      <c r="S22" s="13">
        <v>1000000</v>
      </c>
      <c r="T22" s="13">
        <v>1488000</v>
      </c>
      <c r="U22" s="13">
        <v>0</v>
      </c>
      <c r="V22" s="13">
        <v>500000</v>
      </c>
      <c r="W22" s="13">
        <v>0</v>
      </c>
      <c r="X22" s="13">
        <v>1000000</v>
      </c>
      <c r="Y22" s="13">
        <v>2000000</v>
      </c>
      <c r="Z22" s="13">
        <v>1000000</v>
      </c>
      <c r="AA22" s="13">
        <v>0</v>
      </c>
      <c r="AB22" s="13">
        <v>100000</v>
      </c>
      <c r="AC22" s="13">
        <v>600000</v>
      </c>
      <c r="AD22" s="29">
        <v>0</v>
      </c>
      <c r="AE22" s="13">
        <v>900000</v>
      </c>
      <c r="AF22" s="29">
        <v>0</v>
      </c>
      <c r="AG22" s="13">
        <v>1000000</v>
      </c>
      <c r="AH22" s="29">
        <v>0</v>
      </c>
      <c r="AI22" s="29">
        <v>0</v>
      </c>
      <c r="AJ22" s="13">
        <v>1000000</v>
      </c>
      <c r="AK22" s="13">
        <v>2000000</v>
      </c>
      <c r="AL22" s="110">
        <v>0</v>
      </c>
      <c r="AM22" s="110">
        <v>0</v>
      </c>
      <c r="AN22" s="13">
        <v>1000000</v>
      </c>
      <c r="AO22" s="110">
        <v>250000</v>
      </c>
      <c r="AP22" s="127"/>
      <c r="AQ22" s="127"/>
      <c r="AR22" s="127"/>
      <c r="AS22" s="127"/>
      <c r="AT22" s="108">
        <v>1000000</v>
      </c>
      <c r="AU22" s="127"/>
      <c r="AV22" s="127"/>
      <c r="AW22" s="127"/>
      <c r="AX22" s="127"/>
      <c r="AY22" s="127"/>
      <c r="AZ22" s="127"/>
      <c r="BA22" s="127"/>
      <c r="BB22" s="127"/>
      <c r="BC22" s="127"/>
      <c r="BD22" s="127"/>
      <c r="BE22" s="127"/>
      <c r="BF22" s="127"/>
      <c r="BG22" s="127"/>
      <c r="BH22" s="127"/>
      <c r="BI22" s="127"/>
      <c r="BJ22" s="127"/>
      <c r="BK22" s="221"/>
      <c r="BL22" s="221"/>
      <c r="BM22" s="221"/>
      <c r="BN22" s="221"/>
      <c r="BO22" s="221"/>
      <c r="BP22" s="221"/>
      <c r="BQ22" s="221"/>
      <c r="BR22" s="221"/>
      <c r="BS22" s="221"/>
      <c r="BT22" s="221"/>
      <c r="BU22" s="221"/>
      <c r="BV22" s="221"/>
      <c r="BW22" s="221"/>
      <c r="BX22" s="221"/>
      <c r="BY22" s="221"/>
      <c r="BZ22" s="221"/>
      <c r="CA22" s="221"/>
      <c r="CB22" s="221"/>
      <c r="CC22" s="221"/>
      <c r="CD22" s="21">
        <v>8000000</v>
      </c>
      <c r="CE22" s="156">
        <v>3.5000000000000003E-2</v>
      </c>
      <c r="CF22" s="22">
        <v>2</v>
      </c>
      <c r="CN22" s="3"/>
    </row>
    <row r="23" spans="1:92" hidden="1" x14ac:dyDescent="0.2">
      <c r="A23" s="41" t="s">
        <v>45</v>
      </c>
      <c r="B23" s="40"/>
      <c r="C23" s="13"/>
      <c r="D23" s="13"/>
      <c r="E23" s="13"/>
      <c r="F23" s="13"/>
      <c r="G23" s="13"/>
      <c r="H23" s="13"/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120000</v>
      </c>
      <c r="S23" s="13">
        <v>120000</v>
      </c>
      <c r="T23" s="13">
        <v>100000</v>
      </c>
      <c r="U23" s="13">
        <v>50000</v>
      </c>
      <c r="V23" s="13">
        <v>0</v>
      </c>
      <c r="W23" s="13">
        <v>300000</v>
      </c>
      <c r="X23" s="13">
        <v>0</v>
      </c>
      <c r="Y23" s="13">
        <v>200000</v>
      </c>
      <c r="Z23" s="13">
        <v>100000</v>
      </c>
      <c r="AA23" s="13">
        <v>200000</v>
      </c>
      <c r="AB23" s="13">
        <v>150000</v>
      </c>
      <c r="AC23" s="13">
        <v>200000</v>
      </c>
      <c r="AD23" s="13">
        <v>0</v>
      </c>
      <c r="AE23" s="120">
        <v>0</v>
      </c>
      <c r="AF23" s="13">
        <v>100000</v>
      </c>
      <c r="AG23" s="120">
        <v>0</v>
      </c>
      <c r="AH23" s="13">
        <v>100000</v>
      </c>
      <c r="AI23" s="13">
        <v>100000</v>
      </c>
      <c r="AJ23" s="120">
        <v>100000</v>
      </c>
      <c r="AK23" s="120">
        <v>100000</v>
      </c>
      <c r="AL23" s="120">
        <v>100000</v>
      </c>
      <c r="AM23" s="120">
        <v>100000</v>
      </c>
      <c r="AN23" s="120">
        <v>100000</v>
      </c>
      <c r="AO23" s="110">
        <v>0</v>
      </c>
      <c r="AP23" s="110">
        <v>100000</v>
      </c>
      <c r="AQ23" s="110">
        <v>100000</v>
      </c>
      <c r="AR23" s="110">
        <v>100000</v>
      </c>
      <c r="AS23" s="108">
        <v>100000</v>
      </c>
      <c r="AT23" s="108">
        <v>100000</v>
      </c>
      <c r="AU23" s="108">
        <v>100000</v>
      </c>
      <c r="AV23" s="108">
        <v>100000</v>
      </c>
      <c r="AW23" s="108">
        <v>100000</v>
      </c>
      <c r="AX23" s="108">
        <v>100000</v>
      </c>
      <c r="AY23" s="150"/>
      <c r="AZ23" s="127"/>
      <c r="BA23" s="127"/>
      <c r="BB23" s="127"/>
      <c r="BC23" s="127"/>
      <c r="BD23" s="127"/>
      <c r="BE23" s="127"/>
      <c r="BF23" s="127"/>
      <c r="BG23" s="127"/>
      <c r="BH23" s="127"/>
      <c r="BI23" s="127"/>
      <c r="BJ23" s="127"/>
      <c r="BK23" s="221"/>
      <c r="BL23" s="221"/>
      <c r="BM23" s="221"/>
      <c r="BN23" s="221"/>
      <c r="BO23" s="221"/>
      <c r="BP23" s="221"/>
      <c r="BQ23" s="221"/>
      <c r="BR23" s="221"/>
      <c r="BS23" s="221"/>
      <c r="BT23" s="221"/>
      <c r="BU23" s="221"/>
      <c r="BV23" s="221"/>
      <c r="BW23" s="221"/>
      <c r="BX23" s="221"/>
      <c r="BY23" s="221"/>
      <c r="BZ23" s="221"/>
      <c r="CA23" s="221"/>
      <c r="CB23" s="221"/>
      <c r="CC23" s="221"/>
      <c r="CD23" s="21">
        <v>2000000</v>
      </c>
      <c r="CE23" s="156">
        <v>3.5000000000000003E-2</v>
      </c>
      <c r="CF23" s="22">
        <v>1</v>
      </c>
      <c r="CN23" s="3"/>
    </row>
    <row r="24" spans="1:92" hidden="1" x14ac:dyDescent="0.2">
      <c r="A24" s="41" t="s">
        <v>46</v>
      </c>
      <c r="B24" s="40">
        <f>CD24*CE24</f>
        <v>45000</v>
      </c>
      <c r="C24" s="13">
        <v>0</v>
      </c>
      <c r="D24" s="13">
        <v>0</v>
      </c>
      <c r="E24" s="13">
        <v>53000</v>
      </c>
      <c r="F24" s="13">
        <v>53000</v>
      </c>
      <c r="G24" s="13">
        <v>53000</v>
      </c>
      <c r="H24" s="13">
        <v>53000</v>
      </c>
      <c r="I24" s="13">
        <v>53000</v>
      </c>
      <c r="J24" s="13">
        <v>53000</v>
      </c>
      <c r="K24" s="13">
        <v>53000</v>
      </c>
      <c r="L24" s="13">
        <v>53000</v>
      </c>
      <c r="M24" s="13">
        <v>553000</v>
      </c>
      <c r="N24" s="13">
        <v>45000</v>
      </c>
      <c r="O24" s="13">
        <v>45000</v>
      </c>
      <c r="P24" s="13">
        <v>45000</v>
      </c>
      <c r="Q24" s="13">
        <v>45000</v>
      </c>
      <c r="R24" s="13">
        <v>45000</v>
      </c>
      <c r="S24" s="13">
        <v>45000</v>
      </c>
      <c r="T24" s="13">
        <v>45000</v>
      </c>
      <c r="U24" s="13">
        <v>45000</v>
      </c>
      <c r="V24" s="13">
        <v>45000</v>
      </c>
      <c r="W24" s="13">
        <v>45000</v>
      </c>
      <c r="X24" s="13">
        <v>45000</v>
      </c>
      <c r="Y24" s="13">
        <v>45000</v>
      </c>
      <c r="Z24" s="13">
        <v>45000</v>
      </c>
      <c r="AA24" s="13">
        <v>45000</v>
      </c>
      <c r="AB24" s="13">
        <v>45000</v>
      </c>
      <c r="AC24" s="13">
        <v>45000</v>
      </c>
      <c r="AD24" s="13">
        <v>45000</v>
      </c>
      <c r="AE24" s="13">
        <v>45000</v>
      </c>
      <c r="AF24" s="13">
        <v>45000</v>
      </c>
      <c r="AG24" s="13">
        <v>45000</v>
      </c>
      <c r="AH24" s="13">
        <v>45000</v>
      </c>
      <c r="AI24" s="13">
        <v>45000</v>
      </c>
      <c r="AJ24" s="13">
        <v>45000</v>
      </c>
      <c r="AK24" s="13">
        <v>45000</v>
      </c>
      <c r="AL24" s="13">
        <v>45000</v>
      </c>
      <c r="AM24" s="13">
        <v>45000</v>
      </c>
      <c r="AN24" s="13">
        <v>45000</v>
      </c>
      <c r="AO24" s="13">
        <v>45000</v>
      </c>
      <c r="AP24" s="13">
        <v>45000</v>
      </c>
      <c r="AQ24" s="13">
        <v>45000</v>
      </c>
      <c r="AR24" s="13">
        <v>45000</v>
      </c>
      <c r="AS24" s="13">
        <v>45000</v>
      </c>
      <c r="AT24" s="13">
        <v>45000</v>
      </c>
      <c r="AU24" s="13">
        <v>45000</v>
      </c>
      <c r="AV24" s="13">
        <v>45000</v>
      </c>
      <c r="AW24" s="13">
        <v>45000</v>
      </c>
      <c r="AX24" s="13">
        <v>45000</v>
      </c>
      <c r="AY24" s="151"/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221"/>
      <c r="BL24" s="221"/>
      <c r="BM24" s="221"/>
      <c r="BN24" s="221"/>
      <c r="BO24" s="221"/>
      <c r="BP24" s="221"/>
      <c r="BQ24" s="221"/>
      <c r="BR24" s="221"/>
      <c r="BS24" s="221"/>
      <c r="BT24" s="221"/>
      <c r="BU24" s="221"/>
      <c r="BV24" s="221"/>
      <c r="BW24" s="221"/>
      <c r="BX24" s="221"/>
      <c r="BY24" s="221"/>
      <c r="BZ24" s="221"/>
      <c r="CA24" s="221"/>
      <c r="CB24" s="221"/>
      <c r="CC24" s="221"/>
      <c r="CD24" s="21">
        <v>3000000</v>
      </c>
      <c r="CE24" s="156">
        <v>1.4999999999999999E-2</v>
      </c>
      <c r="CF24" s="22">
        <v>5</v>
      </c>
    </row>
    <row r="25" spans="1:92" hidden="1" x14ac:dyDescent="0.2">
      <c r="A25" s="41" t="s">
        <v>47</v>
      </c>
      <c r="B25" s="40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10">
        <v>1000000</v>
      </c>
      <c r="AP25" s="110">
        <v>1000000</v>
      </c>
      <c r="AQ25" s="13">
        <v>1000000</v>
      </c>
      <c r="AR25" s="27">
        <v>500000</v>
      </c>
      <c r="AS25" s="27">
        <v>500000</v>
      </c>
      <c r="AT25" s="27">
        <v>500000</v>
      </c>
      <c r="AU25" s="127"/>
      <c r="AV25" s="127"/>
      <c r="AW25" s="127"/>
      <c r="AX25" s="127"/>
      <c r="AY25" s="127"/>
      <c r="AZ25" s="127"/>
      <c r="BA25" s="127"/>
      <c r="BB25" s="127"/>
      <c r="BC25" s="127"/>
      <c r="BD25" s="127"/>
      <c r="BE25" s="127"/>
      <c r="BF25" s="127"/>
      <c r="BG25" s="127"/>
      <c r="BH25" s="127"/>
      <c r="BI25" s="127"/>
      <c r="BJ25" s="127"/>
      <c r="BK25" s="221"/>
      <c r="BL25" s="221"/>
      <c r="BM25" s="221"/>
      <c r="BN25" s="221"/>
      <c r="BO25" s="221"/>
      <c r="BP25" s="221"/>
      <c r="BQ25" s="221"/>
      <c r="BR25" s="221"/>
      <c r="BS25" s="221"/>
      <c r="BT25" s="221"/>
      <c r="BU25" s="221"/>
      <c r="BV25" s="221"/>
      <c r="BW25" s="221"/>
      <c r="BX25" s="221"/>
      <c r="BY25" s="221"/>
      <c r="BZ25" s="221"/>
      <c r="CA25" s="221"/>
      <c r="CB25" s="221"/>
      <c r="CC25" s="221"/>
      <c r="CD25" s="21">
        <v>14700000</v>
      </c>
      <c r="CE25" s="156">
        <v>3.5000000000000003E-2</v>
      </c>
      <c r="CF25" s="22">
        <v>5</v>
      </c>
    </row>
    <row r="26" spans="1:92" hidden="1" x14ac:dyDescent="0.2">
      <c r="A26" s="41" t="s">
        <v>48</v>
      </c>
      <c r="B26" s="40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1200000</v>
      </c>
      <c r="AE26" s="13">
        <v>1140000</v>
      </c>
      <c r="AF26" s="13">
        <v>1100000</v>
      </c>
      <c r="AG26" s="13">
        <v>1100000</v>
      </c>
      <c r="AH26" s="13">
        <v>500000</v>
      </c>
      <c r="AI26" s="13">
        <v>498000</v>
      </c>
      <c r="AJ26" s="29">
        <v>0</v>
      </c>
      <c r="AK26" s="29">
        <v>0</v>
      </c>
      <c r="AL26" s="110">
        <v>0</v>
      </c>
      <c r="AM26" s="110">
        <v>0</v>
      </c>
      <c r="AN26" s="110">
        <v>0</v>
      </c>
      <c r="AO26" s="110">
        <v>0</v>
      </c>
      <c r="AP26" s="127"/>
      <c r="AQ26" s="127"/>
      <c r="AR26" s="127"/>
      <c r="AS26" s="127"/>
      <c r="AT26" s="127"/>
      <c r="AU26" s="127"/>
      <c r="AV26" s="127"/>
      <c r="AW26" s="127"/>
      <c r="AX26" s="127"/>
      <c r="AY26" s="127"/>
      <c r="AZ26" s="127"/>
      <c r="BA26" s="127"/>
      <c r="BB26" s="127"/>
      <c r="BC26" s="127"/>
      <c r="BD26" s="127"/>
      <c r="BE26" s="127"/>
      <c r="BF26" s="127"/>
      <c r="BG26" s="127"/>
      <c r="BH26" s="127"/>
      <c r="BI26" s="127"/>
      <c r="BJ26" s="127"/>
      <c r="BK26" s="221"/>
      <c r="BL26" s="221"/>
      <c r="BM26" s="221"/>
      <c r="BN26" s="221"/>
      <c r="BO26" s="221"/>
      <c r="BP26" s="221"/>
      <c r="BQ26" s="221"/>
      <c r="BR26" s="221"/>
      <c r="BS26" s="221"/>
      <c r="BT26" s="221"/>
      <c r="BU26" s="221"/>
      <c r="BV26" s="221"/>
      <c r="BW26" s="221"/>
      <c r="BX26" s="221"/>
      <c r="BY26" s="221"/>
      <c r="BZ26" s="221"/>
      <c r="CA26" s="221"/>
      <c r="CB26" s="221"/>
      <c r="CC26" s="221"/>
      <c r="CD26" s="21"/>
      <c r="CE26" s="156"/>
      <c r="CF26" s="22"/>
      <c r="CN26" s="3"/>
    </row>
    <row r="27" spans="1:92" hidden="1" x14ac:dyDescent="0.2">
      <c r="A27" s="41" t="s">
        <v>49</v>
      </c>
      <c r="B27" s="40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>
        <v>0</v>
      </c>
      <c r="AA27" s="13">
        <v>50000</v>
      </c>
      <c r="AB27" s="13">
        <v>50000</v>
      </c>
      <c r="AC27" s="13">
        <v>1120000</v>
      </c>
      <c r="AD27" s="13">
        <v>0</v>
      </c>
      <c r="AE27" s="7"/>
      <c r="AF27" s="5"/>
      <c r="AG27" s="5"/>
      <c r="AH27" s="5"/>
      <c r="AI27" s="5"/>
      <c r="AJ27" s="5"/>
      <c r="AK27" s="5"/>
      <c r="AL27" s="127"/>
      <c r="AM27" s="127"/>
      <c r="AN27" s="127"/>
      <c r="AO27" s="127"/>
      <c r="AP27" s="132">
        <v>500000</v>
      </c>
      <c r="AQ27" s="127"/>
      <c r="AR27" s="110">
        <v>200000</v>
      </c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221"/>
      <c r="BL27" s="221"/>
      <c r="BM27" s="221"/>
      <c r="BN27" s="221"/>
      <c r="BO27" s="221"/>
      <c r="BP27" s="221"/>
      <c r="BQ27" s="221"/>
      <c r="BR27" s="221"/>
      <c r="BS27" s="221"/>
      <c r="BT27" s="221"/>
      <c r="BU27" s="221"/>
      <c r="BV27" s="221"/>
      <c r="BW27" s="221"/>
      <c r="BX27" s="221"/>
      <c r="BY27" s="221"/>
      <c r="BZ27" s="221"/>
      <c r="CA27" s="221"/>
      <c r="CB27" s="221"/>
      <c r="CC27" s="221"/>
      <c r="CD27" s="21">
        <v>1500000</v>
      </c>
      <c r="CE27" s="156"/>
      <c r="CF27" s="22"/>
    </row>
    <row r="28" spans="1:92" hidden="1" x14ac:dyDescent="0.2">
      <c r="A28" s="41" t="s">
        <v>50</v>
      </c>
      <c r="B28" s="40">
        <f>CD28*CE28</f>
        <v>70000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70000</v>
      </c>
      <c r="L28" s="13">
        <v>70000</v>
      </c>
      <c r="M28" s="13">
        <v>0</v>
      </c>
      <c r="N28" s="13">
        <v>140000</v>
      </c>
      <c r="O28" s="13">
        <v>70000</v>
      </c>
      <c r="P28" s="13">
        <v>70000</v>
      </c>
      <c r="Q28" s="13">
        <v>0</v>
      </c>
      <c r="R28" s="13">
        <v>70000</v>
      </c>
      <c r="S28" s="13">
        <v>70000</v>
      </c>
      <c r="T28" s="13">
        <v>70000</v>
      </c>
      <c r="U28" s="7"/>
      <c r="V28" s="7"/>
      <c r="W28" s="7"/>
      <c r="X28" s="7"/>
      <c r="Y28" s="7"/>
      <c r="Z28" s="7"/>
      <c r="AA28" s="7"/>
      <c r="AB28" s="7"/>
      <c r="AC28" s="7"/>
      <c r="AD28" s="13">
        <v>210000</v>
      </c>
      <c r="AE28" s="5"/>
      <c r="AF28" s="5"/>
      <c r="AG28" s="5"/>
      <c r="AH28" s="5"/>
      <c r="AI28" s="13">
        <v>1000000</v>
      </c>
      <c r="AJ28" s="5"/>
      <c r="AK28" s="5"/>
      <c r="AL28" s="110">
        <v>1500000</v>
      </c>
      <c r="AM28" s="110">
        <v>0</v>
      </c>
      <c r="AN28" s="127"/>
      <c r="AO28" s="127"/>
      <c r="AP28" s="127"/>
      <c r="AQ28" s="127"/>
      <c r="AR28" s="127"/>
      <c r="AS28" s="127"/>
      <c r="AT28" s="127"/>
      <c r="AU28" s="127"/>
      <c r="AV28" s="127"/>
      <c r="AW28" s="127"/>
      <c r="AX28" s="127"/>
      <c r="AY28" s="127"/>
      <c r="AZ28" s="127"/>
      <c r="BA28" s="127"/>
      <c r="BB28" s="127"/>
      <c r="BC28" s="127"/>
      <c r="BD28" s="127"/>
      <c r="BE28" s="127"/>
      <c r="BF28" s="127"/>
      <c r="BG28" s="127"/>
      <c r="BH28" s="127"/>
      <c r="BI28" s="127"/>
      <c r="BJ28" s="127"/>
      <c r="BK28" s="221"/>
      <c r="BL28" s="221"/>
      <c r="BM28" s="221"/>
      <c r="BN28" s="221"/>
      <c r="BO28" s="221"/>
      <c r="BP28" s="221"/>
      <c r="BQ28" s="221"/>
      <c r="BR28" s="221"/>
      <c r="BS28" s="221"/>
      <c r="BT28" s="221"/>
      <c r="BU28" s="221"/>
      <c r="BV28" s="221"/>
      <c r="BW28" s="221"/>
      <c r="BX28" s="221"/>
      <c r="BY28" s="221"/>
      <c r="BZ28" s="221"/>
      <c r="CA28" s="221"/>
      <c r="CB28" s="221"/>
      <c r="CC28" s="221"/>
      <c r="CD28" s="21">
        <v>2000000</v>
      </c>
      <c r="CE28" s="156">
        <v>3.5000000000000003E-2</v>
      </c>
      <c r="CF28" s="22"/>
      <c r="CN28" s="3"/>
    </row>
    <row r="29" spans="1:92" hidden="1" x14ac:dyDescent="0.2">
      <c r="A29" s="41" t="s">
        <v>51</v>
      </c>
      <c r="B29" s="40"/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500000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5"/>
      <c r="AG29" s="5"/>
      <c r="AH29" s="5"/>
      <c r="AI29" s="5"/>
      <c r="AJ29" s="5"/>
      <c r="AK29" s="5"/>
      <c r="AL29" s="127"/>
      <c r="AM29" s="127"/>
      <c r="AN29" s="127"/>
      <c r="AO29" s="127"/>
      <c r="AP29" s="127"/>
      <c r="AQ29" s="127"/>
      <c r="AR29" s="127"/>
      <c r="AS29" s="127"/>
      <c r="AT29" s="127"/>
      <c r="AU29" s="127"/>
      <c r="AV29" s="127"/>
      <c r="AW29" s="127"/>
      <c r="AX29" s="127"/>
      <c r="AY29" s="127"/>
      <c r="AZ29" s="127"/>
      <c r="BA29" s="127"/>
      <c r="BB29" s="127"/>
      <c r="BC29" s="127"/>
      <c r="BD29" s="127"/>
      <c r="BE29" s="127"/>
      <c r="BF29" s="127"/>
      <c r="BG29" s="127"/>
      <c r="BH29" s="127"/>
      <c r="BI29" s="127"/>
      <c r="BJ29" s="127"/>
      <c r="BK29" s="221"/>
      <c r="BL29" s="221"/>
      <c r="BM29" s="221"/>
      <c r="BN29" s="221"/>
      <c r="BO29" s="221"/>
      <c r="BP29" s="221"/>
      <c r="BQ29" s="221"/>
      <c r="BR29" s="221"/>
      <c r="BS29" s="221"/>
      <c r="BT29" s="221"/>
      <c r="BU29" s="221"/>
      <c r="BV29" s="221"/>
      <c r="BW29" s="221"/>
      <c r="BX29" s="221"/>
      <c r="BY29" s="221"/>
      <c r="BZ29" s="221"/>
      <c r="CA29" s="221"/>
      <c r="CB29" s="221"/>
      <c r="CC29" s="221"/>
      <c r="CD29" s="21">
        <v>1830000</v>
      </c>
      <c r="CE29" s="156">
        <v>3.5000000000000003E-2</v>
      </c>
      <c r="CF29" s="22"/>
      <c r="CN29" s="3"/>
    </row>
    <row r="30" spans="1:92" hidden="1" x14ac:dyDescent="0.2">
      <c r="A30" s="41" t="s">
        <v>52</v>
      </c>
      <c r="B30" s="40">
        <f t="shared" ref="B30:B39" si="0">CD30*CE30</f>
        <v>45500.000000000007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12000</v>
      </c>
      <c r="N30" s="13">
        <v>200000</v>
      </c>
      <c r="O30" s="13">
        <v>100000</v>
      </c>
      <c r="P30" s="13">
        <v>100000</v>
      </c>
      <c r="Q30" s="13">
        <v>0</v>
      </c>
      <c r="R30" s="13">
        <v>25000</v>
      </c>
      <c r="S30" s="13">
        <v>0</v>
      </c>
      <c r="T30" s="13">
        <v>117000</v>
      </c>
      <c r="U30" s="7"/>
      <c r="V30" s="7"/>
      <c r="W30" s="7"/>
      <c r="X30" s="7"/>
      <c r="Y30" s="7"/>
      <c r="Z30" s="7"/>
      <c r="AA30" s="7"/>
      <c r="AB30" s="7"/>
      <c r="AC30" s="7"/>
      <c r="AD30" s="5"/>
      <c r="AE30" s="5"/>
      <c r="AF30" s="5"/>
      <c r="AG30" s="5"/>
      <c r="AH30" s="5"/>
      <c r="AI30" s="5"/>
      <c r="AJ30" s="5"/>
      <c r="AK30" s="5"/>
      <c r="AL30" s="127"/>
      <c r="AM30" s="127"/>
      <c r="AN30" s="127"/>
      <c r="AO30" s="127"/>
      <c r="AP30" s="127"/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221"/>
      <c r="BL30" s="221"/>
      <c r="BM30" s="221"/>
      <c r="BN30" s="221"/>
      <c r="BO30" s="221"/>
      <c r="BP30" s="221"/>
      <c r="BQ30" s="221"/>
      <c r="BR30" s="221"/>
      <c r="BS30" s="221"/>
      <c r="BT30" s="221"/>
      <c r="BU30" s="221"/>
      <c r="BV30" s="221"/>
      <c r="BW30" s="221"/>
      <c r="BX30" s="221"/>
      <c r="BY30" s="221"/>
      <c r="BZ30" s="221"/>
      <c r="CA30" s="221"/>
      <c r="CB30" s="221"/>
      <c r="CC30" s="221"/>
      <c r="CD30" s="21">
        <v>1300000</v>
      </c>
      <c r="CE30" s="156">
        <v>3.5000000000000003E-2</v>
      </c>
      <c r="CF30" s="22">
        <v>10</v>
      </c>
      <c r="CN30" s="3"/>
    </row>
    <row r="31" spans="1:92" hidden="1" x14ac:dyDescent="0.2">
      <c r="A31" s="41" t="s">
        <v>53</v>
      </c>
      <c r="B31" s="40">
        <f t="shared" si="0"/>
        <v>73500</v>
      </c>
      <c r="C31" s="13">
        <v>0</v>
      </c>
      <c r="D31" s="13">
        <v>100000</v>
      </c>
      <c r="E31" s="13">
        <v>0</v>
      </c>
      <c r="F31" s="13">
        <v>45000</v>
      </c>
      <c r="G31" s="7"/>
      <c r="H31" s="7"/>
      <c r="I31" s="7"/>
      <c r="J31" s="7"/>
      <c r="K31" s="13">
        <v>100000</v>
      </c>
      <c r="L31" s="13">
        <v>400000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5"/>
      <c r="AG31" s="5"/>
      <c r="AH31" s="5"/>
      <c r="AI31" s="5"/>
      <c r="AJ31" s="5"/>
      <c r="AK31" s="5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7"/>
      <c r="BK31" s="221"/>
      <c r="BL31" s="221"/>
      <c r="BM31" s="221"/>
      <c r="BN31" s="221"/>
      <c r="BO31" s="221"/>
      <c r="BP31" s="221"/>
      <c r="BQ31" s="221"/>
      <c r="BR31" s="221"/>
      <c r="BS31" s="221"/>
      <c r="BT31" s="221"/>
      <c r="BU31" s="221"/>
      <c r="BV31" s="221"/>
      <c r="BW31" s="221"/>
      <c r="BX31" s="221"/>
      <c r="BY31" s="221"/>
      <c r="BZ31" s="221"/>
      <c r="CA31" s="221"/>
      <c r="CB31" s="221"/>
      <c r="CC31" s="221"/>
      <c r="CD31" s="21">
        <v>2100000</v>
      </c>
      <c r="CE31" s="156">
        <v>3.5000000000000003E-2</v>
      </c>
      <c r="CF31" s="22">
        <v>30</v>
      </c>
    </row>
    <row r="32" spans="1:92" hidden="1" x14ac:dyDescent="0.2">
      <c r="A32" s="41" t="s">
        <v>54</v>
      </c>
      <c r="B32" s="40">
        <f t="shared" si="0"/>
        <v>42000.000000000007</v>
      </c>
      <c r="C32" s="13">
        <v>0</v>
      </c>
      <c r="D32" s="13">
        <v>60000</v>
      </c>
      <c r="E32" s="13">
        <v>120000</v>
      </c>
      <c r="F32" s="13">
        <v>120000</v>
      </c>
      <c r="G32" s="13">
        <v>120000</v>
      </c>
      <c r="H32" s="13">
        <v>120000</v>
      </c>
      <c r="I32" s="13">
        <v>120000</v>
      </c>
      <c r="J32" s="13">
        <v>120000</v>
      </c>
      <c r="K32" s="13">
        <v>600000</v>
      </c>
      <c r="L32" s="7"/>
      <c r="M32" s="7"/>
      <c r="N32" s="7"/>
      <c r="O32" s="7"/>
      <c r="P32" s="7"/>
      <c r="Q32" s="7"/>
      <c r="R32" s="7"/>
      <c r="S32" s="7"/>
      <c r="T32" s="13">
        <v>250000</v>
      </c>
      <c r="U32" s="7"/>
      <c r="V32" s="7"/>
      <c r="W32" s="7"/>
      <c r="X32" s="7"/>
      <c r="Y32" s="7"/>
      <c r="Z32" s="13">
        <v>300000</v>
      </c>
      <c r="AA32" s="7"/>
      <c r="AB32" s="7"/>
      <c r="AC32" s="7"/>
      <c r="AD32" s="7"/>
      <c r="AE32" s="7"/>
      <c r="AF32" s="7"/>
      <c r="AG32" s="7"/>
      <c r="AH32" s="13">
        <v>300000</v>
      </c>
      <c r="AI32" s="13">
        <v>300000</v>
      </c>
      <c r="AJ32" s="5"/>
      <c r="AK32" s="5"/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221"/>
      <c r="BL32" s="221"/>
      <c r="BM32" s="221"/>
      <c r="BN32" s="221"/>
      <c r="BO32" s="221"/>
      <c r="BP32" s="221"/>
      <c r="BQ32" s="221"/>
      <c r="BR32" s="221"/>
      <c r="BS32" s="221"/>
      <c r="BT32" s="221"/>
      <c r="BU32" s="221"/>
      <c r="BV32" s="221"/>
      <c r="BW32" s="221"/>
      <c r="BX32" s="221"/>
      <c r="BY32" s="221"/>
      <c r="BZ32" s="221"/>
      <c r="CA32" s="221"/>
      <c r="CB32" s="221"/>
      <c r="CC32" s="221"/>
      <c r="CD32" s="21">
        <v>1200000</v>
      </c>
      <c r="CE32" s="156">
        <v>3.5000000000000003E-2</v>
      </c>
      <c r="CF32" s="22">
        <v>28</v>
      </c>
    </row>
    <row r="33" spans="1:96" hidden="1" x14ac:dyDescent="0.2">
      <c r="A33" s="41" t="s">
        <v>54</v>
      </c>
      <c r="B33" s="40">
        <f t="shared" si="0"/>
        <v>30450.000000000004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400000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5"/>
      <c r="AK33" s="5"/>
      <c r="AL33" s="127"/>
      <c r="AM33" s="127"/>
      <c r="AN33" s="127"/>
      <c r="AO33" s="127"/>
      <c r="AP33" s="127"/>
      <c r="AQ33" s="127"/>
      <c r="AR33" s="127"/>
      <c r="AS33" s="127"/>
      <c r="AT33" s="127"/>
      <c r="AU33" s="127"/>
      <c r="AV33" s="127"/>
      <c r="AW33" s="127"/>
      <c r="AX33" s="127"/>
      <c r="AY33" s="127"/>
      <c r="AZ33" s="127"/>
      <c r="BA33" s="127"/>
      <c r="BB33" s="127"/>
      <c r="BC33" s="127"/>
      <c r="BD33" s="127"/>
      <c r="BE33" s="127"/>
      <c r="BF33" s="127"/>
      <c r="BG33" s="127"/>
      <c r="BH33" s="127"/>
      <c r="BI33" s="127"/>
      <c r="BJ33" s="127"/>
      <c r="BK33" s="221"/>
      <c r="BL33" s="221"/>
      <c r="BM33" s="221"/>
      <c r="BN33" s="221"/>
      <c r="BO33" s="221"/>
      <c r="BP33" s="221"/>
      <c r="BQ33" s="221"/>
      <c r="BR33" s="221"/>
      <c r="BS33" s="221"/>
      <c r="BT33" s="221"/>
      <c r="BU33" s="221"/>
      <c r="BV33" s="221"/>
      <c r="BW33" s="221"/>
      <c r="BX33" s="221"/>
      <c r="BY33" s="221"/>
      <c r="BZ33" s="221"/>
      <c r="CA33" s="221"/>
      <c r="CB33" s="221"/>
      <c r="CC33" s="221"/>
      <c r="CD33" s="21">
        <v>870000</v>
      </c>
      <c r="CE33" s="156">
        <v>3.5000000000000003E-2</v>
      </c>
      <c r="CF33" s="22">
        <v>5</v>
      </c>
    </row>
    <row r="34" spans="1:96" hidden="1" x14ac:dyDescent="0.2">
      <c r="A34" s="41" t="s">
        <v>55</v>
      </c>
      <c r="B34" s="40">
        <f t="shared" si="0"/>
        <v>19600.000000000004</v>
      </c>
      <c r="C34" s="13">
        <v>0</v>
      </c>
      <c r="D34" s="13">
        <v>53000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10">
        <v>0</v>
      </c>
      <c r="AM34" s="110"/>
      <c r="AN34" s="110"/>
      <c r="AO34" s="110"/>
      <c r="AP34" s="110"/>
      <c r="AQ34" s="110"/>
      <c r="AR34" s="110"/>
      <c r="AS34" s="110"/>
      <c r="AT34" s="110"/>
      <c r="AU34" s="110"/>
      <c r="AV34" s="110"/>
      <c r="AW34" s="110"/>
      <c r="AX34" s="110"/>
      <c r="AY34" s="152"/>
      <c r="AZ34" s="152"/>
      <c r="BA34" s="152"/>
      <c r="BB34" s="152"/>
      <c r="BC34" s="127"/>
      <c r="BD34" s="127"/>
      <c r="BE34" s="127"/>
      <c r="BF34" s="127"/>
      <c r="BG34" s="127"/>
      <c r="BH34" s="127"/>
      <c r="BI34" s="127"/>
      <c r="BJ34" s="127"/>
      <c r="BK34" s="221"/>
      <c r="BL34" s="221"/>
      <c r="BM34" s="221"/>
      <c r="BN34" s="221"/>
      <c r="BO34" s="221"/>
      <c r="BP34" s="221"/>
      <c r="BQ34" s="221"/>
      <c r="BR34" s="221"/>
      <c r="BS34" s="221"/>
      <c r="BT34" s="221"/>
      <c r="BU34" s="221"/>
      <c r="BV34" s="221"/>
      <c r="BW34" s="221"/>
      <c r="BX34" s="221"/>
      <c r="BY34" s="221"/>
      <c r="BZ34" s="221"/>
      <c r="CA34" s="221"/>
      <c r="CB34" s="221"/>
      <c r="CC34" s="221"/>
      <c r="CD34" s="21">
        <v>560000</v>
      </c>
      <c r="CE34" s="156">
        <v>3.5000000000000003E-2</v>
      </c>
      <c r="CF34" s="22">
        <v>5</v>
      </c>
      <c r="CN34" s="3"/>
    </row>
    <row r="35" spans="1:96" hidden="1" x14ac:dyDescent="0.2">
      <c r="A35" s="41" t="s">
        <v>56</v>
      </c>
      <c r="B35" s="40">
        <f t="shared" si="0"/>
        <v>35000</v>
      </c>
      <c r="C35" s="13">
        <v>35000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400000</v>
      </c>
      <c r="AJ35" s="13">
        <v>0</v>
      </c>
      <c r="AK35" s="13">
        <v>400000</v>
      </c>
      <c r="AL35" s="110">
        <v>300000</v>
      </c>
      <c r="AM35" s="110"/>
      <c r="AN35" s="110"/>
      <c r="AO35" s="110"/>
      <c r="AP35" s="110"/>
      <c r="AQ35" s="110"/>
      <c r="AR35" s="110"/>
      <c r="AS35" s="110"/>
      <c r="AT35" s="110"/>
      <c r="AU35" s="110"/>
      <c r="AV35" s="110"/>
      <c r="AW35" s="110"/>
      <c r="AX35" s="110"/>
      <c r="AY35" s="152"/>
      <c r="AZ35" s="152"/>
      <c r="BA35" s="152"/>
      <c r="BB35" s="152"/>
      <c r="BC35" s="127"/>
      <c r="BD35" s="127"/>
      <c r="BE35" s="127"/>
      <c r="BF35" s="127"/>
      <c r="BG35" s="127"/>
      <c r="BH35" s="127"/>
      <c r="BI35" s="127"/>
      <c r="BJ35" s="127"/>
      <c r="BK35" s="221"/>
      <c r="BL35" s="221"/>
      <c r="BM35" s="221"/>
      <c r="BN35" s="221"/>
      <c r="BO35" s="221"/>
      <c r="BP35" s="221"/>
      <c r="BQ35" s="221"/>
      <c r="BR35" s="221"/>
      <c r="BS35" s="221"/>
      <c r="BT35" s="221"/>
      <c r="BU35" s="221"/>
      <c r="BV35" s="221"/>
      <c r="BW35" s="221"/>
      <c r="BX35" s="221"/>
      <c r="BY35" s="221"/>
      <c r="BZ35" s="221"/>
      <c r="CA35" s="221"/>
      <c r="CB35" s="221"/>
      <c r="CC35" s="221"/>
      <c r="CD35" s="21">
        <v>1000000</v>
      </c>
      <c r="CE35" s="156">
        <v>3.5000000000000003E-2</v>
      </c>
      <c r="CF35" s="22">
        <v>10</v>
      </c>
    </row>
    <row r="36" spans="1:96" hidden="1" x14ac:dyDescent="0.2">
      <c r="A36" s="41" t="s">
        <v>57</v>
      </c>
      <c r="B36" s="40">
        <f t="shared" si="0"/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10">
        <v>0</v>
      </c>
      <c r="AM36" s="110"/>
      <c r="AN36" s="110"/>
      <c r="AO36" s="110"/>
      <c r="AP36" s="110"/>
      <c r="AQ36" s="110"/>
      <c r="AR36" s="110"/>
      <c r="AS36" s="110"/>
      <c r="AT36" s="110"/>
      <c r="AU36" s="110"/>
      <c r="AV36" s="110"/>
      <c r="AW36" s="110"/>
      <c r="AX36" s="110"/>
      <c r="AY36" s="152"/>
      <c r="AZ36" s="152"/>
      <c r="BA36" s="152"/>
      <c r="BB36" s="152"/>
      <c r="BC36" s="127"/>
      <c r="BD36" s="127"/>
      <c r="BE36" s="127"/>
      <c r="BF36" s="127"/>
      <c r="BG36" s="127"/>
      <c r="BH36" s="127"/>
      <c r="BI36" s="127"/>
      <c r="BJ36" s="127"/>
      <c r="BK36" s="221"/>
      <c r="BL36" s="221"/>
      <c r="BM36" s="221"/>
      <c r="BN36" s="221"/>
      <c r="BO36" s="221"/>
      <c r="BP36" s="221"/>
      <c r="BQ36" s="221"/>
      <c r="BR36" s="221"/>
      <c r="BS36" s="221"/>
      <c r="BT36" s="221"/>
      <c r="BU36" s="221"/>
      <c r="BV36" s="221"/>
      <c r="BW36" s="221"/>
      <c r="BX36" s="221"/>
      <c r="BY36" s="221"/>
      <c r="BZ36" s="221"/>
      <c r="CA36" s="221"/>
      <c r="CB36" s="221"/>
      <c r="CC36" s="221"/>
      <c r="CD36" s="21">
        <v>1700000</v>
      </c>
      <c r="CE36" s="156">
        <v>0</v>
      </c>
      <c r="CF36" s="22">
        <v>5</v>
      </c>
    </row>
    <row r="37" spans="1:96" hidden="1" x14ac:dyDescent="0.2">
      <c r="A37" s="41" t="s">
        <v>58</v>
      </c>
      <c r="B37" s="40">
        <f t="shared" si="0"/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10">
        <v>0</v>
      </c>
      <c r="AM37" s="110"/>
      <c r="AN37" s="110"/>
      <c r="AO37" s="110"/>
      <c r="AP37" s="110"/>
      <c r="AQ37" s="110"/>
      <c r="AR37" s="110"/>
      <c r="AS37" s="110"/>
      <c r="AT37" s="110"/>
      <c r="AU37" s="110"/>
      <c r="AV37" s="110"/>
      <c r="AW37" s="110"/>
      <c r="AX37" s="110"/>
      <c r="AY37" s="152"/>
      <c r="AZ37" s="152"/>
      <c r="BA37" s="152"/>
      <c r="BB37" s="152"/>
      <c r="BC37" s="127"/>
      <c r="BD37" s="127"/>
      <c r="BE37" s="127"/>
      <c r="BF37" s="127"/>
      <c r="BG37" s="127"/>
      <c r="BH37" s="127"/>
      <c r="BI37" s="127"/>
      <c r="BJ37" s="127"/>
      <c r="BK37" s="221"/>
      <c r="BL37" s="221"/>
      <c r="BM37" s="221"/>
      <c r="BN37" s="221"/>
      <c r="BO37" s="221"/>
      <c r="BP37" s="221"/>
      <c r="BQ37" s="221"/>
      <c r="BR37" s="221"/>
      <c r="BS37" s="221"/>
      <c r="BT37" s="221"/>
      <c r="BU37" s="221"/>
      <c r="BV37" s="221"/>
      <c r="BW37" s="221"/>
      <c r="BX37" s="221"/>
      <c r="BY37" s="221"/>
      <c r="BZ37" s="221"/>
      <c r="CA37" s="221"/>
      <c r="CB37" s="221"/>
      <c r="CC37" s="221"/>
      <c r="CD37" s="21">
        <v>500000</v>
      </c>
      <c r="CE37" s="156"/>
      <c r="CF37" s="22"/>
    </row>
    <row r="38" spans="1:96" hidden="1" x14ac:dyDescent="0.2">
      <c r="A38" s="63" t="s">
        <v>59</v>
      </c>
      <c r="B38" s="28">
        <f t="shared" si="0"/>
        <v>4900.0000000000009</v>
      </c>
      <c r="C38" s="46">
        <v>0</v>
      </c>
      <c r="D38" s="46">
        <v>21000</v>
      </c>
      <c r="E38" s="46">
        <v>21000</v>
      </c>
      <c r="F38" s="46">
        <v>21000</v>
      </c>
      <c r="G38" s="46">
        <v>0</v>
      </c>
      <c r="H38" s="46">
        <v>0</v>
      </c>
      <c r="I38" s="46">
        <v>0</v>
      </c>
      <c r="J38" s="46">
        <v>0</v>
      </c>
      <c r="K38" s="46">
        <v>600000</v>
      </c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>
        <v>0</v>
      </c>
      <c r="Y38" s="46">
        <v>0</v>
      </c>
      <c r="Z38" s="46">
        <v>0</v>
      </c>
      <c r="AA38" s="46">
        <v>0</v>
      </c>
      <c r="AB38" s="46">
        <v>0</v>
      </c>
      <c r="AC38" s="46">
        <v>0</v>
      </c>
      <c r="AD38" s="46">
        <v>0</v>
      </c>
      <c r="AE38" s="46">
        <v>0</v>
      </c>
      <c r="AF38" s="46">
        <v>0</v>
      </c>
      <c r="AG38" s="46">
        <v>0</v>
      </c>
      <c r="AH38" s="46">
        <v>0</v>
      </c>
      <c r="AI38" s="46">
        <v>0</v>
      </c>
      <c r="AJ38" s="46">
        <v>0</v>
      </c>
      <c r="AK38" s="46">
        <v>0</v>
      </c>
      <c r="AL38" s="128">
        <v>0</v>
      </c>
      <c r="AM38" s="128">
        <v>0</v>
      </c>
      <c r="AN38" s="128">
        <v>0</v>
      </c>
      <c r="AO38" s="128">
        <v>0</v>
      </c>
      <c r="AP38" s="128">
        <v>0</v>
      </c>
      <c r="AQ38" s="128">
        <v>0</v>
      </c>
      <c r="AR38" s="128">
        <v>0</v>
      </c>
      <c r="AS38" s="128">
        <v>0</v>
      </c>
      <c r="AT38" s="128">
        <v>0</v>
      </c>
      <c r="AU38" s="128">
        <v>0</v>
      </c>
      <c r="AV38" s="128">
        <v>0</v>
      </c>
      <c r="AW38" s="128">
        <v>0</v>
      </c>
      <c r="AX38" s="128">
        <v>0</v>
      </c>
      <c r="AY38" s="128">
        <v>0</v>
      </c>
      <c r="AZ38" s="128"/>
      <c r="BA38" s="128"/>
      <c r="BB38" s="128"/>
      <c r="BC38" s="127"/>
      <c r="BD38" s="127"/>
      <c r="BE38" s="127"/>
      <c r="BF38" s="127"/>
      <c r="BG38" s="127"/>
      <c r="BH38" s="127"/>
      <c r="BI38" s="127"/>
      <c r="BJ38" s="127"/>
      <c r="BK38" s="221"/>
      <c r="BL38" s="221"/>
      <c r="BM38" s="221"/>
      <c r="BN38" s="221"/>
      <c r="BO38" s="221"/>
      <c r="BP38" s="221"/>
      <c r="BQ38" s="221"/>
      <c r="BR38" s="221"/>
      <c r="BS38" s="221"/>
      <c r="BT38" s="221"/>
      <c r="BU38" s="221"/>
      <c r="BV38" s="221"/>
      <c r="BW38" s="221"/>
      <c r="BX38" s="221"/>
      <c r="BY38" s="221"/>
      <c r="BZ38" s="221"/>
      <c r="CA38" s="221"/>
      <c r="CB38" s="221"/>
      <c r="CC38" s="221"/>
      <c r="CD38" s="46">
        <v>140000</v>
      </c>
      <c r="CE38" s="64">
        <v>3.5000000000000003E-2</v>
      </c>
      <c r="CF38" s="56">
        <v>25</v>
      </c>
      <c r="CN38" s="3"/>
    </row>
    <row r="39" spans="1:96" hidden="1" x14ac:dyDescent="0.2">
      <c r="A39" s="63" t="s">
        <v>60</v>
      </c>
      <c r="B39" s="28">
        <f t="shared" si="0"/>
        <v>70000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0</v>
      </c>
      <c r="O39" s="46">
        <v>0</v>
      </c>
      <c r="P39" s="46">
        <v>0</v>
      </c>
      <c r="Q39" s="46">
        <v>0</v>
      </c>
      <c r="R39" s="46">
        <v>0</v>
      </c>
      <c r="S39" s="46">
        <v>0</v>
      </c>
      <c r="T39" s="46">
        <v>0</v>
      </c>
      <c r="U39" s="46">
        <v>0</v>
      </c>
      <c r="V39" s="46">
        <v>0</v>
      </c>
      <c r="W39" s="46">
        <v>0</v>
      </c>
      <c r="X39" s="46">
        <v>0</v>
      </c>
      <c r="Y39" s="46">
        <v>0</v>
      </c>
      <c r="Z39" s="46">
        <v>0</v>
      </c>
      <c r="AA39" s="46">
        <v>0</v>
      </c>
      <c r="AB39" s="46">
        <v>2000000</v>
      </c>
      <c r="AC39" s="46">
        <v>0</v>
      </c>
      <c r="AD39" s="46">
        <v>0</v>
      </c>
      <c r="AE39" s="46">
        <v>0</v>
      </c>
      <c r="AF39" s="46">
        <v>0</v>
      </c>
      <c r="AG39" s="46">
        <v>0</v>
      </c>
      <c r="AH39" s="46">
        <v>0</v>
      </c>
      <c r="AI39" s="46">
        <v>0</v>
      </c>
      <c r="AJ39" s="46">
        <v>0</v>
      </c>
      <c r="AK39" s="46">
        <v>0</v>
      </c>
      <c r="AL39" s="128">
        <v>0</v>
      </c>
      <c r="AM39" s="128">
        <v>0</v>
      </c>
      <c r="AN39" s="128">
        <v>0</v>
      </c>
      <c r="AO39" s="128">
        <v>0</v>
      </c>
      <c r="AP39" s="128">
        <v>0</v>
      </c>
      <c r="AQ39" s="128">
        <v>0</v>
      </c>
      <c r="AR39" s="128">
        <v>0</v>
      </c>
      <c r="AS39" s="128">
        <v>0</v>
      </c>
      <c r="AT39" s="128">
        <v>0</v>
      </c>
      <c r="AU39" s="128">
        <v>0</v>
      </c>
      <c r="AV39" s="128">
        <v>0</v>
      </c>
      <c r="AW39" s="128">
        <v>0</v>
      </c>
      <c r="AX39" s="128">
        <v>0</v>
      </c>
      <c r="AY39" s="128">
        <v>0</v>
      </c>
      <c r="AZ39" s="128"/>
      <c r="BA39" s="128"/>
      <c r="BB39" s="128"/>
      <c r="BC39" s="127"/>
      <c r="BD39" s="127"/>
      <c r="BE39" s="127"/>
      <c r="BF39" s="127"/>
      <c r="BG39" s="127"/>
      <c r="BH39" s="127"/>
      <c r="BI39" s="127"/>
      <c r="BJ39" s="127"/>
      <c r="BK39" s="221"/>
      <c r="BL39" s="221"/>
      <c r="BM39" s="221"/>
      <c r="BN39" s="221"/>
      <c r="BO39" s="221"/>
      <c r="BP39" s="221"/>
      <c r="BQ39" s="221"/>
      <c r="BR39" s="221"/>
      <c r="BS39" s="221"/>
      <c r="BT39" s="221"/>
      <c r="BU39" s="221"/>
      <c r="BV39" s="221"/>
      <c r="BW39" s="221"/>
      <c r="BX39" s="221"/>
      <c r="BY39" s="221"/>
      <c r="BZ39" s="221"/>
      <c r="CA39" s="221"/>
      <c r="CB39" s="221"/>
      <c r="CC39" s="221"/>
      <c r="CD39" s="46">
        <v>2000000</v>
      </c>
      <c r="CE39" s="64">
        <v>3.5000000000000003E-2</v>
      </c>
      <c r="CF39" s="56">
        <v>5</v>
      </c>
      <c r="CN39" s="3"/>
    </row>
    <row r="40" spans="1:96" hidden="1" x14ac:dyDescent="0.2">
      <c r="A40" s="63" t="s">
        <v>61</v>
      </c>
      <c r="B40" s="28">
        <v>250000</v>
      </c>
      <c r="C40" s="46">
        <v>265000</v>
      </c>
      <c r="D40" s="46">
        <v>520000</v>
      </c>
      <c r="E40" s="46">
        <v>863000</v>
      </c>
      <c r="F40" s="46">
        <v>1831000</v>
      </c>
      <c r="G40" s="46">
        <v>1842000</v>
      </c>
      <c r="H40" s="46">
        <v>1514000</v>
      </c>
      <c r="I40" s="46">
        <v>1637000</v>
      </c>
      <c r="J40" s="46">
        <v>1414000</v>
      </c>
      <c r="K40" s="46">
        <v>1640000</v>
      </c>
      <c r="L40" s="46">
        <v>1504000</v>
      </c>
      <c r="M40" s="46">
        <v>1633320</v>
      </c>
      <c r="N40" s="46">
        <v>1303456</v>
      </c>
      <c r="O40" s="46">
        <v>1207000</v>
      </c>
      <c r="P40" s="46">
        <v>1197000</v>
      </c>
      <c r="Q40" s="46">
        <v>1474000</v>
      </c>
      <c r="R40" s="46">
        <v>1218716</v>
      </c>
      <c r="S40" s="46">
        <v>1265758</v>
      </c>
      <c r="T40" s="46">
        <v>299000</v>
      </c>
      <c r="U40" s="46">
        <v>0</v>
      </c>
      <c r="V40" s="46">
        <v>0</v>
      </c>
      <c r="W40" s="46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6">
        <v>0</v>
      </c>
      <c r="AD40" s="46">
        <v>0</v>
      </c>
      <c r="AE40" s="46">
        <v>0</v>
      </c>
      <c r="AF40" s="46">
        <v>0</v>
      </c>
      <c r="AG40" s="46">
        <v>0</v>
      </c>
      <c r="AH40" s="46">
        <v>0</v>
      </c>
      <c r="AI40" s="46">
        <v>0</v>
      </c>
      <c r="AJ40" s="46">
        <v>0</v>
      </c>
      <c r="AK40" s="46">
        <v>0</v>
      </c>
      <c r="AL40" s="128">
        <v>0</v>
      </c>
      <c r="AM40" s="128">
        <v>0</v>
      </c>
      <c r="AN40" s="128">
        <v>0</v>
      </c>
      <c r="AO40" s="128">
        <v>0</v>
      </c>
      <c r="AP40" s="128">
        <v>0</v>
      </c>
      <c r="AQ40" s="128">
        <v>0</v>
      </c>
      <c r="AR40" s="128">
        <v>0</v>
      </c>
      <c r="AS40" s="128">
        <v>0</v>
      </c>
      <c r="AT40" s="128">
        <v>0</v>
      </c>
      <c r="AU40" s="128">
        <v>0</v>
      </c>
      <c r="AV40" s="128">
        <v>0</v>
      </c>
      <c r="AW40" s="128">
        <v>0</v>
      </c>
      <c r="AX40" s="128">
        <v>0</v>
      </c>
      <c r="AY40" s="128">
        <v>0</v>
      </c>
      <c r="AZ40" s="128"/>
      <c r="BA40" s="128"/>
      <c r="BB40" s="128"/>
      <c r="BC40" s="127"/>
      <c r="BD40" s="127"/>
      <c r="BE40" s="127"/>
      <c r="BF40" s="127"/>
      <c r="BG40" s="127"/>
      <c r="BH40" s="127"/>
      <c r="BI40" s="127"/>
      <c r="BJ40" s="127"/>
      <c r="BK40" s="221"/>
      <c r="BL40" s="221"/>
      <c r="BM40" s="221"/>
      <c r="BN40" s="221"/>
      <c r="BO40" s="221"/>
      <c r="BP40" s="221"/>
      <c r="BQ40" s="221"/>
      <c r="BR40" s="221"/>
      <c r="BS40" s="221"/>
      <c r="BT40" s="221"/>
      <c r="BU40" s="221"/>
      <c r="BV40" s="221"/>
      <c r="BW40" s="221"/>
      <c r="BX40" s="221"/>
      <c r="BY40" s="221"/>
      <c r="BZ40" s="221"/>
      <c r="CA40" s="221"/>
      <c r="CB40" s="221"/>
      <c r="CC40" s="221"/>
      <c r="CD40" s="46">
        <v>0</v>
      </c>
      <c r="CE40" s="64"/>
      <c r="CF40" s="56"/>
      <c r="CN40" s="3"/>
    </row>
    <row r="41" spans="1:96" hidden="1" x14ac:dyDescent="0.2">
      <c r="A41" s="63" t="s">
        <v>62</v>
      </c>
      <c r="B41" s="28">
        <v>200000</v>
      </c>
      <c r="C41" s="46">
        <v>0</v>
      </c>
      <c r="D41" s="46">
        <v>0</v>
      </c>
      <c r="E41" s="46">
        <v>0</v>
      </c>
      <c r="F41" s="46">
        <v>0</v>
      </c>
      <c r="G41" s="46">
        <v>0</v>
      </c>
      <c r="H41" s="46">
        <v>0</v>
      </c>
      <c r="I41" s="46">
        <v>0</v>
      </c>
      <c r="J41" s="46">
        <v>0</v>
      </c>
      <c r="K41" s="46">
        <v>0</v>
      </c>
      <c r="L41" s="46">
        <v>0</v>
      </c>
      <c r="M41" s="46">
        <v>0</v>
      </c>
      <c r="N41" s="46">
        <v>0</v>
      </c>
      <c r="O41" s="46">
        <v>0</v>
      </c>
      <c r="P41" s="46">
        <v>200000</v>
      </c>
      <c r="Q41" s="46" t="s">
        <v>63</v>
      </c>
      <c r="R41" s="46" t="s">
        <v>63</v>
      </c>
      <c r="S41" s="46" t="s">
        <v>63</v>
      </c>
      <c r="T41" s="46" t="s">
        <v>63</v>
      </c>
      <c r="U41" s="46" t="s">
        <v>63</v>
      </c>
      <c r="V41" s="46" t="s">
        <v>63</v>
      </c>
      <c r="W41" s="46" t="s">
        <v>63</v>
      </c>
      <c r="X41" s="46" t="s">
        <v>63</v>
      </c>
      <c r="Y41" s="46" t="s">
        <v>63</v>
      </c>
      <c r="Z41" s="46" t="s">
        <v>63</v>
      </c>
      <c r="AA41" s="46" t="s">
        <v>63</v>
      </c>
      <c r="AB41" s="46" t="s">
        <v>63</v>
      </c>
      <c r="AC41" s="46" t="s">
        <v>63</v>
      </c>
      <c r="AD41" s="46" t="s">
        <v>63</v>
      </c>
      <c r="AE41" s="56" t="s">
        <v>63</v>
      </c>
      <c r="AF41" s="56" t="s">
        <v>63</v>
      </c>
      <c r="AG41" s="56" t="s">
        <v>63</v>
      </c>
      <c r="AH41" s="56" t="s">
        <v>63</v>
      </c>
      <c r="AI41" s="56" t="s">
        <v>63</v>
      </c>
      <c r="AJ41" s="56" t="s">
        <v>63</v>
      </c>
      <c r="AK41" s="56" t="s">
        <v>63</v>
      </c>
      <c r="AL41" s="128" t="s">
        <v>63</v>
      </c>
      <c r="AM41" s="128" t="s">
        <v>63</v>
      </c>
      <c r="AN41" s="128" t="s">
        <v>63</v>
      </c>
      <c r="AO41" s="128" t="s">
        <v>63</v>
      </c>
      <c r="AP41" s="128" t="s">
        <v>63</v>
      </c>
      <c r="AQ41" s="128" t="s">
        <v>63</v>
      </c>
      <c r="AR41" s="128" t="s">
        <v>63</v>
      </c>
      <c r="AS41" s="128" t="s">
        <v>63</v>
      </c>
      <c r="AT41" s="128" t="s">
        <v>63</v>
      </c>
      <c r="AU41" s="128" t="s">
        <v>63</v>
      </c>
      <c r="AV41" s="128" t="s">
        <v>63</v>
      </c>
      <c r="AW41" s="128" t="s">
        <v>63</v>
      </c>
      <c r="AX41" s="128" t="s">
        <v>63</v>
      </c>
      <c r="AY41" s="128" t="s">
        <v>63</v>
      </c>
      <c r="AZ41" s="128"/>
      <c r="BA41" s="128"/>
      <c r="BB41" s="128"/>
      <c r="BC41" s="127"/>
      <c r="BD41" s="127"/>
      <c r="BE41" s="127"/>
      <c r="BF41" s="127"/>
      <c r="BG41" s="127"/>
      <c r="BH41" s="127"/>
      <c r="BI41" s="127"/>
      <c r="BJ41" s="127"/>
      <c r="BK41" s="221"/>
      <c r="BL41" s="221"/>
      <c r="BM41" s="221"/>
      <c r="BN41" s="221"/>
      <c r="BO41" s="221"/>
      <c r="BP41" s="221"/>
      <c r="BQ41" s="221"/>
      <c r="BR41" s="221"/>
      <c r="BS41" s="221"/>
      <c r="BT41" s="221"/>
      <c r="BU41" s="221"/>
      <c r="BV41" s="221"/>
      <c r="BW41" s="221"/>
      <c r="BX41" s="221"/>
      <c r="BY41" s="221"/>
      <c r="BZ41" s="221"/>
      <c r="CA41" s="221"/>
      <c r="CB41" s="221"/>
      <c r="CC41" s="221"/>
      <c r="CD41" s="46">
        <v>0</v>
      </c>
      <c r="CE41" s="56"/>
      <c r="CF41" s="56"/>
      <c r="CI41" s="5"/>
      <c r="CJ41" s="7"/>
      <c r="CN41" s="3"/>
      <c r="CR41" s="7"/>
    </row>
    <row r="42" spans="1:96" hidden="1" x14ac:dyDescent="0.2">
      <c r="A42" s="63" t="s">
        <v>49</v>
      </c>
      <c r="B42" s="28">
        <f t="shared" ref="B42:B49" si="1">CD42*CE42</f>
        <v>20300.000000000004</v>
      </c>
      <c r="C42" s="46">
        <v>0</v>
      </c>
      <c r="D42" s="46">
        <v>0</v>
      </c>
      <c r="E42" s="46">
        <v>0</v>
      </c>
      <c r="F42" s="46">
        <v>0</v>
      </c>
      <c r="G42" s="46">
        <v>100000</v>
      </c>
      <c r="H42" s="46">
        <v>130000</v>
      </c>
      <c r="I42" s="46">
        <v>100000</v>
      </c>
      <c r="J42" s="46">
        <v>100000</v>
      </c>
      <c r="K42" s="46">
        <v>100000</v>
      </c>
      <c r="L42" s="46">
        <v>100000</v>
      </c>
      <c r="M42" s="46">
        <v>100000</v>
      </c>
      <c r="N42" s="46">
        <v>100000</v>
      </c>
      <c r="O42" s="46">
        <v>100000</v>
      </c>
      <c r="P42" s="46">
        <v>100000</v>
      </c>
      <c r="Q42" s="46">
        <v>100000</v>
      </c>
      <c r="R42" s="46">
        <v>100000</v>
      </c>
      <c r="S42" s="46">
        <v>100000</v>
      </c>
      <c r="T42" s="46">
        <v>60000</v>
      </c>
      <c r="U42" s="46">
        <v>0</v>
      </c>
      <c r="V42" s="46">
        <v>0</v>
      </c>
      <c r="W42" s="46">
        <v>0</v>
      </c>
      <c r="X42" s="46">
        <v>0</v>
      </c>
      <c r="Y42" s="46">
        <v>0</v>
      </c>
      <c r="Z42" s="46">
        <v>0</v>
      </c>
      <c r="AA42" s="46">
        <v>0</v>
      </c>
      <c r="AB42" s="46">
        <v>0</v>
      </c>
      <c r="AC42" s="46">
        <v>0</v>
      </c>
      <c r="AD42" s="46">
        <v>0</v>
      </c>
      <c r="AE42" s="46">
        <v>0</v>
      </c>
      <c r="AF42" s="46">
        <v>0</v>
      </c>
      <c r="AG42" s="46">
        <v>0</v>
      </c>
      <c r="AH42" s="46">
        <v>0</v>
      </c>
      <c r="AI42" s="46">
        <v>0</v>
      </c>
      <c r="AJ42" s="46">
        <v>0</v>
      </c>
      <c r="AK42" s="46">
        <v>0</v>
      </c>
      <c r="AL42" s="128">
        <v>0</v>
      </c>
      <c r="AM42" s="128">
        <v>0</v>
      </c>
      <c r="AN42" s="128">
        <v>0</v>
      </c>
      <c r="AO42" s="128">
        <v>0</v>
      </c>
      <c r="AP42" s="128">
        <v>0</v>
      </c>
      <c r="AQ42" s="128">
        <v>0</v>
      </c>
      <c r="AR42" s="128">
        <v>0</v>
      </c>
      <c r="AS42" s="128">
        <v>0</v>
      </c>
      <c r="AT42" s="128">
        <v>0</v>
      </c>
      <c r="AU42" s="128">
        <v>0</v>
      </c>
      <c r="AV42" s="128">
        <v>0</v>
      </c>
      <c r="AW42" s="128">
        <v>0</v>
      </c>
      <c r="AX42" s="128">
        <v>0</v>
      </c>
      <c r="AY42" s="128">
        <v>0</v>
      </c>
      <c r="AZ42" s="128"/>
      <c r="BA42" s="128"/>
      <c r="BB42" s="128"/>
      <c r="BC42" s="127"/>
      <c r="BD42" s="127"/>
      <c r="BE42" s="127"/>
      <c r="BF42" s="127"/>
      <c r="BG42" s="127"/>
      <c r="BH42" s="127"/>
      <c r="BI42" s="127"/>
      <c r="BJ42" s="127"/>
      <c r="BK42" s="221"/>
      <c r="BL42" s="221"/>
      <c r="BM42" s="221"/>
      <c r="BN42" s="221"/>
      <c r="BO42" s="221"/>
      <c r="BP42" s="221"/>
      <c r="BQ42" s="221"/>
      <c r="BR42" s="221"/>
      <c r="BS42" s="221"/>
      <c r="BT42" s="221"/>
      <c r="BU42" s="221"/>
      <c r="BV42" s="221"/>
      <c r="BW42" s="221"/>
      <c r="BX42" s="221"/>
      <c r="BY42" s="221"/>
      <c r="BZ42" s="221"/>
      <c r="CA42" s="221"/>
      <c r="CB42" s="221"/>
      <c r="CC42" s="221"/>
      <c r="CD42" s="46">
        <v>580000</v>
      </c>
      <c r="CE42" s="64">
        <v>3.5000000000000003E-2</v>
      </c>
      <c r="CF42" s="56">
        <v>30</v>
      </c>
    </row>
    <row r="43" spans="1:96" hidden="1" x14ac:dyDescent="0.2">
      <c r="A43" s="63" t="s">
        <v>64</v>
      </c>
      <c r="B43" s="28">
        <f t="shared" si="1"/>
        <v>0</v>
      </c>
      <c r="C43" s="46">
        <v>0</v>
      </c>
      <c r="D43" s="46">
        <v>0</v>
      </c>
      <c r="E43" s="46">
        <v>0</v>
      </c>
      <c r="F43" s="46">
        <v>0</v>
      </c>
      <c r="G43" s="46">
        <v>0</v>
      </c>
      <c r="H43" s="46">
        <v>175000</v>
      </c>
      <c r="I43" s="46">
        <v>1325000</v>
      </c>
      <c r="J43" s="46">
        <v>500000</v>
      </c>
      <c r="K43" s="46">
        <v>500000</v>
      </c>
      <c r="L43" s="46">
        <v>500000</v>
      </c>
      <c r="M43" s="46">
        <v>500000</v>
      </c>
      <c r="N43" s="46">
        <v>500000</v>
      </c>
      <c r="O43" s="46">
        <v>500000</v>
      </c>
      <c r="P43" s="46">
        <v>500000</v>
      </c>
      <c r="Q43" s="46">
        <v>1000000</v>
      </c>
      <c r="R43" s="46">
        <v>0</v>
      </c>
      <c r="S43" s="46">
        <v>0</v>
      </c>
      <c r="T43" s="46">
        <v>0</v>
      </c>
      <c r="U43" s="46">
        <v>0</v>
      </c>
      <c r="V43" s="46">
        <v>0</v>
      </c>
      <c r="W43" s="46">
        <v>0</v>
      </c>
      <c r="X43" s="46">
        <v>0</v>
      </c>
      <c r="Y43" s="46">
        <v>0</v>
      </c>
      <c r="Z43" s="46">
        <v>0</v>
      </c>
      <c r="AA43" s="46">
        <v>0</v>
      </c>
      <c r="AB43" s="46">
        <v>0</v>
      </c>
      <c r="AC43" s="46">
        <v>0</v>
      </c>
      <c r="AD43" s="46">
        <v>0</v>
      </c>
      <c r="AE43" s="46">
        <v>0</v>
      </c>
      <c r="AF43" s="46">
        <v>0</v>
      </c>
      <c r="AG43" s="46">
        <v>0</v>
      </c>
      <c r="AH43" s="46">
        <v>0</v>
      </c>
      <c r="AI43" s="46">
        <v>0</v>
      </c>
      <c r="AJ43" s="46">
        <v>0</v>
      </c>
      <c r="AK43" s="46">
        <v>0</v>
      </c>
      <c r="AL43" s="128">
        <v>0</v>
      </c>
      <c r="AM43" s="128">
        <v>0</v>
      </c>
      <c r="AN43" s="128">
        <v>0</v>
      </c>
      <c r="AO43" s="128">
        <v>0</v>
      </c>
      <c r="AP43" s="128">
        <v>0</v>
      </c>
      <c r="AQ43" s="128">
        <v>0</v>
      </c>
      <c r="AR43" s="128">
        <v>0</v>
      </c>
      <c r="AS43" s="128">
        <v>0</v>
      </c>
      <c r="AT43" s="128">
        <v>0</v>
      </c>
      <c r="AU43" s="128">
        <v>0</v>
      </c>
      <c r="AV43" s="128">
        <v>0</v>
      </c>
      <c r="AW43" s="128">
        <v>0</v>
      </c>
      <c r="AX43" s="128">
        <v>0</v>
      </c>
      <c r="AY43" s="128">
        <v>0</v>
      </c>
      <c r="AZ43" s="128"/>
      <c r="BA43" s="128"/>
      <c r="BB43" s="128"/>
      <c r="BC43" s="127"/>
      <c r="BD43" s="127"/>
      <c r="BE43" s="127"/>
      <c r="BF43" s="127"/>
      <c r="BG43" s="127"/>
      <c r="BH43" s="127"/>
      <c r="BI43" s="127"/>
      <c r="BJ43" s="127"/>
      <c r="BK43" s="221"/>
      <c r="BL43" s="221"/>
      <c r="BM43" s="221"/>
      <c r="BN43" s="221"/>
      <c r="BO43" s="221"/>
      <c r="BP43" s="221"/>
      <c r="BQ43" s="221"/>
      <c r="BR43" s="221"/>
      <c r="BS43" s="221"/>
      <c r="BT43" s="221"/>
      <c r="BU43" s="221"/>
      <c r="BV43" s="221"/>
      <c r="BW43" s="221"/>
      <c r="BX43" s="221"/>
      <c r="BY43" s="221"/>
      <c r="BZ43" s="221"/>
      <c r="CA43" s="221"/>
      <c r="CB43" s="221"/>
      <c r="CC43" s="221"/>
      <c r="CD43" s="46">
        <v>0</v>
      </c>
      <c r="CE43" s="64">
        <v>3.5000000000000003E-2</v>
      </c>
      <c r="CF43" s="56"/>
      <c r="CG43" s="24"/>
      <c r="CN43" s="3"/>
    </row>
    <row r="44" spans="1:96" hidden="1" x14ac:dyDescent="0.2">
      <c r="A44" s="63" t="s">
        <v>65</v>
      </c>
      <c r="B44" s="28">
        <f t="shared" si="1"/>
        <v>0</v>
      </c>
      <c r="C44" s="46">
        <v>990000</v>
      </c>
      <c r="D44" s="46">
        <v>990000</v>
      </c>
      <c r="E44" s="46">
        <v>976000</v>
      </c>
      <c r="F44" s="46">
        <v>976000</v>
      </c>
      <c r="G44" s="46">
        <v>1028386.8</v>
      </c>
      <c r="H44" s="46">
        <v>1028386.8</v>
      </c>
      <c r="I44" s="46">
        <v>1028386.8</v>
      </c>
      <c r="J44" s="46">
        <v>1028386.8</v>
      </c>
      <c r="K44" s="46">
        <v>1028386.8</v>
      </c>
      <c r="L44" s="46">
        <v>35100000</v>
      </c>
      <c r="M44" s="46">
        <v>0</v>
      </c>
      <c r="N44" s="46">
        <v>0</v>
      </c>
      <c r="O44" s="46">
        <v>0</v>
      </c>
      <c r="P44" s="46">
        <v>0</v>
      </c>
      <c r="Q44" s="46">
        <v>0</v>
      </c>
      <c r="R44" s="46">
        <v>0</v>
      </c>
      <c r="S44" s="46">
        <v>0</v>
      </c>
      <c r="T44" s="46">
        <v>0</v>
      </c>
      <c r="U44" s="46">
        <v>0</v>
      </c>
      <c r="V44" s="46">
        <v>0</v>
      </c>
      <c r="W44" s="46">
        <v>0</v>
      </c>
      <c r="X44" s="46">
        <v>0</v>
      </c>
      <c r="Y44" s="46">
        <v>0</v>
      </c>
      <c r="Z44" s="46">
        <v>0</v>
      </c>
      <c r="AA44" s="46">
        <v>0</v>
      </c>
      <c r="AB44" s="46">
        <v>0</v>
      </c>
      <c r="AC44" s="46">
        <v>0</v>
      </c>
      <c r="AD44" s="46">
        <v>0</v>
      </c>
      <c r="AE44" s="46">
        <v>0</v>
      </c>
      <c r="AF44" s="46">
        <v>0</v>
      </c>
      <c r="AG44" s="46">
        <v>0</v>
      </c>
      <c r="AH44" s="46">
        <v>0</v>
      </c>
      <c r="AI44" s="46">
        <v>0</v>
      </c>
      <c r="AJ44" s="46">
        <v>0</v>
      </c>
      <c r="AK44" s="46">
        <v>0</v>
      </c>
      <c r="AL44" s="128">
        <v>0</v>
      </c>
      <c r="AM44" s="128">
        <v>0</v>
      </c>
      <c r="AN44" s="128">
        <v>0</v>
      </c>
      <c r="AO44" s="128">
        <v>0</v>
      </c>
      <c r="AP44" s="128">
        <v>0</v>
      </c>
      <c r="AQ44" s="128">
        <v>0</v>
      </c>
      <c r="AR44" s="128">
        <v>0</v>
      </c>
      <c r="AS44" s="128">
        <v>0</v>
      </c>
      <c r="AT44" s="128">
        <v>0</v>
      </c>
      <c r="AU44" s="128">
        <v>0</v>
      </c>
      <c r="AV44" s="128">
        <v>0</v>
      </c>
      <c r="AW44" s="128">
        <v>0</v>
      </c>
      <c r="AX44" s="128">
        <v>0</v>
      </c>
      <c r="AY44" s="128">
        <v>0</v>
      </c>
      <c r="AZ44" s="128"/>
      <c r="BA44" s="128"/>
      <c r="BB44" s="128"/>
      <c r="BC44" s="127"/>
      <c r="BD44" s="127"/>
      <c r="BE44" s="127"/>
      <c r="BF44" s="127"/>
      <c r="BG44" s="127"/>
      <c r="BH44" s="127"/>
      <c r="BI44" s="127"/>
      <c r="BJ44" s="127"/>
      <c r="BK44" s="221"/>
      <c r="BL44" s="221"/>
      <c r="BM44" s="221"/>
      <c r="BN44" s="221"/>
      <c r="BO44" s="221"/>
      <c r="BP44" s="221"/>
      <c r="BQ44" s="221"/>
      <c r="BR44" s="221"/>
      <c r="BS44" s="221"/>
      <c r="BT44" s="221"/>
      <c r="BU44" s="221"/>
      <c r="BV44" s="221"/>
      <c r="BW44" s="221"/>
      <c r="BX44" s="221"/>
      <c r="BY44" s="221"/>
      <c r="BZ44" s="221"/>
      <c r="CA44" s="221"/>
      <c r="CB44" s="221"/>
      <c r="CC44" s="221"/>
      <c r="CD44" s="46">
        <v>0</v>
      </c>
      <c r="CE44" s="64">
        <v>1.4999999999999999E-2</v>
      </c>
      <c r="CF44" s="56">
        <v>25</v>
      </c>
      <c r="CG44" s="24"/>
      <c r="CN44" s="3"/>
    </row>
    <row r="45" spans="1:96" hidden="1" x14ac:dyDescent="0.2">
      <c r="A45" s="63" t="s">
        <v>66</v>
      </c>
      <c r="B45" s="28">
        <f t="shared" si="1"/>
        <v>0</v>
      </c>
      <c r="C45" s="46">
        <v>0</v>
      </c>
      <c r="D45" s="46">
        <v>0</v>
      </c>
      <c r="E45" s="46">
        <v>0</v>
      </c>
      <c r="F45" s="46">
        <v>0</v>
      </c>
      <c r="G45" s="46">
        <v>60000</v>
      </c>
      <c r="H45" s="46">
        <v>0</v>
      </c>
      <c r="I45" s="46">
        <v>0</v>
      </c>
      <c r="J45" s="46">
        <v>0</v>
      </c>
      <c r="K45" s="46">
        <v>60000</v>
      </c>
      <c r="L45" s="46">
        <v>0</v>
      </c>
      <c r="M45" s="46">
        <v>0</v>
      </c>
      <c r="N45" s="46">
        <v>0</v>
      </c>
      <c r="O45" s="46">
        <v>0</v>
      </c>
      <c r="P45" s="46">
        <v>0</v>
      </c>
      <c r="Q45" s="46">
        <v>0</v>
      </c>
      <c r="R45" s="46">
        <v>0</v>
      </c>
      <c r="S45" s="46">
        <v>0</v>
      </c>
      <c r="T45" s="46">
        <v>0</v>
      </c>
      <c r="U45" s="46">
        <v>0</v>
      </c>
      <c r="V45" s="46">
        <v>0</v>
      </c>
      <c r="W45" s="46">
        <v>0</v>
      </c>
      <c r="X45" s="46">
        <v>0</v>
      </c>
      <c r="Y45" s="46">
        <v>0</v>
      </c>
      <c r="Z45" s="46">
        <v>0</v>
      </c>
      <c r="AA45" s="46">
        <v>0</v>
      </c>
      <c r="AB45" s="46">
        <v>0</v>
      </c>
      <c r="AC45" s="46">
        <v>0</v>
      </c>
      <c r="AD45" s="46">
        <v>0</v>
      </c>
      <c r="AE45" s="46">
        <v>0</v>
      </c>
      <c r="AF45" s="46">
        <v>0</v>
      </c>
      <c r="AG45" s="46">
        <v>0</v>
      </c>
      <c r="AH45" s="46">
        <v>0</v>
      </c>
      <c r="AI45" s="46">
        <v>0</v>
      </c>
      <c r="AJ45" s="46">
        <v>0</v>
      </c>
      <c r="AK45" s="46">
        <v>0</v>
      </c>
      <c r="AL45" s="128">
        <v>0</v>
      </c>
      <c r="AM45" s="128">
        <v>0</v>
      </c>
      <c r="AN45" s="128">
        <v>0</v>
      </c>
      <c r="AO45" s="128">
        <v>0</v>
      </c>
      <c r="AP45" s="128">
        <v>0</v>
      </c>
      <c r="AQ45" s="128">
        <v>0</v>
      </c>
      <c r="AR45" s="128">
        <v>0</v>
      </c>
      <c r="AS45" s="128">
        <v>0</v>
      </c>
      <c r="AT45" s="128">
        <v>0</v>
      </c>
      <c r="AU45" s="128">
        <v>0</v>
      </c>
      <c r="AV45" s="128">
        <v>0</v>
      </c>
      <c r="AW45" s="128">
        <v>0</v>
      </c>
      <c r="AX45" s="128">
        <v>0</v>
      </c>
      <c r="AY45" s="128">
        <v>0</v>
      </c>
      <c r="AZ45" s="128"/>
      <c r="BA45" s="128"/>
      <c r="BB45" s="128"/>
      <c r="BC45" s="127"/>
      <c r="BD45" s="127"/>
      <c r="BE45" s="127"/>
      <c r="BF45" s="127"/>
      <c r="BG45" s="127"/>
      <c r="BH45" s="127"/>
      <c r="BI45" s="127"/>
      <c r="BJ45" s="127"/>
      <c r="BK45" s="221"/>
      <c r="BL45" s="221"/>
      <c r="BM45" s="221"/>
      <c r="BN45" s="221"/>
      <c r="BO45" s="221"/>
      <c r="BP45" s="221"/>
      <c r="BQ45" s="221"/>
      <c r="BR45" s="221"/>
      <c r="BS45" s="221"/>
      <c r="BT45" s="221"/>
      <c r="BU45" s="221"/>
      <c r="BV45" s="221"/>
      <c r="BW45" s="221"/>
      <c r="BX45" s="221"/>
      <c r="BY45" s="221"/>
      <c r="BZ45" s="221"/>
      <c r="CA45" s="221"/>
      <c r="CB45" s="221"/>
      <c r="CC45" s="221"/>
      <c r="CD45" s="46">
        <v>0</v>
      </c>
      <c r="CE45" s="64"/>
      <c r="CF45" s="56"/>
    </row>
    <row r="46" spans="1:96" hidden="1" x14ac:dyDescent="0.2">
      <c r="A46" s="63" t="s">
        <v>67</v>
      </c>
      <c r="B46" s="28">
        <f t="shared" si="1"/>
        <v>0</v>
      </c>
      <c r="C46" s="46">
        <v>0</v>
      </c>
      <c r="D46" s="46">
        <v>0</v>
      </c>
      <c r="E46" s="46">
        <v>0</v>
      </c>
      <c r="F46" s="46">
        <v>0</v>
      </c>
      <c r="G46" s="46">
        <v>0</v>
      </c>
      <c r="H46" s="46">
        <v>0</v>
      </c>
      <c r="I46" s="46">
        <v>0</v>
      </c>
      <c r="J46" s="46">
        <v>116000</v>
      </c>
      <c r="K46" s="46">
        <v>116000</v>
      </c>
      <c r="L46" s="46">
        <v>66000</v>
      </c>
      <c r="M46" s="46">
        <v>116000</v>
      </c>
      <c r="N46" s="46">
        <v>142000</v>
      </c>
      <c r="O46" s="46">
        <v>0</v>
      </c>
      <c r="P46" s="46">
        <v>0</v>
      </c>
      <c r="Q46" s="46">
        <v>0</v>
      </c>
      <c r="R46" s="46">
        <v>0</v>
      </c>
      <c r="S46" s="46">
        <v>0</v>
      </c>
      <c r="T46" s="46">
        <v>0</v>
      </c>
      <c r="U46" s="46">
        <v>0</v>
      </c>
      <c r="V46" s="46">
        <v>0</v>
      </c>
      <c r="W46" s="46">
        <v>0</v>
      </c>
      <c r="X46" s="46">
        <v>0</v>
      </c>
      <c r="Y46" s="46">
        <v>0</v>
      </c>
      <c r="Z46" s="46">
        <v>0</v>
      </c>
      <c r="AA46" s="46">
        <v>0</v>
      </c>
      <c r="AB46" s="46">
        <v>0</v>
      </c>
      <c r="AC46" s="46">
        <v>0</v>
      </c>
      <c r="AD46" s="46">
        <v>0</v>
      </c>
      <c r="AE46" s="46">
        <v>0</v>
      </c>
      <c r="AF46" s="46">
        <v>0</v>
      </c>
      <c r="AG46" s="46">
        <v>0</v>
      </c>
      <c r="AH46" s="46">
        <v>0</v>
      </c>
      <c r="AI46" s="46">
        <v>0</v>
      </c>
      <c r="AJ46" s="46">
        <v>0</v>
      </c>
      <c r="AK46" s="46">
        <v>0</v>
      </c>
      <c r="AL46" s="128">
        <v>0</v>
      </c>
      <c r="AM46" s="128">
        <v>0</v>
      </c>
      <c r="AN46" s="128">
        <v>0</v>
      </c>
      <c r="AO46" s="128">
        <v>0</v>
      </c>
      <c r="AP46" s="128">
        <v>0</v>
      </c>
      <c r="AQ46" s="128">
        <v>0</v>
      </c>
      <c r="AR46" s="128">
        <v>0</v>
      </c>
      <c r="AS46" s="128">
        <v>0</v>
      </c>
      <c r="AT46" s="128">
        <v>0</v>
      </c>
      <c r="AU46" s="128">
        <v>0</v>
      </c>
      <c r="AV46" s="128">
        <v>0</v>
      </c>
      <c r="AW46" s="128">
        <v>0</v>
      </c>
      <c r="AX46" s="128">
        <v>0</v>
      </c>
      <c r="AY46" s="128">
        <v>0</v>
      </c>
      <c r="AZ46" s="128"/>
      <c r="BA46" s="128"/>
      <c r="BB46" s="128"/>
      <c r="BC46" s="127"/>
      <c r="BD46" s="127"/>
      <c r="BE46" s="127"/>
      <c r="BF46" s="127"/>
      <c r="BG46" s="127"/>
      <c r="BH46" s="127"/>
      <c r="BI46" s="127"/>
      <c r="BJ46" s="127"/>
      <c r="BK46" s="221"/>
      <c r="BL46" s="221"/>
      <c r="BM46" s="221"/>
      <c r="BN46" s="221"/>
      <c r="BO46" s="221"/>
      <c r="BP46" s="221"/>
      <c r="BQ46" s="221"/>
      <c r="BR46" s="221"/>
      <c r="BS46" s="221"/>
      <c r="BT46" s="221"/>
      <c r="BU46" s="221"/>
      <c r="BV46" s="221"/>
      <c r="BW46" s="221"/>
      <c r="BX46" s="221"/>
      <c r="BY46" s="221"/>
      <c r="BZ46" s="221"/>
      <c r="CA46" s="221"/>
      <c r="CB46" s="221"/>
      <c r="CC46" s="221"/>
      <c r="CD46" s="46">
        <v>0</v>
      </c>
      <c r="CE46" s="64">
        <v>3.5000000000000003E-2</v>
      </c>
      <c r="CF46" s="56"/>
      <c r="CN46" s="3"/>
    </row>
    <row r="47" spans="1:96" hidden="1" x14ac:dyDescent="0.2">
      <c r="A47" s="63" t="s">
        <v>67</v>
      </c>
      <c r="B47" s="28">
        <f t="shared" si="1"/>
        <v>0</v>
      </c>
      <c r="C47" s="46">
        <v>0</v>
      </c>
      <c r="D47" s="46">
        <v>0</v>
      </c>
      <c r="E47" s="46">
        <v>0</v>
      </c>
      <c r="F47" s="46">
        <v>0</v>
      </c>
      <c r="G47" s="46">
        <v>0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  <c r="M47" s="46">
        <v>0</v>
      </c>
      <c r="N47" s="46">
        <v>0</v>
      </c>
      <c r="O47" s="46">
        <v>100000</v>
      </c>
      <c r="P47" s="46">
        <v>50000</v>
      </c>
      <c r="Q47" s="46">
        <v>100000</v>
      </c>
      <c r="R47" s="46">
        <v>89000</v>
      </c>
      <c r="S47" s="46">
        <v>0</v>
      </c>
      <c r="T47" s="46">
        <v>0</v>
      </c>
      <c r="U47" s="46">
        <v>0</v>
      </c>
      <c r="V47" s="46">
        <v>0</v>
      </c>
      <c r="W47" s="46">
        <v>0</v>
      </c>
      <c r="X47" s="46">
        <v>0</v>
      </c>
      <c r="Y47" s="46">
        <v>0</v>
      </c>
      <c r="Z47" s="46">
        <v>0</v>
      </c>
      <c r="AA47" s="46">
        <v>0</v>
      </c>
      <c r="AB47" s="46">
        <v>0</v>
      </c>
      <c r="AC47" s="46">
        <v>0</v>
      </c>
      <c r="AD47" s="46">
        <v>0</v>
      </c>
      <c r="AE47" s="46">
        <v>0</v>
      </c>
      <c r="AF47" s="46">
        <v>0</v>
      </c>
      <c r="AG47" s="46">
        <v>0</v>
      </c>
      <c r="AH47" s="46">
        <v>0</v>
      </c>
      <c r="AI47" s="46">
        <v>0</v>
      </c>
      <c r="AJ47" s="46">
        <v>0</v>
      </c>
      <c r="AK47" s="46">
        <v>0</v>
      </c>
      <c r="AL47" s="128">
        <v>0</v>
      </c>
      <c r="AM47" s="128">
        <v>0</v>
      </c>
      <c r="AN47" s="128">
        <v>0</v>
      </c>
      <c r="AO47" s="128">
        <v>0</v>
      </c>
      <c r="AP47" s="128">
        <v>0</v>
      </c>
      <c r="AQ47" s="128">
        <v>0</v>
      </c>
      <c r="AR47" s="128">
        <v>0</v>
      </c>
      <c r="AS47" s="128">
        <v>0</v>
      </c>
      <c r="AT47" s="128">
        <v>0</v>
      </c>
      <c r="AU47" s="128">
        <v>0</v>
      </c>
      <c r="AV47" s="128">
        <v>0</v>
      </c>
      <c r="AW47" s="128">
        <v>0</v>
      </c>
      <c r="AX47" s="128">
        <v>0</v>
      </c>
      <c r="AY47" s="128">
        <v>0</v>
      </c>
      <c r="AZ47" s="128"/>
      <c r="BA47" s="128"/>
      <c r="BB47" s="128"/>
      <c r="BC47" s="127"/>
      <c r="BD47" s="127"/>
      <c r="BE47" s="127"/>
      <c r="BF47" s="127"/>
      <c r="BG47" s="127"/>
      <c r="BH47" s="127"/>
      <c r="BI47" s="127"/>
      <c r="BJ47" s="127"/>
      <c r="BK47" s="221"/>
      <c r="BL47" s="221"/>
      <c r="BM47" s="221"/>
      <c r="BN47" s="221"/>
      <c r="BO47" s="221"/>
      <c r="BP47" s="221"/>
      <c r="BQ47" s="221"/>
      <c r="BR47" s="221"/>
      <c r="BS47" s="221"/>
      <c r="BT47" s="221"/>
      <c r="BU47" s="221"/>
      <c r="BV47" s="221"/>
      <c r="BW47" s="221"/>
      <c r="BX47" s="221"/>
      <c r="BY47" s="221"/>
      <c r="BZ47" s="221"/>
      <c r="CA47" s="221"/>
      <c r="CB47" s="221"/>
      <c r="CC47" s="221"/>
      <c r="CD47" s="46">
        <v>0</v>
      </c>
      <c r="CE47" s="64">
        <v>3.5000000000000003E-2</v>
      </c>
      <c r="CF47" s="56"/>
      <c r="CN47" s="3"/>
    </row>
    <row r="48" spans="1:96" hidden="1" x14ac:dyDescent="0.2">
      <c r="A48" s="63" t="s">
        <v>68</v>
      </c>
      <c r="B48" s="28">
        <f t="shared" si="1"/>
        <v>0</v>
      </c>
      <c r="C48" s="46">
        <v>51500</v>
      </c>
      <c r="D48" s="46">
        <v>43500</v>
      </c>
      <c r="E48" s="46">
        <v>35000</v>
      </c>
      <c r="F48" s="46">
        <v>250000</v>
      </c>
      <c r="G48" s="46">
        <v>250000</v>
      </c>
      <c r="H48" s="46">
        <v>250000</v>
      </c>
      <c r="I48" s="46">
        <v>0</v>
      </c>
      <c r="J48" s="46">
        <v>0</v>
      </c>
      <c r="K48" s="46">
        <v>0</v>
      </c>
      <c r="L48" s="46">
        <v>0</v>
      </c>
      <c r="M48" s="46">
        <v>0</v>
      </c>
      <c r="N48" s="46">
        <v>0</v>
      </c>
      <c r="O48" s="46">
        <v>0</v>
      </c>
      <c r="P48" s="46">
        <v>0</v>
      </c>
      <c r="Q48" s="46">
        <v>0</v>
      </c>
      <c r="R48" s="46">
        <v>0</v>
      </c>
      <c r="S48" s="46">
        <v>0</v>
      </c>
      <c r="T48" s="46">
        <v>0</v>
      </c>
      <c r="U48" s="46">
        <v>0</v>
      </c>
      <c r="V48" s="46">
        <v>0</v>
      </c>
      <c r="W48" s="46">
        <v>0</v>
      </c>
      <c r="X48" s="46">
        <v>0</v>
      </c>
      <c r="Y48" s="46">
        <v>0</v>
      </c>
      <c r="Z48" s="46">
        <v>0</v>
      </c>
      <c r="AA48" s="46">
        <v>0</v>
      </c>
      <c r="AB48" s="46">
        <v>0</v>
      </c>
      <c r="AC48" s="46">
        <v>0</v>
      </c>
      <c r="AD48" s="46">
        <v>0</v>
      </c>
      <c r="AE48" s="46">
        <v>0</v>
      </c>
      <c r="AF48" s="46">
        <v>0</v>
      </c>
      <c r="AG48" s="46">
        <v>0</v>
      </c>
      <c r="AH48" s="46">
        <v>0</v>
      </c>
      <c r="AI48" s="46">
        <v>0</v>
      </c>
      <c r="AJ48" s="46">
        <v>0</v>
      </c>
      <c r="AK48" s="46">
        <v>0</v>
      </c>
      <c r="AL48" s="128">
        <v>0</v>
      </c>
      <c r="AM48" s="128">
        <v>0</v>
      </c>
      <c r="AN48" s="128">
        <v>0</v>
      </c>
      <c r="AO48" s="128">
        <v>0</v>
      </c>
      <c r="AP48" s="128">
        <v>0</v>
      </c>
      <c r="AQ48" s="128">
        <v>0</v>
      </c>
      <c r="AR48" s="128">
        <v>0</v>
      </c>
      <c r="AS48" s="128">
        <v>0</v>
      </c>
      <c r="AT48" s="128">
        <v>0</v>
      </c>
      <c r="AU48" s="128">
        <v>0</v>
      </c>
      <c r="AV48" s="128">
        <v>0</v>
      </c>
      <c r="AW48" s="128">
        <v>0</v>
      </c>
      <c r="AX48" s="128">
        <v>0</v>
      </c>
      <c r="AY48" s="128">
        <v>0</v>
      </c>
      <c r="AZ48" s="128"/>
      <c r="BA48" s="128"/>
      <c r="BB48" s="128"/>
      <c r="BC48" s="127"/>
      <c r="BD48" s="127"/>
      <c r="BE48" s="127"/>
      <c r="BF48" s="127"/>
      <c r="BG48" s="127"/>
      <c r="BH48" s="127"/>
      <c r="BI48" s="127"/>
      <c r="BJ48" s="127"/>
      <c r="BK48" s="221"/>
      <c r="BL48" s="221"/>
      <c r="BM48" s="221"/>
      <c r="BN48" s="221"/>
      <c r="BO48" s="221"/>
      <c r="BP48" s="221"/>
      <c r="BQ48" s="221"/>
      <c r="BR48" s="221"/>
      <c r="BS48" s="221"/>
      <c r="BT48" s="221"/>
      <c r="BU48" s="221"/>
      <c r="BV48" s="221"/>
      <c r="BW48" s="221"/>
      <c r="BX48" s="221"/>
      <c r="BY48" s="221"/>
      <c r="BZ48" s="221"/>
      <c r="CA48" s="221"/>
      <c r="CB48" s="221"/>
      <c r="CC48" s="221"/>
      <c r="CD48" s="46">
        <v>0</v>
      </c>
      <c r="CE48" s="64">
        <v>3.5000000000000003E-2</v>
      </c>
      <c r="CF48" s="56">
        <v>30</v>
      </c>
    </row>
    <row r="49" spans="1:84" hidden="1" x14ac:dyDescent="0.2">
      <c r="A49" s="63" t="s">
        <v>69</v>
      </c>
      <c r="B49" s="28">
        <f t="shared" si="1"/>
        <v>0</v>
      </c>
      <c r="C49" s="46">
        <v>0</v>
      </c>
      <c r="D49" s="46">
        <v>116000</v>
      </c>
      <c r="E49" s="46">
        <v>116000</v>
      </c>
      <c r="F49" s="46">
        <v>66000</v>
      </c>
      <c r="G49" s="46">
        <v>113000</v>
      </c>
      <c r="H49" s="46">
        <v>100000</v>
      </c>
      <c r="I49" s="46">
        <v>50000</v>
      </c>
      <c r="J49" s="46">
        <v>0</v>
      </c>
      <c r="K49" s="46">
        <v>0</v>
      </c>
      <c r="L49" s="46">
        <v>0</v>
      </c>
      <c r="M49" s="46">
        <v>0</v>
      </c>
      <c r="N49" s="46">
        <v>0</v>
      </c>
      <c r="O49" s="46">
        <v>0</v>
      </c>
      <c r="P49" s="46">
        <v>0</v>
      </c>
      <c r="Q49" s="46">
        <v>0</v>
      </c>
      <c r="R49" s="46">
        <v>0</v>
      </c>
      <c r="S49" s="46">
        <v>0</v>
      </c>
      <c r="T49" s="46">
        <v>0</v>
      </c>
      <c r="U49" s="46">
        <v>0</v>
      </c>
      <c r="V49" s="46">
        <v>0</v>
      </c>
      <c r="W49" s="46">
        <v>0</v>
      </c>
      <c r="X49" s="46">
        <v>0</v>
      </c>
      <c r="Y49" s="46">
        <v>0</v>
      </c>
      <c r="Z49" s="46">
        <v>0</v>
      </c>
      <c r="AA49" s="46">
        <v>0</v>
      </c>
      <c r="AB49" s="46">
        <v>0</v>
      </c>
      <c r="AC49" s="46">
        <v>0</v>
      </c>
      <c r="AD49" s="46">
        <v>0</v>
      </c>
      <c r="AE49" s="46">
        <v>0</v>
      </c>
      <c r="AF49" s="46">
        <v>0</v>
      </c>
      <c r="AG49" s="46">
        <v>0</v>
      </c>
      <c r="AH49" s="46">
        <v>0</v>
      </c>
      <c r="AI49" s="46">
        <v>0</v>
      </c>
      <c r="AJ49" s="46">
        <v>0</v>
      </c>
      <c r="AK49" s="46">
        <v>0</v>
      </c>
      <c r="AL49" s="128">
        <v>0</v>
      </c>
      <c r="AM49" s="128">
        <v>0</v>
      </c>
      <c r="AN49" s="128">
        <v>0</v>
      </c>
      <c r="AO49" s="128">
        <v>0</v>
      </c>
      <c r="AP49" s="128">
        <v>0</v>
      </c>
      <c r="AQ49" s="128">
        <v>0</v>
      </c>
      <c r="AR49" s="128">
        <v>0</v>
      </c>
      <c r="AS49" s="128">
        <v>0</v>
      </c>
      <c r="AT49" s="128">
        <v>0</v>
      </c>
      <c r="AU49" s="128">
        <v>0</v>
      </c>
      <c r="AV49" s="128">
        <v>0</v>
      </c>
      <c r="AW49" s="128">
        <v>0</v>
      </c>
      <c r="AX49" s="128">
        <v>0</v>
      </c>
      <c r="AY49" s="128">
        <v>0</v>
      </c>
      <c r="AZ49" s="128"/>
      <c r="BA49" s="128"/>
      <c r="BB49" s="128"/>
      <c r="BC49" s="127"/>
      <c r="BD49" s="127"/>
      <c r="BE49" s="127"/>
      <c r="BF49" s="127"/>
      <c r="BG49" s="127"/>
      <c r="BH49" s="127"/>
      <c r="BI49" s="127"/>
      <c r="BJ49" s="127"/>
      <c r="BK49" s="221"/>
      <c r="BL49" s="221"/>
      <c r="BM49" s="221"/>
      <c r="BN49" s="221"/>
      <c r="BO49" s="221"/>
      <c r="BP49" s="221"/>
      <c r="BQ49" s="221"/>
      <c r="BR49" s="221"/>
      <c r="BS49" s="221"/>
      <c r="BT49" s="221"/>
      <c r="BU49" s="221"/>
      <c r="BV49" s="221"/>
      <c r="BW49" s="221"/>
      <c r="BX49" s="221"/>
      <c r="BY49" s="221"/>
      <c r="BZ49" s="221"/>
      <c r="CA49" s="221"/>
      <c r="CB49" s="221"/>
      <c r="CC49" s="221"/>
      <c r="CD49" s="46">
        <v>0</v>
      </c>
      <c r="CE49" s="64">
        <v>3.2000000000000001E-2</v>
      </c>
      <c r="CF49" s="56">
        <v>30</v>
      </c>
    </row>
    <row r="50" spans="1:84" x14ac:dyDescent="0.2">
      <c r="A50" s="41" t="s">
        <v>70</v>
      </c>
      <c r="B50" s="40"/>
      <c r="C50" s="27">
        <v>290000</v>
      </c>
      <c r="D50" s="27">
        <v>240000</v>
      </c>
      <c r="E50" s="27">
        <v>58000</v>
      </c>
      <c r="F50" s="27">
        <v>1580000</v>
      </c>
      <c r="G50" s="27">
        <v>2050000</v>
      </c>
      <c r="H50" s="27">
        <v>4125000</v>
      </c>
      <c r="I50" s="60">
        <v>3531000</v>
      </c>
      <c r="J50" s="60">
        <f>SUMIFS(GASTOS!E:E,GASTOS!B:B,2020,GASTOS!C:C,8)</f>
        <v>997000</v>
      </c>
      <c r="K50" s="60">
        <f>SUMIFS(GASTOS!E:E,GASTOS!B:B,2020,GASTOS!C:C,9)</f>
        <v>1680000</v>
      </c>
      <c r="L50" s="60">
        <f>SUMIFS(GASTOS!E:E,GASTOS!B:B,2020,GASTOS!C:C,10)</f>
        <v>8447019.9800000004</v>
      </c>
      <c r="M50" s="60">
        <f>SUMIFS(GASTOS!E:E,GASTOS!B:B,2020,GASTOS!C:C,11)</f>
        <v>3220000</v>
      </c>
      <c r="N50" s="60">
        <f>SUMIFS(GASTOS!E:E,GASTOS!B:B,2020,GASTOS!C:C,12)</f>
        <v>8772900</v>
      </c>
      <c r="O50" s="60">
        <f>SUMIFS(GASTOS!E:E,GASTOS!B:B,2021,GASTOS!C:C,1)</f>
        <v>7789000</v>
      </c>
      <c r="P50" s="60">
        <f>SUMIFS(GASTOS!E:E,GASTOS!B:B,2021,GASTOS!C:C,2)</f>
        <v>2983000</v>
      </c>
      <c r="Q50" s="60">
        <f>SUMIFS(GASTOS!E:E,GASTOS!B:B,2021,GASTOS!C:C,3)</f>
        <v>1120000</v>
      </c>
      <c r="R50" s="60">
        <f>SUMIFS(GASTOS!E:E,GASTOS!B:B,2021,GASTOS!C:C,4)</f>
        <v>2353200</v>
      </c>
      <c r="S50" s="60">
        <f>SUMIFS(GASTOS!E:E,GASTOS!B:B,2021,GASTOS!C:C,5)</f>
        <v>641000</v>
      </c>
      <c r="T50" s="60">
        <f>SUMIFS(GASTOS!E:E,GASTOS!B:B,2021,GASTOS!C:C,6)</f>
        <v>955000</v>
      </c>
      <c r="U50" s="60">
        <f>SUMIFS(GASTOS!E:E,GASTOS!B:B,2021,GASTOS!C:C,7)</f>
        <v>2771100</v>
      </c>
      <c r="V50" s="60">
        <f>SUMIFS(GASTOS!E:E,GASTOS!B:B,2021,GASTOS!C:C,8)</f>
        <v>11311000</v>
      </c>
      <c r="W50" s="60">
        <f>SUMIFS(GASTOS!E:E,GASTOS!B:B,2021,GASTOS!C:C,9)</f>
        <v>11585300</v>
      </c>
      <c r="X50" s="60">
        <f>SUMIFS(GASTOS!E:E,GASTOS!B:B,2021,GASTOS!C:C,10)</f>
        <v>13620000</v>
      </c>
      <c r="Y50" s="60">
        <f>SUMIFS(GASTOS!E:E,GASTOS!B:B,2021,GASTOS!C:C,11)</f>
        <v>9598900</v>
      </c>
      <c r="Z50" s="60">
        <f>SUMIFS(GASTOS!E:E,GASTOS!B:B,2021,GASTOS!C:C,12)</f>
        <v>18601500</v>
      </c>
      <c r="AA50" s="60">
        <f>SUMIFS(GASTOS!E:E,GASTOS!B:B,2022,GASTOS!C:C,1)</f>
        <v>2200000</v>
      </c>
      <c r="AB50" s="60">
        <f>SUMIFS(GASTOS!E:E,GASTOS!B:B,2022,GASTOS!C:C,2)</f>
        <v>4660000</v>
      </c>
      <c r="AC50" s="60">
        <f>SUMIFS(GASTOS!E:E,GASTOS!B:B,2022,GASTOS!C:C,3)</f>
        <v>11780000</v>
      </c>
      <c r="AD50" s="60">
        <f>SUMIFS(GASTOS!E:E,GASTOS!B:B,2022,GASTOS!C:C,4)</f>
        <v>5330000</v>
      </c>
      <c r="AE50" s="60">
        <f>SUMIFS(GASTOS!E:E,GASTOS!B:B,2022,GASTOS!C:C,5)</f>
        <v>12711700</v>
      </c>
      <c r="AF50" s="60">
        <f>SUMIFS(GASTOS!E:E,GASTOS!B:B,2022,GASTOS!C:C,6)</f>
        <v>1380500</v>
      </c>
      <c r="AG50" s="60">
        <f>SUMIFS(GASTOS!E:E,GASTOS!B:B,2022,GASTOS!C:C,7)</f>
        <v>2100000</v>
      </c>
      <c r="AH50" s="60">
        <f>SUMIFS(GASTOS!E:E,GASTOS!B:B,2022,GASTOS!C:C,8)</f>
        <v>6545000</v>
      </c>
      <c r="AI50" s="60">
        <f>SUMIFS(GASTOS!E:E,GASTOS!B:B,2022,GASTOS!C:C,9)</f>
        <v>6048058</v>
      </c>
      <c r="AJ50" s="60">
        <f>SUMIFS(GASTOS!E:E,GASTOS!B:B,2022,GASTOS!C:C,10)</f>
        <v>5451000</v>
      </c>
      <c r="AK50" s="60">
        <f>SUMIFS(GASTOS!E:E,GASTOS!B:B,2022,GASTOS!C:C,11)</f>
        <v>48509684</v>
      </c>
      <c r="AL50" s="137">
        <f>SUMIFS(GASTOS!E:E,GASTOS!B:B,2022,GASTOS!C:C,12)</f>
        <v>33940000</v>
      </c>
      <c r="AM50" s="137">
        <f>SUMIFS(GASTOS!E:E,GASTOS!B:B,2023,GASTOS!C:C,1)</f>
        <v>2000000</v>
      </c>
      <c r="AN50" s="137">
        <f>SUMIFS(GASTOS!E:E,GASTOS!B:B,2023,GASTOS!C:C,2)</f>
        <v>12000000</v>
      </c>
      <c r="AO50" s="137">
        <f>SUMIFS(GASTOS!E:E,GASTOS!B:B,2023,GASTOS!C:C,3)</f>
        <v>3977000</v>
      </c>
      <c r="AP50" s="137">
        <f>SUMIFS(GASTOS!E:E,GASTOS!B:B,2023,GASTOS!C:C,4)</f>
        <v>13156000</v>
      </c>
      <c r="AQ50" s="137">
        <f>SUMIFS(GASTOS!E:E,GASTOS!B:B,2023,GASTOS!C:C,5)</f>
        <v>6110000</v>
      </c>
      <c r="AR50" s="137">
        <f>SUMIFS(GASTOS!E:E,GASTOS!B:B,2023,GASTOS!C:C,6)</f>
        <v>2000000</v>
      </c>
      <c r="AS50" s="137">
        <f>SUMIFS(GASTOS!E:E,GASTOS!B:B,2023,GASTOS!C:C,7)</f>
        <v>4625000</v>
      </c>
      <c r="AT50" s="137">
        <f>SUMIFS(GASTOS!E:E,GASTOS!B:B,2023,GASTOS!C:C,8)</f>
        <v>17180000</v>
      </c>
      <c r="AU50" s="137">
        <f>SUMIFS(GASTOS!E:E,GASTOS!B:B,2023,GASTOS!C:C,9)</f>
        <v>5000000</v>
      </c>
      <c r="AV50" s="137">
        <f>SUMIFS(GASTOS!E:E,GASTOS!B:B,2023,GASTOS!C:C,10)</f>
        <v>35926000</v>
      </c>
      <c r="AW50" s="137">
        <f>SUMIFS(GASTOS!E:E,GASTOS!B:B,2023,GASTOS!C:C,11)</f>
        <v>5800000</v>
      </c>
      <c r="AX50" s="137">
        <f>SUMIFS(GASTOS!E:E,GASTOS!B:B,2023,GASTOS!C:C,12)</f>
        <v>16900000</v>
      </c>
      <c r="AY50" s="154">
        <f>SUMIFS(GASTOS!E:E,GASTOS!B:B,2024,GASTOS!C:C,1)</f>
        <v>0</v>
      </c>
      <c r="AZ50" s="154">
        <f>SUMIFS(GASTOS!E:E,GASTOS!B:B,2024,GASTOS!C:C,2)</f>
        <v>400000</v>
      </c>
      <c r="BA50" s="154">
        <f>SUMIFS(GASTOS!E:E,GASTOS!B:B,2024,GASTOS!C:C,3)</f>
        <v>0</v>
      </c>
      <c r="BB50" s="154">
        <f>SUMIFS(GASTOS!E:E,GASTOS!B:B,2024,GASTOS!C:C,4)</f>
        <v>0</v>
      </c>
      <c r="BC50" s="154">
        <f>SUMIFS(GASTOS!E:E,GASTOS!B:B,2024,GASTOS!C:C,5)</f>
        <v>0</v>
      </c>
      <c r="BD50" s="154">
        <f>SUMIFS(GASTOS!E:E,GASTOS!B:B,2024,GASTOS!C:C,6)</f>
        <v>3995000</v>
      </c>
      <c r="BE50" s="154">
        <f>SUMIFS(GASTOS!E:E,GASTOS!B:B,2024,GASTOS!C:C,7)</f>
        <v>500000</v>
      </c>
      <c r="BF50" s="154">
        <f>SUMIFS(GASTOS!E:E,GASTOS!B:B,2024,GASTOS!C:C,8)</f>
        <v>0</v>
      </c>
      <c r="BG50" s="154">
        <f>SUMIFS(GASTOS!E:E,GASTOS!B:B,2024,GASTOS!C:C,9)</f>
        <v>5830000</v>
      </c>
      <c r="BH50" s="154">
        <f>SUMIFS(GASTOS!E:E,GASTOS!B:B,2024,GASTOS!C:C,10)</f>
        <v>0</v>
      </c>
      <c r="BI50" s="154">
        <f>SUMIFS(GASTOS!E:E,GASTOS!B:B,2024,GASTOS!C:C,11)</f>
        <v>300000</v>
      </c>
      <c r="BJ50" s="154">
        <f>SUMIFS(GASTOS!E:E,GASTOS!B:B,2024,GASTOS!C:C,12)</f>
        <v>22785000</v>
      </c>
      <c r="BK50" s="154">
        <f>SUMIFS(GASTOS!E:E,GASTOS!B:B,2025,GASTOS!C:C,1)</f>
        <v>0</v>
      </c>
      <c r="BL50" s="222">
        <f>SUMIFS(GASTOS!E:E,GASTOS!B:B,2025,GASTOS!C:C,2)</f>
        <v>0</v>
      </c>
      <c r="BM50" s="222">
        <f>SUMIFS(GASTOS!E:E,GASTOS!B:B,2025,GASTOS!C:C,3)</f>
        <v>11500000</v>
      </c>
      <c r="BN50" s="222">
        <f>SUMIFS(GASTOS!E:E,GASTOS!B:B,2025,GASTOS!C:C,4)</f>
        <v>0</v>
      </c>
      <c r="BO50" s="208">
        <f>SUMIFS(GASTOS!E:E,GASTOS!B:B,2025,GASTOS!C:C,5)</f>
        <v>0</v>
      </c>
      <c r="BP50" s="208">
        <f>SUMIFS(GASTOS!E:E,GASTOS!B:B,2025,GASTOS!C:C,6)</f>
        <v>0</v>
      </c>
      <c r="BQ50" s="208">
        <f>SUMIFS(GASTOS!E:E,GASTOS!B:B,2025,GASTOS!C:C,7)</f>
        <v>2100000</v>
      </c>
      <c r="BR50" s="208">
        <f>SUMIFS(GASTOS!E:E,GASTOS!B:B,2025,GASTOS!C:C,8)</f>
        <v>2000000</v>
      </c>
      <c r="BS50" s="208">
        <f>SUMIFS(GASTOS!E:E,GASTOS!B:B,2025,GASTOS!C:C,9)</f>
        <v>0</v>
      </c>
      <c r="BT50" s="208">
        <f>SUMIFS(GASTOS!E:E,GASTOS!B:B,2025,GASTOS!C:C,10)</f>
        <v>380000</v>
      </c>
      <c r="BU50" s="208">
        <f>SUMIFS(GASTOS!E:E,GASTOS!B:B,2025,GASTOS!C:C,11)</f>
        <v>0</v>
      </c>
      <c r="BV50" s="208">
        <f>SUMIFS(GASTOS!E:E,GASTOS!B:B,2025,GASTOS!C:C,12)</f>
        <v>27600000</v>
      </c>
      <c r="BW50" s="208"/>
      <c r="BX50" s="208"/>
      <c r="BY50" s="208"/>
      <c r="BZ50" s="208"/>
      <c r="CA50" s="208"/>
      <c r="CB50" s="208"/>
      <c r="CC50" s="208"/>
      <c r="CD50" s="21"/>
      <c r="CE50" s="22"/>
      <c r="CF50" s="22"/>
    </row>
    <row r="51" spans="1:84" ht="8.25" customHeight="1" x14ac:dyDescent="0.2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E51"/>
      <c r="CF51"/>
    </row>
    <row r="52" spans="1:84" x14ac:dyDescent="0.2">
      <c r="A52" s="233" t="s">
        <v>71</v>
      </c>
      <c r="B52" s="40">
        <f>SUM(B2:B51)</f>
        <v>10326500</v>
      </c>
      <c r="C52" s="27">
        <v>7224500</v>
      </c>
      <c r="D52" s="27">
        <v>9271500</v>
      </c>
      <c r="E52" s="27">
        <v>7974000</v>
      </c>
      <c r="F52" s="27">
        <v>10474000</v>
      </c>
      <c r="G52" s="27">
        <v>10471386.800000001</v>
      </c>
      <c r="H52" s="27">
        <v>12958386.800000001</v>
      </c>
      <c r="I52" s="27">
        <v>12036386.800000001</v>
      </c>
      <c r="J52" s="27">
        <f t="shared" ref="J52:AW52" si="2">SUM(J2:J51)</f>
        <v>9141386.8000000007</v>
      </c>
      <c r="K52" s="27">
        <f t="shared" si="2"/>
        <v>13047386.800000001</v>
      </c>
      <c r="L52" s="27">
        <f t="shared" si="2"/>
        <v>52116519.980000004</v>
      </c>
      <c r="M52" s="27">
        <f t="shared" si="2"/>
        <v>16007320</v>
      </c>
      <c r="N52" s="27">
        <f t="shared" si="2"/>
        <v>22259656</v>
      </c>
      <c r="O52" s="27">
        <f t="shared" si="2"/>
        <v>19974000</v>
      </c>
      <c r="P52" s="27">
        <f t="shared" si="2"/>
        <v>14945000</v>
      </c>
      <c r="Q52" s="27">
        <f t="shared" si="2"/>
        <v>13184000</v>
      </c>
      <c r="R52" s="27">
        <f t="shared" si="2"/>
        <v>14898916</v>
      </c>
      <c r="S52" s="27">
        <f t="shared" si="2"/>
        <v>12688758</v>
      </c>
      <c r="T52" s="27">
        <f t="shared" si="2"/>
        <v>14639000</v>
      </c>
      <c r="U52" s="27">
        <f t="shared" si="2"/>
        <v>15871100</v>
      </c>
      <c r="V52" s="27">
        <f t="shared" si="2"/>
        <v>23842000</v>
      </c>
      <c r="W52" s="27">
        <f t="shared" si="2"/>
        <v>23675300</v>
      </c>
      <c r="X52" s="27">
        <f t="shared" si="2"/>
        <v>26982000</v>
      </c>
      <c r="Y52" s="27">
        <f t="shared" si="2"/>
        <v>24058900</v>
      </c>
      <c r="Z52" s="27">
        <f t="shared" si="2"/>
        <v>31061500</v>
      </c>
      <c r="AA52" s="27">
        <f t="shared" si="2"/>
        <v>17493000</v>
      </c>
      <c r="AB52" s="27">
        <f t="shared" si="2"/>
        <v>20092000</v>
      </c>
      <c r="AC52" s="27">
        <f t="shared" si="2"/>
        <v>27635000</v>
      </c>
      <c r="AD52" s="27">
        <f t="shared" si="2"/>
        <v>20681000</v>
      </c>
      <c r="AE52" s="27">
        <f t="shared" si="2"/>
        <v>27796700</v>
      </c>
      <c r="AF52" s="27">
        <f t="shared" si="2"/>
        <v>17629500</v>
      </c>
      <c r="AG52" s="27">
        <f t="shared" si="2"/>
        <v>16885000</v>
      </c>
      <c r="AH52" s="27">
        <f t="shared" si="2"/>
        <v>21673000</v>
      </c>
      <c r="AI52" s="27">
        <f t="shared" si="2"/>
        <v>23451058</v>
      </c>
      <c r="AJ52" s="27">
        <f t="shared" si="2"/>
        <v>21415000</v>
      </c>
      <c r="AK52" s="27">
        <f t="shared" si="2"/>
        <v>67832684</v>
      </c>
      <c r="AL52" s="108">
        <f t="shared" si="2"/>
        <v>55993000</v>
      </c>
      <c r="AM52" s="108">
        <f t="shared" si="2"/>
        <v>17735000</v>
      </c>
      <c r="AN52" s="108">
        <f>SUM(AN2:AN51)</f>
        <v>29882000</v>
      </c>
      <c r="AO52" s="108">
        <f t="shared" si="2"/>
        <v>21439000</v>
      </c>
      <c r="AP52" s="108">
        <f t="shared" si="2"/>
        <v>31271000</v>
      </c>
      <c r="AQ52" s="108">
        <f t="shared" si="2"/>
        <v>21265000</v>
      </c>
      <c r="AR52" s="108">
        <f t="shared" si="2"/>
        <v>18755000</v>
      </c>
      <c r="AS52" s="108">
        <f t="shared" si="2"/>
        <v>19980000</v>
      </c>
      <c r="AT52" s="108">
        <f t="shared" si="2"/>
        <v>34505000</v>
      </c>
      <c r="AU52" s="108">
        <f t="shared" si="2"/>
        <v>20625000</v>
      </c>
      <c r="AV52" s="108">
        <f t="shared" si="2"/>
        <v>55251000</v>
      </c>
      <c r="AW52" s="108">
        <f t="shared" si="2"/>
        <v>23455000</v>
      </c>
      <c r="AX52" s="108">
        <f t="shared" ref="AX52:BM52" si="3">SUM(AX2:AX51)</f>
        <v>35055000</v>
      </c>
      <c r="AY52" s="150">
        <f t="shared" si="3"/>
        <v>17007000</v>
      </c>
      <c r="AZ52" s="150">
        <f t="shared" si="3"/>
        <v>22546706.206677213</v>
      </c>
      <c r="BA52" s="150">
        <f t="shared" si="3"/>
        <v>20291892.345691513</v>
      </c>
      <c r="BB52" s="150">
        <f t="shared" si="3"/>
        <v>22510696</v>
      </c>
      <c r="BC52" s="150">
        <f t="shared" si="3"/>
        <v>17967000</v>
      </c>
      <c r="BD52" s="150">
        <f t="shared" si="3"/>
        <v>21586000</v>
      </c>
      <c r="BE52" s="150">
        <f t="shared" si="3"/>
        <v>21590000</v>
      </c>
      <c r="BF52" s="150">
        <f t="shared" si="3"/>
        <v>19464000</v>
      </c>
      <c r="BG52" s="150">
        <f t="shared" si="3"/>
        <v>25661000</v>
      </c>
      <c r="BH52" s="150">
        <f t="shared" si="3"/>
        <v>21329000</v>
      </c>
      <c r="BI52" s="150">
        <f t="shared" si="3"/>
        <v>20449000</v>
      </c>
      <c r="BJ52" s="150">
        <f t="shared" si="3"/>
        <v>44849696</v>
      </c>
      <c r="BK52" s="208">
        <f>SUM(BK2:BK51)</f>
        <v>18740000</v>
      </c>
      <c r="BL52" s="208">
        <f t="shared" si="3"/>
        <v>22210000</v>
      </c>
      <c r="BM52" s="208">
        <f t="shared" si="3"/>
        <v>38710000</v>
      </c>
      <c r="BN52" s="208">
        <f t="shared" ref="BN52:CD52" si="4">SUM(BN2:BN51)</f>
        <v>27586000</v>
      </c>
      <c r="BO52" s="208">
        <f t="shared" si="4"/>
        <v>27078000</v>
      </c>
      <c r="BP52" s="208">
        <f t="shared" si="4"/>
        <v>24608000</v>
      </c>
      <c r="BQ52" s="208">
        <f>SUM(BQ2:BQ51)</f>
        <v>31652000</v>
      </c>
      <c r="BR52" s="208">
        <f>SUM(BR2:BR51)</f>
        <v>26468000</v>
      </c>
      <c r="BS52" s="208">
        <f t="shared" ref="BS52:CC52" si="5">SUM(BS2:BS51)</f>
        <v>24493000</v>
      </c>
      <c r="BT52" s="208">
        <f t="shared" si="5"/>
        <v>21446000</v>
      </c>
      <c r="BU52" s="208">
        <f t="shared" si="5"/>
        <v>20351000</v>
      </c>
      <c r="BV52" s="208">
        <f t="shared" si="5"/>
        <v>73794000</v>
      </c>
      <c r="BW52" s="208">
        <f t="shared" si="5"/>
        <v>5600000</v>
      </c>
      <c r="BX52" s="208">
        <f t="shared" si="5"/>
        <v>4500000</v>
      </c>
      <c r="BY52" s="208">
        <f t="shared" si="5"/>
        <v>7000000</v>
      </c>
      <c r="BZ52" s="208">
        <f t="shared" si="5"/>
        <v>6000000</v>
      </c>
      <c r="CA52" s="208">
        <f t="shared" si="5"/>
        <v>7000000</v>
      </c>
      <c r="CB52" s="208">
        <f t="shared" si="5"/>
        <v>0</v>
      </c>
      <c r="CC52" s="208">
        <f t="shared" si="5"/>
        <v>0</v>
      </c>
      <c r="CD52" s="155">
        <f t="shared" si="4"/>
        <v>48130000</v>
      </c>
    </row>
    <row r="53" spans="1:84" x14ac:dyDescent="0.2">
      <c r="A53" s="233" t="s">
        <v>4496</v>
      </c>
      <c r="B53" s="40" t="s">
        <v>72</v>
      </c>
      <c r="C53" s="27">
        <v>53000</v>
      </c>
      <c r="D53" s="27">
        <v>610000</v>
      </c>
      <c r="E53" s="27">
        <v>650000</v>
      </c>
      <c r="F53" s="27">
        <v>1200000</v>
      </c>
      <c r="G53" s="27">
        <v>100000</v>
      </c>
      <c r="H53" s="27">
        <v>750000</v>
      </c>
      <c r="I53" s="27">
        <v>0</v>
      </c>
      <c r="J53" s="27">
        <f>SUMIFS(GASTOS!G:G,GASTOS!B:B,2020,GASTOS!C:C,8)</f>
        <v>0</v>
      </c>
      <c r="K53" s="27">
        <f>SUMIFS(GASTOS!G:G,GASTOS!B:B,2020,GASTOS!C:C,9)</f>
        <v>0</v>
      </c>
      <c r="L53" s="27">
        <f>SUMIFS(GASTOS!G:G,GASTOS!B:B,2020,GASTOS!C:C,10)</f>
        <v>0</v>
      </c>
      <c r="M53" s="27">
        <f>SUMIFS(GASTOS!G:G,GASTOS!B:B,2020,GASTOS!C:C,11)</f>
        <v>0</v>
      </c>
      <c r="N53" s="27">
        <f>SUMIFS(GASTOS!G:G,GASTOS!B:B,2020,GASTOS!C:C,12)</f>
        <v>0</v>
      </c>
      <c r="O53" s="27">
        <f>SUMIFS(GASTOS!G:G,GASTOS!B:B,2021,GASTOS!C:C,1)</f>
        <v>0</v>
      </c>
      <c r="P53" s="27">
        <f>SUMIFS(GASTOS!G:G,GASTOS!B:B,2021,GASTOS!C:C,2)</f>
        <v>0</v>
      </c>
      <c r="Q53" s="27">
        <f>SUMIFS(GASTOS!G:G,GASTOS!B:B,2021,GASTOS!C:C,3)</f>
        <v>0</v>
      </c>
      <c r="R53" s="27">
        <f>SUMIFS(GASTOS!G:G,GASTOS!B:B,2021,GASTOS!C:C,4)</f>
        <v>0</v>
      </c>
      <c r="S53" s="27">
        <f>SUMIFS(GASTOS!G:G,GASTOS!B:B,2021,GASTOS!C:C,5)</f>
        <v>0</v>
      </c>
      <c r="T53" s="27">
        <f>SUMIFS(GASTOS!G:G,GASTOS!B:B,2021,GASTOS!C:C,6)</f>
        <v>0</v>
      </c>
      <c r="U53" s="27">
        <f>SUMIFS(GASTOS!G:G,GASTOS!B:B,2021,GASTOS!C:C,7)</f>
        <v>0</v>
      </c>
      <c r="V53" s="27">
        <f>SUMIFS(GASTOS!G:G,GASTOS!B:B,2021,GASTOS!C:C,8)</f>
        <v>0</v>
      </c>
      <c r="W53" s="27">
        <f>SUMIFS(GASTOS!G:G,GASTOS!B:B,2021,GASTOS!C:C,9)</f>
        <v>5000000</v>
      </c>
      <c r="X53" s="27">
        <f>SUMIFS(GASTOS!G:G,GASTOS!B:B,2021,GASTOS!C:C,10)</f>
        <v>2000000</v>
      </c>
      <c r="Y53" s="27">
        <f>SUMIFS(GASTOS!G:G,GASTOS!B:B,2021,GASTOS!C:C,11)</f>
        <v>0</v>
      </c>
      <c r="Z53" s="27">
        <f>SUMIFS(GASTOS!G:G,GASTOS!B:B,2021,GASTOS!C:C,12)</f>
        <v>0</v>
      </c>
      <c r="AA53" s="27">
        <f>SUMIFS(GASTOS!G:G,GASTOS!B:B,2022,GASTOS!C:C,1)</f>
        <v>0</v>
      </c>
      <c r="AB53" s="27">
        <f>SUMIFS(GASTOS!G:G,GASTOS!B:B,2022,GASTOS!C:C,2)</f>
        <v>2460000</v>
      </c>
      <c r="AC53" s="27">
        <f>SUMIFS(GASTOS!G:G,GASTOS!B:B,2022,GASTOS!C:C,3)</f>
        <v>0</v>
      </c>
      <c r="AD53" s="27">
        <f>SUMIFS(GASTOS!G:G,GASTOS!B:B,2022,GASTOS!C:C,4)</f>
        <v>3000000</v>
      </c>
      <c r="AE53" s="27">
        <f>SUMIFS(GASTOS!G:G,GASTOS!B:B,2022,GASTOS!C:C,5)</f>
        <v>0</v>
      </c>
      <c r="AF53" s="27">
        <f>SUMIFS(GASTOS!G:G,GASTOS!B:B,2022,GASTOS!C:C,6)</f>
        <v>0</v>
      </c>
      <c r="AG53" s="27">
        <f>SUMIFS(GASTOS!G:G,GASTOS!B:B,2022,GASTOS!C:C,7)</f>
        <v>100000</v>
      </c>
      <c r="AH53" s="27">
        <f>SUMIFS(GASTOS!G:G,GASTOS!B:B,2022,GASTOS!C:C,8)</f>
        <v>0</v>
      </c>
      <c r="AI53" s="27">
        <f>SUMIFS(GASTOS!G:G,GASTOS!B:B,2022,GASTOS!C:C,9)</f>
        <v>0</v>
      </c>
      <c r="AJ53" s="27">
        <f>SUMIFS(GASTOS!G:G,GASTOS!B:B,2022,GASTOS!C:C,10)</f>
        <v>0</v>
      </c>
      <c r="AK53" s="27">
        <f>SUMIFS(GASTOS!G:G,GASTOS!B:B,2022,GASTOS!C:C,11)</f>
        <v>80000</v>
      </c>
      <c r="AL53" s="108">
        <f>SUMIFS(GASTOS!G:G,GASTOS!B:B,2022,GASTOS!C:C,12)</f>
        <v>0</v>
      </c>
      <c r="AM53" s="108">
        <f>SUMIFS(GASTOS!G:G,GASTOS!B:B,2023,GASTOS!C:C,1)</f>
        <v>0</v>
      </c>
      <c r="AN53" s="108">
        <f>SUMIFS(GASTOS!G:G,GASTOS!B:B,2023,GASTOS!C:C,2)</f>
        <v>0</v>
      </c>
      <c r="AO53" s="108">
        <f>SUMIFS(GASTOS!G:G,GASTOS!B:B,2023,GASTOS!C:C,3)</f>
        <v>0</v>
      </c>
      <c r="AP53" s="108">
        <f>SUMIFS(GASTOS!G:G,GASTOS!B:B,2023,GASTOS!C:C,4)</f>
        <v>0</v>
      </c>
      <c r="AQ53" s="108">
        <f>SUMIFS(GASTOS!G:G,GASTOS!B:B,2023,GASTOS!C:C,5)</f>
        <v>0</v>
      </c>
      <c r="AR53" s="108">
        <f>SUMIFS(GASTOS!G:G,GASTOS!B:B,2023,GASTOS!C:C,6)</f>
        <v>0</v>
      </c>
      <c r="AS53" s="108">
        <f>SUMIFS(GASTOS!G:G,GASTOS!B:B,2023,GASTOS!C:C,7)</f>
        <v>0</v>
      </c>
      <c r="AT53" s="108">
        <f>SUMIFS(GASTOS!G:G,GASTOS!B:B,2023,GASTOS!C:C,8)</f>
        <v>0</v>
      </c>
      <c r="AU53" s="108">
        <f>SUMIFS(GASTOS!G:G,GASTOS!B:B,2023,GASTOS!C:C,9)</f>
        <v>0</v>
      </c>
      <c r="AV53" s="108">
        <f>SUMIFS(GASTOS!G:G,GASTOS!B:B,2023,GASTOS!C:C,10)</f>
        <v>198000</v>
      </c>
      <c r="AW53" s="108">
        <f>SUMIFS(GASTOS!G:G,GASTOS!B:B,2023,GASTOS!C:C,11)</f>
        <v>0</v>
      </c>
      <c r="AX53" s="108">
        <f>SUMIFS(GASTOS!G:G,GASTOS!B:B,2023,GASTOS!C:C,12)</f>
        <v>0</v>
      </c>
      <c r="AY53" s="150">
        <f>SUMIFS(GASTOS!G:G,GASTOS!B:B,2024,GASTOS!C:C,1)</f>
        <v>0</v>
      </c>
      <c r="AZ53" s="150">
        <f>SUMIFS(GASTOS!G:G,GASTOS!B:B,2024,GASTOS!C:C,2)</f>
        <v>0</v>
      </c>
      <c r="BA53" s="150">
        <f>SUMIFS(GASTOS!G:G,GASTOS!B:B,2024,GASTOS!C:C,3)</f>
        <v>0</v>
      </c>
      <c r="BB53" s="150">
        <f>SUMIFS(GASTOS!G:G,GASTOS!B:B,2024,GASTOS!C:C,4)</f>
        <v>0</v>
      </c>
      <c r="BC53" s="150">
        <f>SUMIFS(GASTOS!G:G,GASTOS!B:B,2024,GASTOS!C:C,5)</f>
        <v>0</v>
      </c>
      <c r="BD53" s="150">
        <f>SUMIFS(GASTOS!G:G,GASTOS!B:B,2024,GASTOS!C:C,6)</f>
        <v>0</v>
      </c>
      <c r="BE53" s="150">
        <f>SUMIFS(GASTOS!G:G,GASTOS!B:B,2024,GASTOS!C:C,7)</f>
        <v>0</v>
      </c>
      <c r="BF53" s="150">
        <f>SUMIFS(GASTOS!G:G,GASTOS!B:B,2024,GASTOS!C:C,8)</f>
        <v>0</v>
      </c>
      <c r="BG53" s="150">
        <f>SUMIFS(GASTOS!G:G,GASTOS!B:B,2024,GASTOS!C:C,9)</f>
        <v>850000</v>
      </c>
      <c r="BH53" s="150">
        <f>SUMIFS(GASTOS!G:G,GASTOS!B:B,2024,GASTOS!C:C,10)</f>
        <v>500000</v>
      </c>
      <c r="BI53" s="150">
        <f>SUMIFS(GASTOS!G:G,GASTOS!B:B,2024,GASTOS!C:C,11)</f>
        <v>0</v>
      </c>
      <c r="BJ53" s="150">
        <f>SUMIFS(GASTOS!G:G,GASTOS!B:B,2024,GASTOS!C:C,12)</f>
        <v>0</v>
      </c>
      <c r="BK53" s="208">
        <f>SUMIFS(GASTOS!G:G,GASTOS!B:B,2025,GASTOS!C:C,1)</f>
        <v>0</v>
      </c>
      <c r="BL53" s="208">
        <f>SUMIFS(GASTOS!G:G,GASTOS!B:B,2025,GASTOS!C:C,2)</f>
        <v>0</v>
      </c>
      <c r="BM53" s="208">
        <f>SUMIFS(GASTOS!G:G,GASTOS!B:B,2025,GASTOS!C:C,3)</f>
        <v>0</v>
      </c>
      <c r="BN53" s="208">
        <f>SUMIFS(GASTOS!G:G,GASTOS!B:B,2025,GASTOS!C:C,4)</f>
        <v>0</v>
      </c>
      <c r="BO53" s="208">
        <f>SUMIFS(GASTOS!G:G,GASTOS!B:B,2025,GASTOS!C:C,5)</f>
        <v>0</v>
      </c>
      <c r="BP53" s="208">
        <f>SUMIFS(GASTOS!G:G,GASTOS!B:B,2025,GASTOS!C:C,6)</f>
        <v>3000000</v>
      </c>
      <c r="BQ53" s="208">
        <f>SUMIFS(GASTOS!G:G,GASTOS!B:B,2025,GASTOS!C:C,7)</f>
        <v>1840000</v>
      </c>
      <c r="BR53" s="208">
        <f>SUMIFS(GASTOS!G:G,GASTOS!B:B,2025,GASTOS!C:C,8)</f>
        <v>4000000</v>
      </c>
      <c r="BS53" s="208">
        <f>SUMIFS(GASTOS!G:G,GASTOS!B:B,2025,GASTOS!C:C,9)</f>
        <v>1500000</v>
      </c>
      <c r="BT53" s="208">
        <f>SUMIFS(GASTOS!G:G,GASTOS!B:B,2025,GASTOS!C:C,10)</f>
        <v>0</v>
      </c>
      <c r="BU53" s="208">
        <f>SUMIFS(GASTOS!G:G,GASTOS!B:B,2025,GASTOS!C:C,11)</f>
        <v>9750000</v>
      </c>
      <c r="BV53" s="208">
        <f>SUMIFS(GASTOS!G:G,GASTOS!B:B,2025,GASTOS!C:C,12)</f>
        <v>0</v>
      </c>
      <c r="BW53" s="208">
        <f>SUMIFS(GASTOS!G:G,GASTOS!B:B,2026,GASTOS!C:C,1)</f>
        <v>2420000</v>
      </c>
      <c r="BX53" s="208">
        <f>SUMIFS(GASTOS!G:G,GASTOS!B:B,2026,GASTOS!C:C,2)</f>
        <v>1350000</v>
      </c>
      <c r="BY53" s="208">
        <f>SUMIFS(GASTOS!G:G,GASTOS!B:B,2026,GASTOS!C:C,3)</f>
        <v>0</v>
      </c>
      <c r="BZ53" s="208">
        <f>SUMIFS(GASTOS!G:G,GASTOS!B:B,2026,GASTOS!C:C,4)</f>
        <v>2500000</v>
      </c>
      <c r="CA53" s="208">
        <f>SUMIFS(GASTOS!G:G,GASTOS!B:B,2026,GASTOS!C:C,5)</f>
        <v>3500000</v>
      </c>
      <c r="CB53" s="208">
        <f>SUMIFS(GASTOS!G:G,GASTOS!B:B,2026,GASTOS!C:C,6)</f>
        <v>0</v>
      </c>
      <c r="CC53" s="208"/>
    </row>
    <row r="54" spans="1:84" x14ac:dyDescent="0.2">
      <c r="A54" s="233" t="s">
        <v>4497</v>
      </c>
      <c r="B54" s="40" t="s">
        <v>74</v>
      </c>
      <c r="C54" s="27">
        <v>0</v>
      </c>
      <c r="D54" s="27">
        <v>0</v>
      </c>
      <c r="E54" s="27">
        <v>0</v>
      </c>
      <c r="F54" s="27">
        <v>0</v>
      </c>
      <c r="G54" s="27">
        <v>0</v>
      </c>
      <c r="H54" s="27">
        <v>0</v>
      </c>
      <c r="I54" s="27">
        <v>698000</v>
      </c>
      <c r="J54" s="27">
        <f>SUMIFS(GASTOS!H:H,GASTOS!B:B,2020,GASTOS!C:C,8)</f>
        <v>1239500</v>
      </c>
      <c r="K54" s="27">
        <f>SUMIFS(GASTOS!H:H,GASTOS!B:B,2020,GASTOS!C:C,9)</f>
        <v>3884000</v>
      </c>
      <c r="L54" s="27">
        <f>SUMIFS(GASTOS!H:H,GASTOS!B:B,2020,GASTOS!C:C,10)</f>
        <v>1215000</v>
      </c>
      <c r="M54" s="27">
        <f>SUMIFS(GASTOS!H:H,GASTOS!B:B,2020,GASTOS!C:C,11)</f>
        <v>1051000</v>
      </c>
      <c r="N54" s="27">
        <f>SUMIFS(GASTOS!H:H,GASTOS!B:B,2020,GASTOS!C:C,12)</f>
        <v>2097000</v>
      </c>
      <c r="O54" s="27">
        <f>SUMIFS(GASTOS!H:H,GASTOS!B:B,2021,GASTOS!C:C,1)</f>
        <v>272000</v>
      </c>
      <c r="P54" s="27">
        <f>SUMIFS(GASTOS!H:H,GASTOS!B:B,2021,GASTOS!C:C,2)</f>
        <v>1000000</v>
      </c>
      <c r="Q54" s="27">
        <f>SUMIFS(GASTOS!H:H,GASTOS!B:B,2021,GASTOS!C:C,3)</f>
        <v>105000</v>
      </c>
      <c r="R54" s="27">
        <f>SUMIFS(GASTOS!H:H,GASTOS!B:B,2021,GASTOS!C:C,4)</f>
        <v>604000</v>
      </c>
      <c r="S54" s="27">
        <f>SUMIFS(GASTOS!H:H,GASTOS!B:B,2021,GASTOS!C:C,5)</f>
        <v>0</v>
      </c>
      <c r="T54" s="27">
        <f>SUMIFS(GASTOS!H:H,GASTOS!B:B,2021,GASTOS!C:C,6)</f>
        <v>3011000</v>
      </c>
      <c r="U54" s="27">
        <f>SUMIFS(GASTOS!H:H,GASTOS!B:B,2021,GASTOS!C:C,7)</f>
        <v>3717000</v>
      </c>
      <c r="V54" s="27">
        <f>SUMIFS(GASTOS!H:H,GASTOS!B:B,2021,GASTOS!C:C,8)</f>
        <v>2693000</v>
      </c>
      <c r="W54" s="27">
        <f>SUMIFS(GASTOS!H:H,GASTOS!B:B,2021,GASTOS!C:C,9)</f>
        <v>2724000</v>
      </c>
      <c r="X54" s="27">
        <f>SUMIFS(GASTOS!H:H,GASTOS!B:B,2021,GASTOS!C:C,10)</f>
        <v>6747400</v>
      </c>
      <c r="Y54" s="27">
        <f>SUMIFS(GASTOS!H:H,GASTOS!B:B,2021,GASTOS!C:C,11)</f>
        <v>6164000</v>
      </c>
      <c r="Z54" s="27">
        <f>SUMIFS(GASTOS!H:H,GASTOS!B:B,2021,GASTOS!C:C,12)</f>
        <v>1121000</v>
      </c>
      <c r="AA54" s="27">
        <f>SUMIFS(GASTOS!H:H,GASTOS!B:B,2022,GASTOS!C:C,1)</f>
        <v>3764100</v>
      </c>
      <c r="AB54" s="27">
        <f>SUMIFS(GASTOS!H:H,GASTOS!B:B,2022,GASTOS!C:C,2)</f>
        <v>4103000</v>
      </c>
      <c r="AC54" s="27">
        <f>SUMIFS(GASTOS!H:H,GASTOS!B:B,2022,GASTOS!C:C,3)</f>
        <v>3143000</v>
      </c>
      <c r="AD54" s="27">
        <f>SUMIFS(GASTOS!H:H,GASTOS!B:B,2022,GASTOS!C:C,4)</f>
        <v>0</v>
      </c>
      <c r="AE54" s="27">
        <f>SUMIFS(GASTOS!H:H,GASTOS!B:B,2022,GASTOS!C:C,5)</f>
        <v>1776500</v>
      </c>
      <c r="AF54" s="27">
        <f>SUMIFS(GASTOS!H:H,GASTOS!B:B,2022,GASTOS!C:C,6)</f>
        <v>5771000</v>
      </c>
      <c r="AG54" s="27">
        <f>SUMIFS(GASTOS!H:H,GASTOS!B:B,2022,GASTOS!C:C,7)</f>
        <v>1686500</v>
      </c>
      <c r="AH54" s="27">
        <f>SUMIFS(GASTOS!H:H,GASTOS!B:B,2022,GASTOS!C:C,8)</f>
        <v>2309000</v>
      </c>
      <c r="AI54" s="27">
        <f>SUMIFS(GASTOS!H:H,GASTOS!B:B,2022,GASTOS!C:C,9)</f>
        <v>2186000</v>
      </c>
      <c r="AJ54" s="27">
        <f>SUMIFS(GASTOS!H:H,GASTOS!B:B,2022,GASTOS!C:C,10)</f>
        <v>5202000</v>
      </c>
      <c r="AK54" s="27">
        <f>SUMIFS(GASTOS!H:H,GASTOS!B:B,2022,GASTOS!C:C,11)</f>
        <v>0</v>
      </c>
      <c r="AL54" s="108" t="e">
        <f>SUMIFS(GASTOS!H:H,GASTOS!B:B,2022,GASTOS!C:C,12)</f>
        <v>#REF!</v>
      </c>
      <c r="AM54" s="108">
        <f>SUMIFS(GASTOS!H:H,GASTOS!B:B,2023,GASTOS!C:C,1)</f>
        <v>0</v>
      </c>
      <c r="AN54" s="108">
        <f>SUMIFS(GASTOS!H:H,GASTOS!B:B,2023,GASTOS!C:C,2)</f>
        <v>0</v>
      </c>
      <c r="AO54" s="108">
        <f>SUMIFS(GASTOS!H:H,GASTOS!B:B,2023,GASTOS!C:C,3)</f>
        <v>0</v>
      </c>
      <c r="AP54" s="108">
        <f>SUMIFS(GASTOS!H:H,GASTOS!B:B,2023,GASTOS!C:C,4)</f>
        <v>0</v>
      </c>
      <c r="AQ54" s="108">
        <f>SUMIFS(GASTOS!H:H,GASTOS!B:B,2023,GASTOS!C:C,5)</f>
        <v>2500000</v>
      </c>
      <c r="AR54" s="108">
        <f>SUMIFS(GASTOS!H:H,GASTOS!B:B,2023,GASTOS!C:C,6)</f>
        <v>0</v>
      </c>
      <c r="AS54" s="108">
        <f>SUMIFS(GASTOS!H:H,GASTOS!B:B,2023,GASTOS!C:C,7)</f>
        <v>0</v>
      </c>
      <c r="AT54" s="108">
        <f>SUMIFS(GASTOS!H:H,GASTOS!B:B,2023,GASTOS!C:C,8)</f>
        <v>0</v>
      </c>
      <c r="AU54" s="108">
        <f>SUMIFS(GASTOS!H:H,GASTOS!B:B,2023,GASTOS!C:C,9)</f>
        <v>0</v>
      </c>
      <c r="AV54" s="108">
        <f>SUMIFS(GASTOS!H:H,GASTOS!B:B,2023,GASTOS!C:C,10)</f>
        <v>0</v>
      </c>
      <c r="AW54" s="108">
        <f>SUMIFS(GASTOS!H:H,GASTOS!B:B,2023,GASTOS!C:C,11)</f>
        <v>0</v>
      </c>
      <c r="AX54" s="108">
        <f>SUMIFS(GASTOS!H:H,GASTOS!B:B,2023,GASTOS!C:C,12)</f>
        <v>0</v>
      </c>
      <c r="AY54" s="150">
        <f>SUMIFS(GASTOS!H:H,GASTOS!B:B,2024,GASTOS!C:C,1)</f>
        <v>0</v>
      </c>
      <c r="AZ54" s="150">
        <f>SUMIFS(GASTOS!H:H,GASTOS!B:B,2024,GASTOS!C:C,2)</f>
        <v>180000</v>
      </c>
      <c r="BA54" s="150">
        <f>SUMIFS(GASTOS!H:H,GASTOS!B:B,2024,GASTOS!C:C,3)</f>
        <v>181000</v>
      </c>
      <c r="BB54" s="150">
        <f>SUMIFS(GASTOS!H:H,GASTOS!B:B,2024,GASTOS!C:C,4)</f>
        <v>0</v>
      </c>
      <c r="BC54" s="150">
        <f>SUMIFS(GASTOS!H:H,GASTOS!B:B,2024,GASTOS!C:C,5)</f>
        <v>0</v>
      </c>
      <c r="BD54" s="150">
        <f>SUMIFS(GASTOS!H:H,GASTOS!B:B,2024,GASTOS!C:C,6)</f>
        <v>0</v>
      </c>
      <c r="BE54" s="150">
        <f>SUMIFS(GASTOS!H:H,GASTOS!B:B,2024,GASTOS!C:C,7)</f>
        <v>0</v>
      </c>
      <c r="BF54" s="150">
        <f>SUMIFS(GASTOS!H:H,GASTOS!B:B,2024,GASTOS!C:C,8)</f>
        <v>0</v>
      </c>
      <c r="BG54" s="150">
        <f>SUMIFS(GASTOS!H:H,GASTOS!B:B,2024,GASTOS!C:C,9)</f>
        <v>0</v>
      </c>
      <c r="BH54" s="150">
        <f>SUMIFS(GASTOS!H:H,GASTOS!B:B,2024,GASTOS!C:C,10)</f>
        <v>0</v>
      </c>
      <c r="BI54" s="150">
        <f>SUMIFS(GASTOS!H:H,GASTOS!B:B,2024,GASTOS!C:C,11)</f>
        <v>0</v>
      </c>
      <c r="BJ54" s="150">
        <f>SUMIFS(GASTOS!H:H,GASTOS!B:B,2024,GASTOS!C:C,12)</f>
        <v>0</v>
      </c>
      <c r="BK54" s="208">
        <f>SUMIFS(GASTOS!H:H,GASTOS!B:B,2025,GASTOS!C:C,1)</f>
        <v>0</v>
      </c>
      <c r="BL54" s="208">
        <f>SUMIFS(GASTOS!H:H,GASTOS!B:B,2025,GASTOS!C:C,2)</f>
        <v>0</v>
      </c>
      <c r="BM54" s="208">
        <f>SUMIFS(GASTOS!H:H,GASTOS!B:B,2025,GASTOS!C:C,3)</f>
        <v>0</v>
      </c>
      <c r="BN54" s="208">
        <f>SUMIFS(GASTOS!H:H,GASTOS!B:B,2025,GASTOS!C:C,4)</f>
        <v>0</v>
      </c>
      <c r="BO54" s="208">
        <f>SUMIFS(GASTOS!H:H,GASTOS!B:B,2025,GASTOS!C:C,5)</f>
        <v>0</v>
      </c>
      <c r="BP54" s="208">
        <f>SUMIFS(GASTOS!H:H,GASTOS!B:B,2025,GASTOS!C:C,6)</f>
        <v>0</v>
      </c>
      <c r="BQ54" s="208">
        <f>SUMIFS(GASTOS!H:H,GASTOS!B:B,2025,GASTOS!C:C,7)</f>
        <v>0</v>
      </c>
      <c r="BR54" s="208">
        <f>SUMIFS(GASTOS!H:H,GASTOS!B:B,2025,GASTOS!C:C,8)</f>
        <v>0</v>
      </c>
      <c r="BS54" s="208">
        <f>SUMIFS(GASTOS!H:H,GASTOS!B:B,2025,GASTOS!C:C,9)</f>
        <v>0</v>
      </c>
      <c r="BT54" s="208">
        <f>SUMIFS(GASTOS!H:H,GASTOS!B:B,2025,GASTOS!C:C,10)</f>
        <v>0</v>
      </c>
      <c r="BU54" s="208">
        <f>SUMIFS(GASTOS!H:H,GASTOS!B:B,2025,GASTOS!C:C,11)</f>
        <v>0</v>
      </c>
      <c r="BV54" s="208">
        <f>SUMIFS(GASTOS!H:H,GASTOS!B:B,2025,GASTOS!C:C,12)</f>
        <v>0</v>
      </c>
      <c r="BW54" s="208">
        <f>SUMIFS(GASTOS!H:H,GASTOS!B:B,2026,GASTOS!C:C,1)</f>
        <v>0</v>
      </c>
      <c r="BX54" s="208">
        <f>SUMIFS(GASTOS!H:H,GASTOS!B:B,2026,GASTOS!C:C,2)</f>
        <v>0</v>
      </c>
      <c r="BY54" s="208">
        <f>SUMIFS(GASTOS!H:H,GASTOS!B:B,2026,GASTOS!C:C,3)</f>
        <v>0</v>
      </c>
      <c r="BZ54" s="208">
        <f>SUMIFS(GASTOS!H:H,GASTOS!B:B,2026,GASTOS!C:C,4)</f>
        <v>0</v>
      </c>
      <c r="CA54" s="208">
        <f>SUMIFS(GASTOS!H:H,GASTOS!B:B,2026,GASTOS!C:C,5)</f>
        <v>0</v>
      </c>
      <c r="CB54" s="208">
        <f>SUMIFS(GASTOS!H:H,GASTOS!B:B,2026,GASTOS!C:C,6)</f>
        <v>0</v>
      </c>
      <c r="CC54" s="208"/>
    </row>
    <row r="55" spans="1:84" x14ac:dyDescent="0.2">
      <c r="A55" s="233" t="s">
        <v>16</v>
      </c>
      <c r="B55" s="40" t="s">
        <v>16</v>
      </c>
      <c r="C55" s="27">
        <v>3106200</v>
      </c>
      <c r="D55" s="27">
        <v>3179000</v>
      </c>
      <c r="E55" s="27">
        <v>2514400</v>
      </c>
      <c r="F55" s="27">
        <v>2124600</v>
      </c>
      <c r="G55" s="27">
        <v>3396500</v>
      </c>
      <c r="H55" s="27">
        <v>5295000</v>
      </c>
      <c r="I55" s="27">
        <v>4263000</v>
      </c>
      <c r="J55" s="27">
        <f>SUMIFS(GASTOS!F:F,GASTOS!B:B,2020,GASTOS!C:C,8)</f>
        <v>2939400</v>
      </c>
      <c r="K55" s="27">
        <f>SUMIFS(GASTOS!F:F,GASTOS!B:B,2020,GASTOS!C:C,9)</f>
        <v>6665000</v>
      </c>
      <c r="L55" s="27">
        <f>SUMIFS(GASTOS!F:F,GASTOS!B:B,2020,GASTOS!C:C,10)</f>
        <v>3662500</v>
      </c>
      <c r="M55" s="27">
        <f>SUMIFS(GASTOS!F:F,GASTOS!B:B,2020,GASTOS!C:C,11)</f>
        <v>7259000</v>
      </c>
      <c r="N55" s="27">
        <f>SUMIFS(GASTOS!F:F,GASTOS!B:B,2020,GASTOS!C:C,12)</f>
        <v>9064500</v>
      </c>
      <c r="O55" s="27">
        <f>SUMIFS(GASTOS!F:F,GASTOS!B:B,2021,GASTOS!C:C,1)</f>
        <v>4049000</v>
      </c>
      <c r="P55" s="27">
        <f>SUMIFS(GASTOS!F:F,GASTOS!B:B,2021,GASTOS!C:C,2)</f>
        <v>7827000</v>
      </c>
      <c r="Q55" s="27">
        <f>SUMIFS(GASTOS!F:F,GASTOS!B:B,2021,GASTOS!C:C,3)</f>
        <v>7027000</v>
      </c>
      <c r="R55" s="27">
        <f>SUMIFS(GASTOS!F:F,GASTOS!B:B,2021,GASTOS!C:C,4)</f>
        <v>5056500</v>
      </c>
      <c r="S55" s="27">
        <f>SUMIFS(GASTOS!F:F,GASTOS!B:B,2021,GASTOS!C:C,5)</f>
        <v>5904800</v>
      </c>
      <c r="T55" s="27">
        <f>SUMIFS(GASTOS!F:F,GASTOS!B:B,2021,GASTOS!C:C,6)</f>
        <v>5757000</v>
      </c>
      <c r="U55" s="27">
        <f>SUMIFS(GASTOS!F:F,GASTOS!B:B,2021,GASTOS!C:C,7)</f>
        <v>6184000</v>
      </c>
      <c r="V55" s="27">
        <f>SUMIFS(GASTOS!F:F,GASTOS!B:B,2021,GASTOS!C:C,8)</f>
        <v>6987800</v>
      </c>
      <c r="W55" s="27">
        <f>SUMIFS(GASTOS!F:F,GASTOS!B:B,2021,GASTOS!C:C,9)</f>
        <v>5813800</v>
      </c>
      <c r="X55" s="27">
        <f>SUMIFS(GASTOS!F:F,GASTOS!B:B,2021,GASTOS!C:C,10)</f>
        <v>8120700</v>
      </c>
      <c r="Y55" s="27">
        <f>SUMIFS(GASTOS!F:F,GASTOS!B:B,2021,GASTOS!C:C,11)</f>
        <v>13525200</v>
      </c>
      <c r="Z55" s="27">
        <f>SUMIFS(GASTOS!F:F,GASTOS!B:B,2021,GASTOS!C:C,12)</f>
        <v>9170000</v>
      </c>
      <c r="AA55" s="27">
        <f>SUMIFS(GASTOS!F:F,GASTOS!B:B,2022,GASTOS!C:C,1)</f>
        <v>6097500</v>
      </c>
      <c r="AB55" s="27">
        <f>SUMIFS(GASTOS!F:F,GASTOS!B:B,2022,GASTOS!C:C,2)</f>
        <v>3737000</v>
      </c>
      <c r="AC55" s="27">
        <f>SUMIFS(GASTOS!F:F,GASTOS!B:B,2022,GASTOS!C:C,3)</f>
        <v>6764500</v>
      </c>
      <c r="AD55" s="27">
        <f>SUMIFS(GASTOS!F:F,GASTOS!B:B,2022,GASTOS!C:C,4)</f>
        <v>9033500</v>
      </c>
      <c r="AE55" s="27">
        <f>SUMIFS(GASTOS!F:F,GASTOS!B:B,2022,GASTOS!C:C,5)</f>
        <v>5809000</v>
      </c>
      <c r="AF55" s="27">
        <f>SUMIFS(GASTOS!F:F,GASTOS!B:B,2022,GASTOS!C:C,6)</f>
        <v>6200000</v>
      </c>
      <c r="AG55" s="27">
        <f>SUMIFS(GASTOS!F:F,GASTOS!B:B,2022,GASTOS!C:C,7)</f>
        <v>5107000</v>
      </c>
      <c r="AH55" s="27">
        <f>SUMIFS(GASTOS!F:F,GASTOS!B:B,2022,GASTOS!C:C,8)</f>
        <v>8890000</v>
      </c>
      <c r="AI55" s="27">
        <f>SUMIFS(GASTOS!F:F,GASTOS!B:B,2022,GASTOS!C:C,9)</f>
        <v>6969000</v>
      </c>
      <c r="AJ55" s="27">
        <f>SUMIFS(GASTOS!F:F,GASTOS!B:B,2022,GASTOS!C:C,10)</f>
        <v>20632048</v>
      </c>
      <c r="AK55" s="27">
        <f>SUMIFS(GASTOS!F:F,GASTOS!B:B,2022,GASTOS!C:C,11)</f>
        <v>24927000</v>
      </c>
      <c r="AL55" s="108">
        <f>SUMIFS(GASTOS!F:F,GASTOS!B:B,2022,GASTOS!C:C,12)</f>
        <v>13848000</v>
      </c>
      <c r="AM55" s="108">
        <f>SUMIFS(GASTOS!F:F,GASTOS!B:B,2023,GASTOS!C:C,1)</f>
        <v>10604000</v>
      </c>
      <c r="AN55" s="108">
        <f>SUMIFS(GASTOS!F:F,GASTOS!B:B,2023,GASTOS!C:C,2)</f>
        <v>12042000</v>
      </c>
      <c r="AO55" s="108">
        <f>SUMIFS(GASTOS!F:F,GASTOS!B:B,2023,GASTOS!C:C,3)</f>
        <v>24557000</v>
      </c>
      <c r="AP55" s="108">
        <f>SUMIFS(GASTOS!F:F,GASTOS!B:B,2023,GASTOS!C:C,4)</f>
        <v>7676000</v>
      </c>
      <c r="AQ55" s="108">
        <f>SUMIFS(GASTOS!F:F,GASTOS!B:B,2023,GASTOS!C:C,5)</f>
        <v>12027000</v>
      </c>
      <c r="AR55" s="108">
        <f>SUMIFS(GASTOS!F:F,GASTOS!B:B,2023,GASTOS!C:C,6)</f>
        <v>8840000</v>
      </c>
      <c r="AS55" s="108">
        <f>SUMIFS(GASTOS!F:F,GASTOS!B:B,2023,GASTOS!C:C,7)</f>
        <v>7794000</v>
      </c>
      <c r="AT55" s="108">
        <f>SUMIFS(GASTOS!F:F,GASTOS!B:B,2023,GASTOS!C:C,8)</f>
        <v>20028000</v>
      </c>
      <c r="AU55" s="108">
        <f>SUMIFS(GASTOS!F:F,GASTOS!B:B,2023,GASTOS!C:C,9)</f>
        <v>10052000</v>
      </c>
      <c r="AV55" s="108">
        <f>SUMIFS(GASTOS!F:F,GASTOS!B:B,2023,GASTOS!C:C,10)</f>
        <v>8613600</v>
      </c>
      <c r="AW55" s="108">
        <f>SUMIFS(GASTOS!F:F,GASTOS!B:B,2023,GASTOS!C:C,11)</f>
        <v>20202000</v>
      </c>
      <c r="AX55" s="108">
        <f>SUMIFS(GASTOS!F:F,GASTOS!B:B,2023,GASTOS!C:C,12)</f>
        <v>43364499</v>
      </c>
      <c r="AY55" s="150">
        <f>SUMIFS(GASTOS!F:F,GASTOS!B:B,2024,GASTOS!C:C,1)</f>
        <v>8972200</v>
      </c>
      <c r="AZ55" s="150">
        <f>SUMIFS(GASTOS!F:F,GASTOS!B:B,2024,GASTOS!C:C,2)</f>
        <v>7463000</v>
      </c>
      <c r="BA55" s="150">
        <f>SUMIFS(GASTOS!F:F,GASTOS!B:B,2024,GASTOS!C:C,3)</f>
        <v>7506500</v>
      </c>
      <c r="BB55" s="150">
        <f>SUMIFS(GASTOS!F:F,GASTOS!B:B,2024,GASTOS!C:C,4)</f>
        <v>5818000</v>
      </c>
      <c r="BC55" s="150">
        <f>SUMIFS(GASTOS!F:F,GASTOS!B:B,2024,GASTOS!C:C,5)</f>
        <v>8291000</v>
      </c>
      <c r="BD55" s="150">
        <f>SUMIFS(GASTOS!F:F,GASTOS!B:B,2024,GASTOS!C:C,6)</f>
        <v>7303000</v>
      </c>
      <c r="BE55" s="150">
        <f>SUMIFS(GASTOS!F:F,GASTOS!B:B,2024,GASTOS!C:C,7)</f>
        <v>6724000</v>
      </c>
      <c r="BF55" s="150">
        <f>SUMIFS(GASTOS!F:F,GASTOS!B:B,2024,GASTOS!C:C,8)</f>
        <v>5656600</v>
      </c>
      <c r="BG55" s="150">
        <f>SUMIFS(GASTOS!F:F,GASTOS!B:B,2024,GASTOS!C:C,9)</f>
        <v>5245000</v>
      </c>
      <c r="BH55" s="150">
        <f>SUMIFS(GASTOS!F:F,GASTOS!B:B,2024,GASTOS!C:C,10)</f>
        <v>8373000</v>
      </c>
      <c r="BI55" s="150">
        <f>SUMIFS(GASTOS!F:F,GASTOS!B:B,2024,GASTOS!C:C,11)</f>
        <v>5806000</v>
      </c>
      <c r="BJ55" s="150">
        <f>SUMIFS(GASTOS!F:F,GASTOS!B:B,2024,GASTOS!C:C,12)</f>
        <v>16936000</v>
      </c>
      <c r="BK55" s="208">
        <f>SUMIFS(GASTOS!F:F,GASTOS!B:B,2025,GASTOS!C:C,1)</f>
        <v>7554000</v>
      </c>
      <c r="BL55" s="208">
        <f>SUMIFS(GASTOS!F:F,GASTOS!B:B,2025,GASTOS!C:C,2)</f>
        <v>9139000</v>
      </c>
      <c r="BM55" s="208">
        <f>SUMIFS(GASTOS!F:F,GASTOS!B:B,2025,GASTOS!C:C,3)</f>
        <v>11255000</v>
      </c>
      <c r="BN55" s="208">
        <f>SUMIFS(GASTOS!F:F,GASTOS!B:B,2025,GASTOS!C:C,4)</f>
        <v>7184000</v>
      </c>
      <c r="BO55" s="208">
        <f>SUMIFS(GASTOS!F:F,GASTOS!B:B,2025,GASTOS!C:C,5)</f>
        <v>19993000</v>
      </c>
      <c r="BP55" s="208">
        <f>SUMIFS(GASTOS!F:F,GASTOS!B:B,2025,GASTOS!C:C,6)</f>
        <v>11375000</v>
      </c>
      <c r="BQ55" s="208">
        <f>SUMIFS(GASTOS!F:F,GASTOS!B:B,2025,GASTOS!C:C,7)</f>
        <v>14527000</v>
      </c>
      <c r="BR55" s="208">
        <f>SUMIFS(GASTOS!F:F,GASTOS!B:B,2025,GASTOS!C:C,8)</f>
        <v>7675000</v>
      </c>
      <c r="BS55" s="208">
        <f>SUMIFS(GASTOS!F:F,GASTOS!B:B,2025,GASTOS!C:C,9)</f>
        <v>7187000</v>
      </c>
      <c r="BT55" s="208">
        <f>SUMIFS(GASTOS!F:F,GASTOS!B:B,2025,GASTOS!C:C,10)</f>
        <v>14239000</v>
      </c>
      <c r="BU55" s="208">
        <f>SUMIFS(GASTOS!F:F,GASTOS!B:B,2025,GASTOS!C:C,11)</f>
        <v>17490000</v>
      </c>
      <c r="BV55" s="208">
        <f>SUMIFS(GASTOS!F:F,GASTOS!B:B,2025,GASTOS!C:C,12)</f>
        <v>0</v>
      </c>
      <c r="BW55" s="208">
        <f>SUMIFS(GASTOS!F:F,GASTOS!B:B,2026,GASTOS!C:C,1)</f>
        <v>8658000</v>
      </c>
      <c r="BX55" s="208">
        <f>SUMIFS(GASTOS!F:F,GASTOS!B:B,2026,GASTOS!C:C,2)</f>
        <v>11227000</v>
      </c>
      <c r="BY55" s="208">
        <f>SUMIFS(GASTOS!F:F,GASTOS!B:B,2026,GASTOS!C:C,3)</f>
        <v>9145000</v>
      </c>
      <c r="BZ55" s="208">
        <f>SUMIFS(GASTOS!F:F,GASTOS!B:B,2026,GASTOS!C:C,4)</f>
        <v>9807000</v>
      </c>
      <c r="CA55" s="208">
        <f>SUMIFS(GASTOS!F:F,GASTOS!B:B,2026,GASTOS!C:C,5)</f>
        <v>18543000</v>
      </c>
      <c r="CB55" s="208">
        <f>SUMIFS(GASTOS!F:F,GASTOS!B:B,2026,GASTOS!C:C,6)</f>
        <v>6630300</v>
      </c>
      <c r="CC55" s="208"/>
    </row>
    <row r="57" spans="1:84" ht="16.5" customHeight="1" x14ac:dyDescent="0.2">
      <c r="C57" s="3">
        <v>4065300</v>
      </c>
      <c r="D57" s="3">
        <v>5482500</v>
      </c>
      <c r="E57" s="3">
        <v>4809600</v>
      </c>
      <c r="F57" s="3">
        <v>7149400</v>
      </c>
      <c r="G57" s="3">
        <v>6974886.8000000007</v>
      </c>
      <c r="H57" s="3">
        <v>6913386.8000000007</v>
      </c>
      <c r="I57" s="3">
        <v>7075386.8000000007</v>
      </c>
      <c r="J57" s="3">
        <f>J52-(J55+J53+J54)</f>
        <v>4962486.8000000007</v>
      </c>
      <c r="K57" s="3">
        <f>K52-(K55+K53+K54)</f>
        <v>2498386.8000000007</v>
      </c>
      <c r="L57" s="3">
        <f>L52-(L55+L53+L54)</f>
        <v>47239019.980000004</v>
      </c>
      <c r="M57" s="3">
        <f t="shared" ref="M57:R57" si="6">M52-(M55+M53+M54)</f>
        <v>7697320</v>
      </c>
      <c r="N57" s="3">
        <f t="shared" si="6"/>
        <v>11098156</v>
      </c>
      <c r="O57" s="3">
        <f t="shared" si="6"/>
        <v>15653000</v>
      </c>
      <c r="P57" s="3">
        <f t="shared" si="6"/>
        <v>6118000</v>
      </c>
      <c r="Q57" s="3">
        <f>Q52-(Q55+Q53+Q54)</f>
        <v>6052000</v>
      </c>
      <c r="R57" s="3">
        <f t="shared" si="6"/>
        <v>9238416</v>
      </c>
      <c r="S57" s="3">
        <f t="shared" ref="S57:AC57" si="7">S52-(S55+S53+S54)</f>
        <v>6783958</v>
      </c>
      <c r="T57" s="3">
        <f t="shared" si="7"/>
        <v>5871000</v>
      </c>
      <c r="U57" s="3">
        <f t="shared" si="7"/>
        <v>5970100</v>
      </c>
      <c r="V57" s="3">
        <f t="shared" si="7"/>
        <v>14161200</v>
      </c>
      <c r="W57" s="3">
        <f t="shared" si="7"/>
        <v>10137500</v>
      </c>
      <c r="X57" s="3">
        <f t="shared" si="7"/>
        <v>10113900</v>
      </c>
      <c r="Y57" s="3">
        <f t="shared" si="7"/>
        <v>4369700</v>
      </c>
      <c r="Z57" s="3">
        <f t="shared" si="7"/>
        <v>20770500</v>
      </c>
      <c r="AA57" s="3">
        <f t="shared" si="7"/>
        <v>7631400</v>
      </c>
      <c r="AB57" s="3">
        <f t="shared" si="7"/>
        <v>9792000</v>
      </c>
      <c r="AC57" s="3">
        <f t="shared" si="7"/>
        <v>17727500</v>
      </c>
      <c r="AD57" s="3">
        <f t="shared" ref="AD57:AK57" si="8">AD52-(AD55+AD53+AD54)</f>
        <v>8647500</v>
      </c>
      <c r="AE57" s="3">
        <f t="shared" si="8"/>
        <v>20211200</v>
      </c>
      <c r="AF57" s="3">
        <f t="shared" si="8"/>
        <v>5658500</v>
      </c>
      <c r="AG57" s="3">
        <f t="shared" si="8"/>
        <v>9991500</v>
      </c>
      <c r="AH57" s="3">
        <f t="shared" si="8"/>
        <v>10474000</v>
      </c>
      <c r="AI57" s="3">
        <f t="shared" si="8"/>
        <v>14296058</v>
      </c>
      <c r="AJ57" s="3">
        <f t="shared" si="8"/>
        <v>-4419048</v>
      </c>
      <c r="AK57" s="3">
        <f t="shared" si="8"/>
        <v>42825684</v>
      </c>
      <c r="AL57" s="102" t="e">
        <f t="shared" ref="AL57:AW57" si="9">AL52-(AL55+AL53+AL54)</f>
        <v>#REF!</v>
      </c>
      <c r="AM57" s="102">
        <f>AM52-(AM55+AM53+AM54)</f>
        <v>7131000</v>
      </c>
      <c r="AN57" s="102">
        <f>AN52-(AN55+AN53+AN54)</f>
        <v>17840000</v>
      </c>
      <c r="AO57" s="102">
        <f t="shared" si="9"/>
        <v>-3118000</v>
      </c>
      <c r="AP57" s="102">
        <f t="shared" si="9"/>
        <v>23595000</v>
      </c>
      <c r="AQ57" s="102">
        <f t="shared" si="9"/>
        <v>6738000</v>
      </c>
      <c r="AR57" s="168">
        <f t="shared" si="9"/>
        <v>9915000</v>
      </c>
      <c r="AS57" s="168">
        <f t="shared" si="9"/>
        <v>12186000</v>
      </c>
      <c r="AT57" s="168">
        <f t="shared" si="9"/>
        <v>14477000</v>
      </c>
      <c r="AU57" s="168">
        <f t="shared" si="9"/>
        <v>10573000</v>
      </c>
      <c r="AV57" s="168">
        <f t="shared" si="9"/>
        <v>46439400</v>
      </c>
      <c r="AW57" s="168">
        <f t="shared" si="9"/>
        <v>3253000</v>
      </c>
      <c r="AX57" s="168">
        <f t="shared" ref="AX57:BC57" si="10">AX52-(AX55+AX53+AX54)</f>
        <v>-8309499</v>
      </c>
      <c r="AY57" s="168">
        <f t="shared" si="10"/>
        <v>8034800</v>
      </c>
      <c r="AZ57" s="168">
        <f t="shared" si="10"/>
        <v>14903706.206677213</v>
      </c>
      <c r="BA57" s="168">
        <f t="shared" si="10"/>
        <v>12604392.345691513</v>
      </c>
      <c r="BB57" s="168">
        <f t="shared" si="10"/>
        <v>16692696</v>
      </c>
      <c r="BC57" s="168">
        <f t="shared" si="10"/>
        <v>9676000</v>
      </c>
      <c r="BD57" s="168">
        <f t="shared" ref="BD57:BN57" si="11">BD52-(BD55+BD53+BD54)</f>
        <v>14283000</v>
      </c>
      <c r="BE57" s="168">
        <f t="shared" si="11"/>
        <v>14866000</v>
      </c>
      <c r="BF57" s="168">
        <f t="shared" si="11"/>
        <v>13807400</v>
      </c>
      <c r="BG57" s="168">
        <f t="shared" si="11"/>
        <v>19566000</v>
      </c>
      <c r="BH57" s="168">
        <f t="shared" si="11"/>
        <v>12456000</v>
      </c>
      <c r="BI57" s="168">
        <f t="shared" si="11"/>
        <v>14643000</v>
      </c>
      <c r="BJ57" s="168">
        <f t="shared" si="11"/>
        <v>27913696</v>
      </c>
      <c r="BK57" s="168">
        <f t="shared" si="11"/>
        <v>11186000</v>
      </c>
      <c r="BL57" s="168">
        <f t="shared" si="11"/>
        <v>13071000</v>
      </c>
      <c r="BM57" s="168">
        <f t="shared" si="11"/>
        <v>27455000</v>
      </c>
      <c r="BN57" s="168">
        <f t="shared" si="11"/>
        <v>20402000</v>
      </c>
      <c r="BO57" s="168">
        <f>BO52-(BO55+BO53+BO54)</f>
        <v>7085000</v>
      </c>
      <c r="BP57" s="168">
        <f>BP52-(BP55+BP53+BP54)</f>
        <v>10233000</v>
      </c>
      <c r="BQ57" s="168">
        <f>BQ52-(BQ55+BQ53+BQ54)</f>
        <v>15285000</v>
      </c>
      <c r="BR57" s="168">
        <f>BR52-(BR55+BR53+BR54)</f>
        <v>14793000</v>
      </c>
      <c r="BS57" s="168">
        <f t="shared" ref="BS57:CC57" si="12">BS52-(BS55+BS53+BS54)</f>
        <v>15806000</v>
      </c>
      <c r="BT57" s="168">
        <f t="shared" si="12"/>
        <v>7207000</v>
      </c>
      <c r="BU57" s="168">
        <f t="shared" si="12"/>
        <v>-6889000</v>
      </c>
      <c r="BV57" s="168">
        <f t="shared" si="12"/>
        <v>73794000</v>
      </c>
      <c r="BW57" s="168">
        <f>BW52-(BW55+BW53+BW54)</f>
        <v>-5478000</v>
      </c>
      <c r="BX57" s="168">
        <f t="shared" si="12"/>
        <v>-8077000</v>
      </c>
      <c r="BY57" s="168">
        <f t="shared" si="12"/>
        <v>-2145000</v>
      </c>
      <c r="BZ57" s="168">
        <f t="shared" si="12"/>
        <v>-6307000</v>
      </c>
      <c r="CA57" s="168">
        <f t="shared" si="12"/>
        <v>-15043000</v>
      </c>
      <c r="CB57" s="168">
        <f t="shared" si="12"/>
        <v>-6630300</v>
      </c>
      <c r="CC57" s="168">
        <f t="shared" si="12"/>
        <v>0</v>
      </c>
      <c r="CD57" s="24" t="e">
        <f>SUM(C57:CC57)</f>
        <v>#REF!</v>
      </c>
    </row>
    <row r="58" spans="1:84" ht="10.5" customHeight="1" x14ac:dyDescent="0.2"/>
    <row r="59" spans="1:84" x14ac:dyDescent="0.2">
      <c r="F59" s="24"/>
      <c r="Q59" s="24"/>
      <c r="R59" s="24"/>
      <c r="S59" s="24"/>
      <c r="T59" s="24"/>
      <c r="V59" s="24"/>
      <c r="W59" s="24"/>
      <c r="X59" s="24"/>
      <c r="Y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98"/>
      <c r="AM59" s="98"/>
      <c r="AN59" s="98"/>
      <c r="AO59" s="98"/>
      <c r="AP59" s="98"/>
      <c r="AQ59" s="98"/>
      <c r="AR59" s="98"/>
      <c r="AS59" s="98"/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</row>
    <row r="60" spans="1:84" x14ac:dyDescent="0.2">
      <c r="P60" s="24"/>
      <c r="CD60" s="24" t="e">
        <f>C57+D57+E57+F57+G57+H57+I57+J57+K57+L57+M57+N57+O57+P57+Q57+R57+S57+T57+U57+V57+W57+X57+Y57+Z57+AA57+AB57+AC57+AD57+AE57+AF57+AG57+AH57+AI57+AJ57+AK57+AL57+AM57+AN57+AO57+AP57+AQ57+AR57+AS57+AT57+AU57+AV57+AW57+AX57+AY57+AZ57+BA57+BB57+BC57+BD57+BE57+BF57+BG57+BH57+BI57+BJ57+BK57+BL57+BM57+BN57+BO57+BP57+BQ57+BR57+BS57+BT57+BU57+BV57+BW57+BX57+BY57+BZ57+CA57+CB57+CC57</f>
        <v>#REF!</v>
      </c>
    </row>
    <row r="67" spans="35:36" x14ac:dyDescent="0.2">
      <c r="AI67" s="3" t="s">
        <v>75</v>
      </c>
      <c r="AJ67" s="131" t="s">
        <v>76</v>
      </c>
    </row>
  </sheetData>
  <phoneticPr fontId="10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Q5332"/>
  <sheetViews>
    <sheetView zoomScale="150" zoomScaleNormal="115" workbookViewId="0">
      <pane ySplit="1" topLeftCell="A5228" activePane="bottomLeft" state="frozen"/>
      <selection activeCell="E1" sqref="E1"/>
      <selection pane="bottomLeft" activeCell="D5241" sqref="D5241"/>
    </sheetView>
  </sheetViews>
  <sheetFormatPr baseColWidth="10" defaultColWidth="10.6640625" defaultRowHeight="15" x14ac:dyDescent="0.2"/>
  <cols>
    <col min="1" max="1" width="6.6640625" customWidth="1"/>
    <col min="2" max="2" width="5.5" bestFit="1" customWidth="1"/>
    <col min="3" max="3" width="4.6640625" customWidth="1"/>
    <col min="4" max="4" width="31.5" style="87" customWidth="1"/>
    <col min="5" max="5" width="14.5" style="32" customWidth="1"/>
    <col min="6" max="6" width="14" style="32" customWidth="1"/>
    <col min="7" max="7" width="13" style="32" customWidth="1"/>
    <col min="8" max="8" width="12.33203125" style="32" customWidth="1"/>
    <col min="9" max="9" width="13.1640625" style="32" customWidth="1"/>
    <col min="10" max="10" width="39" customWidth="1"/>
    <col min="11" max="11" width="12.5" style="1" bestFit="1" customWidth="1"/>
    <col min="13" max="13" width="11.5" bestFit="1" customWidth="1"/>
    <col min="14" max="14" width="29.5" style="66" bestFit="1" customWidth="1"/>
  </cols>
  <sheetData>
    <row r="1" spans="1:11" x14ac:dyDescent="0.2">
      <c r="A1" s="12" t="s">
        <v>77</v>
      </c>
      <c r="B1" s="12"/>
      <c r="C1" s="12"/>
      <c r="D1" s="135" t="s">
        <v>78</v>
      </c>
      <c r="E1" s="30" t="s">
        <v>79</v>
      </c>
      <c r="F1" s="30" t="s">
        <v>80</v>
      </c>
      <c r="G1" s="30" t="s">
        <v>72</v>
      </c>
      <c r="H1" s="30" t="s">
        <v>74</v>
      </c>
      <c r="I1" s="30" t="s">
        <v>81</v>
      </c>
      <c r="J1" s="12" t="s">
        <v>82</v>
      </c>
      <c r="K1" s="12"/>
    </row>
    <row r="2" spans="1:11" x14ac:dyDescent="0.2">
      <c r="A2" s="8">
        <v>1</v>
      </c>
      <c r="B2" s="8">
        <f t="shared" ref="B2:B5" si="0">YEAR(D2)</f>
        <v>2020</v>
      </c>
      <c r="C2" s="8">
        <f t="shared" ref="C2:C5" si="1">MONTH(D2)</f>
        <v>1</v>
      </c>
      <c r="D2" s="85">
        <v>43849</v>
      </c>
      <c r="E2" s="31"/>
      <c r="F2" s="31">
        <v>100000</v>
      </c>
      <c r="G2" s="31"/>
      <c r="H2" s="31"/>
      <c r="I2" s="31" t="s">
        <v>83</v>
      </c>
      <c r="J2" s="5" t="s">
        <v>84</v>
      </c>
      <c r="K2" s="8"/>
    </row>
    <row r="3" spans="1:11" x14ac:dyDescent="0.2">
      <c r="A3" s="8">
        <v>2</v>
      </c>
      <c r="B3" s="8">
        <f t="shared" si="0"/>
        <v>2020</v>
      </c>
      <c r="C3" s="8">
        <f t="shared" si="1"/>
        <v>1</v>
      </c>
      <c r="D3" s="85">
        <v>43852</v>
      </c>
      <c r="E3" s="31"/>
      <c r="F3" s="31">
        <v>800000</v>
      </c>
      <c r="G3" s="31"/>
      <c r="H3" s="31"/>
      <c r="I3" s="31" t="s">
        <v>85</v>
      </c>
      <c r="J3" s="5" t="s">
        <v>86</v>
      </c>
      <c r="K3" s="8"/>
    </row>
    <row r="4" spans="1:11" x14ac:dyDescent="0.2">
      <c r="A4" s="8">
        <v>3</v>
      </c>
      <c r="B4" s="8">
        <f t="shared" si="0"/>
        <v>2020</v>
      </c>
      <c r="C4" s="8">
        <f t="shared" si="1"/>
        <v>1</v>
      </c>
      <c r="D4" s="85">
        <v>43852</v>
      </c>
      <c r="E4" s="31"/>
      <c r="F4" s="31">
        <v>150000</v>
      </c>
      <c r="G4" s="31"/>
      <c r="H4" s="31"/>
      <c r="I4" s="31" t="s">
        <v>85</v>
      </c>
      <c r="J4" s="5" t="s">
        <v>87</v>
      </c>
      <c r="K4" s="8"/>
    </row>
    <row r="5" spans="1:11" x14ac:dyDescent="0.2">
      <c r="A5" s="8">
        <v>4</v>
      </c>
      <c r="B5" s="8">
        <f t="shared" si="0"/>
        <v>2020</v>
      </c>
      <c r="C5" s="8">
        <f t="shared" si="1"/>
        <v>1</v>
      </c>
      <c r="D5" s="85">
        <v>43852</v>
      </c>
      <c r="E5" s="31"/>
      <c r="F5" s="31">
        <v>4000</v>
      </c>
      <c r="G5" s="31"/>
      <c r="H5" s="31"/>
      <c r="I5" s="31" t="s">
        <v>88</v>
      </c>
      <c r="J5" s="5" t="s">
        <v>89</v>
      </c>
      <c r="K5" s="8"/>
    </row>
    <row r="6" spans="1:11" x14ac:dyDescent="0.2">
      <c r="A6" s="8">
        <v>5</v>
      </c>
      <c r="B6" s="8">
        <f t="shared" ref="B6:B69" si="2">YEAR(D6)</f>
        <v>2020</v>
      </c>
      <c r="C6" s="8">
        <f t="shared" ref="C6:C69" si="3">MONTH(D6)</f>
        <v>1</v>
      </c>
      <c r="D6" s="85">
        <v>43852</v>
      </c>
      <c r="E6" s="31"/>
      <c r="F6" s="31">
        <v>12000</v>
      </c>
      <c r="G6" s="31"/>
      <c r="H6" s="31"/>
      <c r="I6" s="31" t="s">
        <v>85</v>
      </c>
      <c r="J6" s="5" t="s">
        <v>90</v>
      </c>
      <c r="K6" s="8"/>
    </row>
    <row r="7" spans="1:11" x14ac:dyDescent="0.2">
      <c r="A7" s="8">
        <v>6</v>
      </c>
      <c r="B7" s="8">
        <f t="shared" si="2"/>
        <v>2020</v>
      </c>
      <c r="C7" s="8">
        <f t="shared" si="3"/>
        <v>1</v>
      </c>
      <c r="D7" s="85">
        <v>43853</v>
      </c>
      <c r="E7" s="31"/>
      <c r="F7" s="31">
        <v>2500</v>
      </c>
      <c r="G7" s="31"/>
      <c r="H7" s="31"/>
      <c r="I7" s="31" t="s">
        <v>88</v>
      </c>
      <c r="J7" s="5" t="s">
        <v>89</v>
      </c>
      <c r="K7" s="8"/>
    </row>
    <row r="8" spans="1:11" x14ac:dyDescent="0.2">
      <c r="A8" s="8">
        <v>7</v>
      </c>
      <c r="B8" s="8">
        <f t="shared" si="2"/>
        <v>2020</v>
      </c>
      <c r="C8" s="8">
        <f t="shared" si="3"/>
        <v>1</v>
      </c>
      <c r="D8" s="85">
        <v>43853</v>
      </c>
      <c r="E8" s="31"/>
      <c r="F8" s="31">
        <v>10000</v>
      </c>
      <c r="G8" s="31"/>
      <c r="H8" s="31"/>
      <c r="I8" s="31" t="s">
        <v>88</v>
      </c>
      <c r="J8" s="5" t="s">
        <v>91</v>
      </c>
      <c r="K8" s="8"/>
    </row>
    <row r="9" spans="1:11" x14ac:dyDescent="0.2">
      <c r="A9" s="8">
        <v>8</v>
      </c>
      <c r="B9" s="8">
        <f t="shared" si="2"/>
        <v>2020</v>
      </c>
      <c r="C9" s="8">
        <f t="shared" si="3"/>
        <v>1</v>
      </c>
      <c r="D9" s="85">
        <v>43853</v>
      </c>
      <c r="E9" s="31"/>
      <c r="F9" s="31">
        <v>53000</v>
      </c>
      <c r="G9" s="31">
        <v>0</v>
      </c>
      <c r="H9" s="31"/>
      <c r="I9" s="31" t="s">
        <v>92</v>
      </c>
      <c r="J9" s="5" t="s">
        <v>93</v>
      </c>
      <c r="K9" s="8"/>
    </row>
    <row r="10" spans="1:11" x14ac:dyDescent="0.2">
      <c r="A10" s="8">
        <v>9</v>
      </c>
      <c r="B10" s="8">
        <f t="shared" si="2"/>
        <v>2020</v>
      </c>
      <c r="C10" s="8">
        <f t="shared" si="3"/>
        <v>1</v>
      </c>
      <c r="D10" s="85">
        <v>43853</v>
      </c>
      <c r="E10" s="31"/>
      <c r="F10" s="31">
        <v>100000</v>
      </c>
      <c r="G10" s="31"/>
      <c r="H10" s="31"/>
      <c r="I10" s="31" t="s">
        <v>94</v>
      </c>
      <c r="J10" s="5" t="s">
        <v>95</v>
      </c>
      <c r="K10" s="8"/>
    </row>
    <row r="11" spans="1:11" x14ac:dyDescent="0.2">
      <c r="A11" s="8">
        <v>10</v>
      </c>
      <c r="B11" s="8">
        <f t="shared" si="2"/>
        <v>2020</v>
      </c>
      <c r="C11" s="8">
        <f t="shared" si="3"/>
        <v>1</v>
      </c>
      <c r="D11" s="85">
        <v>43853</v>
      </c>
      <c r="E11" s="31"/>
      <c r="F11" s="31">
        <v>5200</v>
      </c>
      <c r="G11" s="31"/>
      <c r="H11" s="31"/>
      <c r="I11" s="31" t="s">
        <v>96</v>
      </c>
      <c r="J11" s="5" t="s">
        <v>97</v>
      </c>
      <c r="K11" s="8"/>
    </row>
    <row r="12" spans="1:11" x14ac:dyDescent="0.2">
      <c r="A12" s="8">
        <v>11</v>
      </c>
      <c r="B12" s="8">
        <f t="shared" si="2"/>
        <v>2020</v>
      </c>
      <c r="C12" s="8">
        <f t="shared" si="3"/>
        <v>1</v>
      </c>
      <c r="D12" s="85">
        <v>43853</v>
      </c>
      <c r="E12" s="31"/>
      <c r="F12" s="31">
        <v>2500</v>
      </c>
      <c r="G12" s="31"/>
      <c r="H12" s="31"/>
      <c r="I12" s="31" t="s">
        <v>88</v>
      </c>
      <c r="J12" s="5" t="s">
        <v>98</v>
      </c>
      <c r="K12" s="8"/>
    </row>
    <row r="13" spans="1:11" x14ac:dyDescent="0.2">
      <c r="A13" s="8">
        <v>12</v>
      </c>
      <c r="B13" s="8">
        <f t="shared" si="2"/>
        <v>2020</v>
      </c>
      <c r="C13" s="8">
        <f t="shared" si="3"/>
        <v>1</v>
      </c>
      <c r="D13" s="85">
        <v>43854</v>
      </c>
      <c r="E13" s="31"/>
      <c r="F13" s="31">
        <v>3000</v>
      </c>
      <c r="G13" s="31"/>
      <c r="H13" s="31"/>
      <c r="I13" s="31" t="s">
        <v>88</v>
      </c>
      <c r="J13" s="5" t="s">
        <v>89</v>
      </c>
      <c r="K13" s="8"/>
    </row>
    <row r="14" spans="1:11" x14ac:dyDescent="0.2">
      <c r="A14" s="8">
        <v>13</v>
      </c>
      <c r="B14" s="8">
        <f t="shared" si="2"/>
        <v>2020</v>
      </c>
      <c r="C14" s="8">
        <f t="shared" si="3"/>
        <v>1</v>
      </c>
      <c r="D14" s="85">
        <v>43854</v>
      </c>
      <c r="E14" s="31"/>
      <c r="F14" s="31">
        <v>50000</v>
      </c>
      <c r="G14" s="31"/>
      <c r="H14" s="31"/>
      <c r="I14" s="31" t="s">
        <v>99</v>
      </c>
      <c r="J14" s="5" t="s">
        <v>100</v>
      </c>
      <c r="K14" s="8"/>
    </row>
    <row r="15" spans="1:11" x14ac:dyDescent="0.2">
      <c r="A15" s="8">
        <v>14</v>
      </c>
      <c r="B15" s="8">
        <f t="shared" si="2"/>
        <v>2020</v>
      </c>
      <c r="C15" s="8">
        <f t="shared" si="3"/>
        <v>1</v>
      </c>
      <c r="D15" s="85">
        <v>43854</v>
      </c>
      <c r="E15" s="31"/>
      <c r="F15" s="31">
        <v>5000</v>
      </c>
      <c r="G15" s="31"/>
      <c r="H15" s="31"/>
      <c r="I15" s="31" t="s">
        <v>88</v>
      </c>
      <c r="J15" s="5" t="s">
        <v>91</v>
      </c>
      <c r="K15" s="8"/>
    </row>
    <row r="16" spans="1:11" x14ac:dyDescent="0.2">
      <c r="A16" s="8">
        <v>15</v>
      </c>
      <c r="B16" s="8">
        <f t="shared" si="2"/>
        <v>2020</v>
      </c>
      <c r="C16" s="8">
        <f t="shared" si="3"/>
        <v>1</v>
      </c>
      <c r="D16" s="85">
        <v>43856</v>
      </c>
      <c r="E16" s="31"/>
      <c r="F16" s="31">
        <v>70000</v>
      </c>
      <c r="G16" s="31"/>
      <c r="H16" s="31"/>
      <c r="I16" s="31" t="s">
        <v>99</v>
      </c>
      <c r="J16" s="5" t="s">
        <v>101</v>
      </c>
      <c r="K16" s="8"/>
    </row>
    <row r="17" spans="1:11" x14ac:dyDescent="0.2">
      <c r="A17" s="8">
        <v>16</v>
      </c>
      <c r="B17" s="8">
        <f t="shared" si="2"/>
        <v>2020</v>
      </c>
      <c r="C17" s="8">
        <f t="shared" si="3"/>
        <v>1</v>
      </c>
      <c r="D17" s="85">
        <v>43856</v>
      </c>
      <c r="E17" s="31"/>
      <c r="F17" s="31">
        <v>10000</v>
      </c>
      <c r="G17" s="31"/>
      <c r="H17" s="31"/>
      <c r="I17" s="31" t="s">
        <v>88</v>
      </c>
      <c r="J17" s="5" t="s">
        <v>102</v>
      </c>
      <c r="K17" s="8"/>
    </row>
    <row r="18" spans="1:11" x14ac:dyDescent="0.2">
      <c r="A18" s="8">
        <v>17</v>
      </c>
      <c r="B18" s="8">
        <f t="shared" si="2"/>
        <v>2020</v>
      </c>
      <c r="C18" s="8">
        <f t="shared" si="3"/>
        <v>1</v>
      </c>
      <c r="D18" s="85">
        <v>43856</v>
      </c>
      <c r="E18" s="31"/>
      <c r="F18" s="31">
        <v>14000</v>
      </c>
      <c r="G18" s="31"/>
      <c r="H18" s="31"/>
      <c r="I18" s="31" t="s">
        <v>85</v>
      </c>
      <c r="J18" s="5" t="s">
        <v>103</v>
      </c>
      <c r="K18" s="8"/>
    </row>
    <row r="19" spans="1:11" x14ac:dyDescent="0.2">
      <c r="A19" s="8">
        <v>18</v>
      </c>
      <c r="B19" s="8">
        <f t="shared" si="2"/>
        <v>2020</v>
      </c>
      <c r="C19" s="8">
        <f t="shared" si="3"/>
        <v>1</v>
      </c>
      <c r="D19" s="85">
        <v>43857</v>
      </c>
      <c r="E19" s="31"/>
      <c r="F19" s="31">
        <v>5000</v>
      </c>
      <c r="G19" s="31"/>
      <c r="H19" s="31"/>
      <c r="I19" s="31" t="s">
        <v>88</v>
      </c>
      <c r="J19" s="5" t="s">
        <v>89</v>
      </c>
      <c r="K19" s="8"/>
    </row>
    <row r="20" spans="1:11" x14ac:dyDescent="0.2">
      <c r="A20" s="8">
        <v>19</v>
      </c>
      <c r="B20" s="8">
        <f t="shared" si="2"/>
        <v>2020</v>
      </c>
      <c r="C20" s="8">
        <f t="shared" si="3"/>
        <v>1</v>
      </c>
      <c r="D20" s="85">
        <v>43857</v>
      </c>
      <c r="E20" s="31"/>
      <c r="F20" s="31">
        <v>10000</v>
      </c>
      <c r="G20" s="31"/>
      <c r="H20" s="31"/>
      <c r="I20" s="31" t="s">
        <v>88</v>
      </c>
      <c r="J20" s="5" t="s">
        <v>91</v>
      </c>
      <c r="K20" s="8"/>
    </row>
    <row r="21" spans="1:11" x14ac:dyDescent="0.2">
      <c r="A21" s="8">
        <v>20</v>
      </c>
      <c r="B21" s="8">
        <f t="shared" si="2"/>
        <v>2020</v>
      </c>
      <c r="C21" s="8">
        <f t="shared" si="3"/>
        <v>1</v>
      </c>
      <c r="D21" s="85">
        <v>43857</v>
      </c>
      <c r="E21" s="31"/>
      <c r="F21" s="31">
        <v>2000</v>
      </c>
      <c r="G21" s="31"/>
      <c r="H21" s="31"/>
      <c r="I21" s="31" t="s">
        <v>88</v>
      </c>
      <c r="J21" s="5" t="s">
        <v>104</v>
      </c>
      <c r="K21" s="8"/>
    </row>
    <row r="22" spans="1:11" x14ac:dyDescent="0.2">
      <c r="A22" s="8">
        <v>21</v>
      </c>
      <c r="B22" s="8">
        <f t="shared" si="2"/>
        <v>2020</v>
      </c>
      <c r="C22" s="8">
        <f t="shared" si="3"/>
        <v>1</v>
      </c>
      <c r="D22" s="85">
        <v>43859</v>
      </c>
      <c r="E22" s="31"/>
      <c r="F22" s="31">
        <v>67000</v>
      </c>
      <c r="G22" s="31"/>
      <c r="H22" s="31"/>
      <c r="I22" s="31" t="s">
        <v>88</v>
      </c>
      <c r="J22" s="5" t="s">
        <v>105</v>
      </c>
      <c r="K22" s="8"/>
    </row>
    <row r="23" spans="1:11" x14ac:dyDescent="0.2">
      <c r="A23" s="8">
        <v>22</v>
      </c>
      <c r="B23" s="8">
        <f t="shared" si="2"/>
        <v>2020</v>
      </c>
      <c r="C23" s="8">
        <f t="shared" si="3"/>
        <v>1</v>
      </c>
      <c r="D23" s="85">
        <v>43859</v>
      </c>
      <c r="E23" s="31"/>
      <c r="F23" s="31">
        <v>50000</v>
      </c>
      <c r="G23" s="31"/>
      <c r="H23" s="31"/>
      <c r="I23" s="31" t="s">
        <v>85</v>
      </c>
      <c r="J23" s="5" t="s">
        <v>106</v>
      </c>
      <c r="K23" s="8"/>
    </row>
    <row r="24" spans="1:11" x14ac:dyDescent="0.2">
      <c r="A24" s="8">
        <v>23</v>
      </c>
      <c r="B24" s="8">
        <f t="shared" si="2"/>
        <v>2020</v>
      </c>
      <c r="C24" s="8">
        <f t="shared" si="3"/>
        <v>1</v>
      </c>
      <c r="D24" s="85">
        <v>43860</v>
      </c>
      <c r="E24" s="31"/>
      <c r="F24" s="31">
        <v>50000</v>
      </c>
      <c r="G24" s="31"/>
      <c r="H24" s="31"/>
      <c r="I24" s="31" t="s">
        <v>85</v>
      </c>
      <c r="J24" s="5" t="s">
        <v>107</v>
      </c>
      <c r="K24" s="8"/>
    </row>
    <row r="25" spans="1:11" x14ac:dyDescent="0.2">
      <c r="A25" s="8">
        <v>24</v>
      </c>
      <c r="B25" s="8">
        <f t="shared" si="2"/>
        <v>2020</v>
      </c>
      <c r="C25" s="8">
        <f t="shared" si="3"/>
        <v>1</v>
      </c>
      <c r="D25" s="85">
        <v>43860</v>
      </c>
      <c r="E25" s="31"/>
      <c r="F25" s="31">
        <v>20000</v>
      </c>
      <c r="G25" s="31"/>
      <c r="H25" s="31"/>
      <c r="I25" s="31" t="s">
        <v>88</v>
      </c>
      <c r="J25" s="5" t="s">
        <v>108</v>
      </c>
      <c r="K25" s="8"/>
    </row>
    <row r="26" spans="1:11" x14ac:dyDescent="0.2">
      <c r="A26" s="8">
        <v>25</v>
      </c>
      <c r="B26" s="8">
        <f t="shared" si="2"/>
        <v>2020</v>
      </c>
      <c r="C26" s="8">
        <f t="shared" si="3"/>
        <v>1</v>
      </c>
      <c r="D26" s="85">
        <v>43860</v>
      </c>
      <c r="E26" s="31"/>
      <c r="F26" s="31">
        <v>10000</v>
      </c>
      <c r="G26" s="31"/>
      <c r="H26" s="31"/>
      <c r="I26" s="31" t="s">
        <v>88</v>
      </c>
      <c r="J26" s="5" t="s">
        <v>89</v>
      </c>
      <c r="K26" s="8"/>
    </row>
    <row r="27" spans="1:11" x14ac:dyDescent="0.2">
      <c r="A27" s="8">
        <v>26</v>
      </c>
      <c r="B27" s="8">
        <f t="shared" si="2"/>
        <v>2020</v>
      </c>
      <c r="C27" s="8">
        <f t="shared" si="3"/>
        <v>1</v>
      </c>
      <c r="D27" s="85">
        <v>43860</v>
      </c>
      <c r="E27" s="31">
        <v>225000</v>
      </c>
      <c r="F27" s="31"/>
      <c r="G27" s="31"/>
      <c r="H27" s="31"/>
      <c r="I27" s="31" t="s">
        <v>109</v>
      </c>
      <c r="J27" s="5" t="s">
        <v>110</v>
      </c>
      <c r="K27" s="8"/>
    </row>
    <row r="28" spans="1:11" x14ac:dyDescent="0.2">
      <c r="A28" s="8">
        <v>27</v>
      </c>
      <c r="B28" s="8">
        <f t="shared" si="2"/>
        <v>2020</v>
      </c>
      <c r="C28" s="8">
        <f t="shared" si="3"/>
        <v>1</v>
      </c>
      <c r="D28" s="85">
        <v>43860</v>
      </c>
      <c r="E28" s="31">
        <v>65000</v>
      </c>
      <c r="F28" s="31"/>
      <c r="G28" s="31"/>
      <c r="H28" s="31"/>
      <c r="I28" s="31" t="s">
        <v>109</v>
      </c>
      <c r="J28" s="5" t="s">
        <v>111</v>
      </c>
      <c r="K28" s="8"/>
    </row>
    <row r="29" spans="1:11" x14ac:dyDescent="0.2">
      <c r="A29" s="8">
        <v>28</v>
      </c>
      <c r="B29" s="8">
        <f t="shared" si="2"/>
        <v>2020</v>
      </c>
      <c r="C29" s="8">
        <f t="shared" si="3"/>
        <v>1</v>
      </c>
      <c r="D29" s="85">
        <v>43860</v>
      </c>
      <c r="E29" s="31"/>
      <c r="F29" s="31">
        <v>10000</v>
      </c>
      <c r="G29" s="31"/>
      <c r="H29" s="31"/>
      <c r="I29" s="31" t="s">
        <v>85</v>
      </c>
      <c r="J29" s="5" t="s">
        <v>112</v>
      </c>
      <c r="K29" s="8"/>
    </row>
    <row r="30" spans="1:11" x14ac:dyDescent="0.2">
      <c r="A30" s="8">
        <v>29</v>
      </c>
      <c r="B30" s="8">
        <f t="shared" si="2"/>
        <v>2020</v>
      </c>
      <c r="C30" s="8">
        <f t="shared" si="3"/>
        <v>1</v>
      </c>
      <c r="D30" s="85">
        <v>43860</v>
      </c>
      <c r="E30" s="31"/>
      <c r="F30" s="31">
        <v>4000</v>
      </c>
      <c r="G30" s="31"/>
      <c r="H30" s="31"/>
      <c r="I30" s="31" t="s">
        <v>85</v>
      </c>
      <c r="J30" s="5" t="s">
        <v>113</v>
      </c>
      <c r="K30" s="8"/>
    </row>
    <row r="31" spans="1:11" x14ac:dyDescent="0.2">
      <c r="A31" s="8">
        <v>30</v>
      </c>
      <c r="B31" s="8">
        <f t="shared" si="2"/>
        <v>2020</v>
      </c>
      <c r="C31" s="8">
        <f t="shared" si="3"/>
        <v>1</v>
      </c>
      <c r="D31" s="85">
        <v>43861</v>
      </c>
      <c r="E31" s="31"/>
      <c r="F31" s="31">
        <v>100000</v>
      </c>
      <c r="G31" s="31"/>
      <c r="H31" s="31"/>
      <c r="I31" s="31" t="s">
        <v>94</v>
      </c>
      <c r="J31" s="5" t="s">
        <v>114</v>
      </c>
      <c r="K31" s="8"/>
    </row>
    <row r="32" spans="1:11" x14ac:dyDescent="0.2">
      <c r="A32" s="8">
        <v>31</v>
      </c>
      <c r="B32" s="8">
        <f t="shared" si="2"/>
        <v>2020</v>
      </c>
      <c r="C32" s="8">
        <f t="shared" si="3"/>
        <v>1</v>
      </c>
      <c r="D32" s="85">
        <v>43861</v>
      </c>
      <c r="E32" s="31"/>
      <c r="F32" s="31">
        <v>30000</v>
      </c>
      <c r="G32" s="31"/>
      <c r="H32" s="31"/>
      <c r="I32" s="31" t="s">
        <v>99</v>
      </c>
      <c r="J32" s="5" t="s">
        <v>115</v>
      </c>
      <c r="K32" s="8"/>
    </row>
    <row r="33" spans="1:11" x14ac:dyDescent="0.2">
      <c r="A33" s="8">
        <v>32</v>
      </c>
      <c r="B33" s="8">
        <f t="shared" si="2"/>
        <v>2020</v>
      </c>
      <c r="C33" s="8">
        <f t="shared" si="3"/>
        <v>1</v>
      </c>
      <c r="D33" s="85">
        <v>43861</v>
      </c>
      <c r="E33" s="31"/>
      <c r="F33" s="31">
        <v>10000</v>
      </c>
      <c r="G33" s="31"/>
      <c r="H33" s="31"/>
      <c r="I33" s="31" t="s">
        <v>88</v>
      </c>
      <c r="J33" s="5" t="s">
        <v>116</v>
      </c>
      <c r="K33" s="8">
        <f>SUM(F2:F33)</f>
        <v>1759200</v>
      </c>
    </row>
    <row r="34" spans="1:11" x14ac:dyDescent="0.2">
      <c r="A34" s="8">
        <v>33</v>
      </c>
      <c r="B34" s="8">
        <f t="shared" si="2"/>
        <v>2020</v>
      </c>
      <c r="C34" s="8">
        <f t="shared" si="3"/>
        <v>2</v>
      </c>
      <c r="D34" s="85">
        <v>43862</v>
      </c>
      <c r="E34" s="31"/>
      <c r="F34" s="31">
        <v>120000</v>
      </c>
      <c r="G34" s="31"/>
      <c r="H34" s="31"/>
      <c r="I34" s="31" t="s">
        <v>85</v>
      </c>
      <c r="J34" s="5" t="s">
        <v>117</v>
      </c>
      <c r="K34" s="8"/>
    </row>
    <row r="35" spans="1:11" x14ac:dyDescent="0.2">
      <c r="A35" s="8">
        <v>34</v>
      </c>
      <c r="B35" s="8">
        <f t="shared" si="2"/>
        <v>2020</v>
      </c>
      <c r="C35" s="8">
        <f t="shared" si="3"/>
        <v>2</v>
      </c>
      <c r="D35" s="85">
        <v>43862</v>
      </c>
      <c r="E35" s="31"/>
      <c r="F35" s="31">
        <v>20000</v>
      </c>
      <c r="G35" s="31"/>
      <c r="H35" s="31"/>
      <c r="I35" s="31" t="s">
        <v>99</v>
      </c>
      <c r="J35" s="5" t="s">
        <v>118</v>
      </c>
      <c r="K35" s="8"/>
    </row>
    <row r="36" spans="1:11" x14ac:dyDescent="0.2">
      <c r="A36" s="8">
        <v>35</v>
      </c>
      <c r="B36" s="8">
        <f t="shared" si="2"/>
        <v>2020</v>
      </c>
      <c r="C36" s="8">
        <f t="shared" si="3"/>
        <v>2</v>
      </c>
      <c r="D36" s="85">
        <v>43862</v>
      </c>
      <c r="E36" s="31"/>
      <c r="F36" s="31">
        <v>100000</v>
      </c>
      <c r="G36" s="31"/>
      <c r="H36" s="31"/>
      <c r="I36" s="31" t="s">
        <v>83</v>
      </c>
      <c r="J36" s="5" t="s">
        <v>119</v>
      </c>
      <c r="K36" s="8"/>
    </row>
    <row r="37" spans="1:11" x14ac:dyDescent="0.2">
      <c r="A37" s="8">
        <v>36</v>
      </c>
      <c r="B37" s="8">
        <f t="shared" si="2"/>
        <v>2020</v>
      </c>
      <c r="C37" s="8">
        <f t="shared" si="3"/>
        <v>2</v>
      </c>
      <c r="D37" s="85">
        <v>43863</v>
      </c>
      <c r="E37" s="31"/>
      <c r="F37" s="31">
        <v>20000</v>
      </c>
      <c r="G37" s="31"/>
      <c r="H37" s="31"/>
      <c r="I37" s="31" t="s">
        <v>99</v>
      </c>
      <c r="J37" s="5" t="s">
        <v>120</v>
      </c>
      <c r="K37" s="8"/>
    </row>
    <row r="38" spans="1:11" x14ac:dyDescent="0.2">
      <c r="A38" s="8">
        <v>37</v>
      </c>
      <c r="B38" s="8">
        <f t="shared" si="2"/>
        <v>2020</v>
      </c>
      <c r="C38" s="8">
        <f t="shared" si="3"/>
        <v>2</v>
      </c>
      <c r="D38" s="85">
        <v>43863</v>
      </c>
      <c r="E38" s="31"/>
      <c r="F38" s="31">
        <v>50000</v>
      </c>
      <c r="G38" s="31"/>
      <c r="H38" s="31"/>
      <c r="I38" s="31" t="s">
        <v>99</v>
      </c>
      <c r="J38" s="5" t="s">
        <v>121</v>
      </c>
      <c r="K38" s="8"/>
    </row>
    <row r="39" spans="1:11" x14ac:dyDescent="0.2">
      <c r="A39" s="8">
        <v>38</v>
      </c>
      <c r="B39" s="8">
        <f t="shared" si="2"/>
        <v>2020</v>
      </c>
      <c r="C39" s="8">
        <f t="shared" si="3"/>
        <v>2</v>
      </c>
      <c r="D39" s="85">
        <v>43864</v>
      </c>
      <c r="E39" s="31"/>
      <c r="F39" s="31">
        <v>10000</v>
      </c>
      <c r="G39" s="31"/>
      <c r="H39" s="31"/>
      <c r="I39" s="31" t="s">
        <v>88</v>
      </c>
      <c r="J39" s="5" t="s">
        <v>122</v>
      </c>
      <c r="K39" s="8"/>
    </row>
    <row r="40" spans="1:11" x14ac:dyDescent="0.2">
      <c r="A40" s="8">
        <v>39</v>
      </c>
      <c r="B40" s="8">
        <f t="shared" si="2"/>
        <v>2020</v>
      </c>
      <c r="C40" s="8">
        <f t="shared" si="3"/>
        <v>2</v>
      </c>
      <c r="D40" s="85">
        <v>43865</v>
      </c>
      <c r="E40" s="31"/>
      <c r="F40" s="31">
        <v>90000</v>
      </c>
      <c r="G40" s="31"/>
      <c r="H40" s="31"/>
      <c r="I40" s="31" t="s">
        <v>88</v>
      </c>
      <c r="J40" s="5" t="s">
        <v>123</v>
      </c>
      <c r="K40" s="8"/>
    </row>
    <row r="41" spans="1:11" x14ac:dyDescent="0.2">
      <c r="A41" s="8">
        <v>40</v>
      </c>
      <c r="B41" s="8">
        <f t="shared" si="2"/>
        <v>2020</v>
      </c>
      <c r="C41" s="8">
        <f t="shared" si="3"/>
        <v>2</v>
      </c>
      <c r="D41" s="85">
        <v>43865</v>
      </c>
      <c r="E41" s="31"/>
      <c r="F41" s="31">
        <v>40000</v>
      </c>
      <c r="G41" s="31"/>
      <c r="H41" s="31"/>
      <c r="I41" s="31" t="s">
        <v>88</v>
      </c>
      <c r="J41" s="5" t="s">
        <v>124</v>
      </c>
      <c r="K41" s="8"/>
    </row>
    <row r="42" spans="1:11" x14ac:dyDescent="0.2">
      <c r="A42" s="8">
        <v>41</v>
      </c>
      <c r="B42" s="8">
        <f t="shared" si="2"/>
        <v>2020</v>
      </c>
      <c r="C42" s="8">
        <f t="shared" si="3"/>
        <v>2</v>
      </c>
      <c r="D42" s="85">
        <v>43870</v>
      </c>
      <c r="E42" s="31"/>
      <c r="F42" s="31">
        <v>50000</v>
      </c>
      <c r="G42" s="31"/>
      <c r="H42" s="31"/>
      <c r="I42" s="31" t="s">
        <v>99</v>
      </c>
      <c r="J42" s="5" t="s">
        <v>125</v>
      </c>
      <c r="K42" s="8"/>
    </row>
    <row r="43" spans="1:11" x14ac:dyDescent="0.2">
      <c r="A43" s="8">
        <v>42</v>
      </c>
      <c r="B43" s="8">
        <f t="shared" si="2"/>
        <v>2020</v>
      </c>
      <c r="C43" s="8">
        <f t="shared" si="3"/>
        <v>2</v>
      </c>
      <c r="D43" s="85">
        <v>43871</v>
      </c>
      <c r="E43" s="31"/>
      <c r="F43" s="31">
        <v>150000</v>
      </c>
      <c r="G43" s="31"/>
      <c r="H43" s="31"/>
      <c r="I43" s="31"/>
      <c r="J43" s="5" t="s">
        <v>126</v>
      </c>
      <c r="K43" s="8"/>
    </row>
    <row r="44" spans="1:11" x14ac:dyDescent="0.2">
      <c r="A44" s="8">
        <v>43</v>
      </c>
      <c r="B44" s="8">
        <f t="shared" si="2"/>
        <v>2020</v>
      </c>
      <c r="C44" s="8">
        <f t="shared" si="3"/>
        <v>2</v>
      </c>
      <c r="D44" s="85">
        <v>43873</v>
      </c>
      <c r="E44" s="31"/>
      <c r="F44" s="31">
        <v>20000</v>
      </c>
      <c r="G44" s="31"/>
      <c r="H44" s="31"/>
      <c r="I44" s="31" t="s">
        <v>85</v>
      </c>
      <c r="J44" s="5" t="s">
        <v>127</v>
      </c>
      <c r="K44" s="8"/>
    </row>
    <row r="45" spans="1:11" x14ac:dyDescent="0.2">
      <c r="A45" s="8">
        <v>44</v>
      </c>
      <c r="B45" s="8">
        <f t="shared" si="2"/>
        <v>2020</v>
      </c>
      <c r="C45" s="8">
        <f t="shared" si="3"/>
        <v>2</v>
      </c>
      <c r="D45" s="85">
        <v>43872</v>
      </c>
      <c r="E45" s="31"/>
      <c r="F45" s="31">
        <v>80000</v>
      </c>
      <c r="G45" s="31"/>
      <c r="H45" s="31"/>
      <c r="I45" s="31" t="s">
        <v>83</v>
      </c>
      <c r="J45" s="5" t="s">
        <v>119</v>
      </c>
      <c r="K45" s="8"/>
    </row>
    <row r="46" spans="1:11" x14ac:dyDescent="0.2">
      <c r="A46" s="8">
        <v>45</v>
      </c>
      <c r="B46" s="8">
        <f t="shared" si="2"/>
        <v>2020</v>
      </c>
      <c r="C46" s="8">
        <f t="shared" si="3"/>
        <v>2</v>
      </c>
      <c r="D46" s="85">
        <v>43873</v>
      </c>
      <c r="E46" s="31"/>
      <c r="F46" s="31">
        <v>30000</v>
      </c>
      <c r="G46" s="31"/>
      <c r="H46" s="31"/>
      <c r="I46" s="31" t="s">
        <v>88</v>
      </c>
      <c r="J46" s="5" t="s">
        <v>128</v>
      </c>
      <c r="K46" s="8"/>
    </row>
    <row r="47" spans="1:11" x14ac:dyDescent="0.2">
      <c r="A47" s="8">
        <v>46</v>
      </c>
      <c r="B47" s="8">
        <f t="shared" si="2"/>
        <v>2020</v>
      </c>
      <c r="C47" s="8">
        <f t="shared" si="3"/>
        <v>2</v>
      </c>
      <c r="D47" s="85">
        <v>43862</v>
      </c>
      <c r="E47" s="31">
        <v>240000</v>
      </c>
      <c r="F47" s="31"/>
      <c r="G47" s="31"/>
      <c r="H47" s="31"/>
      <c r="I47" s="31" t="s">
        <v>109</v>
      </c>
      <c r="J47" s="5" t="s">
        <v>129</v>
      </c>
      <c r="K47" s="8"/>
    </row>
    <row r="48" spans="1:11" x14ac:dyDescent="0.2">
      <c r="A48" s="8">
        <v>47</v>
      </c>
      <c r="B48" s="8">
        <f t="shared" si="2"/>
        <v>2020</v>
      </c>
      <c r="C48" s="8">
        <f t="shared" si="3"/>
        <v>2</v>
      </c>
      <c r="D48" s="85">
        <v>43880</v>
      </c>
      <c r="E48" s="31"/>
      <c r="F48" s="31">
        <v>80000</v>
      </c>
      <c r="G48" s="31"/>
      <c r="H48" s="31"/>
      <c r="I48" s="31" t="s">
        <v>85</v>
      </c>
      <c r="J48" s="5" t="s">
        <v>130</v>
      </c>
      <c r="K48" s="8"/>
    </row>
    <row r="49" spans="1:11" x14ac:dyDescent="0.2">
      <c r="A49" s="8">
        <v>48</v>
      </c>
      <c r="B49" s="8">
        <f t="shared" si="2"/>
        <v>2020</v>
      </c>
      <c r="C49" s="8">
        <f t="shared" si="3"/>
        <v>2</v>
      </c>
      <c r="D49" s="85">
        <v>43880</v>
      </c>
      <c r="E49" s="31"/>
      <c r="F49" s="31">
        <v>100000</v>
      </c>
      <c r="G49" s="31"/>
      <c r="H49" s="31"/>
      <c r="I49" s="31" t="s">
        <v>83</v>
      </c>
      <c r="J49" s="5" t="s">
        <v>119</v>
      </c>
      <c r="K49" s="8"/>
    </row>
    <row r="50" spans="1:11" x14ac:dyDescent="0.2">
      <c r="A50" s="8">
        <v>49</v>
      </c>
      <c r="B50" s="8">
        <f t="shared" si="2"/>
        <v>2020</v>
      </c>
      <c r="C50" s="8">
        <f t="shared" si="3"/>
        <v>2</v>
      </c>
      <c r="D50" s="85">
        <v>43878</v>
      </c>
      <c r="E50" s="31"/>
      <c r="F50" s="31">
        <v>50000</v>
      </c>
      <c r="G50" s="31"/>
      <c r="H50" s="31"/>
      <c r="I50" s="31" t="s">
        <v>83</v>
      </c>
      <c r="J50" s="5" t="s">
        <v>119</v>
      </c>
      <c r="K50" s="8"/>
    </row>
    <row r="51" spans="1:11" x14ac:dyDescent="0.2">
      <c r="A51" s="8">
        <v>50</v>
      </c>
      <c r="B51" s="8">
        <f t="shared" si="2"/>
        <v>2020</v>
      </c>
      <c r="C51" s="8">
        <f t="shared" si="3"/>
        <v>2</v>
      </c>
      <c r="D51" s="85">
        <v>43876</v>
      </c>
      <c r="E51" s="31"/>
      <c r="F51" s="31">
        <v>50000</v>
      </c>
      <c r="G51" s="31"/>
      <c r="H51" s="31"/>
      <c r="I51" s="31" t="s">
        <v>99</v>
      </c>
      <c r="J51" s="5" t="s">
        <v>131</v>
      </c>
      <c r="K51" s="8"/>
    </row>
    <row r="52" spans="1:11" x14ac:dyDescent="0.2">
      <c r="A52" s="8">
        <v>51</v>
      </c>
      <c r="B52" s="8">
        <f t="shared" si="2"/>
        <v>2020</v>
      </c>
      <c r="C52" s="8">
        <f t="shared" si="3"/>
        <v>2</v>
      </c>
      <c r="D52" s="85">
        <v>43876</v>
      </c>
      <c r="E52" s="31"/>
      <c r="F52" s="31">
        <v>50000</v>
      </c>
      <c r="G52" s="31"/>
      <c r="H52" s="31"/>
      <c r="I52" s="31" t="s">
        <v>99</v>
      </c>
      <c r="J52" s="5" t="s">
        <v>132</v>
      </c>
      <c r="K52" s="8"/>
    </row>
    <row r="53" spans="1:11" x14ac:dyDescent="0.2">
      <c r="A53" s="8">
        <v>52</v>
      </c>
      <c r="B53" s="8">
        <f t="shared" si="2"/>
        <v>2020</v>
      </c>
      <c r="C53" s="8">
        <f t="shared" si="3"/>
        <v>2</v>
      </c>
      <c r="D53" s="85">
        <v>43880</v>
      </c>
      <c r="E53" s="31"/>
      <c r="F53" s="35">
        <v>300000</v>
      </c>
      <c r="G53" s="35">
        <v>0</v>
      </c>
      <c r="H53" s="35"/>
      <c r="I53" s="35" t="s">
        <v>92</v>
      </c>
      <c r="J53" s="36" t="s">
        <v>133</v>
      </c>
      <c r="K53" s="56"/>
    </row>
    <row r="54" spans="1:11" x14ac:dyDescent="0.2">
      <c r="A54" s="8">
        <v>53</v>
      </c>
      <c r="B54" s="8">
        <f t="shared" si="2"/>
        <v>2020</v>
      </c>
      <c r="C54" s="8">
        <f t="shared" si="3"/>
        <v>2</v>
      </c>
      <c r="D54" s="85">
        <v>43880</v>
      </c>
      <c r="E54" s="31"/>
      <c r="F54" s="31">
        <v>35000</v>
      </c>
      <c r="G54" s="31"/>
      <c r="H54" s="31"/>
      <c r="I54" s="31" t="s">
        <v>88</v>
      </c>
      <c r="J54" s="5" t="s">
        <v>134</v>
      </c>
      <c r="K54" s="8"/>
    </row>
    <row r="55" spans="1:11" x14ac:dyDescent="0.2">
      <c r="A55" s="8">
        <v>54</v>
      </c>
      <c r="B55" s="8">
        <f t="shared" si="2"/>
        <v>2020</v>
      </c>
      <c r="C55" s="8">
        <f t="shared" si="3"/>
        <v>2</v>
      </c>
      <c r="D55" s="85">
        <v>43880</v>
      </c>
      <c r="E55" s="31"/>
      <c r="F55" s="31">
        <v>72000</v>
      </c>
      <c r="G55" s="31"/>
      <c r="H55" s="31"/>
      <c r="I55" s="31" t="s">
        <v>85</v>
      </c>
      <c r="J55" s="5" t="s">
        <v>135</v>
      </c>
      <c r="K55" s="8"/>
    </row>
    <row r="56" spans="1:11" x14ac:dyDescent="0.2">
      <c r="A56" s="8">
        <v>55</v>
      </c>
      <c r="B56" s="8">
        <f t="shared" si="2"/>
        <v>2020</v>
      </c>
      <c r="C56" s="8">
        <f t="shared" si="3"/>
        <v>2</v>
      </c>
      <c r="D56" s="85">
        <v>43880</v>
      </c>
      <c r="E56" s="31"/>
      <c r="F56" s="35">
        <v>50000</v>
      </c>
      <c r="G56" s="35">
        <v>0</v>
      </c>
      <c r="H56" s="35"/>
      <c r="I56" s="35" t="s">
        <v>92</v>
      </c>
      <c r="J56" s="36" t="s">
        <v>136</v>
      </c>
      <c r="K56" s="56"/>
    </row>
    <row r="57" spans="1:11" x14ac:dyDescent="0.2">
      <c r="A57" s="8">
        <v>56</v>
      </c>
      <c r="B57" s="8">
        <f t="shared" si="2"/>
        <v>2020</v>
      </c>
      <c r="C57" s="8">
        <f t="shared" si="3"/>
        <v>2</v>
      </c>
      <c r="D57" s="85">
        <v>43884</v>
      </c>
      <c r="E57" s="31"/>
      <c r="F57" s="31">
        <v>100000</v>
      </c>
      <c r="G57" s="31"/>
      <c r="H57" s="31"/>
      <c r="I57" s="31" t="s">
        <v>88</v>
      </c>
      <c r="J57" s="5" t="s">
        <v>137</v>
      </c>
      <c r="K57" s="8"/>
    </row>
    <row r="58" spans="1:11" x14ac:dyDescent="0.2">
      <c r="A58" s="8">
        <v>57</v>
      </c>
      <c r="B58" s="8">
        <f t="shared" si="2"/>
        <v>2020</v>
      </c>
      <c r="C58" s="8">
        <f t="shared" si="3"/>
        <v>2</v>
      </c>
      <c r="D58" s="85">
        <v>43885</v>
      </c>
      <c r="E58" s="31"/>
      <c r="F58" s="31">
        <v>42000</v>
      </c>
      <c r="G58" s="31"/>
      <c r="H58" s="31"/>
      <c r="I58" s="31" t="s">
        <v>85</v>
      </c>
      <c r="J58" s="5" t="s">
        <v>138</v>
      </c>
      <c r="K58" s="8"/>
    </row>
    <row r="59" spans="1:11" x14ac:dyDescent="0.2">
      <c r="A59" s="8">
        <v>58</v>
      </c>
      <c r="B59" s="8">
        <f t="shared" si="2"/>
        <v>2020</v>
      </c>
      <c r="C59" s="8">
        <f t="shared" si="3"/>
        <v>2</v>
      </c>
      <c r="D59" s="85">
        <v>43884</v>
      </c>
      <c r="E59" s="31"/>
      <c r="F59" s="31">
        <v>10000</v>
      </c>
      <c r="G59" s="31"/>
      <c r="H59" s="31"/>
      <c r="I59" s="31" t="s">
        <v>99</v>
      </c>
      <c r="J59" s="5" t="s">
        <v>139</v>
      </c>
      <c r="K59" s="8"/>
    </row>
    <row r="60" spans="1:11" x14ac:dyDescent="0.2">
      <c r="A60" s="8">
        <v>59</v>
      </c>
      <c r="B60" s="8">
        <f t="shared" si="2"/>
        <v>2020</v>
      </c>
      <c r="C60" s="8">
        <f t="shared" si="3"/>
        <v>2</v>
      </c>
      <c r="D60" s="85">
        <v>43866</v>
      </c>
      <c r="E60" s="31"/>
      <c r="F60" s="31">
        <v>175000</v>
      </c>
      <c r="G60" s="31"/>
      <c r="H60" s="31"/>
      <c r="I60" s="31" t="s">
        <v>140</v>
      </c>
      <c r="J60" s="5" t="s">
        <v>141</v>
      </c>
      <c r="K60" s="8"/>
    </row>
    <row r="61" spans="1:11" x14ac:dyDescent="0.2">
      <c r="A61" s="8">
        <v>60</v>
      </c>
      <c r="B61" s="8">
        <f t="shared" si="2"/>
        <v>2020</v>
      </c>
      <c r="C61" s="8">
        <f t="shared" si="3"/>
        <v>2</v>
      </c>
      <c r="D61" s="85">
        <v>43887</v>
      </c>
      <c r="E61" s="31"/>
      <c r="F61" s="31">
        <v>135000</v>
      </c>
      <c r="G61" s="31"/>
      <c r="H61" s="31"/>
      <c r="I61" s="31" t="s">
        <v>140</v>
      </c>
      <c r="J61" s="5" t="s">
        <v>142</v>
      </c>
      <c r="K61" s="8"/>
    </row>
    <row r="62" spans="1:11" x14ac:dyDescent="0.2">
      <c r="A62" s="8">
        <v>61</v>
      </c>
      <c r="B62" s="8">
        <f t="shared" si="2"/>
        <v>2020</v>
      </c>
      <c r="C62" s="8">
        <f t="shared" si="3"/>
        <v>2</v>
      </c>
      <c r="D62" s="85">
        <v>43889</v>
      </c>
      <c r="E62" s="31"/>
      <c r="F62" s="31">
        <v>50000</v>
      </c>
      <c r="G62" s="31"/>
      <c r="H62" s="31"/>
      <c r="I62" s="31" t="s">
        <v>83</v>
      </c>
      <c r="J62" s="5" t="s">
        <v>119</v>
      </c>
      <c r="K62" s="8"/>
    </row>
    <row r="63" spans="1:11" x14ac:dyDescent="0.2">
      <c r="A63" s="8">
        <v>62</v>
      </c>
      <c r="B63" s="8">
        <f t="shared" si="2"/>
        <v>2020</v>
      </c>
      <c r="C63" s="8">
        <f t="shared" si="3"/>
        <v>2</v>
      </c>
      <c r="D63" s="85">
        <v>43890</v>
      </c>
      <c r="E63" s="31"/>
      <c r="F63" s="31">
        <v>50000</v>
      </c>
      <c r="G63" s="31"/>
      <c r="H63" s="31"/>
      <c r="I63" s="31" t="s">
        <v>99</v>
      </c>
      <c r="J63" s="5" t="s">
        <v>143</v>
      </c>
      <c r="K63" s="8"/>
    </row>
    <row r="64" spans="1:11" x14ac:dyDescent="0.2">
      <c r="A64" s="8">
        <v>63</v>
      </c>
      <c r="B64" s="8">
        <f t="shared" si="2"/>
        <v>2020</v>
      </c>
      <c r="C64" s="8">
        <f t="shared" si="3"/>
        <v>2</v>
      </c>
      <c r="D64" s="85">
        <v>43890</v>
      </c>
      <c r="E64" s="31"/>
      <c r="F64" s="35">
        <v>60000</v>
      </c>
      <c r="G64" s="35">
        <v>0</v>
      </c>
      <c r="H64" s="35"/>
      <c r="I64" s="35" t="s">
        <v>92</v>
      </c>
      <c r="J64" s="36" t="s">
        <v>144</v>
      </c>
      <c r="K64" s="56"/>
    </row>
    <row r="65" spans="1:11" x14ac:dyDescent="0.2">
      <c r="A65" s="8">
        <v>64</v>
      </c>
      <c r="B65" s="8">
        <f t="shared" si="2"/>
        <v>2020</v>
      </c>
      <c r="C65" s="8">
        <f t="shared" si="3"/>
        <v>2</v>
      </c>
      <c r="D65" s="85">
        <v>43890</v>
      </c>
      <c r="E65" s="31"/>
      <c r="F65" s="35">
        <v>200000</v>
      </c>
      <c r="G65" s="35">
        <v>0</v>
      </c>
      <c r="H65" s="35"/>
      <c r="I65" s="35" t="s">
        <v>92</v>
      </c>
      <c r="J65" s="36" t="s">
        <v>133</v>
      </c>
      <c r="K65" s="35"/>
    </row>
    <row r="66" spans="1:11" x14ac:dyDescent="0.2">
      <c r="A66" s="8">
        <v>65</v>
      </c>
      <c r="B66" s="8">
        <f t="shared" si="2"/>
        <v>2020</v>
      </c>
      <c r="C66" s="8">
        <f t="shared" si="3"/>
        <v>3</v>
      </c>
      <c r="D66" s="85">
        <v>43892</v>
      </c>
      <c r="E66" s="31"/>
      <c r="F66" s="31">
        <v>100000</v>
      </c>
      <c r="G66" s="31"/>
      <c r="H66" s="31"/>
      <c r="I66" s="31" t="s">
        <v>83</v>
      </c>
      <c r="J66" s="5" t="s">
        <v>119</v>
      </c>
      <c r="K66" s="8"/>
    </row>
    <row r="67" spans="1:11" x14ac:dyDescent="0.2">
      <c r="A67" s="8">
        <v>66</v>
      </c>
      <c r="B67" s="8">
        <f t="shared" si="2"/>
        <v>2020</v>
      </c>
      <c r="C67" s="8">
        <f t="shared" si="3"/>
        <v>3</v>
      </c>
      <c r="D67" s="85">
        <v>43891</v>
      </c>
      <c r="E67" s="31"/>
      <c r="F67" s="31">
        <v>10000</v>
      </c>
      <c r="G67" s="31"/>
      <c r="H67" s="31"/>
      <c r="I67" s="31" t="s">
        <v>85</v>
      </c>
      <c r="J67" s="5" t="s">
        <v>145</v>
      </c>
      <c r="K67" s="8"/>
    </row>
    <row r="68" spans="1:11" x14ac:dyDescent="0.2">
      <c r="A68" s="8">
        <v>67</v>
      </c>
      <c r="B68" s="8">
        <f t="shared" si="2"/>
        <v>2020</v>
      </c>
      <c r="C68" s="8">
        <f t="shared" si="3"/>
        <v>3</v>
      </c>
      <c r="D68" s="85">
        <v>43892</v>
      </c>
      <c r="E68" s="31"/>
      <c r="F68" s="31">
        <v>10000</v>
      </c>
      <c r="G68" s="31"/>
      <c r="H68" s="31"/>
      <c r="I68" s="31" t="s">
        <v>99</v>
      </c>
      <c r="J68" s="5" t="s">
        <v>146</v>
      </c>
      <c r="K68" s="8"/>
    </row>
    <row r="69" spans="1:11" x14ac:dyDescent="0.2">
      <c r="A69" s="8">
        <v>68</v>
      </c>
      <c r="B69" s="8">
        <f t="shared" si="2"/>
        <v>2020</v>
      </c>
      <c r="C69" s="8">
        <f t="shared" si="3"/>
        <v>3</v>
      </c>
      <c r="D69" s="85">
        <v>43893</v>
      </c>
      <c r="E69" s="31"/>
      <c r="F69" s="31">
        <v>54000</v>
      </c>
      <c r="G69" s="31"/>
      <c r="H69" s="31"/>
      <c r="I69" s="31" t="s">
        <v>99</v>
      </c>
      <c r="J69" s="5" t="s">
        <v>147</v>
      </c>
      <c r="K69" s="8"/>
    </row>
    <row r="70" spans="1:11" x14ac:dyDescent="0.2">
      <c r="A70" s="8">
        <v>69</v>
      </c>
      <c r="B70" s="8">
        <f t="shared" ref="B70:B133" si="4">YEAR(D70)</f>
        <v>2020</v>
      </c>
      <c r="C70" s="8">
        <f t="shared" ref="C70:C133" si="5">MONTH(D70)</f>
        <v>3</v>
      </c>
      <c r="D70" s="85">
        <v>43893</v>
      </c>
      <c r="E70" s="31"/>
      <c r="F70" s="31">
        <v>20000</v>
      </c>
      <c r="G70" s="31"/>
      <c r="H70" s="31"/>
      <c r="I70" s="31" t="s">
        <v>96</v>
      </c>
      <c r="J70" s="5" t="s">
        <v>148</v>
      </c>
      <c r="K70" s="8"/>
    </row>
    <row r="71" spans="1:11" x14ac:dyDescent="0.2">
      <c r="A71" s="8">
        <v>70</v>
      </c>
      <c r="B71" s="8">
        <f t="shared" si="4"/>
        <v>2020</v>
      </c>
      <c r="C71" s="8">
        <f t="shared" si="5"/>
        <v>3</v>
      </c>
      <c r="D71" s="85">
        <v>43895</v>
      </c>
      <c r="E71" s="31"/>
      <c r="F71" s="31">
        <v>16000</v>
      </c>
      <c r="G71" s="31"/>
      <c r="H71" s="31"/>
      <c r="I71" s="31" t="s">
        <v>96</v>
      </c>
      <c r="J71" s="5" t="s">
        <v>149</v>
      </c>
      <c r="K71" s="8"/>
    </row>
    <row r="72" spans="1:11" x14ac:dyDescent="0.2">
      <c r="A72" s="8">
        <v>71</v>
      </c>
      <c r="B72" s="8">
        <f t="shared" si="4"/>
        <v>2020</v>
      </c>
      <c r="C72" s="8">
        <f t="shared" si="5"/>
        <v>3</v>
      </c>
      <c r="D72" s="85">
        <v>43895</v>
      </c>
      <c r="E72" s="31"/>
      <c r="F72" s="31">
        <v>10000</v>
      </c>
      <c r="G72" s="31"/>
      <c r="H72" s="31"/>
      <c r="I72" s="31" t="s">
        <v>88</v>
      </c>
      <c r="J72" s="5" t="s">
        <v>91</v>
      </c>
      <c r="K72" s="8"/>
    </row>
    <row r="73" spans="1:11" x14ac:dyDescent="0.2">
      <c r="A73" s="8">
        <v>72</v>
      </c>
      <c r="B73" s="8">
        <f t="shared" si="4"/>
        <v>2020</v>
      </c>
      <c r="C73" s="8">
        <f t="shared" si="5"/>
        <v>3</v>
      </c>
      <c r="D73" s="85">
        <v>43895</v>
      </c>
      <c r="E73" s="31"/>
      <c r="F73" s="31">
        <v>50000</v>
      </c>
      <c r="G73" s="31">
        <v>0</v>
      </c>
      <c r="H73" s="31"/>
      <c r="I73" s="35" t="s">
        <v>92</v>
      </c>
      <c r="J73" s="5" t="s">
        <v>150</v>
      </c>
      <c r="K73" s="8"/>
    </row>
    <row r="74" spans="1:11" x14ac:dyDescent="0.2">
      <c r="A74" s="8">
        <v>73</v>
      </c>
      <c r="B74" s="8">
        <f t="shared" si="4"/>
        <v>2020</v>
      </c>
      <c r="C74" s="8">
        <f t="shared" si="5"/>
        <v>3</v>
      </c>
      <c r="D74" s="85">
        <v>43895</v>
      </c>
      <c r="E74" s="31"/>
      <c r="F74" s="31">
        <v>100000</v>
      </c>
      <c r="G74" s="31"/>
      <c r="H74" s="31"/>
      <c r="I74" s="31" t="s">
        <v>88</v>
      </c>
      <c r="J74" s="5" t="s">
        <v>137</v>
      </c>
      <c r="K74" s="8"/>
    </row>
    <row r="75" spans="1:11" x14ac:dyDescent="0.2">
      <c r="A75" s="8">
        <v>74</v>
      </c>
      <c r="B75" s="8">
        <f t="shared" si="4"/>
        <v>2020</v>
      </c>
      <c r="C75" s="8">
        <f t="shared" si="5"/>
        <v>3</v>
      </c>
      <c r="D75" s="85">
        <v>43895</v>
      </c>
      <c r="E75" s="31"/>
      <c r="F75" s="31">
        <v>10000</v>
      </c>
      <c r="G75" s="31"/>
      <c r="H75" s="31"/>
      <c r="I75" s="31" t="s">
        <v>88</v>
      </c>
      <c r="J75" s="5" t="s">
        <v>151</v>
      </c>
      <c r="K75" s="8"/>
    </row>
    <row r="76" spans="1:11" x14ac:dyDescent="0.2">
      <c r="A76" s="8">
        <v>75</v>
      </c>
      <c r="B76" s="8">
        <f t="shared" si="4"/>
        <v>2020</v>
      </c>
      <c r="C76" s="8">
        <f t="shared" si="5"/>
        <v>3</v>
      </c>
      <c r="D76" s="85">
        <v>43898</v>
      </c>
      <c r="E76" s="31"/>
      <c r="F76" s="31">
        <v>25000</v>
      </c>
      <c r="G76" s="31"/>
      <c r="H76" s="31"/>
      <c r="I76" s="31" t="s">
        <v>99</v>
      </c>
      <c r="J76" s="5" t="s">
        <v>120</v>
      </c>
      <c r="K76" s="8"/>
    </row>
    <row r="77" spans="1:11" x14ac:dyDescent="0.2">
      <c r="A77" s="8">
        <v>76</v>
      </c>
      <c r="B77" s="8">
        <f t="shared" si="4"/>
        <v>2020</v>
      </c>
      <c r="C77" s="8">
        <f t="shared" si="5"/>
        <v>3</v>
      </c>
      <c r="D77" s="85">
        <v>43902</v>
      </c>
      <c r="E77" s="31"/>
      <c r="F77" s="31">
        <v>46000</v>
      </c>
      <c r="G77" s="31"/>
      <c r="H77" s="31"/>
      <c r="I77" s="31" t="s">
        <v>85</v>
      </c>
      <c r="J77" s="5" t="s">
        <v>152</v>
      </c>
      <c r="K77" s="8"/>
    </row>
    <row r="78" spans="1:11" x14ac:dyDescent="0.2">
      <c r="A78" s="8">
        <v>77</v>
      </c>
      <c r="B78" s="8">
        <f t="shared" si="4"/>
        <v>2020</v>
      </c>
      <c r="C78" s="8">
        <f t="shared" si="5"/>
        <v>3</v>
      </c>
      <c r="D78" s="85">
        <v>43902</v>
      </c>
      <c r="E78" s="31"/>
      <c r="F78" s="31">
        <v>30000</v>
      </c>
      <c r="G78" s="31"/>
      <c r="H78" s="31"/>
      <c r="I78" s="31" t="s">
        <v>88</v>
      </c>
      <c r="J78" s="5" t="s">
        <v>153</v>
      </c>
      <c r="K78" s="8"/>
    </row>
    <row r="79" spans="1:11" x14ac:dyDescent="0.2">
      <c r="A79" s="8">
        <v>78</v>
      </c>
      <c r="B79" s="8">
        <f t="shared" si="4"/>
        <v>2020</v>
      </c>
      <c r="C79" s="8">
        <f t="shared" si="5"/>
        <v>3</v>
      </c>
      <c r="D79" s="85">
        <v>43902</v>
      </c>
      <c r="E79" s="31"/>
      <c r="F79" s="31">
        <v>12000</v>
      </c>
      <c r="G79" s="31"/>
      <c r="H79" s="31"/>
      <c r="I79" s="31" t="s">
        <v>85</v>
      </c>
      <c r="J79" s="5" t="s">
        <v>154</v>
      </c>
      <c r="K79" s="8"/>
    </row>
    <row r="80" spans="1:11" x14ac:dyDescent="0.2">
      <c r="A80" s="8">
        <v>79</v>
      </c>
      <c r="B80" s="8">
        <f t="shared" si="4"/>
        <v>2020</v>
      </c>
      <c r="C80" s="8">
        <f t="shared" si="5"/>
        <v>3</v>
      </c>
      <c r="D80" s="85">
        <v>43902</v>
      </c>
      <c r="E80" s="31"/>
      <c r="F80" s="31">
        <v>5200</v>
      </c>
      <c r="G80" s="31"/>
      <c r="H80" s="31"/>
      <c r="I80" s="31" t="s">
        <v>96</v>
      </c>
      <c r="J80" s="5" t="s">
        <v>149</v>
      </c>
      <c r="K80" s="8"/>
    </row>
    <row r="81" spans="1:11" x14ac:dyDescent="0.2">
      <c r="A81" s="8">
        <v>80</v>
      </c>
      <c r="B81" s="8">
        <f t="shared" si="4"/>
        <v>2020</v>
      </c>
      <c r="C81" s="8">
        <f t="shared" si="5"/>
        <v>3</v>
      </c>
      <c r="D81" s="85">
        <v>43902</v>
      </c>
      <c r="E81" s="31"/>
      <c r="F81" s="31">
        <v>100000</v>
      </c>
      <c r="G81" s="31"/>
      <c r="H81" s="31"/>
      <c r="I81" s="31" t="s">
        <v>83</v>
      </c>
      <c r="J81" s="5" t="s">
        <v>119</v>
      </c>
      <c r="K81" s="8"/>
    </row>
    <row r="82" spans="1:11" x14ac:dyDescent="0.2">
      <c r="A82" s="8">
        <v>81</v>
      </c>
      <c r="B82" s="8">
        <f t="shared" si="4"/>
        <v>2020</v>
      </c>
      <c r="C82" s="8">
        <f t="shared" si="5"/>
        <v>3</v>
      </c>
      <c r="D82" s="85">
        <v>43903</v>
      </c>
      <c r="E82" s="31"/>
      <c r="F82" s="31">
        <v>40000</v>
      </c>
      <c r="G82" s="31"/>
      <c r="H82" s="31"/>
      <c r="I82" s="31" t="s">
        <v>85</v>
      </c>
      <c r="J82" s="5" t="s">
        <v>155</v>
      </c>
      <c r="K82" s="8"/>
    </row>
    <row r="83" spans="1:11" x14ac:dyDescent="0.2">
      <c r="A83" s="8">
        <v>82</v>
      </c>
      <c r="B83" s="8">
        <f t="shared" si="4"/>
        <v>2020</v>
      </c>
      <c r="C83" s="8">
        <f t="shared" si="5"/>
        <v>3</v>
      </c>
      <c r="D83" s="85">
        <v>43903</v>
      </c>
      <c r="E83" s="31"/>
      <c r="F83" s="31">
        <v>109000</v>
      </c>
      <c r="G83" s="31"/>
      <c r="H83" s="31"/>
      <c r="I83" s="31" t="s">
        <v>140</v>
      </c>
      <c r="J83" s="5" t="s">
        <v>156</v>
      </c>
      <c r="K83" s="8"/>
    </row>
    <row r="84" spans="1:11" x14ac:dyDescent="0.2">
      <c r="A84" s="8">
        <v>83</v>
      </c>
      <c r="B84" s="8">
        <f t="shared" si="4"/>
        <v>2020</v>
      </c>
      <c r="C84" s="8">
        <f t="shared" si="5"/>
        <v>3</v>
      </c>
      <c r="D84" s="85">
        <v>43903</v>
      </c>
      <c r="E84" s="31"/>
      <c r="F84" s="31">
        <v>100000</v>
      </c>
      <c r="G84" s="31">
        <v>0</v>
      </c>
      <c r="H84" s="31"/>
      <c r="I84" s="35" t="s">
        <v>92</v>
      </c>
      <c r="J84" s="5" t="s">
        <v>157</v>
      </c>
      <c r="K84" s="8"/>
    </row>
    <row r="85" spans="1:11" x14ac:dyDescent="0.2">
      <c r="A85" s="8">
        <v>84</v>
      </c>
      <c r="B85" s="8">
        <f t="shared" si="4"/>
        <v>2020</v>
      </c>
      <c r="C85" s="8">
        <f t="shared" si="5"/>
        <v>3</v>
      </c>
      <c r="D85" s="85">
        <v>43903</v>
      </c>
      <c r="E85" s="31"/>
      <c r="F85" s="31">
        <v>20000</v>
      </c>
      <c r="G85" s="31"/>
      <c r="H85" s="31"/>
      <c r="I85" s="31" t="s">
        <v>85</v>
      </c>
      <c r="J85" s="5" t="s">
        <v>158</v>
      </c>
      <c r="K85" s="8"/>
    </row>
    <row r="86" spans="1:11" x14ac:dyDescent="0.2">
      <c r="A86" s="8">
        <v>85</v>
      </c>
      <c r="B86" s="8">
        <f t="shared" si="4"/>
        <v>2020</v>
      </c>
      <c r="C86" s="8">
        <f t="shared" si="5"/>
        <v>3</v>
      </c>
      <c r="D86" s="85">
        <v>43903</v>
      </c>
      <c r="E86" s="31"/>
      <c r="F86" s="31">
        <v>500000</v>
      </c>
      <c r="G86" s="31">
        <v>0</v>
      </c>
      <c r="H86" s="31"/>
      <c r="I86" s="35" t="s">
        <v>92</v>
      </c>
      <c r="J86" s="5" t="s">
        <v>159</v>
      </c>
      <c r="K86" s="8"/>
    </row>
    <row r="87" spans="1:11" x14ac:dyDescent="0.2">
      <c r="A87" s="8">
        <v>86</v>
      </c>
      <c r="B87" s="8">
        <f t="shared" si="4"/>
        <v>2020</v>
      </c>
      <c r="C87" s="8">
        <f t="shared" si="5"/>
        <v>3</v>
      </c>
      <c r="D87" s="85">
        <v>43903</v>
      </c>
      <c r="E87" s="31"/>
      <c r="F87" s="31">
        <v>55000</v>
      </c>
      <c r="G87" s="31"/>
      <c r="H87" s="31"/>
      <c r="I87" s="31" t="s">
        <v>99</v>
      </c>
      <c r="J87" s="5" t="s">
        <v>160</v>
      </c>
      <c r="K87" s="8"/>
    </row>
    <row r="88" spans="1:11" x14ac:dyDescent="0.2">
      <c r="A88" s="8">
        <v>87</v>
      </c>
      <c r="B88" s="8">
        <f t="shared" si="4"/>
        <v>2020</v>
      </c>
      <c r="C88" s="8">
        <f t="shared" si="5"/>
        <v>3</v>
      </c>
      <c r="D88" s="85">
        <v>43904</v>
      </c>
      <c r="E88" s="31"/>
      <c r="F88" s="31">
        <v>16000</v>
      </c>
      <c r="G88" s="31"/>
      <c r="H88" s="31"/>
      <c r="I88" s="31" t="s">
        <v>99</v>
      </c>
      <c r="J88" s="5" t="s">
        <v>161</v>
      </c>
      <c r="K88" s="8"/>
    </row>
    <row r="89" spans="1:11" x14ac:dyDescent="0.2">
      <c r="A89" s="8">
        <v>88</v>
      </c>
      <c r="B89" s="8">
        <f t="shared" si="4"/>
        <v>2020</v>
      </c>
      <c r="C89" s="8">
        <f t="shared" si="5"/>
        <v>3</v>
      </c>
      <c r="D89" s="85">
        <v>43904</v>
      </c>
      <c r="E89" s="31"/>
      <c r="F89" s="31">
        <v>10000</v>
      </c>
      <c r="G89" s="31"/>
      <c r="H89" s="31"/>
      <c r="I89" s="31" t="s">
        <v>96</v>
      </c>
      <c r="J89" s="5" t="s">
        <v>97</v>
      </c>
      <c r="K89" s="8"/>
    </row>
    <row r="90" spans="1:11" x14ac:dyDescent="0.2">
      <c r="A90" s="8">
        <v>89</v>
      </c>
      <c r="B90" s="8">
        <f t="shared" si="4"/>
        <v>2020</v>
      </c>
      <c r="C90" s="8">
        <f t="shared" si="5"/>
        <v>3</v>
      </c>
      <c r="D90" s="85">
        <v>43904</v>
      </c>
      <c r="E90" s="31"/>
      <c r="F90" s="31">
        <v>2500</v>
      </c>
      <c r="G90" s="31"/>
      <c r="H90" s="31"/>
      <c r="I90" s="31" t="s">
        <v>85</v>
      </c>
      <c r="J90" s="5" t="s">
        <v>162</v>
      </c>
      <c r="K90" s="8"/>
    </row>
    <row r="91" spans="1:11" x14ac:dyDescent="0.2">
      <c r="A91" s="8">
        <v>90</v>
      </c>
      <c r="B91" s="8">
        <f t="shared" si="4"/>
        <v>2020</v>
      </c>
      <c r="C91" s="8">
        <f t="shared" si="5"/>
        <v>3</v>
      </c>
      <c r="D91" s="85">
        <v>43905</v>
      </c>
      <c r="E91" s="31">
        <v>58000</v>
      </c>
      <c r="F91" s="31"/>
      <c r="G91" s="31"/>
      <c r="H91" s="31"/>
      <c r="I91" s="31" t="s">
        <v>163</v>
      </c>
      <c r="J91" s="31" t="s">
        <v>164</v>
      </c>
      <c r="K91" s="31"/>
    </row>
    <row r="92" spans="1:11" x14ac:dyDescent="0.2">
      <c r="A92" s="8">
        <v>91</v>
      </c>
      <c r="B92" s="8">
        <f t="shared" si="4"/>
        <v>2020</v>
      </c>
      <c r="C92" s="8">
        <f t="shared" si="5"/>
        <v>3</v>
      </c>
      <c r="D92" s="85">
        <v>43905</v>
      </c>
      <c r="E92" s="31"/>
      <c r="F92" s="31">
        <v>200000</v>
      </c>
      <c r="G92" s="31"/>
      <c r="H92" s="31"/>
      <c r="I92" s="31" t="s">
        <v>140</v>
      </c>
      <c r="J92" s="5" t="s">
        <v>165</v>
      </c>
      <c r="K92" s="8"/>
    </row>
    <row r="93" spans="1:11" x14ac:dyDescent="0.2">
      <c r="A93" s="8">
        <v>92</v>
      </c>
      <c r="B93" s="8">
        <f t="shared" si="4"/>
        <v>2020</v>
      </c>
      <c r="C93" s="8">
        <f t="shared" si="5"/>
        <v>3</v>
      </c>
      <c r="D93" s="85">
        <v>43905</v>
      </c>
      <c r="E93" s="31"/>
      <c r="F93" s="31">
        <v>8000</v>
      </c>
      <c r="G93" s="31"/>
      <c r="H93" s="31"/>
      <c r="I93" s="31" t="s">
        <v>99</v>
      </c>
      <c r="J93" s="5" t="s">
        <v>120</v>
      </c>
      <c r="K93" s="8"/>
    </row>
    <row r="94" spans="1:11" x14ac:dyDescent="0.2">
      <c r="A94" s="8">
        <v>93</v>
      </c>
      <c r="B94" s="8">
        <f t="shared" si="4"/>
        <v>2020</v>
      </c>
      <c r="C94" s="8">
        <f t="shared" si="5"/>
        <v>3</v>
      </c>
      <c r="D94" s="85">
        <v>43905</v>
      </c>
      <c r="E94" s="31"/>
      <c r="F94" s="31">
        <v>7000</v>
      </c>
      <c r="G94" s="31"/>
      <c r="H94" s="31"/>
      <c r="I94" s="31" t="s">
        <v>88</v>
      </c>
      <c r="J94" s="5" t="s">
        <v>166</v>
      </c>
      <c r="K94" s="8"/>
    </row>
    <row r="95" spans="1:11" x14ac:dyDescent="0.2">
      <c r="A95" s="8">
        <v>94</v>
      </c>
      <c r="B95" s="8">
        <f t="shared" si="4"/>
        <v>2020</v>
      </c>
      <c r="C95" s="8">
        <f t="shared" si="5"/>
        <v>3</v>
      </c>
      <c r="D95" s="85">
        <v>43906</v>
      </c>
      <c r="E95" s="31"/>
      <c r="F95" s="31">
        <v>5000</v>
      </c>
      <c r="G95" s="31"/>
      <c r="H95" s="31"/>
      <c r="I95" s="31" t="s">
        <v>88</v>
      </c>
      <c r="J95" s="5" t="s">
        <v>167</v>
      </c>
      <c r="K95" s="8"/>
    </row>
    <row r="96" spans="1:11" x14ac:dyDescent="0.2">
      <c r="A96" s="8">
        <v>95</v>
      </c>
      <c r="B96" s="8">
        <f t="shared" si="4"/>
        <v>2020</v>
      </c>
      <c r="C96" s="8">
        <f t="shared" si="5"/>
        <v>3</v>
      </c>
      <c r="D96" s="85">
        <v>43906</v>
      </c>
      <c r="E96" s="31"/>
      <c r="F96" s="31">
        <v>7000</v>
      </c>
      <c r="G96" s="31"/>
      <c r="H96" s="31"/>
      <c r="I96" s="31" t="s">
        <v>88</v>
      </c>
      <c r="J96" s="5" t="s">
        <v>168</v>
      </c>
      <c r="K96" s="8"/>
    </row>
    <row r="97" spans="1:11" x14ac:dyDescent="0.2">
      <c r="A97" s="8">
        <v>96</v>
      </c>
      <c r="B97" s="8">
        <f t="shared" si="4"/>
        <v>2020</v>
      </c>
      <c r="C97" s="8">
        <f t="shared" si="5"/>
        <v>3</v>
      </c>
      <c r="D97" s="85">
        <v>43906</v>
      </c>
      <c r="E97" s="31"/>
      <c r="F97" s="31">
        <v>240000</v>
      </c>
      <c r="G97" s="31"/>
      <c r="H97" s="31"/>
      <c r="I97" s="31" t="s">
        <v>140</v>
      </c>
      <c r="J97" s="5" t="s">
        <v>169</v>
      </c>
      <c r="K97" s="8"/>
    </row>
    <row r="98" spans="1:11" x14ac:dyDescent="0.2">
      <c r="A98" s="8">
        <v>97</v>
      </c>
      <c r="B98" s="8">
        <f t="shared" si="4"/>
        <v>2020</v>
      </c>
      <c r="C98" s="8">
        <f t="shared" si="5"/>
        <v>3</v>
      </c>
      <c r="D98" s="85">
        <v>43906</v>
      </c>
      <c r="E98" s="31"/>
      <c r="F98" s="31">
        <v>93000</v>
      </c>
      <c r="G98" s="31"/>
      <c r="H98" s="31"/>
      <c r="I98" s="31" t="s">
        <v>88</v>
      </c>
      <c r="J98" s="5" t="s">
        <v>137</v>
      </c>
      <c r="K98" s="8"/>
    </row>
    <row r="99" spans="1:11" x14ac:dyDescent="0.2">
      <c r="A99" s="8">
        <v>98</v>
      </c>
      <c r="B99" s="8">
        <f t="shared" si="4"/>
        <v>2020</v>
      </c>
      <c r="C99" s="8">
        <f t="shared" si="5"/>
        <v>3</v>
      </c>
      <c r="D99" s="85">
        <v>43907</v>
      </c>
      <c r="E99" s="31"/>
      <c r="F99" s="31">
        <v>11000</v>
      </c>
      <c r="G99" s="31"/>
      <c r="H99" s="31"/>
      <c r="I99" s="31" t="s">
        <v>88</v>
      </c>
      <c r="J99" s="5" t="s">
        <v>170</v>
      </c>
      <c r="K99" s="8"/>
    </row>
    <row r="100" spans="1:11" x14ac:dyDescent="0.2">
      <c r="A100" s="8">
        <v>99</v>
      </c>
      <c r="B100" s="8">
        <f t="shared" si="4"/>
        <v>2020</v>
      </c>
      <c r="C100" s="8">
        <f t="shared" si="5"/>
        <v>3</v>
      </c>
      <c r="D100" s="85">
        <v>43907</v>
      </c>
      <c r="E100" s="31"/>
      <c r="F100" s="31">
        <v>13000</v>
      </c>
      <c r="G100" s="31"/>
      <c r="H100" s="31"/>
      <c r="I100" s="31" t="s">
        <v>88</v>
      </c>
      <c r="J100" s="5" t="s">
        <v>171</v>
      </c>
      <c r="K100" s="8"/>
    </row>
    <row r="101" spans="1:11" x14ac:dyDescent="0.2">
      <c r="A101" s="8">
        <v>100</v>
      </c>
      <c r="B101" s="8">
        <f t="shared" si="4"/>
        <v>2020</v>
      </c>
      <c r="C101" s="8">
        <f t="shared" si="5"/>
        <v>3</v>
      </c>
      <c r="D101" s="85">
        <v>43907</v>
      </c>
      <c r="E101" s="31"/>
      <c r="F101" s="31">
        <v>4000</v>
      </c>
      <c r="G101" s="31"/>
      <c r="H101" s="31"/>
      <c r="I101" s="31" t="s">
        <v>88</v>
      </c>
      <c r="J101" s="5" t="s">
        <v>172</v>
      </c>
      <c r="K101" s="8"/>
    </row>
    <row r="102" spans="1:11" x14ac:dyDescent="0.2">
      <c r="A102" s="8">
        <v>101</v>
      </c>
      <c r="B102" s="8">
        <f t="shared" si="4"/>
        <v>2020</v>
      </c>
      <c r="C102" s="8">
        <f t="shared" si="5"/>
        <v>3</v>
      </c>
      <c r="D102" s="85">
        <v>43907</v>
      </c>
      <c r="E102" s="31"/>
      <c r="F102" s="31">
        <v>147000</v>
      </c>
      <c r="G102" s="31"/>
      <c r="H102" s="31"/>
      <c r="I102" s="31" t="s">
        <v>85</v>
      </c>
      <c r="J102" s="5" t="s">
        <v>173</v>
      </c>
      <c r="K102" s="8"/>
    </row>
    <row r="103" spans="1:11" x14ac:dyDescent="0.2">
      <c r="A103" s="8">
        <v>102</v>
      </c>
      <c r="B103" s="8">
        <f t="shared" si="4"/>
        <v>2020</v>
      </c>
      <c r="C103" s="8">
        <f t="shared" si="5"/>
        <v>3</v>
      </c>
      <c r="D103" s="85">
        <v>43907</v>
      </c>
      <c r="E103" s="31"/>
      <c r="F103" s="31">
        <v>15000</v>
      </c>
      <c r="G103" s="31"/>
      <c r="H103" s="31"/>
      <c r="I103" s="31" t="s">
        <v>94</v>
      </c>
      <c r="J103" s="5" t="s">
        <v>174</v>
      </c>
      <c r="K103" s="8"/>
    </row>
    <row r="104" spans="1:11" x14ac:dyDescent="0.2">
      <c r="A104" s="8">
        <v>103</v>
      </c>
      <c r="B104" s="8">
        <f t="shared" si="4"/>
        <v>2020</v>
      </c>
      <c r="C104" s="8">
        <f t="shared" si="5"/>
        <v>3</v>
      </c>
      <c r="D104" s="85">
        <v>43907</v>
      </c>
      <c r="E104" s="31"/>
      <c r="F104" s="31">
        <v>10000</v>
      </c>
      <c r="G104" s="31"/>
      <c r="H104" s="31"/>
      <c r="I104" s="31" t="s">
        <v>96</v>
      </c>
      <c r="J104" s="5" t="s">
        <v>97</v>
      </c>
      <c r="K104" s="8"/>
    </row>
    <row r="105" spans="1:11" x14ac:dyDescent="0.2">
      <c r="A105" s="8">
        <v>104</v>
      </c>
      <c r="B105" s="8">
        <f t="shared" si="4"/>
        <v>2020</v>
      </c>
      <c r="C105" s="8">
        <f t="shared" si="5"/>
        <v>3</v>
      </c>
      <c r="D105" s="85">
        <v>43907</v>
      </c>
      <c r="E105" s="31"/>
      <c r="F105" s="31">
        <v>2000</v>
      </c>
      <c r="G105" s="31"/>
      <c r="H105" s="31"/>
      <c r="I105" s="31" t="s">
        <v>85</v>
      </c>
      <c r="J105" s="5" t="s">
        <v>175</v>
      </c>
      <c r="K105" s="8"/>
    </row>
    <row r="106" spans="1:11" x14ac:dyDescent="0.2">
      <c r="A106" s="8">
        <v>105</v>
      </c>
      <c r="B106" s="8">
        <f t="shared" si="4"/>
        <v>2020</v>
      </c>
      <c r="C106" s="8">
        <f t="shared" si="5"/>
        <v>3</v>
      </c>
      <c r="D106" s="85">
        <v>43908</v>
      </c>
      <c r="E106" s="31"/>
      <c r="F106" s="31">
        <v>11500</v>
      </c>
      <c r="G106" s="31"/>
      <c r="H106" s="31"/>
      <c r="I106" s="31" t="s">
        <v>88</v>
      </c>
      <c r="J106" s="5" t="s">
        <v>91</v>
      </c>
      <c r="K106" s="8"/>
    </row>
    <row r="107" spans="1:11" x14ac:dyDescent="0.2">
      <c r="A107" s="8">
        <v>106</v>
      </c>
      <c r="B107" s="8">
        <f t="shared" si="4"/>
        <v>2020</v>
      </c>
      <c r="C107" s="8">
        <f t="shared" si="5"/>
        <v>3</v>
      </c>
      <c r="D107" s="85">
        <v>43908</v>
      </c>
      <c r="E107" s="31"/>
      <c r="F107" s="31">
        <v>20000</v>
      </c>
      <c r="G107" s="31"/>
      <c r="H107" s="31"/>
      <c r="I107" s="31" t="s">
        <v>85</v>
      </c>
      <c r="J107" s="5" t="s">
        <v>176</v>
      </c>
      <c r="K107" s="8"/>
    </row>
    <row r="108" spans="1:11" x14ac:dyDescent="0.2">
      <c r="A108" s="8">
        <v>107</v>
      </c>
      <c r="B108" s="8">
        <f t="shared" si="4"/>
        <v>2020</v>
      </c>
      <c r="C108" s="8">
        <f t="shared" si="5"/>
        <v>3</v>
      </c>
      <c r="D108" s="85">
        <v>43908</v>
      </c>
      <c r="E108" s="31"/>
      <c r="F108" s="31">
        <v>20000</v>
      </c>
      <c r="G108" s="31"/>
      <c r="H108" s="31"/>
      <c r="I108" s="31" t="s">
        <v>94</v>
      </c>
      <c r="J108" s="5" t="s">
        <v>177</v>
      </c>
      <c r="K108" s="8"/>
    </row>
    <row r="109" spans="1:11" x14ac:dyDescent="0.2">
      <c r="A109" s="8">
        <v>108</v>
      </c>
      <c r="B109" s="8">
        <f t="shared" si="4"/>
        <v>2020</v>
      </c>
      <c r="C109" s="8">
        <f t="shared" si="5"/>
        <v>3</v>
      </c>
      <c r="D109" s="85">
        <v>43908</v>
      </c>
      <c r="E109" s="31"/>
      <c r="F109" s="31">
        <v>20000</v>
      </c>
      <c r="G109" s="31"/>
      <c r="H109" s="31"/>
      <c r="I109" s="31" t="s">
        <v>99</v>
      </c>
      <c r="J109" s="5" t="s">
        <v>178</v>
      </c>
      <c r="K109" s="8"/>
    </row>
    <row r="110" spans="1:11" x14ac:dyDescent="0.2">
      <c r="A110" s="8">
        <v>109</v>
      </c>
      <c r="B110" s="8">
        <f t="shared" si="4"/>
        <v>2020</v>
      </c>
      <c r="C110" s="8">
        <f t="shared" si="5"/>
        <v>3</v>
      </c>
      <c r="D110" s="85">
        <v>43908</v>
      </c>
      <c r="E110" s="31"/>
      <c r="F110" s="31">
        <v>5000</v>
      </c>
      <c r="G110" s="31"/>
      <c r="H110" s="31"/>
      <c r="I110" s="31" t="s">
        <v>85</v>
      </c>
      <c r="J110" s="5" t="s">
        <v>179</v>
      </c>
      <c r="K110" s="8"/>
    </row>
    <row r="111" spans="1:11" x14ac:dyDescent="0.2">
      <c r="A111" s="8">
        <v>110</v>
      </c>
      <c r="B111" s="8">
        <f t="shared" si="4"/>
        <v>2020</v>
      </c>
      <c r="C111" s="8">
        <f t="shared" si="5"/>
        <v>3</v>
      </c>
      <c r="D111" s="85">
        <v>43908</v>
      </c>
      <c r="E111" s="31"/>
      <c r="F111" s="31">
        <v>4000</v>
      </c>
      <c r="G111" s="31"/>
      <c r="H111" s="31"/>
      <c r="I111" s="31" t="s">
        <v>85</v>
      </c>
      <c r="J111" s="5" t="s">
        <v>180</v>
      </c>
      <c r="K111" s="8"/>
    </row>
    <row r="112" spans="1:11" x14ac:dyDescent="0.2">
      <c r="A112" s="8">
        <v>111</v>
      </c>
      <c r="B112" s="8">
        <f t="shared" si="4"/>
        <v>2020</v>
      </c>
      <c r="C112" s="8">
        <f t="shared" si="5"/>
        <v>3</v>
      </c>
      <c r="D112" s="85">
        <v>43908</v>
      </c>
      <c r="E112" s="31"/>
      <c r="F112" s="31">
        <v>2000</v>
      </c>
      <c r="G112" s="31"/>
      <c r="H112" s="31"/>
      <c r="I112" s="31" t="s">
        <v>85</v>
      </c>
      <c r="J112" s="5" t="s">
        <v>181</v>
      </c>
      <c r="K112" s="8"/>
    </row>
    <row r="113" spans="1:11" x14ac:dyDescent="0.2">
      <c r="A113" s="8">
        <v>112</v>
      </c>
      <c r="B113" s="8">
        <f t="shared" si="4"/>
        <v>2020</v>
      </c>
      <c r="C113" s="8">
        <f t="shared" si="5"/>
        <v>3</v>
      </c>
      <c r="D113" s="85">
        <v>43909</v>
      </c>
      <c r="E113" s="31"/>
      <c r="F113" s="31">
        <v>50000</v>
      </c>
      <c r="G113" s="31"/>
      <c r="H113" s="31"/>
      <c r="I113" s="31" t="s">
        <v>94</v>
      </c>
      <c r="J113" s="5" t="s">
        <v>182</v>
      </c>
      <c r="K113" s="8"/>
    </row>
    <row r="114" spans="1:11" x14ac:dyDescent="0.2">
      <c r="A114" s="8">
        <v>113</v>
      </c>
      <c r="B114" s="8">
        <f t="shared" si="4"/>
        <v>2020</v>
      </c>
      <c r="C114" s="8">
        <f t="shared" si="5"/>
        <v>3</v>
      </c>
      <c r="D114" s="85">
        <v>43910</v>
      </c>
      <c r="E114" s="31"/>
      <c r="F114" s="31">
        <v>10000</v>
      </c>
      <c r="G114" s="31"/>
      <c r="H114" s="31"/>
      <c r="I114" s="31" t="s">
        <v>94</v>
      </c>
      <c r="J114" s="5" t="s">
        <v>183</v>
      </c>
      <c r="K114" s="8"/>
    </row>
    <row r="115" spans="1:11" x14ac:dyDescent="0.2">
      <c r="A115" s="8">
        <v>114</v>
      </c>
      <c r="B115" s="8">
        <f t="shared" si="4"/>
        <v>2020</v>
      </c>
      <c r="C115" s="8">
        <f t="shared" si="5"/>
        <v>3</v>
      </c>
      <c r="D115" s="85">
        <v>43910</v>
      </c>
      <c r="E115" s="31"/>
      <c r="F115" s="31">
        <v>5000</v>
      </c>
      <c r="G115" s="31"/>
      <c r="H115" s="31"/>
      <c r="I115" s="31" t="s">
        <v>85</v>
      </c>
      <c r="J115" s="5" t="s">
        <v>172</v>
      </c>
      <c r="K115" s="8"/>
    </row>
    <row r="116" spans="1:11" x14ac:dyDescent="0.2">
      <c r="A116" s="8">
        <v>115</v>
      </c>
      <c r="B116" s="8">
        <f t="shared" si="4"/>
        <v>2020</v>
      </c>
      <c r="C116" s="8">
        <f t="shared" si="5"/>
        <v>3</v>
      </c>
      <c r="D116" s="85">
        <v>43910</v>
      </c>
      <c r="E116" s="31"/>
      <c r="F116" s="31">
        <v>118000</v>
      </c>
      <c r="G116" s="31"/>
      <c r="H116" s="31"/>
      <c r="I116" s="31" t="s">
        <v>88</v>
      </c>
      <c r="J116" s="5" t="s">
        <v>137</v>
      </c>
      <c r="K116" s="8"/>
    </row>
    <row r="117" spans="1:11" x14ac:dyDescent="0.2">
      <c r="A117" s="8">
        <v>116</v>
      </c>
      <c r="B117" s="8">
        <f t="shared" si="4"/>
        <v>2020</v>
      </c>
      <c r="C117" s="8">
        <f t="shared" si="5"/>
        <v>3</v>
      </c>
      <c r="D117" s="85">
        <v>43910</v>
      </c>
      <c r="E117" s="31"/>
      <c r="F117" s="31">
        <v>115000</v>
      </c>
      <c r="G117" s="31"/>
      <c r="H117" s="31"/>
      <c r="I117" s="31" t="s">
        <v>85</v>
      </c>
      <c r="J117" s="5" t="s">
        <v>184</v>
      </c>
      <c r="K117" s="8"/>
    </row>
    <row r="118" spans="1:11" x14ac:dyDescent="0.2">
      <c r="A118" s="8">
        <v>117</v>
      </c>
      <c r="B118" s="8">
        <f t="shared" si="4"/>
        <v>2020</v>
      </c>
      <c r="C118" s="8">
        <f t="shared" si="5"/>
        <v>3</v>
      </c>
      <c r="D118" s="85">
        <v>43910</v>
      </c>
      <c r="E118" s="31"/>
      <c r="F118" s="31">
        <v>5200</v>
      </c>
      <c r="G118" s="31"/>
      <c r="H118" s="31"/>
      <c r="I118" s="31" t="s">
        <v>96</v>
      </c>
      <c r="J118" s="5" t="s">
        <v>149</v>
      </c>
      <c r="K118" s="8"/>
    </row>
    <row r="119" spans="1:11" x14ac:dyDescent="0.2">
      <c r="A119" s="8">
        <v>118</v>
      </c>
      <c r="B119" s="8">
        <f t="shared" si="4"/>
        <v>2020</v>
      </c>
      <c r="C119" s="8">
        <f t="shared" si="5"/>
        <v>3</v>
      </c>
      <c r="D119" s="85">
        <v>43910</v>
      </c>
      <c r="E119" s="31"/>
      <c r="F119" s="31">
        <v>80000</v>
      </c>
      <c r="G119" s="31"/>
      <c r="H119" s="31"/>
      <c r="I119" s="31" t="s">
        <v>83</v>
      </c>
      <c r="J119" s="5" t="s">
        <v>119</v>
      </c>
      <c r="K119" s="8"/>
    </row>
    <row r="120" spans="1:11" x14ac:dyDescent="0.2">
      <c r="A120" s="8">
        <v>119</v>
      </c>
      <c r="B120" s="8">
        <f t="shared" si="4"/>
        <v>2020</v>
      </c>
      <c r="C120" s="8">
        <f t="shared" si="5"/>
        <v>3</v>
      </c>
      <c r="D120" s="85">
        <v>43910</v>
      </c>
      <c r="E120" s="31"/>
      <c r="F120" s="31">
        <v>10000</v>
      </c>
      <c r="G120" s="31"/>
      <c r="H120" s="31"/>
      <c r="I120" s="31" t="s">
        <v>88</v>
      </c>
      <c r="J120" s="5" t="s">
        <v>185</v>
      </c>
      <c r="K120" s="8"/>
    </row>
    <row r="121" spans="1:11" x14ac:dyDescent="0.2">
      <c r="A121" s="8">
        <v>120</v>
      </c>
      <c r="B121" s="8">
        <f t="shared" si="4"/>
        <v>2020</v>
      </c>
      <c r="C121" s="8">
        <f t="shared" si="5"/>
        <v>3</v>
      </c>
      <c r="D121" s="85">
        <v>43911</v>
      </c>
      <c r="E121" s="31"/>
      <c r="F121" s="31">
        <v>256000</v>
      </c>
      <c r="G121" s="31"/>
      <c r="H121" s="31"/>
      <c r="I121" s="31" t="s">
        <v>88</v>
      </c>
      <c r="J121" s="5" t="s">
        <v>186</v>
      </c>
      <c r="K121" s="8"/>
    </row>
    <row r="122" spans="1:11" x14ac:dyDescent="0.2">
      <c r="A122" s="8">
        <v>121</v>
      </c>
      <c r="B122" s="8">
        <f t="shared" si="4"/>
        <v>2020</v>
      </c>
      <c r="C122" s="8">
        <f t="shared" si="5"/>
        <v>3</v>
      </c>
      <c r="D122" s="85">
        <v>43915</v>
      </c>
      <c r="E122" s="31"/>
      <c r="F122" s="31">
        <v>109000</v>
      </c>
      <c r="G122" s="31"/>
      <c r="H122" s="31"/>
      <c r="I122" s="31" t="s">
        <v>140</v>
      </c>
      <c r="J122" s="5" t="s">
        <v>187</v>
      </c>
      <c r="K122" s="8"/>
    </row>
    <row r="123" spans="1:11" x14ac:dyDescent="0.2">
      <c r="A123" s="8">
        <v>122</v>
      </c>
      <c r="B123" s="8">
        <f t="shared" si="4"/>
        <v>2020</v>
      </c>
      <c r="C123" s="8">
        <f t="shared" si="5"/>
        <v>3</v>
      </c>
      <c r="D123" s="85">
        <v>43917</v>
      </c>
      <c r="E123" s="31"/>
      <c r="F123" s="31">
        <v>7000</v>
      </c>
      <c r="G123" s="31"/>
      <c r="H123" s="31"/>
      <c r="I123" s="31" t="s">
        <v>96</v>
      </c>
      <c r="J123" s="5" t="s">
        <v>149</v>
      </c>
      <c r="K123" s="8"/>
    </row>
    <row r="124" spans="1:11" x14ac:dyDescent="0.2">
      <c r="A124" s="8">
        <v>123</v>
      </c>
      <c r="B124" s="8">
        <f t="shared" si="4"/>
        <v>2020</v>
      </c>
      <c r="C124" s="8">
        <f t="shared" si="5"/>
        <v>3</v>
      </c>
      <c r="D124" s="85">
        <v>43917</v>
      </c>
      <c r="E124" s="31"/>
      <c r="F124" s="31">
        <v>8000</v>
      </c>
      <c r="G124" s="31"/>
      <c r="H124" s="31"/>
      <c r="I124" s="31" t="s">
        <v>85</v>
      </c>
      <c r="J124" s="5" t="s">
        <v>188</v>
      </c>
      <c r="K124" s="8"/>
    </row>
    <row r="125" spans="1:11" x14ac:dyDescent="0.2">
      <c r="A125" s="8">
        <v>124</v>
      </c>
      <c r="B125" s="8">
        <f t="shared" si="4"/>
        <v>2020</v>
      </c>
      <c r="C125" s="8">
        <f t="shared" si="5"/>
        <v>3</v>
      </c>
      <c r="D125" s="85">
        <v>43920</v>
      </c>
      <c r="E125" s="31"/>
      <c r="F125" s="31">
        <v>50000</v>
      </c>
      <c r="G125" s="31"/>
      <c r="H125" s="31"/>
      <c r="I125" s="31" t="s">
        <v>85</v>
      </c>
      <c r="J125" s="5" t="s">
        <v>189</v>
      </c>
      <c r="K125" s="8"/>
    </row>
    <row r="126" spans="1:11" x14ac:dyDescent="0.2">
      <c r="A126" s="8">
        <v>125</v>
      </c>
      <c r="B126" s="8">
        <f t="shared" si="4"/>
        <v>2020</v>
      </c>
      <c r="C126" s="8">
        <f t="shared" si="5"/>
        <v>3</v>
      </c>
      <c r="D126" s="85">
        <v>43920</v>
      </c>
      <c r="E126" s="31"/>
      <c r="F126" s="31">
        <v>6000</v>
      </c>
      <c r="G126" s="31"/>
      <c r="H126" s="31"/>
      <c r="I126" s="31" t="s">
        <v>85</v>
      </c>
      <c r="J126" s="5" t="s">
        <v>190</v>
      </c>
      <c r="K126" s="8"/>
    </row>
    <row r="127" spans="1:11" x14ac:dyDescent="0.2">
      <c r="A127" s="8">
        <v>126</v>
      </c>
      <c r="B127" s="8">
        <f t="shared" si="4"/>
        <v>2020</v>
      </c>
      <c r="C127" s="8">
        <f t="shared" si="5"/>
        <v>3</v>
      </c>
      <c r="D127" s="85">
        <v>43920</v>
      </c>
      <c r="E127" s="31">
        <v>0</v>
      </c>
      <c r="F127" s="31">
        <v>40000</v>
      </c>
      <c r="G127" s="31"/>
      <c r="H127" s="31"/>
      <c r="I127" s="31" t="s">
        <v>140</v>
      </c>
      <c r="J127" s="5" t="s">
        <v>191</v>
      </c>
      <c r="K127" s="8">
        <f>SUM(F66:F127)</f>
        <v>3164400</v>
      </c>
    </row>
    <row r="128" spans="1:11" x14ac:dyDescent="0.2">
      <c r="A128" s="8">
        <v>127</v>
      </c>
      <c r="B128" s="8">
        <f t="shared" si="4"/>
        <v>2020</v>
      </c>
      <c r="C128" s="8">
        <f t="shared" si="5"/>
        <v>4</v>
      </c>
      <c r="D128" s="85">
        <v>43922</v>
      </c>
      <c r="E128" s="31"/>
      <c r="F128" s="31">
        <v>55000</v>
      </c>
      <c r="G128" s="31"/>
      <c r="H128" s="31"/>
      <c r="I128" s="31" t="s">
        <v>88</v>
      </c>
      <c r="J128" s="5" t="s">
        <v>192</v>
      </c>
      <c r="K128" s="8"/>
    </row>
    <row r="129" spans="1:11" x14ac:dyDescent="0.2">
      <c r="A129" s="8">
        <v>128</v>
      </c>
      <c r="B129" s="8">
        <f t="shared" si="4"/>
        <v>2020</v>
      </c>
      <c r="C129" s="8">
        <f t="shared" si="5"/>
        <v>4</v>
      </c>
      <c r="D129" s="85">
        <v>43922</v>
      </c>
      <c r="E129" s="31"/>
      <c r="F129" s="31">
        <v>86000</v>
      </c>
      <c r="G129" s="31"/>
      <c r="H129" s="31"/>
      <c r="I129" s="31" t="s">
        <v>140</v>
      </c>
      <c r="J129" s="5" t="s">
        <v>193</v>
      </c>
      <c r="K129" s="8"/>
    </row>
    <row r="130" spans="1:11" x14ac:dyDescent="0.2">
      <c r="A130" s="8">
        <v>129</v>
      </c>
      <c r="B130" s="8">
        <f t="shared" si="4"/>
        <v>2020</v>
      </c>
      <c r="C130" s="8">
        <f t="shared" si="5"/>
        <v>4</v>
      </c>
      <c r="D130" s="85">
        <v>43922</v>
      </c>
      <c r="E130" s="31"/>
      <c r="F130" s="31">
        <v>100000</v>
      </c>
      <c r="G130" s="31"/>
      <c r="H130" s="31"/>
      <c r="I130" s="31" t="s">
        <v>140</v>
      </c>
      <c r="J130" s="5" t="s">
        <v>194</v>
      </c>
      <c r="K130" s="8"/>
    </row>
    <row r="131" spans="1:11" x14ac:dyDescent="0.2">
      <c r="A131" s="8">
        <v>130</v>
      </c>
      <c r="B131" s="8">
        <f t="shared" si="4"/>
        <v>2020</v>
      </c>
      <c r="C131" s="8">
        <f t="shared" si="5"/>
        <v>4</v>
      </c>
      <c r="D131" s="85">
        <v>43929</v>
      </c>
      <c r="E131" s="31"/>
      <c r="F131" s="31">
        <v>95000</v>
      </c>
      <c r="G131" s="31"/>
      <c r="H131" s="31"/>
      <c r="I131" s="31" t="s">
        <v>88</v>
      </c>
      <c r="J131" s="5" t="s">
        <v>195</v>
      </c>
      <c r="K131" s="8"/>
    </row>
    <row r="132" spans="1:11" x14ac:dyDescent="0.2">
      <c r="A132" s="8">
        <v>131</v>
      </c>
      <c r="B132" s="8">
        <f t="shared" si="4"/>
        <v>2020</v>
      </c>
      <c r="C132" s="8">
        <f t="shared" si="5"/>
        <v>4</v>
      </c>
      <c r="D132" s="85">
        <v>43929</v>
      </c>
      <c r="E132" s="31"/>
      <c r="F132" s="31">
        <v>101000</v>
      </c>
      <c r="G132" s="31"/>
      <c r="H132" s="31"/>
      <c r="I132" s="31" t="s">
        <v>96</v>
      </c>
      <c r="J132" s="5" t="s">
        <v>196</v>
      </c>
      <c r="K132" s="8"/>
    </row>
    <row r="133" spans="1:11" x14ac:dyDescent="0.2">
      <c r="A133" s="8">
        <v>132</v>
      </c>
      <c r="B133" s="8">
        <f t="shared" si="4"/>
        <v>2020</v>
      </c>
      <c r="C133" s="8">
        <f t="shared" si="5"/>
        <v>4</v>
      </c>
      <c r="D133" s="85">
        <v>43928</v>
      </c>
      <c r="E133" s="31"/>
      <c r="F133" s="31">
        <v>20000</v>
      </c>
      <c r="G133" s="31"/>
      <c r="H133" s="31"/>
      <c r="I133" s="31" t="s">
        <v>85</v>
      </c>
      <c r="J133" s="5" t="s">
        <v>197</v>
      </c>
      <c r="K133" s="8"/>
    </row>
    <row r="134" spans="1:11" x14ac:dyDescent="0.2">
      <c r="A134" s="8">
        <v>133</v>
      </c>
      <c r="B134" s="8">
        <f t="shared" ref="B134:B197" si="6">YEAR(D134)</f>
        <v>2020</v>
      </c>
      <c r="C134" s="8">
        <f t="shared" ref="C134:C197" si="7">MONTH(D134)</f>
        <v>4</v>
      </c>
      <c r="D134" s="85">
        <v>43932</v>
      </c>
      <c r="E134" s="31"/>
      <c r="F134" s="31">
        <v>200000</v>
      </c>
      <c r="G134" s="31">
        <v>0</v>
      </c>
      <c r="H134" s="31"/>
      <c r="I134" s="31" t="s">
        <v>92</v>
      </c>
      <c r="J134" s="5" t="s">
        <v>198</v>
      </c>
      <c r="K134" s="8"/>
    </row>
    <row r="135" spans="1:11" x14ac:dyDescent="0.2">
      <c r="A135" s="8">
        <v>134</v>
      </c>
      <c r="B135" s="8">
        <f t="shared" si="6"/>
        <v>2020</v>
      </c>
      <c r="C135" s="8">
        <f t="shared" si="7"/>
        <v>4</v>
      </c>
      <c r="D135" s="85">
        <v>43932</v>
      </c>
      <c r="E135" s="31"/>
      <c r="F135" s="31">
        <v>100600</v>
      </c>
      <c r="G135" s="31"/>
      <c r="H135" s="31"/>
      <c r="I135" s="31" t="s">
        <v>88</v>
      </c>
      <c r="J135" s="5" t="s">
        <v>137</v>
      </c>
      <c r="K135" s="8"/>
    </row>
    <row r="136" spans="1:11" x14ac:dyDescent="0.2">
      <c r="A136" s="8">
        <v>135</v>
      </c>
      <c r="B136" s="8">
        <f t="shared" si="6"/>
        <v>2020</v>
      </c>
      <c r="C136" s="8">
        <f t="shared" si="7"/>
        <v>4</v>
      </c>
      <c r="D136" s="85">
        <v>43932</v>
      </c>
      <c r="E136" s="31"/>
      <c r="F136" s="31">
        <v>420000</v>
      </c>
      <c r="G136" s="31"/>
      <c r="H136" s="31"/>
      <c r="I136" s="31" t="s">
        <v>140</v>
      </c>
      <c r="J136" s="5" t="s">
        <v>199</v>
      </c>
      <c r="K136" s="8"/>
    </row>
    <row r="137" spans="1:11" x14ac:dyDescent="0.2">
      <c r="A137" s="8">
        <v>136</v>
      </c>
      <c r="B137" s="8">
        <f t="shared" si="6"/>
        <v>2020</v>
      </c>
      <c r="C137" s="8">
        <f t="shared" si="7"/>
        <v>4</v>
      </c>
      <c r="D137" s="85">
        <v>43932</v>
      </c>
      <c r="E137" s="31"/>
      <c r="F137" s="31">
        <v>90000</v>
      </c>
      <c r="G137" s="31"/>
      <c r="H137" s="31"/>
      <c r="I137" s="31" t="s">
        <v>83</v>
      </c>
      <c r="J137" s="5" t="s">
        <v>119</v>
      </c>
      <c r="K137" s="8"/>
    </row>
    <row r="138" spans="1:11" x14ac:dyDescent="0.2">
      <c r="A138" s="8">
        <v>137</v>
      </c>
      <c r="B138" s="8">
        <f t="shared" si="6"/>
        <v>2020</v>
      </c>
      <c r="C138" s="8">
        <f t="shared" si="7"/>
        <v>4</v>
      </c>
      <c r="D138" s="85">
        <v>43932</v>
      </c>
      <c r="E138" s="31"/>
      <c r="F138" s="31">
        <v>100000</v>
      </c>
      <c r="G138" s="31"/>
      <c r="H138" s="31"/>
      <c r="I138" s="31" t="s">
        <v>85</v>
      </c>
      <c r="J138" s="5" t="s">
        <v>200</v>
      </c>
      <c r="K138" s="8"/>
    </row>
    <row r="139" spans="1:11" x14ac:dyDescent="0.2">
      <c r="A139" s="8">
        <v>138</v>
      </c>
      <c r="B139" s="8">
        <f t="shared" si="6"/>
        <v>2020</v>
      </c>
      <c r="C139" s="8">
        <f t="shared" si="7"/>
        <v>4</v>
      </c>
      <c r="D139" s="85">
        <v>43933</v>
      </c>
      <c r="E139" s="31"/>
      <c r="F139" s="31">
        <v>500000</v>
      </c>
      <c r="G139" s="31"/>
      <c r="H139" s="31"/>
      <c r="I139" s="31" t="s">
        <v>201</v>
      </c>
      <c r="J139" s="5" t="s">
        <v>201</v>
      </c>
      <c r="K139" s="8"/>
    </row>
    <row r="140" spans="1:11" x14ac:dyDescent="0.2">
      <c r="A140" s="8">
        <v>139</v>
      </c>
      <c r="B140" s="8">
        <f t="shared" si="6"/>
        <v>2020</v>
      </c>
      <c r="C140" s="8">
        <f t="shared" si="7"/>
        <v>4</v>
      </c>
      <c r="D140" s="85">
        <v>43936</v>
      </c>
      <c r="E140" s="31"/>
      <c r="F140" s="32">
        <v>1000000</v>
      </c>
      <c r="G140" s="31">
        <v>0</v>
      </c>
      <c r="I140" s="31" t="s">
        <v>92</v>
      </c>
      <c r="J140" s="5" t="s">
        <v>202</v>
      </c>
      <c r="K140" s="8"/>
    </row>
    <row r="141" spans="1:11" x14ac:dyDescent="0.2">
      <c r="A141" s="8">
        <v>140</v>
      </c>
      <c r="B141" s="8">
        <f t="shared" si="6"/>
        <v>2020</v>
      </c>
      <c r="C141" s="8">
        <f t="shared" si="7"/>
        <v>4</v>
      </c>
      <c r="D141" s="85">
        <v>43936</v>
      </c>
      <c r="E141" s="31"/>
      <c r="F141" s="31">
        <v>100000</v>
      </c>
      <c r="G141" s="31"/>
      <c r="H141" s="31"/>
      <c r="I141" s="31" t="s">
        <v>85</v>
      </c>
      <c r="J141" s="5" t="s">
        <v>203</v>
      </c>
      <c r="K141" s="8"/>
    </row>
    <row r="142" spans="1:11" x14ac:dyDescent="0.2">
      <c r="A142" s="8">
        <v>141</v>
      </c>
      <c r="B142" s="8">
        <f t="shared" si="6"/>
        <v>2020</v>
      </c>
      <c r="C142" s="8">
        <f t="shared" si="7"/>
        <v>4</v>
      </c>
      <c r="D142" s="85">
        <v>43936</v>
      </c>
      <c r="E142" s="31"/>
      <c r="F142" s="31">
        <v>10000</v>
      </c>
      <c r="G142" s="31"/>
      <c r="H142" s="31"/>
      <c r="I142" s="31" t="s">
        <v>163</v>
      </c>
      <c r="J142" s="5" t="s">
        <v>204</v>
      </c>
      <c r="K142" s="8"/>
    </row>
    <row r="143" spans="1:11" x14ac:dyDescent="0.2">
      <c r="A143" s="8">
        <v>142</v>
      </c>
      <c r="B143" s="8">
        <f t="shared" si="6"/>
        <v>2020</v>
      </c>
      <c r="C143" s="8">
        <f t="shared" si="7"/>
        <v>4</v>
      </c>
      <c r="D143" s="85">
        <v>43941</v>
      </c>
      <c r="E143" s="31">
        <v>500000</v>
      </c>
      <c r="F143" s="31">
        <v>0</v>
      </c>
      <c r="G143" s="31"/>
      <c r="H143" s="31"/>
      <c r="I143" s="31" t="s">
        <v>163</v>
      </c>
      <c r="J143" s="5" t="s">
        <v>205</v>
      </c>
      <c r="K143" s="8"/>
    </row>
    <row r="144" spans="1:11" x14ac:dyDescent="0.2">
      <c r="A144" s="8">
        <v>143</v>
      </c>
      <c r="B144" s="8">
        <f t="shared" si="6"/>
        <v>2020</v>
      </c>
      <c r="C144" s="8">
        <f t="shared" si="7"/>
        <v>4</v>
      </c>
      <c r="D144" s="85">
        <v>43944</v>
      </c>
      <c r="E144" s="31"/>
      <c r="F144" s="31">
        <v>30000</v>
      </c>
      <c r="G144" s="31"/>
      <c r="H144" s="31"/>
      <c r="I144" s="31" t="s">
        <v>85</v>
      </c>
      <c r="J144" s="5" t="s">
        <v>206</v>
      </c>
      <c r="K144" s="8"/>
    </row>
    <row r="145" spans="1:11" x14ac:dyDescent="0.2">
      <c r="A145" s="8">
        <v>144</v>
      </c>
      <c r="B145" s="8">
        <f t="shared" si="6"/>
        <v>2020</v>
      </c>
      <c r="C145" s="8">
        <f t="shared" si="7"/>
        <v>4</v>
      </c>
      <c r="D145" s="85">
        <v>43947</v>
      </c>
      <c r="E145" s="31"/>
      <c r="F145" s="31">
        <v>50000</v>
      </c>
      <c r="G145" s="31"/>
      <c r="H145" s="31"/>
      <c r="I145" s="31" t="s">
        <v>88</v>
      </c>
      <c r="J145" s="5" t="s">
        <v>207</v>
      </c>
      <c r="K145" s="8"/>
    </row>
    <row r="146" spans="1:11" x14ac:dyDescent="0.2">
      <c r="A146" s="8">
        <v>145</v>
      </c>
      <c r="B146" s="8">
        <f t="shared" si="6"/>
        <v>2020</v>
      </c>
      <c r="C146" s="8">
        <f t="shared" si="7"/>
        <v>4</v>
      </c>
      <c r="D146" s="85">
        <v>43947</v>
      </c>
      <c r="E146" s="31"/>
      <c r="F146" s="31">
        <v>60000</v>
      </c>
      <c r="G146" s="31"/>
      <c r="H146" s="31"/>
      <c r="I146" s="31" t="s">
        <v>85</v>
      </c>
      <c r="J146" s="5" t="s">
        <v>208</v>
      </c>
      <c r="K146" s="8"/>
    </row>
    <row r="147" spans="1:11" x14ac:dyDescent="0.2">
      <c r="A147" s="8">
        <v>146</v>
      </c>
      <c r="B147" s="8">
        <f t="shared" si="6"/>
        <v>2020</v>
      </c>
      <c r="C147" s="8">
        <f t="shared" si="7"/>
        <v>4</v>
      </c>
      <c r="D147" s="85">
        <v>43951</v>
      </c>
      <c r="E147" s="31"/>
      <c r="F147" s="31">
        <v>50000</v>
      </c>
      <c r="G147" s="31"/>
      <c r="H147" s="31"/>
      <c r="I147" s="31" t="s">
        <v>85</v>
      </c>
      <c r="J147" s="5" t="s">
        <v>209</v>
      </c>
      <c r="K147" s="8"/>
    </row>
    <row r="148" spans="1:11" x14ac:dyDescent="0.2">
      <c r="A148" s="8">
        <v>147</v>
      </c>
      <c r="B148" s="8">
        <f t="shared" si="6"/>
        <v>2020</v>
      </c>
      <c r="C148" s="8">
        <f t="shared" si="7"/>
        <v>4</v>
      </c>
      <c r="D148" s="85">
        <v>43951</v>
      </c>
      <c r="E148" s="31"/>
      <c r="F148" s="31">
        <v>122000</v>
      </c>
      <c r="G148" s="31"/>
      <c r="H148" s="31"/>
      <c r="I148" s="31" t="s">
        <v>88</v>
      </c>
      <c r="J148" s="5" t="s">
        <v>210</v>
      </c>
      <c r="K148" s="8"/>
    </row>
    <row r="149" spans="1:11" x14ac:dyDescent="0.2">
      <c r="A149" s="8">
        <v>148</v>
      </c>
      <c r="B149" s="8">
        <f t="shared" si="6"/>
        <v>2020</v>
      </c>
      <c r="C149" s="8">
        <f t="shared" si="7"/>
        <v>4</v>
      </c>
      <c r="D149" s="85">
        <v>43951</v>
      </c>
      <c r="E149" s="31"/>
      <c r="F149" s="31">
        <v>28000</v>
      </c>
      <c r="G149" s="31"/>
      <c r="H149" s="31"/>
      <c r="I149" s="31" t="s">
        <v>88</v>
      </c>
      <c r="J149" s="5" t="s">
        <v>211</v>
      </c>
      <c r="K149" s="8"/>
    </row>
    <row r="150" spans="1:11" x14ac:dyDescent="0.2">
      <c r="A150" s="8">
        <v>149</v>
      </c>
      <c r="B150" s="8">
        <f t="shared" si="6"/>
        <v>2020</v>
      </c>
      <c r="C150" s="8">
        <f t="shared" si="7"/>
        <v>4</v>
      </c>
      <c r="D150" s="85">
        <v>43951</v>
      </c>
      <c r="E150" s="31"/>
      <c r="F150" s="31">
        <v>7000</v>
      </c>
      <c r="G150" s="31"/>
      <c r="H150" s="31"/>
      <c r="I150" s="31" t="s">
        <v>88</v>
      </c>
      <c r="J150" s="5" t="s">
        <v>212</v>
      </c>
      <c r="K150" s="8"/>
    </row>
    <row r="151" spans="1:11" x14ac:dyDescent="0.2">
      <c r="A151" s="8">
        <v>150</v>
      </c>
      <c r="B151" s="8">
        <f t="shared" si="6"/>
        <v>2020</v>
      </c>
      <c r="C151" s="8">
        <f t="shared" si="7"/>
        <v>4</v>
      </c>
      <c r="D151" s="85">
        <v>43951</v>
      </c>
      <c r="E151" s="31">
        <v>160000</v>
      </c>
      <c r="F151" s="31"/>
      <c r="G151" s="31"/>
      <c r="H151" s="31"/>
      <c r="I151" s="31" t="s">
        <v>109</v>
      </c>
      <c r="J151" s="5" t="s">
        <v>213</v>
      </c>
      <c r="K151" s="8"/>
    </row>
    <row r="152" spans="1:11" x14ac:dyDescent="0.2">
      <c r="A152" s="8">
        <v>151</v>
      </c>
      <c r="B152" s="8">
        <f t="shared" si="6"/>
        <v>2020</v>
      </c>
      <c r="C152" s="8">
        <f t="shared" si="7"/>
        <v>4</v>
      </c>
      <c r="D152" s="85">
        <v>43951</v>
      </c>
      <c r="E152" s="31">
        <v>100000</v>
      </c>
      <c r="F152" s="31"/>
      <c r="G152" s="31"/>
      <c r="H152" s="31"/>
      <c r="I152" s="31" t="s">
        <v>109</v>
      </c>
      <c r="J152" s="5" t="s">
        <v>214</v>
      </c>
      <c r="K152" s="8"/>
    </row>
    <row r="153" spans="1:11" x14ac:dyDescent="0.2">
      <c r="A153" s="8">
        <v>152</v>
      </c>
      <c r="B153" s="8">
        <f t="shared" si="6"/>
        <v>2020</v>
      </c>
      <c r="C153" s="8">
        <f t="shared" si="7"/>
        <v>4</v>
      </c>
      <c r="D153" s="85">
        <v>43951</v>
      </c>
      <c r="E153" s="31">
        <v>70000</v>
      </c>
      <c r="F153" s="31"/>
      <c r="G153" s="31"/>
      <c r="H153" s="31"/>
      <c r="I153" s="31" t="s">
        <v>109</v>
      </c>
      <c r="J153" s="5" t="s">
        <v>215</v>
      </c>
      <c r="K153" s="8"/>
    </row>
    <row r="154" spans="1:11" x14ac:dyDescent="0.2">
      <c r="A154" s="8">
        <v>153</v>
      </c>
      <c r="B154" s="8">
        <f t="shared" si="6"/>
        <v>2020</v>
      </c>
      <c r="C154" s="8">
        <f t="shared" si="7"/>
        <v>4</v>
      </c>
      <c r="D154" s="85">
        <v>43951</v>
      </c>
      <c r="E154" s="31">
        <v>20000</v>
      </c>
      <c r="F154" s="31"/>
      <c r="G154" s="31"/>
      <c r="H154" s="31"/>
      <c r="I154" s="31" t="s">
        <v>109</v>
      </c>
      <c r="J154" s="5" t="s">
        <v>216</v>
      </c>
      <c r="K154" s="8"/>
    </row>
    <row r="155" spans="1:11" x14ac:dyDescent="0.2">
      <c r="A155" s="8">
        <v>154</v>
      </c>
      <c r="B155" s="8">
        <f t="shared" si="6"/>
        <v>2020</v>
      </c>
      <c r="C155" s="8">
        <f t="shared" si="7"/>
        <v>4</v>
      </c>
      <c r="D155" s="85">
        <v>43951</v>
      </c>
      <c r="E155" s="31">
        <v>90000</v>
      </c>
      <c r="F155" s="31"/>
      <c r="G155" s="31"/>
      <c r="H155" s="31"/>
      <c r="I155" s="31" t="s">
        <v>109</v>
      </c>
      <c r="J155" s="5" t="s">
        <v>217</v>
      </c>
      <c r="K155" s="8"/>
    </row>
    <row r="156" spans="1:11" x14ac:dyDescent="0.2">
      <c r="A156" s="8">
        <v>155</v>
      </c>
      <c r="B156" s="8">
        <f t="shared" si="6"/>
        <v>2020</v>
      </c>
      <c r="C156" s="8">
        <f t="shared" si="7"/>
        <v>4</v>
      </c>
      <c r="D156" s="85">
        <v>43951</v>
      </c>
      <c r="E156" s="31">
        <v>60000</v>
      </c>
      <c r="F156" s="31"/>
      <c r="G156" s="31"/>
      <c r="H156" s="31"/>
      <c r="I156" s="31" t="s">
        <v>109</v>
      </c>
      <c r="J156" s="5" t="s">
        <v>218</v>
      </c>
      <c r="K156" s="8"/>
    </row>
    <row r="157" spans="1:11" x14ac:dyDescent="0.2">
      <c r="A157" s="8">
        <v>156</v>
      </c>
      <c r="B157" s="8">
        <f t="shared" si="6"/>
        <v>2020</v>
      </c>
      <c r="C157" s="8">
        <f t="shared" si="7"/>
        <v>4</v>
      </c>
      <c r="D157" s="85">
        <v>43951</v>
      </c>
      <c r="E157" s="31">
        <v>35000</v>
      </c>
      <c r="F157" s="31"/>
      <c r="G157" s="31"/>
      <c r="H157" s="31"/>
      <c r="I157" s="31" t="s">
        <v>109</v>
      </c>
      <c r="J157" s="5" t="s">
        <v>219</v>
      </c>
      <c r="K157" s="8"/>
    </row>
    <row r="158" spans="1:11" x14ac:dyDescent="0.2">
      <c r="A158" s="8">
        <v>157</v>
      </c>
      <c r="B158" s="8">
        <f t="shared" si="6"/>
        <v>2020</v>
      </c>
      <c r="C158" s="8">
        <f t="shared" si="7"/>
        <v>4</v>
      </c>
      <c r="D158" s="85">
        <v>43951</v>
      </c>
      <c r="E158" s="31">
        <v>50000</v>
      </c>
      <c r="F158" s="31"/>
      <c r="G158" s="31"/>
      <c r="H158" s="31"/>
      <c r="I158" s="31" t="s">
        <v>109</v>
      </c>
      <c r="J158" s="5" t="s">
        <v>220</v>
      </c>
      <c r="K158" s="8"/>
    </row>
    <row r="159" spans="1:11" x14ac:dyDescent="0.2">
      <c r="A159" s="8">
        <v>158</v>
      </c>
      <c r="B159" s="8">
        <f t="shared" si="6"/>
        <v>2020</v>
      </c>
      <c r="C159" s="8">
        <f t="shared" si="7"/>
        <v>4</v>
      </c>
      <c r="D159" s="85">
        <v>43951</v>
      </c>
      <c r="E159" s="31">
        <v>100000</v>
      </c>
      <c r="F159" s="31"/>
      <c r="G159" s="31"/>
      <c r="H159" s="31"/>
      <c r="I159" s="31" t="s">
        <v>109</v>
      </c>
      <c r="J159" s="5" t="s">
        <v>221</v>
      </c>
      <c r="K159" s="8"/>
    </row>
    <row r="160" spans="1:11" x14ac:dyDescent="0.2">
      <c r="A160" s="8">
        <v>159</v>
      </c>
      <c r="B160" s="8">
        <f t="shared" si="6"/>
        <v>2020</v>
      </c>
      <c r="C160" s="8">
        <f t="shared" si="7"/>
        <v>4</v>
      </c>
      <c r="D160" s="85">
        <v>43951</v>
      </c>
      <c r="E160" s="31">
        <v>305000</v>
      </c>
      <c r="F160" s="31"/>
      <c r="G160" s="31"/>
      <c r="H160" s="31"/>
      <c r="I160" s="31" t="s">
        <v>109</v>
      </c>
      <c r="J160" s="5" t="s">
        <v>222</v>
      </c>
      <c r="K160" s="8"/>
    </row>
    <row r="161" spans="1:11" x14ac:dyDescent="0.2">
      <c r="A161" s="8">
        <v>160</v>
      </c>
      <c r="B161" s="8">
        <f t="shared" si="6"/>
        <v>2020</v>
      </c>
      <c r="C161" s="8">
        <f t="shared" si="7"/>
        <v>4</v>
      </c>
      <c r="D161" s="85">
        <v>43951</v>
      </c>
      <c r="E161" s="31">
        <v>90000</v>
      </c>
      <c r="F161" s="31"/>
      <c r="G161" s="31"/>
      <c r="H161" s="31"/>
      <c r="I161" s="31" t="s">
        <v>109</v>
      </c>
      <c r="J161" s="5" t="s">
        <v>223</v>
      </c>
      <c r="K161" s="8">
        <f>SUM(F128:F161)</f>
        <v>3324600</v>
      </c>
    </row>
    <row r="162" spans="1:11" x14ac:dyDescent="0.2">
      <c r="A162" s="8">
        <v>161</v>
      </c>
      <c r="B162" s="8">
        <f t="shared" si="6"/>
        <v>2020</v>
      </c>
      <c r="C162" s="8">
        <f t="shared" si="7"/>
        <v>5</v>
      </c>
      <c r="D162" s="85">
        <v>43952</v>
      </c>
      <c r="E162" s="31"/>
      <c r="F162" s="31">
        <v>78000</v>
      </c>
      <c r="G162" s="31"/>
      <c r="H162" s="31"/>
      <c r="I162" s="31" t="s">
        <v>140</v>
      </c>
      <c r="J162" s="5" t="s">
        <v>224</v>
      </c>
      <c r="K162" s="8"/>
    </row>
    <row r="163" spans="1:11" x14ac:dyDescent="0.2">
      <c r="A163" s="8">
        <v>162</v>
      </c>
      <c r="B163" s="8">
        <f t="shared" si="6"/>
        <v>2020</v>
      </c>
      <c r="C163" s="8">
        <f t="shared" si="7"/>
        <v>5</v>
      </c>
      <c r="D163" s="85">
        <v>43952</v>
      </c>
      <c r="E163" s="31"/>
      <c r="F163" s="31">
        <v>25000</v>
      </c>
      <c r="G163" s="31"/>
      <c r="H163" s="31"/>
      <c r="I163" s="31" t="s">
        <v>88</v>
      </c>
      <c r="J163" s="5" t="s">
        <v>225</v>
      </c>
      <c r="K163" s="8"/>
    </row>
    <row r="164" spans="1:11" x14ac:dyDescent="0.2">
      <c r="A164" s="8">
        <v>163</v>
      </c>
      <c r="B164" s="8">
        <f t="shared" si="6"/>
        <v>2020</v>
      </c>
      <c r="C164" s="8">
        <f t="shared" si="7"/>
        <v>5</v>
      </c>
      <c r="D164" s="85">
        <v>43952</v>
      </c>
      <c r="E164" s="31"/>
      <c r="F164" s="31">
        <v>56000</v>
      </c>
      <c r="G164" s="31"/>
      <c r="H164" s="31"/>
      <c r="I164" s="31" t="s">
        <v>140</v>
      </c>
      <c r="J164" s="5" t="s">
        <v>226</v>
      </c>
      <c r="K164" s="8"/>
    </row>
    <row r="165" spans="1:11" x14ac:dyDescent="0.2">
      <c r="A165" s="8">
        <v>164</v>
      </c>
      <c r="B165" s="8">
        <f t="shared" si="6"/>
        <v>2020</v>
      </c>
      <c r="C165" s="8">
        <f t="shared" si="7"/>
        <v>5</v>
      </c>
      <c r="D165" s="85">
        <v>43952</v>
      </c>
      <c r="E165" s="31"/>
      <c r="F165" s="31">
        <v>109000</v>
      </c>
      <c r="G165" s="31"/>
      <c r="H165" s="31"/>
      <c r="I165" s="31" t="s">
        <v>140</v>
      </c>
      <c r="J165" s="5" t="s">
        <v>156</v>
      </c>
      <c r="K165" s="8"/>
    </row>
    <row r="166" spans="1:11" x14ac:dyDescent="0.2">
      <c r="A166" s="8">
        <v>165</v>
      </c>
      <c r="B166" s="8">
        <f t="shared" si="6"/>
        <v>2020</v>
      </c>
      <c r="C166" s="8">
        <f t="shared" si="7"/>
        <v>5</v>
      </c>
      <c r="D166" s="85">
        <v>43956</v>
      </c>
      <c r="E166" s="31"/>
      <c r="F166" s="31">
        <v>90000</v>
      </c>
      <c r="G166" s="31"/>
      <c r="H166" s="31"/>
      <c r="I166" s="31" t="s">
        <v>83</v>
      </c>
      <c r="J166" s="5" t="s">
        <v>119</v>
      </c>
      <c r="K166" s="8"/>
    </row>
    <row r="167" spans="1:11" x14ac:dyDescent="0.2">
      <c r="A167" s="8">
        <v>166</v>
      </c>
      <c r="B167" s="8">
        <f t="shared" si="6"/>
        <v>2020</v>
      </c>
      <c r="C167" s="8">
        <f t="shared" si="7"/>
        <v>5</v>
      </c>
      <c r="D167" s="85">
        <v>43957</v>
      </c>
      <c r="E167" s="31"/>
      <c r="F167" s="31">
        <v>96000</v>
      </c>
      <c r="G167" s="31"/>
      <c r="H167" s="31"/>
      <c r="I167" s="31" t="s">
        <v>85</v>
      </c>
      <c r="J167" s="5" t="s">
        <v>227</v>
      </c>
      <c r="K167" s="8"/>
    </row>
    <row r="168" spans="1:11" x14ac:dyDescent="0.2">
      <c r="A168" s="8">
        <v>167</v>
      </c>
      <c r="B168" s="8">
        <f t="shared" si="6"/>
        <v>2020</v>
      </c>
      <c r="C168" s="8">
        <f t="shared" si="7"/>
        <v>5</v>
      </c>
      <c r="D168" s="85">
        <v>43957</v>
      </c>
      <c r="E168" s="31"/>
      <c r="F168" s="31">
        <v>10000</v>
      </c>
      <c r="G168" s="31"/>
      <c r="H168" s="31"/>
      <c r="I168" s="31" t="s">
        <v>85</v>
      </c>
      <c r="J168" s="5" t="s">
        <v>228</v>
      </c>
      <c r="K168" s="8"/>
    </row>
    <row r="169" spans="1:11" x14ac:dyDescent="0.2">
      <c r="A169" s="8">
        <v>168</v>
      </c>
      <c r="B169" s="8">
        <f t="shared" si="6"/>
        <v>2020</v>
      </c>
      <c r="C169" s="8">
        <f t="shared" si="7"/>
        <v>5</v>
      </c>
      <c r="D169" s="85">
        <v>43957</v>
      </c>
      <c r="E169" s="31"/>
      <c r="F169" s="31">
        <v>500000</v>
      </c>
      <c r="G169" s="31"/>
      <c r="H169" s="31"/>
      <c r="I169" s="31" t="s">
        <v>201</v>
      </c>
      <c r="J169" s="5" t="s">
        <v>229</v>
      </c>
      <c r="K169" s="8"/>
    </row>
    <row r="170" spans="1:11" x14ac:dyDescent="0.2">
      <c r="A170" s="8">
        <v>169</v>
      </c>
      <c r="B170" s="8">
        <f t="shared" si="6"/>
        <v>2020</v>
      </c>
      <c r="C170" s="8">
        <f t="shared" si="7"/>
        <v>5</v>
      </c>
      <c r="D170" s="85">
        <v>43958</v>
      </c>
      <c r="E170" s="31"/>
      <c r="F170" s="31">
        <v>25000</v>
      </c>
      <c r="G170" s="31"/>
      <c r="H170" s="31"/>
      <c r="I170" s="31" t="s">
        <v>88</v>
      </c>
      <c r="J170" s="5" t="s">
        <v>230</v>
      </c>
      <c r="K170" s="8"/>
    </row>
    <row r="171" spans="1:11" x14ac:dyDescent="0.2">
      <c r="A171" s="8">
        <v>170</v>
      </c>
      <c r="B171" s="8">
        <f t="shared" si="6"/>
        <v>2020</v>
      </c>
      <c r="C171" s="8">
        <f t="shared" si="7"/>
        <v>5</v>
      </c>
      <c r="D171" s="85">
        <v>43958</v>
      </c>
      <c r="E171" s="31"/>
      <c r="F171" s="31">
        <v>8500</v>
      </c>
      <c r="G171" s="31"/>
      <c r="H171" s="31"/>
      <c r="I171" s="31" t="s">
        <v>85</v>
      </c>
      <c r="J171" s="5" t="s">
        <v>231</v>
      </c>
      <c r="K171" s="8"/>
    </row>
    <row r="172" spans="1:11" x14ac:dyDescent="0.2">
      <c r="A172" s="8">
        <v>171</v>
      </c>
      <c r="B172" s="8">
        <f t="shared" si="6"/>
        <v>2020</v>
      </c>
      <c r="C172" s="8">
        <f t="shared" si="7"/>
        <v>5</v>
      </c>
      <c r="D172" s="85">
        <v>43958</v>
      </c>
      <c r="E172" s="31"/>
      <c r="F172" s="31">
        <v>20000</v>
      </c>
      <c r="G172" s="31"/>
      <c r="H172" s="31"/>
      <c r="I172" s="31" t="s">
        <v>85</v>
      </c>
      <c r="J172" s="5" t="s">
        <v>232</v>
      </c>
      <c r="K172" s="8"/>
    </row>
    <row r="173" spans="1:11" x14ac:dyDescent="0.2">
      <c r="A173" s="8">
        <v>172</v>
      </c>
      <c r="B173" s="8">
        <f t="shared" si="6"/>
        <v>2020</v>
      </c>
      <c r="C173" s="8">
        <f t="shared" si="7"/>
        <v>5</v>
      </c>
      <c r="D173" s="85">
        <v>43960</v>
      </c>
      <c r="E173" s="31"/>
      <c r="F173" s="31">
        <v>15000</v>
      </c>
      <c r="G173" s="31"/>
      <c r="H173" s="31"/>
      <c r="I173" s="31" t="s">
        <v>88</v>
      </c>
      <c r="J173" s="5" t="s">
        <v>233</v>
      </c>
      <c r="K173" s="8"/>
    </row>
    <row r="174" spans="1:11" x14ac:dyDescent="0.2">
      <c r="A174" s="8">
        <v>173</v>
      </c>
      <c r="B174" s="8">
        <f t="shared" si="6"/>
        <v>2020</v>
      </c>
      <c r="C174" s="8">
        <f t="shared" si="7"/>
        <v>5</v>
      </c>
      <c r="D174" s="85">
        <v>43961</v>
      </c>
      <c r="E174" s="31"/>
      <c r="F174" s="31">
        <v>40000</v>
      </c>
      <c r="G174" s="31"/>
      <c r="H174" s="31"/>
      <c r="I174" s="31" t="s">
        <v>85</v>
      </c>
      <c r="J174" s="5" t="s">
        <v>234</v>
      </c>
      <c r="K174" s="8"/>
    </row>
    <row r="175" spans="1:11" x14ac:dyDescent="0.2">
      <c r="A175" s="8">
        <v>174</v>
      </c>
      <c r="B175" s="8">
        <f t="shared" si="6"/>
        <v>2020</v>
      </c>
      <c r="C175" s="8">
        <f t="shared" si="7"/>
        <v>5</v>
      </c>
      <c r="D175" s="85">
        <v>43961</v>
      </c>
      <c r="E175" s="31"/>
      <c r="F175" s="31">
        <v>90000</v>
      </c>
      <c r="G175" s="31"/>
      <c r="H175" s="31"/>
      <c r="I175" s="31" t="s">
        <v>88</v>
      </c>
      <c r="J175" s="5" t="s">
        <v>235</v>
      </c>
      <c r="K175" s="8"/>
    </row>
    <row r="176" spans="1:11" x14ac:dyDescent="0.2">
      <c r="A176" s="8">
        <v>175</v>
      </c>
      <c r="B176" s="8">
        <f t="shared" si="6"/>
        <v>2020</v>
      </c>
      <c r="C176" s="8">
        <f t="shared" si="7"/>
        <v>5</v>
      </c>
      <c r="D176" s="85">
        <v>43961</v>
      </c>
      <c r="E176" s="31"/>
      <c r="F176" s="31">
        <v>10000</v>
      </c>
      <c r="G176" s="31"/>
      <c r="H176" s="31"/>
      <c r="I176" s="31" t="s">
        <v>88</v>
      </c>
      <c r="J176" s="5" t="s">
        <v>236</v>
      </c>
      <c r="K176" s="8"/>
    </row>
    <row r="177" spans="1:11" x14ac:dyDescent="0.2">
      <c r="A177" s="8">
        <v>176</v>
      </c>
      <c r="B177" s="8">
        <f t="shared" si="6"/>
        <v>2020</v>
      </c>
      <c r="C177" s="8">
        <f t="shared" si="7"/>
        <v>5</v>
      </c>
      <c r="D177" s="85">
        <v>43961</v>
      </c>
      <c r="E177" s="31"/>
      <c r="F177" s="31">
        <v>14000</v>
      </c>
      <c r="G177" s="31"/>
      <c r="H177" s="31"/>
      <c r="I177" s="31" t="s">
        <v>88</v>
      </c>
      <c r="J177" s="5" t="s">
        <v>237</v>
      </c>
      <c r="K177" s="8"/>
    </row>
    <row r="178" spans="1:11" x14ac:dyDescent="0.2">
      <c r="A178" s="8">
        <v>177</v>
      </c>
      <c r="B178" s="8">
        <f t="shared" si="6"/>
        <v>2020</v>
      </c>
      <c r="C178" s="8">
        <f t="shared" si="7"/>
        <v>5</v>
      </c>
      <c r="D178" s="85">
        <v>43961</v>
      </c>
      <c r="E178" s="31"/>
      <c r="F178" s="31">
        <v>7000</v>
      </c>
      <c r="G178" s="31"/>
      <c r="H178" s="31"/>
      <c r="I178" s="31" t="s">
        <v>88</v>
      </c>
      <c r="J178" s="5" t="s">
        <v>238</v>
      </c>
      <c r="K178" s="8"/>
    </row>
    <row r="179" spans="1:11" x14ac:dyDescent="0.2">
      <c r="A179" s="8">
        <v>178</v>
      </c>
      <c r="B179" s="8">
        <f t="shared" si="6"/>
        <v>2020</v>
      </c>
      <c r="C179" s="8">
        <f t="shared" si="7"/>
        <v>5</v>
      </c>
      <c r="D179" s="85">
        <v>43961</v>
      </c>
      <c r="E179" s="31"/>
      <c r="F179" s="31">
        <v>100000</v>
      </c>
      <c r="G179" s="31">
        <v>0</v>
      </c>
      <c r="H179" s="31"/>
      <c r="I179" s="31" t="s">
        <v>92</v>
      </c>
      <c r="J179" s="5" t="s">
        <v>239</v>
      </c>
      <c r="K179" s="8"/>
    </row>
    <row r="180" spans="1:11" x14ac:dyDescent="0.2">
      <c r="A180" s="8">
        <v>179</v>
      </c>
      <c r="B180" s="8">
        <f t="shared" si="6"/>
        <v>2020</v>
      </c>
      <c r="C180" s="8">
        <f t="shared" si="7"/>
        <v>5</v>
      </c>
      <c r="D180" s="85">
        <v>43965</v>
      </c>
      <c r="E180" s="31"/>
      <c r="F180" s="31">
        <v>32000</v>
      </c>
      <c r="G180" s="31"/>
      <c r="H180" s="31"/>
      <c r="I180" s="31" t="s">
        <v>85</v>
      </c>
      <c r="J180" s="5" t="s">
        <v>240</v>
      </c>
      <c r="K180" s="8"/>
    </row>
    <row r="181" spans="1:11" x14ac:dyDescent="0.2">
      <c r="A181" s="8">
        <v>180</v>
      </c>
      <c r="B181" s="8">
        <f t="shared" si="6"/>
        <v>2020</v>
      </c>
      <c r="C181" s="8">
        <f t="shared" si="7"/>
        <v>5</v>
      </c>
      <c r="D181" s="85">
        <v>43966</v>
      </c>
      <c r="E181" s="31"/>
      <c r="F181" s="31">
        <v>32000</v>
      </c>
      <c r="G181" s="31"/>
      <c r="H181" s="31"/>
      <c r="I181" s="31" t="s">
        <v>85</v>
      </c>
      <c r="J181" s="5" t="s">
        <v>241</v>
      </c>
      <c r="K181" s="8"/>
    </row>
    <row r="182" spans="1:11" x14ac:dyDescent="0.2">
      <c r="A182" s="8">
        <v>181</v>
      </c>
      <c r="B182" s="8">
        <f t="shared" si="6"/>
        <v>2020</v>
      </c>
      <c r="C182" s="8">
        <f t="shared" si="7"/>
        <v>5</v>
      </c>
      <c r="D182" s="85">
        <v>43966</v>
      </c>
      <c r="E182" s="31"/>
      <c r="F182" s="31">
        <v>13000</v>
      </c>
      <c r="G182" s="31"/>
      <c r="H182" s="31"/>
      <c r="I182" s="31" t="s">
        <v>85</v>
      </c>
      <c r="J182" s="5" t="s">
        <v>242</v>
      </c>
      <c r="K182" s="8"/>
    </row>
    <row r="183" spans="1:11" x14ac:dyDescent="0.2">
      <c r="A183" s="8">
        <v>182</v>
      </c>
      <c r="B183" s="8">
        <f t="shared" si="6"/>
        <v>2020</v>
      </c>
      <c r="C183" s="8">
        <f t="shared" si="7"/>
        <v>5</v>
      </c>
      <c r="D183" s="85">
        <v>43966</v>
      </c>
      <c r="E183" s="31"/>
      <c r="F183" s="31">
        <v>6000</v>
      </c>
      <c r="G183" s="31"/>
      <c r="H183" s="31"/>
      <c r="I183" s="31" t="s">
        <v>85</v>
      </c>
      <c r="J183" s="5" t="s">
        <v>243</v>
      </c>
      <c r="K183" s="8"/>
    </row>
    <row r="184" spans="1:11" x14ac:dyDescent="0.2">
      <c r="A184" s="8">
        <v>183</v>
      </c>
      <c r="B184" s="8">
        <f t="shared" si="6"/>
        <v>2020</v>
      </c>
      <c r="C184" s="8">
        <f t="shared" si="7"/>
        <v>5</v>
      </c>
      <c r="D184" s="85">
        <v>43966</v>
      </c>
      <c r="E184" s="31"/>
      <c r="F184" s="31">
        <v>25000</v>
      </c>
      <c r="G184" s="31"/>
      <c r="H184" s="31"/>
      <c r="I184" s="31" t="s">
        <v>85</v>
      </c>
      <c r="J184" s="5" t="s">
        <v>244</v>
      </c>
      <c r="K184" s="8"/>
    </row>
    <row r="185" spans="1:11" x14ac:dyDescent="0.2">
      <c r="A185" s="8">
        <v>184</v>
      </c>
      <c r="B185" s="8">
        <f t="shared" si="6"/>
        <v>2020</v>
      </c>
      <c r="C185" s="8">
        <f t="shared" si="7"/>
        <v>5</v>
      </c>
      <c r="D185" s="85">
        <v>43966</v>
      </c>
      <c r="E185" s="31"/>
      <c r="F185" s="31">
        <v>10000</v>
      </c>
      <c r="G185" s="31"/>
      <c r="H185" s="31"/>
      <c r="I185" s="31" t="s">
        <v>88</v>
      </c>
      <c r="J185" s="5" t="s">
        <v>245</v>
      </c>
      <c r="K185" s="8"/>
    </row>
    <row r="186" spans="1:11" x14ac:dyDescent="0.2">
      <c r="A186" s="8">
        <v>185</v>
      </c>
      <c r="B186" s="8">
        <f t="shared" si="6"/>
        <v>2020</v>
      </c>
      <c r="C186" s="8">
        <f t="shared" si="7"/>
        <v>5</v>
      </c>
      <c r="D186" s="85">
        <v>43966</v>
      </c>
      <c r="E186" s="31"/>
      <c r="F186" s="31">
        <v>15000</v>
      </c>
      <c r="G186" s="31"/>
      <c r="H186" s="31"/>
      <c r="I186" s="31" t="s">
        <v>88</v>
      </c>
      <c r="J186" s="5" t="s">
        <v>246</v>
      </c>
      <c r="K186" s="8"/>
    </row>
    <row r="187" spans="1:11" x14ac:dyDescent="0.2">
      <c r="A187" s="8">
        <v>186</v>
      </c>
      <c r="B187" s="8">
        <f t="shared" si="6"/>
        <v>2020</v>
      </c>
      <c r="C187" s="8">
        <f t="shared" si="7"/>
        <v>5</v>
      </c>
      <c r="D187" s="85">
        <v>43966</v>
      </c>
      <c r="E187" s="31"/>
      <c r="F187" s="31">
        <v>200000</v>
      </c>
      <c r="G187" s="31"/>
      <c r="H187" s="31"/>
      <c r="I187" s="31" t="s">
        <v>140</v>
      </c>
      <c r="J187" s="5" t="s">
        <v>194</v>
      </c>
      <c r="K187" s="8"/>
    </row>
    <row r="188" spans="1:11" x14ac:dyDescent="0.2">
      <c r="A188" s="8">
        <v>187</v>
      </c>
      <c r="B188" s="8">
        <f t="shared" si="6"/>
        <v>2020</v>
      </c>
      <c r="C188" s="8">
        <f t="shared" si="7"/>
        <v>5</v>
      </c>
      <c r="D188" s="85">
        <v>43966</v>
      </c>
      <c r="E188" s="31"/>
      <c r="F188" s="31">
        <v>240000</v>
      </c>
      <c r="G188" s="31"/>
      <c r="H188" s="31"/>
      <c r="I188" s="31" t="s">
        <v>140</v>
      </c>
      <c r="J188" s="5" t="s">
        <v>169</v>
      </c>
      <c r="K188" s="8"/>
    </row>
    <row r="189" spans="1:11" x14ac:dyDescent="0.2">
      <c r="A189" s="8">
        <v>188</v>
      </c>
      <c r="B189" s="8">
        <f t="shared" si="6"/>
        <v>2020</v>
      </c>
      <c r="C189" s="8">
        <f t="shared" si="7"/>
        <v>5</v>
      </c>
      <c r="D189" s="85">
        <v>43966</v>
      </c>
      <c r="E189" s="31"/>
      <c r="F189" s="31">
        <v>420000</v>
      </c>
      <c r="G189" s="31"/>
      <c r="H189" s="31"/>
      <c r="I189" s="31" t="s">
        <v>140</v>
      </c>
      <c r="J189" s="5" t="s">
        <v>199</v>
      </c>
      <c r="K189" s="8"/>
    </row>
    <row r="190" spans="1:11" x14ac:dyDescent="0.2">
      <c r="A190" s="8">
        <v>189</v>
      </c>
      <c r="B190" s="8">
        <f t="shared" si="6"/>
        <v>2020</v>
      </c>
      <c r="C190" s="8">
        <f t="shared" si="7"/>
        <v>5</v>
      </c>
      <c r="D190" s="85">
        <v>43966</v>
      </c>
      <c r="E190" s="31"/>
      <c r="F190" s="31">
        <v>108000</v>
      </c>
      <c r="G190" s="31"/>
      <c r="H190" s="31"/>
      <c r="I190" s="31" t="s">
        <v>140</v>
      </c>
      <c r="J190" s="5" t="s">
        <v>247</v>
      </c>
      <c r="K190" s="8"/>
    </row>
    <row r="191" spans="1:11" x14ac:dyDescent="0.2">
      <c r="A191" s="8">
        <v>190</v>
      </c>
      <c r="B191" s="8">
        <f t="shared" si="6"/>
        <v>2020</v>
      </c>
      <c r="C191" s="8">
        <f t="shared" si="7"/>
        <v>5</v>
      </c>
      <c r="D191" s="85">
        <v>43969</v>
      </c>
      <c r="E191" s="31"/>
      <c r="F191" s="31">
        <v>100000</v>
      </c>
      <c r="G191" s="31"/>
      <c r="H191" s="31"/>
      <c r="I191" s="31" t="s">
        <v>85</v>
      </c>
      <c r="J191" s="5" t="s">
        <v>248</v>
      </c>
      <c r="K191" s="8"/>
    </row>
    <row r="192" spans="1:11" x14ac:dyDescent="0.2">
      <c r="A192" s="8">
        <v>191</v>
      </c>
      <c r="B192" s="8">
        <f t="shared" si="6"/>
        <v>2020</v>
      </c>
      <c r="C192" s="8">
        <f t="shared" si="7"/>
        <v>5</v>
      </c>
      <c r="D192" s="85">
        <v>43969</v>
      </c>
      <c r="E192" s="31"/>
      <c r="F192" s="31">
        <v>8000</v>
      </c>
      <c r="G192" s="31"/>
      <c r="H192" s="31"/>
      <c r="I192" s="31" t="s">
        <v>88</v>
      </c>
      <c r="J192" s="5" t="s">
        <v>170</v>
      </c>
      <c r="K192" s="8"/>
    </row>
    <row r="193" spans="1:11" x14ac:dyDescent="0.2">
      <c r="A193" s="8">
        <v>192</v>
      </c>
      <c r="B193" s="8">
        <f t="shared" si="6"/>
        <v>2020</v>
      </c>
      <c r="C193" s="8">
        <f t="shared" si="7"/>
        <v>5</v>
      </c>
      <c r="D193" s="85">
        <v>43970</v>
      </c>
      <c r="E193" s="31"/>
      <c r="F193" s="31">
        <v>9000</v>
      </c>
      <c r="G193" s="31"/>
      <c r="H193" s="31"/>
      <c r="I193" s="31" t="s">
        <v>85</v>
      </c>
      <c r="J193" s="5" t="s">
        <v>249</v>
      </c>
      <c r="K193" s="8"/>
    </row>
    <row r="194" spans="1:11" x14ac:dyDescent="0.2">
      <c r="A194" s="8">
        <v>193</v>
      </c>
      <c r="B194" s="8">
        <f t="shared" si="6"/>
        <v>2020</v>
      </c>
      <c r="C194" s="8">
        <f t="shared" si="7"/>
        <v>5</v>
      </c>
      <c r="D194" s="85">
        <v>43974</v>
      </c>
      <c r="E194" s="31"/>
      <c r="F194" s="31">
        <v>75000</v>
      </c>
      <c r="G194" s="31"/>
      <c r="H194" s="31"/>
      <c r="I194" s="31" t="s">
        <v>85</v>
      </c>
      <c r="J194" s="5" t="s">
        <v>250</v>
      </c>
      <c r="K194" s="8"/>
    </row>
    <row r="195" spans="1:11" x14ac:dyDescent="0.2">
      <c r="A195" s="8">
        <v>194</v>
      </c>
      <c r="B195" s="8">
        <f t="shared" si="6"/>
        <v>2020</v>
      </c>
      <c r="C195" s="8">
        <f t="shared" si="7"/>
        <v>5</v>
      </c>
      <c r="D195" s="85">
        <v>43974</v>
      </c>
      <c r="E195" s="31"/>
      <c r="F195" s="31">
        <v>10000</v>
      </c>
      <c r="G195" s="31"/>
      <c r="H195" s="31"/>
      <c r="I195" s="31" t="s">
        <v>88</v>
      </c>
      <c r="J195" s="5" t="s">
        <v>251</v>
      </c>
      <c r="K195" s="8"/>
    </row>
    <row r="196" spans="1:11" x14ac:dyDescent="0.2">
      <c r="A196" s="8">
        <v>195</v>
      </c>
      <c r="B196" s="8">
        <f t="shared" si="6"/>
        <v>2020</v>
      </c>
      <c r="C196" s="8">
        <f t="shared" si="7"/>
        <v>5</v>
      </c>
      <c r="D196" s="85">
        <v>43974</v>
      </c>
      <c r="E196" s="31"/>
      <c r="F196" s="31">
        <v>100000</v>
      </c>
      <c r="G196" s="31"/>
      <c r="H196" s="31"/>
      <c r="I196" s="31" t="s">
        <v>88</v>
      </c>
      <c r="J196" s="5" t="s">
        <v>192</v>
      </c>
      <c r="K196" s="8"/>
    </row>
    <row r="197" spans="1:11" x14ac:dyDescent="0.2">
      <c r="A197" s="8">
        <v>196</v>
      </c>
      <c r="B197" s="8">
        <f t="shared" si="6"/>
        <v>2020</v>
      </c>
      <c r="C197" s="8">
        <f t="shared" si="7"/>
        <v>5</v>
      </c>
      <c r="D197" s="85">
        <v>43974</v>
      </c>
      <c r="E197" s="31">
        <v>50000</v>
      </c>
      <c r="F197" s="31"/>
      <c r="G197" s="31"/>
      <c r="H197" s="31"/>
      <c r="I197" s="31" t="s">
        <v>109</v>
      </c>
      <c r="J197" s="5" t="s">
        <v>252</v>
      </c>
      <c r="K197" s="8"/>
    </row>
    <row r="198" spans="1:11" x14ac:dyDescent="0.2">
      <c r="A198" s="8">
        <v>197</v>
      </c>
      <c r="B198" s="8">
        <f t="shared" ref="B198:B261" si="8">YEAR(D198)</f>
        <v>2020</v>
      </c>
      <c r="C198" s="8">
        <f t="shared" ref="C198:C261" si="9">MONTH(D198)</f>
        <v>5</v>
      </c>
      <c r="D198" s="85">
        <v>43974</v>
      </c>
      <c r="E198" s="31">
        <v>2000000</v>
      </c>
      <c r="F198" s="31"/>
      <c r="G198" s="31"/>
      <c r="H198" s="31"/>
      <c r="I198" s="31" t="s">
        <v>109</v>
      </c>
      <c r="J198" s="5" t="s">
        <v>253</v>
      </c>
      <c r="K198" s="8"/>
    </row>
    <row r="199" spans="1:11" x14ac:dyDescent="0.2">
      <c r="A199" s="8">
        <v>198</v>
      </c>
      <c r="B199" s="8">
        <f t="shared" si="8"/>
        <v>2020</v>
      </c>
      <c r="C199" s="8">
        <f t="shared" si="9"/>
        <v>5</v>
      </c>
      <c r="D199" s="85">
        <v>43976</v>
      </c>
      <c r="E199" s="31"/>
      <c r="F199" s="31">
        <v>7000</v>
      </c>
      <c r="G199" s="31"/>
      <c r="H199" s="31"/>
      <c r="I199" s="31" t="s">
        <v>88</v>
      </c>
      <c r="J199" s="5" t="s">
        <v>254</v>
      </c>
      <c r="K199" s="8"/>
    </row>
    <row r="200" spans="1:11" x14ac:dyDescent="0.2">
      <c r="A200" s="8">
        <v>199</v>
      </c>
      <c r="B200" s="8">
        <f t="shared" si="8"/>
        <v>2020</v>
      </c>
      <c r="C200" s="8">
        <f t="shared" si="9"/>
        <v>5</v>
      </c>
      <c r="D200" s="85">
        <v>43976</v>
      </c>
      <c r="E200" s="31"/>
      <c r="F200" s="31">
        <v>5000</v>
      </c>
      <c r="G200" s="31"/>
      <c r="H200" s="31"/>
      <c r="I200" s="31" t="s">
        <v>88</v>
      </c>
      <c r="J200" s="5" t="s">
        <v>255</v>
      </c>
      <c r="K200" s="8"/>
    </row>
    <row r="201" spans="1:11" x14ac:dyDescent="0.2">
      <c r="A201" s="8">
        <v>200</v>
      </c>
      <c r="B201" s="8">
        <f t="shared" si="8"/>
        <v>2020</v>
      </c>
      <c r="C201" s="8">
        <f t="shared" si="9"/>
        <v>5</v>
      </c>
      <c r="D201" s="85">
        <v>43976</v>
      </c>
      <c r="E201" s="31"/>
      <c r="F201" s="31">
        <v>40000</v>
      </c>
      <c r="G201" s="31"/>
      <c r="H201" s="31"/>
      <c r="I201" s="31" t="s">
        <v>88</v>
      </c>
      <c r="J201" s="5" t="s">
        <v>256</v>
      </c>
      <c r="K201" s="8"/>
    </row>
    <row r="202" spans="1:11" x14ac:dyDescent="0.2">
      <c r="A202" s="8">
        <v>201</v>
      </c>
      <c r="B202" s="8">
        <f t="shared" si="8"/>
        <v>2020</v>
      </c>
      <c r="C202" s="8">
        <f t="shared" si="9"/>
        <v>5</v>
      </c>
      <c r="D202" s="85">
        <v>43977</v>
      </c>
      <c r="E202" s="31"/>
      <c r="F202" s="31">
        <v>98000</v>
      </c>
      <c r="G202" s="31"/>
      <c r="H202" s="31"/>
      <c r="I202" s="31" t="s">
        <v>83</v>
      </c>
      <c r="J202" s="5" t="s">
        <v>119</v>
      </c>
      <c r="K202" s="8"/>
    </row>
    <row r="203" spans="1:11" x14ac:dyDescent="0.2">
      <c r="A203" s="8">
        <v>202</v>
      </c>
      <c r="B203" s="8">
        <f t="shared" si="8"/>
        <v>2020</v>
      </c>
      <c r="C203" s="8">
        <f t="shared" si="9"/>
        <v>5</v>
      </c>
      <c r="D203" s="85">
        <v>43977</v>
      </c>
      <c r="E203" s="31"/>
      <c r="F203" s="31">
        <v>175000</v>
      </c>
      <c r="G203" s="31"/>
      <c r="H203" s="31"/>
      <c r="I203" s="31" t="s">
        <v>85</v>
      </c>
      <c r="J203" s="5" t="s">
        <v>257</v>
      </c>
      <c r="K203" s="8"/>
    </row>
    <row r="204" spans="1:11" x14ac:dyDescent="0.2">
      <c r="A204" s="8">
        <v>203</v>
      </c>
      <c r="B204" s="8">
        <f t="shared" si="8"/>
        <v>2020</v>
      </c>
      <c r="C204" s="8">
        <f t="shared" si="9"/>
        <v>5</v>
      </c>
      <c r="D204" s="85">
        <v>43977</v>
      </c>
      <c r="E204" s="31"/>
      <c r="F204" s="31">
        <v>15000</v>
      </c>
      <c r="G204" s="31"/>
      <c r="H204" s="31"/>
      <c r="I204" s="31" t="s">
        <v>88</v>
      </c>
      <c r="J204" s="5" t="s">
        <v>258</v>
      </c>
      <c r="K204" s="8"/>
    </row>
    <row r="205" spans="1:11" x14ac:dyDescent="0.2">
      <c r="A205" s="8">
        <v>204</v>
      </c>
      <c r="B205" s="8">
        <f t="shared" si="8"/>
        <v>2020</v>
      </c>
      <c r="C205" s="8">
        <f t="shared" si="9"/>
        <v>5</v>
      </c>
      <c r="D205" s="85">
        <v>43980</v>
      </c>
      <c r="E205" s="31"/>
      <c r="F205" s="31">
        <v>110000</v>
      </c>
      <c r="G205" s="31"/>
      <c r="H205" s="31"/>
      <c r="I205" s="31" t="s">
        <v>85</v>
      </c>
      <c r="J205" s="5" t="s">
        <v>259</v>
      </c>
      <c r="K205" s="8"/>
    </row>
    <row r="206" spans="1:11" x14ac:dyDescent="0.2">
      <c r="A206" s="8">
        <v>205</v>
      </c>
      <c r="B206" s="8">
        <f t="shared" si="8"/>
        <v>2020</v>
      </c>
      <c r="C206" s="8">
        <f t="shared" si="9"/>
        <v>5</v>
      </c>
      <c r="D206" s="85">
        <v>43980</v>
      </c>
      <c r="E206" s="31"/>
      <c r="F206" s="31">
        <v>50000</v>
      </c>
      <c r="G206" s="31"/>
      <c r="H206" s="31"/>
      <c r="I206" s="31" t="s">
        <v>85</v>
      </c>
      <c r="J206" s="5" t="s">
        <v>260</v>
      </c>
      <c r="K206" s="8"/>
    </row>
    <row r="207" spans="1:11" x14ac:dyDescent="0.2">
      <c r="A207" s="8">
        <v>206</v>
      </c>
      <c r="B207" s="8">
        <f t="shared" si="8"/>
        <v>2020</v>
      </c>
      <c r="C207" s="8">
        <f t="shared" si="9"/>
        <v>5</v>
      </c>
      <c r="D207" s="85">
        <v>43980</v>
      </c>
      <c r="E207" s="31"/>
      <c r="F207" s="31">
        <v>200000</v>
      </c>
      <c r="G207" s="31"/>
      <c r="H207" s="31"/>
      <c r="I207" s="31" t="s">
        <v>140</v>
      </c>
      <c r="J207" s="5" t="s">
        <v>261</v>
      </c>
      <c r="K207" s="8"/>
    </row>
    <row r="208" spans="1:11" x14ac:dyDescent="0.2">
      <c r="A208" s="8">
        <v>207</v>
      </c>
      <c r="B208" s="8">
        <f t="shared" si="8"/>
        <v>2020</v>
      </c>
      <c r="C208" s="8">
        <f t="shared" si="9"/>
        <v>5</v>
      </c>
      <c r="D208" s="85">
        <v>43979</v>
      </c>
      <c r="E208" s="31"/>
      <c r="F208" s="31">
        <v>100000</v>
      </c>
      <c r="G208" s="31"/>
      <c r="H208" s="31"/>
      <c r="I208" s="31" t="s">
        <v>85</v>
      </c>
      <c r="J208" s="5" t="s">
        <v>262</v>
      </c>
      <c r="K208" s="8">
        <f>SUM(F162:F208)</f>
        <v>3496500</v>
      </c>
    </row>
    <row r="209" spans="1:12" x14ac:dyDescent="0.2">
      <c r="A209" s="8">
        <v>208</v>
      </c>
      <c r="B209" s="8">
        <f t="shared" si="8"/>
        <v>2020</v>
      </c>
      <c r="C209" s="8">
        <f t="shared" si="9"/>
        <v>6</v>
      </c>
      <c r="D209" s="85">
        <v>43983</v>
      </c>
      <c r="E209" s="31"/>
      <c r="F209" s="31">
        <v>50000</v>
      </c>
      <c r="G209" s="31"/>
      <c r="H209" s="31"/>
      <c r="I209" s="31" t="s">
        <v>88</v>
      </c>
      <c r="J209" s="5" t="s">
        <v>263</v>
      </c>
      <c r="K209" s="8"/>
    </row>
    <row r="210" spans="1:12" x14ac:dyDescent="0.2">
      <c r="A210" s="8">
        <v>209</v>
      </c>
      <c r="B210" s="8">
        <f t="shared" si="8"/>
        <v>2020</v>
      </c>
      <c r="C210" s="8">
        <f t="shared" si="9"/>
        <v>6</v>
      </c>
      <c r="D210" s="85">
        <v>43984</v>
      </c>
      <c r="E210" s="31">
        <v>225000</v>
      </c>
      <c r="F210" s="31"/>
      <c r="G210" s="31"/>
      <c r="H210" s="31"/>
      <c r="I210" s="31" t="s">
        <v>109</v>
      </c>
      <c r="J210" s="5" t="s">
        <v>264</v>
      </c>
      <c r="K210" s="8"/>
    </row>
    <row r="211" spans="1:12" x14ac:dyDescent="0.2">
      <c r="A211" s="8">
        <v>210</v>
      </c>
      <c r="B211" s="8">
        <f t="shared" si="8"/>
        <v>2020</v>
      </c>
      <c r="C211" s="8">
        <f t="shared" si="9"/>
        <v>6</v>
      </c>
      <c r="D211" s="85">
        <v>43984</v>
      </c>
      <c r="E211" s="31">
        <v>300000</v>
      </c>
      <c r="F211" s="31"/>
      <c r="G211" s="31"/>
      <c r="H211" s="31"/>
      <c r="I211" s="31" t="s">
        <v>109</v>
      </c>
      <c r="J211" s="5" t="s">
        <v>265</v>
      </c>
      <c r="K211" s="8"/>
    </row>
    <row r="212" spans="1:12" x14ac:dyDescent="0.2">
      <c r="A212" s="8">
        <v>211</v>
      </c>
      <c r="B212" s="8">
        <f t="shared" si="8"/>
        <v>2020</v>
      </c>
      <c r="C212" s="8">
        <f t="shared" si="9"/>
        <v>6</v>
      </c>
      <c r="D212" s="85">
        <v>43984</v>
      </c>
      <c r="E212" s="31">
        <v>300000</v>
      </c>
      <c r="F212" s="31"/>
      <c r="G212" s="31"/>
      <c r="H212" s="31"/>
      <c r="I212" s="31" t="s">
        <v>109</v>
      </c>
      <c r="J212" s="5" t="s">
        <v>266</v>
      </c>
      <c r="K212" s="8"/>
    </row>
    <row r="213" spans="1:12" x14ac:dyDescent="0.2">
      <c r="A213" s="8">
        <v>212</v>
      </c>
      <c r="B213" s="8">
        <f t="shared" si="8"/>
        <v>2020</v>
      </c>
      <c r="C213" s="8">
        <f t="shared" si="9"/>
        <v>6</v>
      </c>
      <c r="D213" s="85">
        <v>43984</v>
      </c>
      <c r="E213" s="31">
        <v>100000</v>
      </c>
      <c r="F213" s="31"/>
      <c r="G213" s="31"/>
      <c r="H213" s="31"/>
      <c r="I213" s="31" t="s">
        <v>109</v>
      </c>
      <c r="J213" s="5" t="s">
        <v>267</v>
      </c>
      <c r="K213" s="8"/>
    </row>
    <row r="214" spans="1:12" x14ac:dyDescent="0.2">
      <c r="A214" s="8">
        <v>213</v>
      </c>
      <c r="B214" s="8">
        <f t="shared" si="8"/>
        <v>2020</v>
      </c>
      <c r="C214" s="8">
        <f t="shared" si="9"/>
        <v>6</v>
      </c>
      <c r="D214" s="85">
        <v>43985</v>
      </c>
      <c r="E214" s="31"/>
      <c r="F214" s="31">
        <v>70000</v>
      </c>
      <c r="G214" s="31"/>
      <c r="H214" s="31"/>
      <c r="I214" s="31" t="s">
        <v>85</v>
      </c>
      <c r="J214" s="5" t="s">
        <v>268</v>
      </c>
      <c r="K214" s="8"/>
    </row>
    <row r="215" spans="1:12" x14ac:dyDescent="0.2">
      <c r="A215" s="8">
        <v>214</v>
      </c>
      <c r="B215" s="8">
        <f t="shared" si="8"/>
        <v>2020</v>
      </c>
      <c r="C215" s="8">
        <f t="shared" si="9"/>
        <v>6</v>
      </c>
      <c r="D215" s="85">
        <v>43985</v>
      </c>
      <c r="E215" s="31"/>
      <c r="F215" s="31">
        <v>78000</v>
      </c>
      <c r="G215" s="31"/>
      <c r="H215" s="31"/>
      <c r="I215" s="31" t="s">
        <v>85</v>
      </c>
      <c r="J215" s="5" t="s">
        <v>193</v>
      </c>
      <c r="K215" s="8"/>
    </row>
    <row r="216" spans="1:12" x14ac:dyDescent="0.2">
      <c r="A216" s="8">
        <v>215</v>
      </c>
      <c r="B216" s="8">
        <f t="shared" si="8"/>
        <v>2020</v>
      </c>
      <c r="C216" s="8">
        <f t="shared" si="9"/>
        <v>6</v>
      </c>
      <c r="D216" s="85">
        <v>43985</v>
      </c>
      <c r="E216" s="31"/>
      <c r="F216" s="31">
        <v>80000</v>
      </c>
      <c r="G216" s="31"/>
      <c r="H216" s="31"/>
      <c r="I216" s="31" t="s">
        <v>85</v>
      </c>
      <c r="J216" s="5" t="s">
        <v>269</v>
      </c>
      <c r="K216" s="8"/>
    </row>
    <row r="217" spans="1:12" x14ac:dyDescent="0.2">
      <c r="A217" s="8">
        <v>216</v>
      </c>
      <c r="B217" s="8">
        <f t="shared" si="8"/>
        <v>2020</v>
      </c>
      <c r="C217" s="8">
        <f t="shared" si="9"/>
        <v>6</v>
      </c>
      <c r="D217" s="85">
        <v>43985</v>
      </c>
      <c r="E217" s="31"/>
      <c r="F217" s="31">
        <v>56000</v>
      </c>
      <c r="G217" s="31"/>
      <c r="H217" s="31"/>
      <c r="I217" s="31" t="s">
        <v>140</v>
      </c>
      <c r="J217" s="5" t="s">
        <v>270</v>
      </c>
      <c r="K217" s="8"/>
    </row>
    <row r="218" spans="1:12" x14ac:dyDescent="0.2">
      <c r="A218" s="8">
        <v>217</v>
      </c>
      <c r="B218" s="8">
        <f t="shared" si="8"/>
        <v>2020</v>
      </c>
      <c r="C218" s="8">
        <f t="shared" si="9"/>
        <v>6</v>
      </c>
      <c r="D218" s="85">
        <v>43985</v>
      </c>
      <c r="E218" s="31"/>
      <c r="F218" s="31">
        <v>1000</v>
      </c>
      <c r="G218" s="31"/>
      <c r="H218" s="31"/>
      <c r="I218" s="31" t="s">
        <v>140</v>
      </c>
      <c r="J218" s="5" t="s">
        <v>271</v>
      </c>
      <c r="K218" s="8"/>
    </row>
    <row r="219" spans="1:12" x14ac:dyDescent="0.2">
      <c r="A219" s="8">
        <v>218</v>
      </c>
      <c r="B219" s="8">
        <f t="shared" si="8"/>
        <v>2020</v>
      </c>
      <c r="C219" s="8">
        <f t="shared" si="9"/>
        <v>6</v>
      </c>
      <c r="D219" s="85">
        <v>43985</v>
      </c>
      <c r="E219" s="31"/>
      <c r="F219" s="31">
        <v>600000</v>
      </c>
      <c r="G219" s="31"/>
      <c r="H219" s="31"/>
      <c r="I219" s="31" t="s">
        <v>140</v>
      </c>
      <c r="J219" s="5" t="s">
        <v>201</v>
      </c>
      <c r="K219" s="8"/>
    </row>
    <row r="220" spans="1:12" x14ac:dyDescent="0.2">
      <c r="A220" s="8">
        <v>219</v>
      </c>
      <c r="B220" s="8">
        <f t="shared" si="8"/>
        <v>2020</v>
      </c>
      <c r="C220" s="8">
        <f t="shared" si="9"/>
        <v>6</v>
      </c>
      <c r="D220" s="85">
        <v>43986</v>
      </c>
      <c r="E220" s="31"/>
      <c r="F220" s="31">
        <v>480000</v>
      </c>
      <c r="G220" s="31"/>
      <c r="H220" s="31"/>
      <c r="I220" s="31" t="s">
        <v>85</v>
      </c>
      <c r="J220" s="5" t="s">
        <v>272</v>
      </c>
      <c r="K220" s="8"/>
    </row>
    <row r="221" spans="1:12" x14ac:dyDescent="0.2">
      <c r="A221" s="8">
        <v>220</v>
      </c>
      <c r="B221" s="8">
        <f t="shared" si="8"/>
        <v>2020</v>
      </c>
      <c r="C221" s="8">
        <f t="shared" si="9"/>
        <v>6</v>
      </c>
      <c r="D221" s="85">
        <v>43988</v>
      </c>
      <c r="E221" s="31"/>
      <c r="F221" s="31">
        <v>45000</v>
      </c>
      <c r="G221" s="31"/>
      <c r="H221" s="31"/>
      <c r="I221" s="31" t="s">
        <v>88</v>
      </c>
      <c r="J221" s="5" t="s">
        <v>273</v>
      </c>
      <c r="K221" s="8"/>
    </row>
    <row r="222" spans="1:12" x14ac:dyDescent="0.2">
      <c r="A222" s="8">
        <v>221</v>
      </c>
      <c r="B222" s="8">
        <f t="shared" si="8"/>
        <v>2020</v>
      </c>
      <c r="C222" s="8">
        <f t="shared" si="9"/>
        <v>6</v>
      </c>
      <c r="D222" s="85">
        <v>43989</v>
      </c>
      <c r="E222" s="31"/>
      <c r="F222" s="31">
        <v>5000</v>
      </c>
      <c r="G222" s="31"/>
      <c r="H222" s="31"/>
      <c r="I222" s="31" t="s">
        <v>88</v>
      </c>
      <c r="J222" s="5" t="s">
        <v>274</v>
      </c>
      <c r="K222" s="8"/>
      <c r="L222" s="47"/>
    </row>
    <row r="223" spans="1:12" x14ac:dyDescent="0.2">
      <c r="A223" s="8">
        <v>222</v>
      </c>
      <c r="B223" s="8">
        <f t="shared" si="8"/>
        <v>2020</v>
      </c>
      <c r="C223" s="8">
        <f t="shared" si="9"/>
        <v>6</v>
      </c>
      <c r="D223" s="85">
        <v>43987</v>
      </c>
      <c r="E223" s="31">
        <v>120000</v>
      </c>
      <c r="F223" s="31"/>
      <c r="G223" s="31"/>
      <c r="H223" s="31"/>
      <c r="I223" s="31" t="s">
        <v>109</v>
      </c>
      <c r="J223" s="5" t="s">
        <v>275</v>
      </c>
      <c r="K223" s="8"/>
    </row>
    <row r="224" spans="1:12" x14ac:dyDescent="0.2">
      <c r="A224" s="8">
        <v>223</v>
      </c>
      <c r="B224" s="8">
        <f t="shared" si="8"/>
        <v>2020</v>
      </c>
      <c r="C224" s="8">
        <f t="shared" si="9"/>
        <v>6</v>
      </c>
      <c r="D224" s="85">
        <v>43990</v>
      </c>
      <c r="E224" s="31">
        <v>40000</v>
      </c>
      <c r="F224" s="31"/>
      <c r="G224" s="31"/>
      <c r="H224" s="31"/>
      <c r="I224" s="31" t="s">
        <v>109</v>
      </c>
      <c r="J224" s="5" t="s">
        <v>276</v>
      </c>
      <c r="K224" s="8"/>
    </row>
    <row r="225" spans="1:11" x14ac:dyDescent="0.2">
      <c r="A225" s="8">
        <v>224</v>
      </c>
      <c r="B225" s="8">
        <f t="shared" si="8"/>
        <v>2020</v>
      </c>
      <c r="C225" s="8">
        <f t="shared" si="9"/>
        <v>6</v>
      </c>
      <c r="D225" s="85">
        <v>43992</v>
      </c>
      <c r="E225" s="31"/>
      <c r="F225" s="31">
        <v>150000</v>
      </c>
      <c r="G225" s="31"/>
      <c r="H225" s="31"/>
      <c r="I225" s="31" t="s">
        <v>88</v>
      </c>
      <c r="J225" s="5" t="s">
        <v>137</v>
      </c>
      <c r="K225" s="8"/>
    </row>
    <row r="226" spans="1:11" x14ac:dyDescent="0.2">
      <c r="A226" s="8">
        <v>225</v>
      </c>
      <c r="B226" s="8">
        <f t="shared" si="8"/>
        <v>2020</v>
      </c>
      <c r="C226" s="8">
        <f t="shared" si="9"/>
        <v>6</v>
      </c>
      <c r="D226" s="85">
        <v>43992</v>
      </c>
      <c r="E226" s="31"/>
      <c r="F226" s="31">
        <v>12000</v>
      </c>
      <c r="G226" s="31"/>
      <c r="H226" s="31"/>
      <c r="I226" s="31" t="s">
        <v>88</v>
      </c>
      <c r="J226" s="5" t="s">
        <v>277</v>
      </c>
      <c r="K226" s="8"/>
    </row>
    <row r="227" spans="1:11" x14ac:dyDescent="0.2">
      <c r="A227" s="8">
        <v>226</v>
      </c>
      <c r="B227" s="8">
        <f t="shared" si="8"/>
        <v>2020</v>
      </c>
      <c r="C227" s="8">
        <f t="shared" si="9"/>
        <v>6</v>
      </c>
      <c r="D227" s="85">
        <v>43993</v>
      </c>
      <c r="E227" s="31"/>
      <c r="F227" s="31">
        <v>100000</v>
      </c>
      <c r="G227" s="31"/>
      <c r="H227" s="31"/>
      <c r="I227" s="31" t="s">
        <v>83</v>
      </c>
      <c r="J227" s="5" t="s">
        <v>83</v>
      </c>
      <c r="K227" s="8"/>
    </row>
    <row r="228" spans="1:11" x14ac:dyDescent="0.2">
      <c r="A228" s="8">
        <v>227</v>
      </c>
      <c r="B228" s="8">
        <f t="shared" si="8"/>
        <v>2020</v>
      </c>
      <c r="C228" s="8">
        <f t="shared" si="9"/>
        <v>6</v>
      </c>
      <c r="D228" s="85">
        <v>43993</v>
      </c>
      <c r="E228" s="31"/>
      <c r="F228" s="31">
        <v>20000</v>
      </c>
      <c r="G228" s="31"/>
      <c r="H228" s="31"/>
      <c r="I228" s="31" t="s">
        <v>85</v>
      </c>
      <c r="J228" s="5" t="s">
        <v>194</v>
      </c>
      <c r="K228" s="8"/>
    </row>
    <row r="229" spans="1:11" x14ac:dyDescent="0.2">
      <c r="A229" s="8">
        <v>228</v>
      </c>
      <c r="B229" s="8">
        <f t="shared" si="8"/>
        <v>2020</v>
      </c>
      <c r="C229" s="8">
        <f t="shared" si="9"/>
        <v>6</v>
      </c>
      <c r="D229" s="85">
        <v>43996</v>
      </c>
      <c r="E229" s="31">
        <v>690000</v>
      </c>
      <c r="F229" s="31">
        <v>510000</v>
      </c>
      <c r="G229" s="31"/>
      <c r="H229" s="31"/>
      <c r="I229" s="31" t="s">
        <v>109</v>
      </c>
      <c r="J229" s="5" t="s">
        <v>275</v>
      </c>
      <c r="K229" s="8"/>
    </row>
    <row r="230" spans="1:11" x14ac:dyDescent="0.2">
      <c r="A230" s="8">
        <v>229</v>
      </c>
      <c r="B230" s="8">
        <f t="shared" si="8"/>
        <v>2020</v>
      </c>
      <c r="C230" s="8">
        <f t="shared" si="9"/>
        <v>6</v>
      </c>
      <c r="D230" s="85">
        <v>43996</v>
      </c>
      <c r="E230" s="31"/>
      <c r="F230" s="31">
        <v>30000</v>
      </c>
      <c r="G230" s="31"/>
      <c r="H230" s="31"/>
      <c r="I230" s="31" t="s">
        <v>85</v>
      </c>
      <c r="J230" s="5" t="s">
        <v>278</v>
      </c>
      <c r="K230" s="8"/>
    </row>
    <row r="231" spans="1:11" x14ac:dyDescent="0.2">
      <c r="A231" s="8">
        <v>230</v>
      </c>
      <c r="B231" s="8">
        <f t="shared" si="8"/>
        <v>2020</v>
      </c>
      <c r="C231" s="8">
        <f t="shared" si="9"/>
        <v>6</v>
      </c>
      <c r="D231" s="85">
        <v>43997</v>
      </c>
      <c r="E231" s="31"/>
      <c r="F231" s="31">
        <v>420000</v>
      </c>
      <c r="G231" s="31"/>
      <c r="H231" s="31"/>
      <c r="I231" s="31" t="s">
        <v>140</v>
      </c>
      <c r="J231" s="5" t="s">
        <v>199</v>
      </c>
      <c r="K231" s="8"/>
    </row>
    <row r="232" spans="1:11" x14ac:dyDescent="0.2">
      <c r="A232" s="8">
        <v>231</v>
      </c>
      <c r="B232" s="8">
        <f t="shared" si="8"/>
        <v>2020</v>
      </c>
      <c r="C232" s="8">
        <f t="shared" si="9"/>
        <v>6</v>
      </c>
      <c r="D232" s="85">
        <v>43997</v>
      </c>
      <c r="E232" s="31"/>
      <c r="F232" s="31">
        <v>180000</v>
      </c>
      <c r="G232" s="31"/>
      <c r="H232" s="31"/>
      <c r="I232" s="31" t="s">
        <v>85</v>
      </c>
      <c r="J232" s="5" t="s">
        <v>194</v>
      </c>
      <c r="K232" s="8"/>
    </row>
    <row r="233" spans="1:11" x14ac:dyDescent="0.2">
      <c r="A233" s="8">
        <v>232</v>
      </c>
      <c r="B233" s="8">
        <f t="shared" si="8"/>
        <v>2020</v>
      </c>
      <c r="C233" s="8">
        <f t="shared" si="9"/>
        <v>6</v>
      </c>
      <c r="D233" s="85">
        <v>43998</v>
      </c>
      <c r="E233" s="31">
        <v>150000</v>
      </c>
      <c r="F233" s="31">
        <v>0</v>
      </c>
      <c r="G233" s="31"/>
      <c r="H233" s="31"/>
      <c r="I233" s="31" t="s">
        <v>109</v>
      </c>
      <c r="J233" s="5" t="s">
        <v>279</v>
      </c>
      <c r="K233" s="8"/>
    </row>
    <row r="234" spans="1:11" x14ac:dyDescent="0.2">
      <c r="A234" s="8">
        <v>233</v>
      </c>
      <c r="B234" s="8">
        <f t="shared" si="8"/>
        <v>2020</v>
      </c>
      <c r="C234" s="8">
        <f t="shared" si="9"/>
        <v>6</v>
      </c>
      <c r="D234" s="85">
        <v>43999</v>
      </c>
      <c r="E234" s="31">
        <v>200000</v>
      </c>
      <c r="F234" s="31">
        <v>240000</v>
      </c>
      <c r="G234" s="31"/>
      <c r="H234" s="31"/>
      <c r="I234" s="31" t="s">
        <v>109</v>
      </c>
      <c r="J234" s="5" t="s">
        <v>280</v>
      </c>
      <c r="K234" s="8"/>
    </row>
    <row r="235" spans="1:11" x14ac:dyDescent="0.2">
      <c r="A235" s="8">
        <v>234</v>
      </c>
      <c r="B235" s="8">
        <f t="shared" si="8"/>
        <v>2020</v>
      </c>
      <c r="C235" s="8">
        <f t="shared" si="9"/>
        <v>6</v>
      </c>
      <c r="D235" s="85">
        <v>44000</v>
      </c>
      <c r="E235" s="31"/>
      <c r="F235" s="31">
        <v>100000</v>
      </c>
      <c r="G235" s="31"/>
      <c r="H235" s="31"/>
      <c r="I235" s="31" t="s">
        <v>85</v>
      </c>
      <c r="J235" s="5" t="s">
        <v>281</v>
      </c>
      <c r="K235" s="8"/>
    </row>
    <row r="236" spans="1:11" x14ac:dyDescent="0.2">
      <c r="A236" s="8">
        <v>235</v>
      </c>
      <c r="B236" s="8">
        <f t="shared" si="8"/>
        <v>2020</v>
      </c>
      <c r="C236" s="8">
        <f t="shared" si="9"/>
        <v>6</v>
      </c>
      <c r="D236" s="85">
        <v>44001</v>
      </c>
      <c r="E236" s="31">
        <v>500000</v>
      </c>
      <c r="F236" s="31">
        <v>0</v>
      </c>
      <c r="G236" s="31"/>
      <c r="H236" s="31"/>
      <c r="I236" s="31" t="s">
        <v>109</v>
      </c>
      <c r="J236" s="5" t="s">
        <v>282</v>
      </c>
      <c r="K236" s="8"/>
    </row>
    <row r="237" spans="1:11" x14ac:dyDescent="0.2">
      <c r="A237" s="8">
        <v>236</v>
      </c>
      <c r="B237" s="8">
        <f t="shared" si="8"/>
        <v>2020</v>
      </c>
      <c r="C237" s="8">
        <f t="shared" si="9"/>
        <v>6</v>
      </c>
      <c r="D237" s="85">
        <v>44001</v>
      </c>
      <c r="E237" s="31"/>
      <c r="F237" s="31">
        <v>520000</v>
      </c>
      <c r="G237" s="31"/>
      <c r="H237" s="31"/>
      <c r="I237" s="31" t="s">
        <v>85</v>
      </c>
      <c r="J237" s="5" t="s">
        <v>283</v>
      </c>
      <c r="K237" s="8"/>
    </row>
    <row r="238" spans="1:11" x14ac:dyDescent="0.2">
      <c r="A238" s="8">
        <v>237</v>
      </c>
      <c r="B238" s="8">
        <f t="shared" si="8"/>
        <v>2020</v>
      </c>
      <c r="C238" s="8">
        <f t="shared" si="9"/>
        <v>6</v>
      </c>
      <c r="D238" s="85">
        <v>44002</v>
      </c>
      <c r="E238" s="31"/>
      <c r="F238" s="31">
        <v>449000</v>
      </c>
      <c r="G238" s="31"/>
      <c r="H238" s="31"/>
      <c r="I238" s="188" t="s">
        <v>4137</v>
      </c>
      <c r="J238" s="5" t="s">
        <v>284</v>
      </c>
      <c r="K238" s="8"/>
    </row>
    <row r="239" spans="1:11" x14ac:dyDescent="0.2">
      <c r="A239" s="8">
        <v>238</v>
      </c>
      <c r="B239" s="8">
        <f t="shared" si="8"/>
        <v>2020</v>
      </c>
      <c r="C239" s="8">
        <f t="shared" si="9"/>
        <v>6</v>
      </c>
      <c r="D239" s="85">
        <v>44003</v>
      </c>
      <c r="E239" s="31"/>
      <c r="F239" s="31">
        <v>45000</v>
      </c>
      <c r="G239" s="31"/>
      <c r="H239" s="31"/>
      <c r="I239" s="31" t="s">
        <v>85</v>
      </c>
      <c r="J239" s="54" t="s">
        <v>285</v>
      </c>
      <c r="K239" s="8"/>
    </row>
    <row r="240" spans="1:11" x14ac:dyDescent="0.2">
      <c r="A240" s="8">
        <v>239</v>
      </c>
      <c r="B240" s="8">
        <f t="shared" si="8"/>
        <v>2020</v>
      </c>
      <c r="C240" s="8">
        <f t="shared" si="9"/>
        <v>6</v>
      </c>
      <c r="D240" s="85">
        <v>44003</v>
      </c>
      <c r="E240" s="31"/>
      <c r="F240" s="31">
        <v>10000</v>
      </c>
      <c r="G240" s="31"/>
      <c r="H240" s="31"/>
      <c r="I240" s="31" t="s">
        <v>85</v>
      </c>
      <c r="J240" s="55" t="s">
        <v>286</v>
      </c>
      <c r="K240" s="100"/>
    </row>
    <row r="241" spans="1:11" x14ac:dyDescent="0.2">
      <c r="A241" s="8">
        <v>240</v>
      </c>
      <c r="B241" s="8">
        <f t="shared" si="8"/>
        <v>2020</v>
      </c>
      <c r="C241" s="8">
        <f t="shared" si="9"/>
        <v>6</v>
      </c>
      <c r="D241" s="85">
        <v>44003</v>
      </c>
      <c r="E241" s="31"/>
      <c r="F241" s="31">
        <v>20000</v>
      </c>
      <c r="G241" s="31"/>
      <c r="H241" s="31"/>
      <c r="I241" s="31" t="s">
        <v>85</v>
      </c>
      <c r="J241" s="54" t="s">
        <v>287</v>
      </c>
      <c r="K241" s="8"/>
    </row>
    <row r="242" spans="1:11" x14ac:dyDescent="0.2">
      <c r="A242" s="8">
        <v>241</v>
      </c>
      <c r="B242" s="8">
        <f t="shared" si="8"/>
        <v>2020</v>
      </c>
      <c r="C242" s="8">
        <f t="shared" si="9"/>
        <v>6</v>
      </c>
      <c r="D242" s="85">
        <v>44005</v>
      </c>
      <c r="E242" s="31"/>
      <c r="F242" s="31"/>
      <c r="G242" s="31"/>
      <c r="H242" s="31"/>
      <c r="I242" s="31" t="s">
        <v>92</v>
      </c>
      <c r="J242" s="5" t="s">
        <v>288</v>
      </c>
      <c r="K242" s="8"/>
    </row>
    <row r="243" spans="1:11" x14ac:dyDescent="0.2">
      <c r="A243" s="8">
        <v>242</v>
      </c>
      <c r="B243" s="8">
        <f t="shared" si="8"/>
        <v>2020</v>
      </c>
      <c r="C243" s="8">
        <f t="shared" si="9"/>
        <v>6</v>
      </c>
      <c r="D243" s="85">
        <v>44005</v>
      </c>
      <c r="E243" s="31"/>
      <c r="F243" s="31">
        <v>140000</v>
      </c>
      <c r="G243" s="31">
        <v>0</v>
      </c>
      <c r="H243" s="31"/>
      <c r="I243" s="31" t="s">
        <v>85</v>
      </c>
      <c r="J243" s="5" t="s">
        <v>289</v>
      </c>
      <c r="K243" s="8"/>
    </row>
    <row r="244" spans="1:11" x14ac:dyDescent="0.2">
      <c r="A244" s="8">
        <v>243</v>
      </c>
      <c r="B244" s="8">
        <f t="shared" si="8"/>
        <v>2020</v>
      </c>
      <c r="C244" s="8">
        <f t="shared" si="9"/>
        <v>6</v>
      </c>
      <c r="D244" s="85">
        <v>44006</v>
      </c>
      <c r="E244" s="31"/>
      <c r="F244" s="31">
        <v>100000</v>
      </c>
      <c r="G244" s="31">
        <v>0</v>
      </c>
      <c r="H244" s="31"/>
      <c r="I244" s="31" t="s">
        <v>92</v>
      </c>
      <c r="J244" s="5" t="s">
        <v>290</v>
      </c>
      <c r="K244" s="8"/>
    </row>
    <row r="245" spans="1:11" x14ac:dyDescent="0.2">
      <c r="A245" s="8">
        <v>244</v>
      </c>
      <c r="B245" s="8">
        <f t="shared" si="8"/>
        <v>2020</v>
      </c>
      <c r="C245" s="8">
        <f t="shared" si="9"/>
        <v>6</v>
      </c>
      <c r="D245" s="85">
        <v>44006</v>
      </c>
      <c r="E245" s="31"/>
      <c r="F245" s="31">
        <v>40000</v>
      </c>
      <c r="G245" s="31"/>
      <c r="H245" s="31"/>
      <c r="I245" s="31" t="s">
        <v>85</v>
      </c>
      <c r="J245" s="5" t="s">
        <v>291</v>
      </c>
      <c r="K245" s="8"/>
    </row>
    <row r="246" spans="1:11" x14ac:dyDescent="0.2">
      <c r="A246" s="8">
        <v>245</v>
      </c>
      <c r="B246" s="8">
        <f t="shared" si="8"/>
        <v>2020</v>
      </c>
      <c r="C246" s="8">
        <f t="shared" si="9"/>
        <v>6</v>
      </c>
      <c r="D246" s="85">
        <v>44006</v>
      </c>
      <c r="E246" s="31"/>
      <c r="F246" s="31">
        <v>10000</v>
      </c>
      <c r="G246" s="31"/>
      <c r="H246" s="31"/>
      <c r="I246" s="31" t="s">
        <v>85</v>
      </c>
      <c r="J246" s="5" t="s">
        <v>292</v>
      </c>
      <c r="K246" s="8"/>
    </row>
    <row r="247" spans="1:11" x14ac:dyDescent="0.2">
      <c r="A247" s="8">
        <v>246</v>
      </c>
      <c r="B247" s="8">
        <f t="shared" si="8"/>
        <v>2020</v>
      </c>
      <c r="C247" s="8">
        <f t="shared" si="9"/>
        <v>6</v>
      </c>
      <c r="D247" s="85">
        <v>44007</v>
      </c>
      <c r="E247" s="31">
        <v>550000</v>
      </c>
      <c r="F247" s="31">
        <v>50000</v>
      </c>
      <c r="G247" s="31">
        <v>0</v>
      </c>
      <c r="H247" s="31"/>
      <c r="I247" s="31" t="s">
        <v>109</v>
      </c>
      <c r="J247" s="5" t="s">
        <v>293</v>
      </c>
      <c r="K247" s="8"/>
    </row>
    <row r="248" spans="1:11" x14ac:dyDescent="0.2">
      <c r="A248" s="8">
        <v>247</v>
      </c>
      <c r="B248" s="8">
        <f t="shared" si="8"/>
        <v>2020</v>
      </c>
      <c r="C248" s="8">
        <f t="shared" si="9"/>
        <v>6</v>
      </c>
      <c r="D248" s="85">
        <v>44007</v>
      </c>
      <c r="E248" s="31"/>
      <c r="F248" s="31">
        <v>300000</v>
      </c>
      <c r="G248" s="31"/>
      <c r="H248" s="31"/>
      <c r="I248" s="31" t="s">
        <v>85</v>
      </c>
      <c r="J248" s="5" t="s">
        <v>294</v>
      </c>
      <c r="K248" s="8"/>
    </row>
    <row r="249" spans="1:11" x14ac:dyDescent="0.2">
      <c r="A249" s="8">
        <v>248</v>
      </c>
      <c r="B249" s="8">
        <f t="shared" si="8"/>
        <v>2020</v>
      </c>
      <c r="C249" s="8">
        <f t="shared" si="9"/>
        <v>6</v>
      </c>
      <c r="D249" s="85">
        <v>44007</v>
      </c>
      <c r="E249" s="31"/>
      <c r="F249" s="31">
        <v>60000</v>
      </c>
      <c r="G249" s="31"/>
      <c r="H249" s="31"/>
      <c r="I249" s="31" t="s">
        <v>85</v>
      </c>
      <c r="J249" s="5" t="s">
        <v>295</v>
      </c>
      <c r="K249" s="8"/>
    </row>
    <row r="250" spans="1:11" x14ac:dyDescent="0.2">
      <c r="A250" s="8">
        <v>249</v>
      </c>
      <c r="B250" s="8">
        <f t="shared" si="8"/>
        <v>2020</v>
      </c>
      <c r="C250" s="8">
        <f t="shared" si="9"/>
        <v>6</v>
      </c>
      <c r="D250" s="85">
        <v>44007</v>
      </c>
      <c r="E250" s="31"/>
      <c r="F250" s="31">
        <v>30000</v>
      </c>
      <c r="G250" s="31"/>
      <c r="H250" s="31"/>
      <c r="I250" s="31" t="s">
        <v>85</v>
      </c>
      <c r="J250" s="5" t="s">
        <v>296</v>
      </c>
      <c r="K250" s="8"/>
    </row>
    <row r="251" spans="1:11" x14ac:dyDescent="0.2">
      <c r="A251" s="8">
        <v>250</v>
      </c>
      <c r="B251" s="8">
        <f t="shared" si="8"/>
        <v>2020</v>
      </c>
      <c r="C251" s="8">
        <f t="shared" si="9"/>
        <v>6</v>
      </c>
      <c r="D251" s="85">
        <v>44007</v>
      </c>
      <c r="E251" s="31">
        <v>950000</v>
      </c>
      <c r="F251" s="31"/>
      <c r="G251" s="31"/>
      <c r="H251" s="31"/>
      <c r="I251" s="31" t="s">
        <v>109</v>
      </c>
      <c r="J251" s="5" t="s">
        <v>297</v>
      </c>
      <c r="K251" s="8"/>
    </row>
    <row r="252" spans="1:11" x14ac:dyDescent="0.2">
      <c r="A252" s="8">
        <v>251</v>
      </c>
      <c r="B252" s="8">
        <f t="shared" si="8"/>
        <v>2020</v>
      </c>
      <c r="C252" s="8">
        <f t="shared" si="9"/>
        <v>6</v>
      </c>
      <c r="D252" s="85">
        <v>44008</v>
      </c>
      <c r="E252" s="31"/>
      <c r="F252" s="31">
        <v>54000</v>
      </c>
      <c r="G252" s="31"/>
      <c r="H252" s="31"/>
      <c r="I252" s="31" t="s">
        <v>140</v>
      </c>
      <c r="J252" s="5" t="s">
        <v>298</v>
      </c>
      <c r="K252" s="8"/>
    </row>
    <row r="253" spans="1:11" x14ac:dyDescent="0.2">
      <c r="A253" s="8">
        <v>252</v>
      </c>
      <c r="B253" s="8">
        <f t="shared" si="8"/>
        <v>2020</v>
      </c>
      <c r="C253" s="8">
        <f t="shared" si="9"/>
        <v>6</v>
      </c>
      <c r="D253" s="85">
        <v>44009</v>
      </c>
      <c r="E253" s="31"/>
      <c r="F253" s="31">
        <v>100000</v>
      </c>
      <c r="G253" s="31"/>
      <c r="H253" s="31"/>
      <c r="I253" s="31" t="s">
        <v>83</v>
      </c>
      <c r="J253" s="5" t="s">
        <v>299</v>
      </c>
      <c r="K253" s="8"/>
    </row>
    <row r="254" spans="1:11" x14ac:dyDescent="0.2">
      <c r="A254" s="8">
        <v>253</v>
      </c>
      <c r="B254" s="8">
        <f t="shared" si="8"/>
        <v>2020</v>
      </c>
      <c r="C254" s="8">
        <f t="shared" si="9"/>
        <v>6</v>
      </c>
      <c r="D254" s="85">
        <v>44009</v>
      </c>
      <c r="E254" s="31"/>
      <c r="F254" s="31">
        <v>20000</v>
      </c>
      <c r="G254" s="31"/>
      <c r="H254" s="31"/>
      <c r="I254" s="31" t="s">
        <v>88</v>
      </c>
      <c r="J254" s="5" t="s">
        <v>300</v>
      </c>
      <c r="K254" s="8"/>
    </row>
    <row r="255" spans="1:11" x14ac:dyDescent="0.2">
      <c r="A255" s="8">
        <v>254</v>
      </c>
      <c r="B255" s="8">
        <f t="shared" si="8"/>
        <v>2020</v>
      </c>
      <c r="C255" s="8">
        <f t="shared" si="9"/>
        <v>6</v>
      </c>
      <c r="D255" s="85">
        <v>44012</v>
      </c>
      <c r="E255" s="31"/>
      <c r="F255" s="31">
        <v>200000</v>
      </c>
      <c r="G255" s="31"/>
      <c r="H255" s="31"/>
      <c r="I255" s="31" t="s">
        <v>140</v>
      </c>
      <c r="J255" s="5" t="s">
        <v>301</v>
      </c>
      <c r="K255" s="8"/>
    </row>
    <row r="256" spans="1:11" x14ac:dyDescent="0.2">
      <c r="A256" s="8">
        <v>255</v>
      </c>
      <c r="B256" s="8">
        <f t="shared" si="8"/>
        <v>2020</v>
      </c>
      <c r="C256" s="8">
        <f t="shared" si="9"/>
        <v>6</v>
      </c>
      <c r="D256" s="85">
        <v>44012</v>
      </c>
      <c r="E256" s="31"/>
      <c r="F256" s="31">
        <v>70000</v>
      </c>
      <c r="G256" s="31"/>
      <c r="H256" s="31"/>
      <c r="I256" s="31" t="s">
        <v>140</v>
      </c>
      <c r="J256" s="5" t="s">
        <v>224</v>
      </c>
      <c r="K256" s="8">
        <f>SUM(F210:F256)</f>
        <v>5395000</v>
      </c>
    </row>
    <row r="257" spans="1:11" x14ac:dyDescent="0.2">
      <c r="A257" s="8">
        <v>256</v>
      </c>
      <c r="B257" s="8">
        <f t="shared" si="8"/>
        <v>2020</v>
      </c>
      <c r="C257" s="8">
        <f t="shared" si="9"/>
        <v>7</v>
      </c>
      <c r="D257" s="85">
        <v>44013</v>
      </c>
      <c r="E257" s="31"/>
      <c r="F257" s="31">
        <v>60000</v>
      </c>
      <c r="G257" s="31"/>
      <c r="H257" s="31"/>
      <c r="I257" s="31" t="s">
        <v>85</v>
      </c>
      <c r="J257" s="5" t="s">
        <v>302</v>
      </c>
      <c r="K257" s="8"/>
    </row>
    <row r="258" spans="1:11" x14ac:dyDescent="0.2">
      <c r="A258" s="8">
        <v>257</v>
      </c>
      <c r="B258" s="8">
        <f t="shared" si="8"/>
        <v>2020</v>
      </c>
      <c r="C258" s="8">
        <f t="shared" si="9"/>
        <v>7</v>
      </c>
      <c r="D258" s="85">
        <v>44015</v>
      </c>
      <c r="E258" s="31"/>
      <c r="F258" s="31">
        <v>60000</v>
      </c>
      <c r="G258" s="31"/>
      <c r="H258" s="31"/>
      <c r="I258" s="31" t="s">
        <v>85</v>
      </c>
      <c r="J258" s="5" t="s">
        <v>303</v>
      </c>
      <c r="K258" s="8"/>
    </row>
    <row r="259" spans="1:11" x14ac:dyDescent="0.2">
      <c r="A259" s="8">
        <v>258</v>
      </c>
      <c r="B259" s="8">
        <f t="shared" si="8"/>
        <v>2020</v>
      </c>
      <c r="C259" s="8">
        <f t="shared" si="9"/>
        <v>7</v>
      </c>
      <c r="D259" s="85">
        <v>44017</v>
      </c>
      <c r="E259" s="31"/>
      <c r="F259" s="31">
        <v>50000</v>
      </c>
      <c r="G259" s="31"/>
      <c r="H259" s="31"/>
      <c r="I259" s="31" t="s">
        <v>85</v>
      </c>
      <c r="J259" s="5" t="s">
        <v>126</v>
      </c>
      <c r="K259" s="8"/>
    </row>
    <row r="260" spans="1:11" x14ac:dyDescent="0.2">
      <c r="A260" s="8">
        <v>259</v>
      </c>
      <c r="B260" s="8">
        <f t="shared" si="8"/>
        <v>2020</v>
      </c>
      <c r="C260" s="8">
        <f t="shared" si="9"/>
        <v>7</v>
      </c>
      <c r="D260" s="85">
        <v>44018</v>
      </c>
      <c r="E260" s="31"/>
      <c r="F260" s="31">
        <v>20000</v>
      </c>
      <c r="G260" s="31"/>
      <c r="H260" s="31"/>
      <c r="I260" s="31" t="s">
        <v>88</v>
      </c>
      <c r="J260" s="5" t="s">
        <v>300</v>
      </c>
      <c r="K260" s="8"/>
    </row>
    <row r="261" spans="1:11" x14ac:dyDescent="0.2">
      <c r="A261" s="8">
        <v>260</v>
      </c>
      <c r="B261" s="8">
        <f t="shared" si="8"/>
        <v>2020</v>
      </c>
      <c r="C261" s="8">
        <f t="shared" si="9"/>
        <v>7</v>
      </c>
      <c r="D261" s="85">
        <v>44019</v>
      </c>
      <c r="E261" s="31"/>
      <c r="F261" s="31">
        <v>180000</v>
      </c>
      <c r="G261" s="31"/>
      <c r="H261" s="31"/>
      <c r="I261" s="31" t="s">
        <v>88</v>
      </c>
      <c r="J261" s="5" t="s">
        <v>304</v>
      </c>
      <c r="K261" s="8"/>
    </row>
    <row r="262" spans="1:11" x14ac:dyDescent="0.2">
      <c r="A262" s="8">
        <v>261</v>
      </c>
      <c r="B262" s="8">
        <f t="shared" ref="B262:B325" si="10">YEAR(D262)</f>
        <v>2020</v>
      </c>
      <c r="C262" s="8">
        <f t="shared" ref="C262:C325" si="11">MONTH(D262)</f>
        <v>7</v>
      </c>
      <c r="D262" s="85">
        <v>44020</v>
      </c>
      <c r="E262" s="31">
        <v>400000</v>
      </c>
      <c r="F262" s="31">
        <v>0</v>
      </c>
      <c r="G262" s="31">
        <v>0</v>
      </c>
      <c r="H262" s="31"/>
      <c r="I262" s="31" t="s">
        <v>109</v>
      </c>
      <c r="J262" s="5" t="s">
        <v>305</v>
      </c>
      <c r="K262" s="8"/>
    </row>
    <row r="263" spans="1:11" x14ac:dyDescent="0.2">
      <c r="A263" s="8">
        <v>262</v>
      </c>
      <c r="B263" s="8">
        <f t="shared" si="10"/>
        <v>2020</v>
      </c>
      <c r="C263" s="8">
        <f t="shared" si="11"/>
        <v>7</v>
      </c>
      <c r="D263" s="85">
        <v>44021</v>
      </c>
      <c r="E263" s="31"/>
      <c r="F263" s="31">
        <v>95000</v>
      </c>
      <c r="G263" s="31"/>
      <c r="H263" s="31"/>
      <c r="I263" s="31" t="s">
        <v>83</v>
      </c>
      <c r="J263" s="5" t="s">
        <v>299</v>
      </c>
      <c r="K263" s="8"/>
    </row>
    <row r="264" spans="1:11" x14ac:dyDescent="0.2">
      <c r="A264" s="8">
        <v>263</v>
      </c>
      <c r="B264" s="8">
        <f t="shared" si="10"/>
        <v>2020</v>
      </c>
      <c r="C264" s="8">
        <f t="shared" si="11"/>
        <v>7</v>
      </c>
      <c r="D264" s="85">
        <v>44023</v>
      </c>
      <c r="E264" s="31"/>
      <c r="F264" s="31">
        <v>150000</v>
      </c>
      <c r="G264" s="31"/>
      <c r="H264" s="31"/>
      <c r="I264" s="31" t="s">
        <v>85</v>
      </c>
      <c r="J264" s="5" t="s">
        <v>306</v>
      </c>
      <c r="K264" s="8"/>
    </row>
    <row r="265" spans="1:11" x14ac:dyDescent="0.2">
      <c r="A265" s="8">
        <v>264</v>
      </c>
      <c r="B265" s="8">
        <f t="shared" si="10"/>
        <v>2020</v>
      </c>
      <c r="C265" s="8">
        <f t="shared" si="11"/>
        <v>7</v>
      </c>
      <c r="D265" s="85">
        <v>44027</v>
      </c>
      <c r="E265" s="31"/>
      <c r="F265" s="31">
        <v>20000</v>
      </c>
      <c r="G265" s="31"/>
      <c r="H265" s="31"/>
      <c r="I265" s="31" t="s">
        <v>85</v>
      </c>
      <c r="J265" s="5" t="s">
        <v>300</v>
      </c>
      <c r="K265" s="8"/>
    </row>
    <row r="266" spans="1:11" x14ac:dyDescent="0.2">
      <c r="A266" s="8">
        <v>265</v>
      </c>
      <c r="B266" s="8">
        <f t="shared" si="10"/>
        <v>2020</v>
      </c>
      <c r="C266" s="8">
        <f t="shared" si="11"/>
        <v>7</v>
      </c>
      <c r="D266" s="85">
        <v>44027</v>
      </c>
      <c r="E266" s="31"/>
      <c r="F266" s="31">
        <v>420000</v>
      </c>
      <c r="G266" s="31"/>
      <c r="H266" s="31"/>
      <c r="I266" s="31" t="s">
        <v>140</v>
      </c>
      <c r="J266" s="65" t="s">
        <v>307</v>
      </c>
      <c r="K266" s="31"/>
    </row>
    <row r="267" spans="1:11" x14ac:dyDescent="0.2">
      <c r="A267" s="8">
        <v>266</v>
      </c>
      <c r="B267" s="8">
        <f t="shared" si="10"/>
        <v>2020</v>
      </c>
      <c r="C267" s="8">
        <f t="shared" si="11"/>
        <v>7</v>
      </c>
      <c r="D267" s="85">
        <v>44027</v>
      </c>
      <c r="E267" s="31"/>
      <c r="F267" s="31">
        <v>20000</v>
      </c>
      <c r="G267" s="31"/>
      <c r="H267" s="31"/>
      <c r="I267" s="31" t="s">
        <v>85</v>
      </c>
      <c r="J267" s="5" t="s">
        <v>308</v>
      </c>
      <c r="K267" s="8"/>
    </row>
    <row r="268" spans="1:11" x14ac:dyDescent="0.2">
      <c r="A268" s="8">
        <v>267</v>
      </c>
      <c r="B268" s="8">
        <f t="shared" si="10"/>
        <v>2020</v>
      </c>
      <c r="C268" s="8">
        <f t="shared" si="11"/>
        <v>7</v>
      </c>
      <c r="D268" s="85">
        <v>44028</v>
      </c>
      <c r="E268" s="31">
        <v>65000</v>
      </c>
      <c r="F268" s="31">
        <v>0</v>
      </c>
      <c r="G268" s="31"/>
      <c r="H268" s="31"/>
      <c r="I268" s="31" t="s">
        <v>109</v>
      </c>
      <c r="J268" s="5" t="s">
        <v>309</v>
      </c>
      <c r="K268" s="8"/>
    </row>
    <row r="269" spans="1:11" x14ac:dyDescent="0.2">
      <c r="A269" s="8">
        <v>268</v>
      </c>
      <c r="B269" s="8">
        <f t="shared" si="10"/>
        <v>2020</v>
      </c>
      <c r="C269" s="8">
        <f t="shared" si="11"/>
        <v>7</v>
      </c>
      <c r="D269" s="85">
        <v>44028</v>
      </c>
      <c r="E269" s="31"/>
      <c r="F269" s="31">
        <v>0</v>
      </c>
      <c r="G269" s="31"/>
      <c r="H269" s="31">
        <v>140000</v>
      </c>
      <c r="I269" s="31" t="s">
        <v>74</v>
      </c>
      <c r="J269" s="5" t="s">
        <v>259</v>
      </c>
      <c r="K269" s="8"/>
    </row>
    <row r="270" spans="1:11" x14ac:dyDescent="0.2">
      <c r="A270" s="8">
        <v>269</v>
      </c>
      <c r="B270" s="8">
        <f t="shared" si="10"/>
        <v>2020</v>
      </c>
      <c r="C270" s="8">
        <f t="shared" si="11"/>
        <v>7</v>
      </c>
      <c r="D270" s="85">
        <v>44028</v>
      </c>
      <c r="E270" s="31">
        <v>225000</v>
      </c>
      <c r="F270" s="31"/>
      <c r="G270" s="31"/>
      <c r="H270" s="31"/>
      <c r="I270" s="31" t="s">
        <v>109</v>
      </c>
      <c r="J270" s="5" t="s">
        <v>310</v>
      </c>
      <c r="K270" s="8"/>
    </row>
    <row r="271" spans="1:11" x14ac:dyDescent="0.2">
      <c r="A271" s="8">
        <v>270</v>
      </c>
      <c r="B271" s="8">
        <f t="shared" si="10"/>
        <v>2020</v>
      </c>
      <c r="C271" s="8">
        <f t="shared" si="11"/>
        <v>7</v>
      </c>
      <c r="D271" s="85">
        <v>44029</v>
      </c>
      <c r="E271" s="31"/>
      <c r="F271" s="31">
        <v>0</v>
      </c>
      <c r="G271" s="31"/>
      <c r="H271" s="31">
        <v>200000</v>
      </c>
      <c r="I271" s="31" t="s">
        <v>74</v>
      </c>
      <c r="J271" s="5" t="s">
        <v>311</v>
      </c>
      <c r="K271" s="8"/>
    </row>
    <row r="272" spans="1:11" x14ac:dyDescent="0.2">
      <c r="A272" s="8">
        <v>271</v>
      </c>
      <c r="B272" s="8">
        <f t="shared" si="10"/>
        <v>2020</v>
      </c>
      <c r="C272" s="8">
        <f t="shared" si="11"/>
        <v>7</v>
      </c>
      <c r="D272" s="85">
        <v>44029</v>
      </c>
      <c r="E272" s="31"/>
      <c r="F272" s="31">
        <v>0</v>
      </c>
      <c r="G272" s="31"/>
      <c r="H272" s="31">
        <v>358000</v>
      </c>
      <c r="I272" s="31" t="s">
        <v>74</v>
      </c>
      <c r="J272" s="5" t="s">
        <v>312</v>
      </c>
      <c r="K272" s="8"/>
    </row>
    <row r="273" spans="1:13" x14ac:dyDescent="0.2">
      <c r="A273" s="8">
        <v>272</v>
      </c>
      <c r="B273" s="8">
        <f t="shared" si="10"/>
        <v>2020</v>
      </c>
      <c r="C273" s="8">
        <f t="shared" si="11"/>
        <v>7</v>
      </c>
      <c r="D273" s="85">
        <v>44029</v>
      </c>
      <c r="E273" s="31">
        <v>1100000</v>
      </c>
      <c r="F273" s="31">
        <v>200000</v>
      </c>
      <c r="G273" s="31"/>
      <c r="H273" s="31"/>
      <c r="I273" s="31" t="s">
        <v>109</v>
      </c>
      <c r="J273" s="5" t="s">
        <v>313</v>
      </c>
      <c r="K273" s="8"/>
    </row>
    <row r="274" spans="1:13" x14ac:dyDescent="0.2">
      <c r="A274" s="8">
        <v>273</v>
      </c>
      <c r="B274" s="8">
        <f t="shared" si="10"/>
        <v>2020</v>
      </c>
      <c r="C274" s="8">
        <f t="shared" si="11"/>
        <v>7</v>
      </c>
      <c r="D274" s="85">
        <v>44031</v>
      </c>
      <c r="E274" s="31">
        <v>100000</v>
      </c>
      <c r="F274" s="31"/>
      <c r="G274" s="31"/>
      <c r="H274" s="31"/>
      <c r="I274" s="31" t="s">
        <v>109</v>
      </c>
      <c r="J274" s="5" t="s">
        <v>314</v>
      </c>
      <c r="K274" s="8"/>
    </row>
    <row r="275" spans="1:13" x14ac:dyDescent="0.2">
      <c r="A275" s="8">
        <v>274</v>
      </c>
      <c r="B275" s="8">
        <f t="shared" si="10"/>
        <v>2020</v>
      </c>
      <c r="C275" s="8">
        <f t="shared" si="11"/>
        <v>7</v>
      </c>
      <c r="D275" s="85">
        <v>44031</v>
      </c>
      <c r="E275" s="31"/>
      <c r="F275" s="31">
        <v>20000</v>
      </c>
      <c r="G275" s="31"/>
      <c r="H275" s="31"/>
      <c r="I275" s="31" t="s">
        <v>85</v>
      </c>
      <c r="J275" s="5" t="s">
        <v>315</v>
      </c>
      <c r="K275" s="8"/>
    </row>
    <row r="276" spans="1:13" x14ac:dyDescent="0.2">
      <c r="A276" s="8">
        <v>275</v>
      </c>
      <c r="B276" s="8">
        <f t="shared" si="10"/>
        <v>2020</v>
      </c>
      <c r="C276" s="8">
        <f t="shared" si="11"/>
        <v>7</v>
      </c>
      <c r="D276" s="85">
        <v>44031</v>
      </c>
      <c r="E276" s="31"/>
      <c r="F276" s="31">
        <v>600000</v>
      </c>
      <c r="G276" s="31"/>
      <c r="H276" s="31"/>
      <c r="I276" s="31" t="s">
        <v>201</v>
      </c>
      <c r="J276" s="5" t="s">
        <v>316</v>
      </c>
      <c r="K276" s="8"/>
    </row>
    <row r="277" spans="1:13" x14ac:dyDescent="0.2">
      <c r="A277" s="8">
        <v>276</v>
      </c>
      <c r="B277" s="8">
        <f t="shared" si="10"/>
        <v>2020</v>
      </c>
      <c r="C277" s="8">
        <f t="shared" si="11"/>
        <v>7</v>
      </c>
      <c r="D277" s="85">
        <v>44032</v>
      </c>
      <c r="E277" s="31"/>
      <c r="F277" s="31">
        <v>40000</v>
      </c>
      <c r="G277" s="31"/>
      <c r="H277" s="31"/>
      <c r="I277" s="31" t="s">
        <v>85</v>
      </c>
      <c r="J277" s="5" t="s">
        <v>317</v>
      </c>
      <c r="K277" s="8"/>
    </row>
    <row r="278" spans="1:13" x14ac:dyDescent="0.2">
      <c r="A278" s="8">
        <v>277</v>
      </c>
      <c r="B278" s="8">
        <f t="shared" si="10"/>
        <v>2020</v>
      </c>
      <c r="C278" s="8">
        <f t="shared" si="11"/>
        <v>7</v>
      </c>
      <c r="D278" s="85">
        <v>44032</v>
      </c>
      <c r="E278" s="31"/>
      <c r="F278" s="31">
        <v>100000</v>
      </c>
      <c r="G278" s="31"/>
      <c r="H278" s="31"/>
      <c r="I278" s="31" t="s">
        <v>83</v>
      </c>
      <c r="J278" s="5" t="s">
        <v>318</v>
      </c>
      <c r="K278" s="8"/>
      <c r="L278">
        <v>86710</v>
      </c>
    </row>
    <row r="279" spans="1:13" x14ac:dyDescent="0.2">
      <c r="A279" s="8">
        <v>278</v>
      </c>
      <c r="B279" s="8">
        <f t="shared" si="10"/>
        <v>2020</v>
      </c>
      <c r="C279" s="8">
        <f t="shared" si="11"/>
        <v>7</v>
      </c>
      <c r="D279" s="85">
        <v>44032</v>
      </c>
      <c r="E279" s="31"/>
      <c r="F279" s="31">
        <v>15000</v>
      </c>
      <c r="G279" s="31"/>
      <c r="H279" s="31"/>
      <c r="I279" s="31" t="s">
        <v>85</v>
      </c>
      <c r="J279" s="5" t="s">
        <v>90</v>
      </c>
      <c r="K279" s="8"/>
      <c r="L279">
        <v>87085</v>
      </c>
      <c r="M279">
        <f>L279-L278</f>
        <v>375</v>
      </c>
    </row>
    <row r="280" spans="1:13" x14ac:dyDescent="0.2">
      <c r="A280" s="8">
        <v>279</v>
      </c>
      <c r="B280" s="8">
        <f t="shared" si="10"/>
        <v>2020</v>
      </c>
      <c r="C280" s="8">
        <f t="shared" si="11"/>
        <v>7</v>
      </c>
      <c r="D280" s="85">
        <v>44032</v>
      </c>
      <c r="E280" s="31"/>
      <c r="F280" s="31">
        <v>20000</v>
      </c>
      <c r="G280" s="31"/>
      <c r="H280" s="31"/>
      <c r="I280" s="31" t="s">
        <v>85</v>
      </c>
      <c r="J280" s="5" t="s">
        <v>319</v>
      </c>
      <c r="K280" s="8"/>
    </row>
    <row r="281" spans="1:13" x14ac:dyDescent="0.2">
      <c r="A281" s="8">
        <v>280</v>
      </c>
      <c r="B281" s="8">
        <f t="shared" si="10"/>
        <v>2020</v>
      </c>
      <c r="C281" s="8">
        <f t="shared" si="11"/>
        <v>7</v>
      </c>
      <c r="D281" s="85">
        <v>44033</v>
      </c>
      <c r="E281" s="31">
        <v>91000</v>
      </c>
      <c r="F281" s="31"/>
      <c r="G281" s="31"/>
      <c r="H281" s="31"/>
      <c r="I281" s="31" t="s">
        <v>109</v>
      </c>
      <c r="J281" s="5" t="s">
        <v>320</v>
      </c>
      <c r="K281" s="8"/>
    </row>
    <row r="282" spans="1:13" x14ac:dyDescent="0.2">
      <c r="A282" s="8">
        <v>281</v>
      </c>
      <c r="B282" s="8">
        <f t="shared" si="10"/>
        <v>2020</v>
      </c>
      <c r="C282" s="8">
        <f t="shared" si="11"/>
        <v>7</v>
      </c>
      <c r="D282" s="85">
        <v>44034</v>
      </c>
      <c r="E282" s="31">
        <v>100000</v>
      </c>
      <c r="F282" s="31"/>
      <c r="G282" s="31"/>
      <c r="H282" s="31"/>
      <c r="I282" s="31" t="s">
        <v>109</v>
      </c>
      <c r="J282" s="5" t="s">
        <v>321</v>
      </c>
      <c r="K282" s="8"/>
    </row>
    <row r="283" spans="1:13" x14ac:dyDescent="0.2">
      <c r="A283" s="8">
        <v>282</v>
      </c>
      <c r="B283" s="8">
        <f t="shared" si="10"/>
        <v>2020</v>
      </c>
      <c r="C283" s="8">
        <f t="shared" si="11"/>
        <v>7</v>
      </c>
      <c r="D283" s="85">
        <v>44035</v>
      </c>
      <c r="E283" s="31"/>
      <c r="F283" s="31">
        <v>551000</v>
      </c>
      <c r="G283" s="31"/>
      <c r="H283" s="31"/>
      <c r="I283" s="31" t="s">
        <v>85</v>
      </c>
      <c r="J283" s="5" t="s">
        <v>322</v>
      </c>
      <c r="K283" s="8"/>
    </row>
    <row r="284" spans="1:13" x14ac:dyDescent="0.2">
      <c r="A284" s="8">
        <v>283</v>
      </c>
      <c r="B284" s="8">
        <f t="shared" si="10"/>
        <v>2020</v>
      </c>
      <c r="C284" s="8">
        <f t="shared" si="11"/>
        <v>7</v>
      </c>
      <c r="D284" s="85">
        <v>44035</v>
      </c>
      <c r="E284" s="31"/>
      <c r="F284" s="31">
        <v>240000</v>
      </c>
      <c r="G284" s="31"/>
      <c r="H284" s="31"/>
      <c r="I284" s="31" t="s">
        <v>323</v>
      </c>
      <c r="J284" s="5" t="s">
        <v>169</v>
      </c>
      <c r="K284" s="8"/>
    </row>
    <row r="285" spans="1:13" x14ac:dyDescent="0.2">
      <c r="A285" s="8">
        <v>284</v>
      </c>
      <c r="B285" s="8">
        <f t="shared" si="10"/>
        <v>2020</v>
      </c>
      <c r="C285" s="8">
        <f t="shared" si="11"/>
        <v>7</v>
      </c>
      <c r="D285" s="85">
        <v>44036</v>
      </c>
      <c r="E285" s="31">
        <v>1350000</v>
      </c>
      <c r="F285" s="31"/>
      <c r="G285" s="31"/>
      <c r="H285" s="31"/>
      <c r="I285" s="31" t="s">
        <v>324</v>
      </c>
      <c r="J285" s="5" t="s">
        <v>325</v>
      </c>
      <c r="K285" s="8"/>
    </row>
    <row r="286" spans="1:13" x14ac:dyDescent="0.2">
      <c r="A286" s="8">
        <v>285</v>
      </c>
      <c r="B286" s="8">
        <f t="shared" si="10"/>
        <v>2020</v>
      </c>
      <c r="C286" s="8">
        <f t="shared" si="11"/>
        <v>7</v>
      </c>
      <c r="D286" s="85">
        <v>44036</v>
      </c>
      <c r="E286" s="31"/>
      <c r="F286" s="31">
        <v>1000000</v>
      </c>
      <c r="G286" s="31"/>
      <c r="H286" s="31"/>
      <c r="I286" s="31" t="s">
        <v>287</v>
      </c>
      <c r="J286" s="5" t="s">
        <v>326</v>
      </c>
      <c r="K286" s="8"/>
    </row>
    <row r="287" spans="1:13" x14ac:dyDescent="0.2">
      <c r="A287" s="8">
        <v>286</v>
      </c>
      <c r="B287" s="8">
        <f t="shared" si="10"/>
        <v>2020</v>
      </c>
      <c r="C287" s="8">
        <f t="shared" si="11"/>
        <v>7</v>
      </c>
      <c r="D287" s="85">
        <v>44036</v>
      </c>
      <c r="E287" s="31"/>
      <c r="F287" s="31">
        <v>90000</v>
      </c>
      <c r="G287" s="31"/>
      <c r="H287" s="31"/>
      <c r="I287" s="31" t="s">
        <v>287</v>
      </c>
      <c r="J287" s="5" t="s">
        <v>327</v>
      </c>
      <c r="K287" s="8"/>
    </row>
    <row r="288" spans="1:13" x14ac:dyDescent="0.2">
      <c r="A288" s="8">
        <v>287</v>
      </c>
      <c r="B288" s="8">
        <f t="shared" si="10"/>
        <v>2020</v>
      </c>
      <c r="C288" s="8">
        <f t="shared" si="11"/>
        <v>7</v>
      </c>
      <c r="D288" s="85">
        <v>44039</v>
      </c>
      <c r="E288" s="31"/>
      <c r="F288" s="31">
        <v>120000</v>
      </c>
      <c r="G288" s="31"/>
      <c r="H288" s="31"/>
      <c r="I288" s="31" t="s">
        <v>323</v>
      </c>
      <c r="J288" s="5" t="s">
        <v>328</v>
      </c>
      <c r="K288" s="8"/>
    </row>
    <row r="289" spans="1:11" x14ac:dyDescent="0.2">
      <c r="A289" s="8">
        <v>288</v>
      </c>
      <c r="B289" s="8">
        <f t="shared" si="10"/>
        <v>2020</v>
      </c>
      <c r="C289" s="8">
        <f t="shared" si="11"/>
        <v>7</v>
      </c>
      <c r="D289" s="85">
        <v>44040</v>
      </c>
      <c r="E289" s="31"/>
      <c r="F289" s="31">
        <v>60000</v>
      </c>
      <c r="G289" s="31"/>
      <c r="H289" s="31"/>
      <c r="I289" s="31" t="s">
        <v>287</v>
      </c>
      <c r="J289" s="5" t="s">
        <v>329</v>
      </c>
      <c r="K289" s="8"/>
    </row>
    <row r="290" spans="1:11" x14ac:dyDescent="0.2">
      <c r="A290" s="8">
        <v>289</v>
      </c>
      <c r="B290" s="8">
        <f t="shared" si="10"/>
        <v>2020</v>
      </c>
      <c r="C290" s="8">
        <f t="shared" si="11"/>
        <v>7</v>
      </c>
      <c r="D290" s="85">
        <v>44041</v>
      </c>
      <c r="E290" s="31">
        <v>100000</v>
      </c>
      <c r="F290" s="31"/>
      <c r="G290" s="31"/>
      <c r="H290" s="31"/>
      <c r="I290" s="31" t="s">
        <v>109</v>
      </c>
      <c r="J290" s="5" t="s">
        <v>330</v>
      </c>
      <c r="K290" s="8"/>
    </row>
    <row r="291" spans="1:11" x14ac:dyDescent="0.2">
      <c r="A291" s="8">
        <v>290</v>
      </c>
      <c r="B291" s="8">
        <f t="shared" si="10"/>
        <v>2020</v>
      </c>
      <c r="C291" s="8">
        <f t="shared" si="11"/>
        <v>7</v>
      </c>
      <c r="D291" s="85">
        <v>44043</v>
      </c>
      <c r="E291" s="31"/>
      <c r="F291" s="31">
        <v>100000</v>
      </c>
      <c r="G291" s="31"/>
      <c r="H291" s="31"/>
      <c r="I291" s="31" t="s">
        <v>83</v>
      </c>
      <c r="J291" s="5" t="s">
        <v>331</v>
      </c>
      <c r="K291" s="8"/>
    </row>
    <row r="292" spans="1:11" x14ac:dyDescent="0.2">
      <c r="A292" s="8">
        <v>291</v>
      </c>
      <c r="B292" s="8">
        <f t="shared" si="10"/>
        <v>2020</v>
      </c>
      <c r="C292" s="8">
        <f t="shared" si="11"/>
        <v>7</v>
      </c>
      <c r="D292" s="85">
        <v>44043</v>
      </c>
      <c r="E292" s="31"/>
      <c r="F292" s="31">
        <v>6000</v>
      </c>
      <c r="G292" s="31"/>
      <c r="H292" s="31"/>
      <c r="I292" s="31" t="s">
        <v>96</v>
      </c>
      <c r="J292" s="5" t="s">
        <v>332</v>
      </c>
      <c r="K292" s="8"/>
    </row>
    <row r="293" spans="1:11" x14ac:dyDescent="0.2">
      <c r="A293" s="8">
        <v>292</v>
      </c>
      <c r="B293" s="8">
        <f t="shared" si="10"/>
        <v>2020</v>
      </c>
      <c r="C293" s="8">
        <f t="shared" si="11"/>
        <v>7</v>
      </c>
      <c r="D293" s="85">
        <v>44043</v>
      </c>
      <c r="E293" s="31"/>
      <c r="F293" s="31">
        <v>6000</v>
      </c>
      <c r="G293" s="31"/>
      <c r="H293" s="31"/>
      <c r="I293" s="31" t="s">
        <v>88</v>
      </c>
      <c r="J293" s="5" t="s">
        <v>333</v>
      </c>
      <c r="K293" s="8"/>
    </row>
    <row r="294" spans="1:11" x14ac:dyDescent="0.2">
      <c r="A294" s="8">
        <v>293</v>
      </c>
      <c r="B294" s="8">
        <f t="shared" si="10"/>
        <v>2020</v>
      </c>
      <c r="C294" s="8">
        <f t="shared" si="11"/>
        <v>7</v>
      </c>
      <c r="D294" s="85">
        <v>44043</v>
      </c>
      <c r="E294" s="31"/>
      <c r="F294" s="31">
        <v>20000</v>
      </c>
      <c r="G294" s="31"/>
      <c r="H294" s="31"/>
      <c r="I294" s="31" t="s">
        <v>83</v>
      </c>
      <c r="J294" s="5" t="s">
        <v>334</v>
      </c>
      <c r="K294" s="8">
        <f>SUM(F257:F294)</f>
        <v>4263000</v>
      </c>
    </row>
    <row r="295" spans="1:11" x14ac:dyDescent="0.2">
      <c r="A295" s="8">
        <v>294</v>
      </c>
      <c r="B295" s="8">
        <f t="shared" si="10"/>
        <v>2020</v>
      </c>
      <c r="C295" s="8">
        <f t="shared" si="11"/>
        <v>8</v>
      </c>
      <c r="D295" s="85">
        <v>44044</v>
      </c>
      <c r="E295" s="31"/>
      <c r="F295" s="31">
        <v>150000</v>
      </c>
      <c r="G295" s="31"/>
      <c r="H295" s="31"/>
      <c r="I295" s="31" t="s">
        <v>88</v>
      </c>
      <c r="J295" s="5" t="s">
        <v>335</v>
      </c>
      <c r="K295" s="8"/>
    </row>
    <row r="296" spans="1:11" x14ac:dyDescent="0.2">
      <c r="A296" s="8">
        <v>295</v>
      </c>
      <c r="B296" s="8">
        <f t="shared" si="10"/>
        <v>2020</v>
      </c>
      <c r="C296" s="8">
        <f t="shared" si="11"/>
        <v>8</v>
      </c>
      <c r="D296" s="85">
        <v>44045</v>
      </c>
      <c r="E296" s="31"/>
      <c r="F296" s="31">
        <v>0</v>
      </c>
      <c r="G296" s="31"/>
      <c r="H296" s="31">
        <v>38000</v>
      </c>
      <c r="I296" s="31" t="s">
        <v>74</v>
      </c>
      <c r="J296" s="5" t="s">
        <v>336</v>
      </c>
      <c r="K296" s="8"/>
    </row>
    <row r="297" spans="1:11" x14ac:dyDescent="0.2">
      <c r="A297" s="8">
        <v>296</v>
      </c>
      <c r="B297" s="8">
        <f t="shared" si="10"/>
        <v>2020</v>
      </c>
      <c r="C297" s="8">
        <f t="shared" si="11"/>
        <v>8</v>
      </c>
      <c r="D297" s="85">
        <v>44045</v>
      </c>
      <c r="E297" s="31"/>
      <c r="F297" s="31">
        <v>0</v>
      </c>
      <c r="G297" s="31"/>
      <c r="H297" s="31">
        <v>30000</v>
      </c>
      <c r="I297" s="31" t="s">
        <v>74</v>
      </c>
      <c r="J297" s="5" t="s">
        <v>337</v>
      </c>
      <c r="K297" s="8"/>
    </row>
    <row r="298" spans="1:11" x14ac:dyDescent="0.2">
      <c r="A298" s="8">
        <v>297</v>
      </c>
      <c r="B298" s="8">
        <f t="shared" si="10"/>
        <v>2020</v>
      </c>
      <c r="C298" s="8">
        <f t="shared" si="11"/>
        <v>8</v>
      </c>
      <c r="D298" s="85">
        <v>44045</v>
      </c>
      <c r="E298" s="31"/>
      <c r="F298" s="31">
        <v>20000</v>
      </c>
      <c r="G298" s="31"/>
      <c r="H298" s="31"/>
      <c r="I298" s="31" t="s">
        <v>88</v>
      </c>
      <c r="J298" s="5" t="s">
        <v>338</v>
      </c>
      <c r="K298" s="8"/>
    </row>
    <row r="299" spans="1:11" x14ac:dyDescent="0.2">
      <c r="A299" s="8">
        <v>298</v>
      </c>
      <c r="B299" s="8">
        <f t="shared" si="10"/>
        <v>2020</v>
      </c>
      <c r="C299" s="8">
        <f t="shared" si="11"/>
        <v>8</v>
      </c>
      <c r="D299" s="85">
        <v>44044</v>
      </c>
      <c r="E299" s="31"/>
      <c r="F299" s="31">
        <v>10000</v>
      </c>
      <c r="G299" s="31"/>
      <c r="H299" s="31"/>
      <c r="I299" s="31" t="s">
        <v>88</v>
      </c>
      <c r="J299" s="5" t="s">
        <v>339</v>
      </c>
      <c r="K299" s="8"/>
    </row>
    <row r="300" spans="1:11" x14ac:dyDescent="0.2">
      <c r="A300" s="8">
        <v>299</v>
      </c>
      <c r="B300" s="8">
        <f t="shared" si="10"/>
        <v>2020</v>
      </c>
      <c r="C300" s="8">
        <f t="shared" si="11"/>
        <v>8</v>
      </c>
      <c r="D300" s="85">
        <v>44045</v>
      </c>
      <c r="E300" s="31"/>
      <c r="F300" s="31">
        <v>4000</v>
      </c>
      <c r="G300" s="31"/>
      <c r="H300" s="31"/>
      <c r="I300" s="31" t="s">
        <v>88</v>
      </c>
      <c r="J300" s="5" t="s">
        <v>340</v>
      </c>
      <c r="K300" s="8"/>
    </row>
    <row r="301" spans="1:11" x14ac:dyDescent="0.2">
      <c r="A301" s="8">
        <v>300</v>
      </c>
      <c r="B301" s="8">
        <f t="shared" si="10"/>
        <v>2020</v>
      </c>
      <c r="C301" s="8">
        <f t="shared" si="11"/>
        <v>8</v>
      </c>
      <c r="D301" s="85">
        <v>44046</v>
      </c>
      <c r="E301" s="31"/>
      <c r="F301" s="31">
        <v>10000</v>
      </c>
      <c r="G301" s="31"/>
      <c r="H301" s="31"/>
      <c r="I301" s="31" t="s">
        <v>96</v>
      </c>
      <c r="J301" s="5" t="s">
        <v>28</v>
      </c>
      <c r="K301" s="8"/>
    </row>
    <row r="302" spans="1:11" x14ac:dyDescent="0.2">
      <c r="A302" s="8">
        <v>301</v>
      </c>
      <c r="B302" s="8">
        <f t="shared" si="10"/>
        <v>2020</v>
      </c>
      <c r="C302" s="8">
        <f t="shared" si="11"/>
        <v>8</v>
      </c>
      <c r="D302" s="85">
        <v>44046</v>
      </c>
      <c r="E302" s="31">
        <v>897000</v>
      </c>
      <c r="F302" s="31"/>
      <c r="G302" s="31"/>
      <c r="H302" s="31"/>
      <c r="I302" s="31" t="s">
        <v>109</v>
      </c>
      <c r="J302" s="5" t="s">
        <v>341</v>
      </c>
      <c r="K302" s="8"/>
    </row>
    <row r="303" spans="1:11" x14ac:dyDescent="0.2">
      <c r="A303" s="8">
        <v>302</v>
      </c>
      <c r="B303" s="8">
        <f t="shared" si="10"/>
        <v>2020</v>
      </c>
      <c r="C303" s="8">
        <f t="shared" si="11"/>
        <v>8</v>
      </c>
      <c r="D303" s="85">
        <v>44046</v>
      </c>
      <c r="E303" s="31"/>
      <c r="F303" s="31">
        <v>500000</v>
      </c>
      <c r="G303" s="31">
        <v>0</v>
      </c>
      <c r="H303" s="31"/>
      <c r="I303" s="31" t="s">
        <v>92</v>
      </c>
      <c r="J303" s="5" t="s">
        <v>342</v>
      </c>
      <c r="K303" s="8"/>
    </row>
    <row r="304" spans="1:11" x14ac:dyDescent="0.2">
      <c r="A304" s="8">
        <v>303</v>
      </c>
      <c r="B304" s="8">
        <f t="shared" si="10"/>
        <v>2020</v>
      </c>
      <c r="C304" s="8">
        <f t="shared" si="11"/>
        <v>8</v>
      </c>
      <c r="D304" s="85">
        <v>44051</v>
      </c>
      <c r="E304" s="31"/>
      <c r="F304" s="31">
        <v>20000</v>
      </c>
      <c r="G304" s="31"/>
      <c r="H304" s="31"/>
      <c r="I304" s="31" t="s">
        <v>85</v>
      </c>
      <c r="J304" s="5" t="s">
        <v>263</v>
      </c>
      <c r="K304" s="8"/>
    </row>
    <row r="305" spans="1:11" x14ac:dyDescent="0.2">
      <c r="A305" s="8">
        <v>304</v>
      </c>
      <c r="B305" s="8">
        <f t="shared" si="10"/>
        <v>2020</v>
      </c>
      <c r="C305" s="8">
        <f t="shared" si="11"/>
        <v>8</v>
      </c>
      <c r="D305" s="85">
        <v>44050</v>
      </c>
      <c r="E305" s="31"/>
      <c r="F305" s="31">
        <v>15000</v>
      </c>
      <c r="G305" s="31"/>
      <c r="H305" s="31"/>
      <c r="I305" s="31" t="s">
        <v>85</v>
      </c>
      <c r="J305" s="5" t="s">
        <v>343</v>
      </c>
      <c r="K305" s="8"/>
    </row>
    <row r="306" spans="1:11" x14ac:dyDescent="0.2">
      <c r="A306" s="8">
        <v>305</v>
      </c>
      <c r="B306" s="8">
        <f t="shared" si="10"/>
        <v>2020</v>
      </c>
      <c r="C306" s="8">
        <f t="shared" si="11"/>
        <v>8</v>
      </c>
      <c r="D306" s="85">
        <v>44050</v>
      </c>
      <c r="E306" s="31"/>
      <c r="F306" s="31">
        <v>5400</v>
      </c>
      <c r="G306" s="31"/>
      <c r="H306" s="31"/>
      <c r="I306" s="31" t="s">
        <v>85</v>
      </c>
      <c r="J306" s="5" t="s">
        <v>96</v>
      </c>
      <c r="K306" s="8"/>
    </row>
    <row r="307" spans="1:11" x14ac:dyDescent="0.2">
      <c r="A307" s="8">
        <v>306</v>
      </c>
      <c r="B307" s="8">
        <f t="shared" si="10"/>
        <v>2020</v>
      </c>
      <c r="C307" s="8">
        <f t="shared" si="11"/>
        <v>8</v>
      </c>
      <c r="D307" s="85">
        <v>44049</v>
      </c>
      <c r="E307" s="31"/>
      <c r="F307" s="31">
        <v>50000</v>
      </c>
      <c r="G307" s="31"/>
      <c r="H307" s="31"/>
      <c r="I307" s="31" t="s">
        <v>140</v>
      </c>
      <c r="J307" s="5" t="s">
        <v>328</v>
      </c>
      <c r="K307" s="8"/>
    </row>
    <row r="308" spans="1:11" x14ac:dyDescent="0.2">
      <c r="A308" s="8">
        <v>307</v>
      </c>
      <c r="B308" s="8">
        <f t="shared" si="10"/>
        <v>2020</v>
      </c>
      <c r="C308" s="8">
        <f t="shared" si="11"/>
        <v>8</v>
      </c>
      <c r="D308" s="85">
        <v>44051</v>
      </c>
      <c r="E308" s="31"/>
      <c r="F308" s="31">
        <v>240000</v>
      </c>
      <c r="G308" s="31"/>
      <c r="H308" s="31"/>
      <c r="I308" s="31" t="s">
        <v>140</v>
      </c>
      <c r="J308" s="5" t="s">
        <v>344</v>
      </c>
      <c r="K308" s="8"/>
    </row>
    <row r="309" spans="1:11" x14ac:dyDescent="0.2">
      <c r="A309" s="8">
        <v>308</v>
      </c>
      <c r="B309" s="8">
        <f t="shared" si="10"/>
        <v>2020</v>
      </c>
      <c r="C309" s="8">
        <f t="shared" si="11"/>
        <v>8</v>
      </c>
      <c r="D309" s="85">
        <v>44051</v>
      </c>
      <c r="E309" s="31"/>
      <c r="F309" s="31">
        <v>600000</v>
      </c>
      <c r="G309" s="31"/>
      <c r="H309" s="31"/>
      <c r="I309" s="31" t="s">
        <v>140</v>
      </c>
      <c r="J309" s="5" t="s">
        <v>201</v>
      </c>
      <c r="K309" s="8"/>
    </row>
    <row r="310" spans="1:11" x14ac:dyDescent="0.2">
      <c r="A310" s="8">
        <v>309</v>
      </c>
      <c r="B310" s="8">
        <f t="shared" si="10"/>
        <v>2020</v>
      </c>
      <c r="C310" s="8">
        <f t="shared" si="11"/>
        <v>8</v>
      </c>
      <c r="D310" s="85">
        <v>44051</v>
      </c>
      <c r="E310" s="31"/>
      <c r="F310" s="31">
        <v>100000</v>
      </c>
      <c r="G310" s="31"/>
      <c r="H310" s="31"/>
      <c r="I310" s="31" t="s">
        <v>85</v>
      </c>
      <c r="J310" s="5" t="s">
        <v>345</v>
      </c>
      <c r="K310" s="8"/>
    </row>
    <row r="311" spans="1:11" x14ac:dyDescent="0.2">
      <c r="A311" s="8">
        <v>310</v>
      </c>
      <c r="B311" s="8">
        <f t="shared" si="10"/>
        <v>2020</v>
      </c>
      <c r="C311" s="8">
        <f t="shared" si="11"/>
        <v>8</v>
      </c>
      <c r="D311" s="85">
        <v>44053</v>
      </c>
      <c r="E311" s="31"/>
      <c r="F311" s="31">
        <v>0</v>
      </c>
      <c r="G311" s="31"/>
      <c r="H311" s="31">
        <v>85000</v>
      </c>
      <c r="I311" s="31" t="s">
        <v>74</v>
      </c>
      <c r="J311" s="5" t="s">
        <v>346</v>
      </c>
      <c r="K311" s="8"/>
    </row>
    <row r="312" spans="1:11" x14ac:dyDescent="0.2">
      <c r="A312" s="8">
        <v>311</v>
      </c>
      <c r="B312" s="8">
        <f t="shared" si="10"/>
        <v>2020</v>
      </c>
      <c r="C312" s="8">
        <f t="shared" si="11"/>
        <v>8</v>
      </c>
      <c r="D312" s="85">
        <v>44053</v>
      </c>
      <c r="E312" s="31"/>
      <c r="F312" s="31">
        <v>0</v>
      </c>
      <c r="G312" s="31"/>
      <c r="H312" s="31">
        <v>110000</v>
      </c>
      <c r="I312" s="31" t="s">
        <v>74</v>
      </c>
      <c r="J312" s="5" t="s">
        <v>259</v>
      </c>
      <c r="K312" s="8"/>
    </row>
    <row r="313" spans="1:11" x14ac:dyDescent="0.2">
      <c r="A313" s="8">
        <v>312</v>
      </c>
      <c r="B313" s="8">
        <f t="shared" si="10"/>
        <v>2020</v>
      </c>
      <c r="C313" s="8">
        <f t="shared" si="11"/>
        <v>8</v>
      </c>
      <c r="D313" s="85">
        <v>44053</v>
      </c>
      <c r="E313" s="31"/>
      <c r="F313" s="31">
        <v>0</v>
      </c>
      <c r="G313" s="31"/>
      <c r="H313" s="31">
        <v>56000</v>
      </c>
      <c r="I313" s="31" t="s">
        <v>74</v>
      </c>
      <c r="J313" s="5" t="s">
        <v>347</v>
      </c>
      <c r="K313" s="8"/>
    </row>
    <row r="314" spans="1:11" x14ac:dyDescent="0.2">
      <c r="A314" s="8">
        <v>313</v>
      </c>
      <c r="B314" s="8">
        <f t="shared" si="10"/>
        <v>2020</v>
      </c>
      <c r="C314" s="8">
        <f t="shared" si="11"/>
        <v>8</v>
      </c>
      <c r="D314" s="85">
        <v>44053</v>
      </c>
      <c r="E314" s="31"/>
      <c r="F314" s="31">
        <v>15000</v>
      </c>
      <c r="G314" s="31"/>
      <c r="H314" s="31"/>
      <c r="I314" s="31" t="s">
        <v>85</v>
      </c>
      <c r="J314" s="5" t="s">
        <v>348</v>
      </c>
      <c r="K314" s="8"/>
    </row>
    <row r="315" spans="1:11" x14ac:dyDescent="0.2">
      <c r="A315" s="8">
        <v>314</v>
      </c>
      <c r="B315" s="8">
        <f t="shared" si="10"/>
        <v>2020</v>
      </c>
      <c r="C315" s="8">
        <f t="shared" si="11"/>
        <v>8</v>
      </c>
      <c r="D315" s="85">
        <v>44053</v>
      </c>
      <c r="E315" s="31"/>
      <c r="F315" s="31">
        <v>0</v>
      </c>
      <c r="G315" s="31"/>
      <c r="H315" s="31">
        <v>119500</v>
      </c>
      <c r="I315" s="31" t="s">
        <v>74</v>
      </c>
      <c r="J315" s="5" t="s">
        <v>349</v>
      </c>
      <c r="K315" s="8"/>
    </row>
    <row r="316" spans="1:11" x14ac:dyDescent="0.2">
      <c r="A316" s="8">
        <v>315</v>
      </c>
      <c r="B316" s="8">
        <f t="shared" si="10"/>
        <v>2020</v>
      </c>
      <c r="C316" s="8">
        <f t="shared" si="11"/>
        <v>8</v>
      </c>
      <c r="D316" s="85">
        <v>44055</v>
      </c>
      <c r="E316" s="31"/>
      <c r="F316" s="31">
        <v>300000</v>
      </c>
      <c r="G316" s="31">
        <v>0</v>
      </c>
      <c r="H316" s="31"/>
      <c r="I316" s="31" t="s">
        <v>92</v>
      </c>
      <c r="J316" s="5" t="s">
        <v>350</v>
      </c>
      <c r="K316" s="8"/>
    </row>
    <row r="317" spans="1:11" x14ac:dyDescent="0.2">
      <c r="A317" s="8">
        <v>316</v>
      </c>
      <c r="B317" s="8">
        <f t="shared" si="10"/>
        <v>2020</v>
      </c>
      <c r="C317" s="8">
        <f t="shared" si="11"/>
        <v>8</v>
      </c>
      <c r="D317" s="85">
        <v>44055</v>
      </c>
      <c r="E317" s="31"/>
      <c r="F317" s="31">
        <v>10000</v>
      </c>
      <c r="G317" s="31"/>
      <c r="H317" s="31"/>
      <c r="I317" s="31"/>
      <c r="J317" s="5" t="s">
        <v>149</v>
      </c>
      <c r="K317" s="8"/>
    </row>
    <row r="318" spans="1:11" x14ac:dyDescent="0.2">
      <c r="A318" s="8">
        <v>317</v>
      </c>
      <c r="B318" s="8">
        <f t="shared" si="10"/>
        <v>2020</v>
      </c>
      <c r="C318" s="8">
        <f t="shared" si="11"/>
        <v>8</v>
      </c>
      <c r="D318" s="85">
        <v>44055</v>
      </c>
      <c r="E318" s="31"/>
      <c r="F318" s="31">
        <v>0</v>
      </c>
      <c r="G318" s="31"/>
      <c r="H318" s="31">
        <v>163000</v>
      </c>
      <c r="I318" s="31" t="s">
        <v>74</v>
      </c>
      <c r="J318" s="5" t="s">
        <v>351</v>
      </c>
      <c r="K318" s="8"/>
    </row>
    <row r="319" spans="1:11" x14ac:dyDescent="0.2">
      <c r="A319" s="8">
        <v>318</v>
      </c>
      <c r="B319" s="8">
        <f t="shared" si="10"/>
        <v>2020</v>
      </c>
      <c r="C319" s="8">
        <f t="shared" si="11"/>
        <v>8</v>
      </c>
      <c r="D319" s="85">
        <v>44055</v>
      </c>
      <c r="E319" s="31"/>
      <c r="F319" s="31">
        <v>278000</v>
      </c>
      <c r="G319" s="31"/>
      <c r="H319" s="31"/>
      <c r="I319" s="31" t="s">
        <v>85</v>
      </c>
      <c r="J319" s="5" t="s">
        <v>352</v>
      </c>
      <c r="K319" s="8"/>
    </row>
    <row r="320" spans="1:11" x14ac:dyDescent="0.2">
      <c r="A320" s="8">
        <v>319</v>
      </c>
      <c r="B320" s="8">
        <f t="shared" si="10"/>
        <v>2020</v>
      </c>
      <c r="C320" s="8">
        <f t="shared" si="11"/>
        <v>8</v>
      </c>
      <c r="D320" s="85">
        <v>44054</v>
      </c>
      <c r="E320" s="31">
        <v>100000</v>
      </c>
      <c r="F320" s="31"/>
      <c r="G320" s="31"/>
      <c r="H320" s="31"/>
      <c r="I320" s="31" t="s">
        <v>109</v>
      </c>
      <c r="J320" s="25" t="s">
        <v>353</v>
      </c>
      <c r="K320" s="29"/>
    </row>
    <row r="321" spans="1:11" x14ac:dyDescent="0.2">
      <c r="A321" s="8">
        <v>320</v>
      </c>
      <c r="B321" s="8">
        <f t="shared" si="10"/>
        <v>2020</v>
      </c>
      <c r="C321" s="8">
        <f t="shared" si="11"/>
        <v>8</v>
      </c>
      <c r="D321" s="85">
        <v>44057</v>
      </c>
      <c r="E321" s="31"/>
      <c r="F321" s="32">
        <v>100000</v>
      </c>
      <c r="G321" s="31"/>
      <c r="I321" s="31" t="s">
        <v>83</v>
      </c>
      <c r="J321" s="5" t="s">
        <v>299</v>
      </c>
      <c r="K321" s="8"/>
    </row>
    <row r="322" spans="1:11" x14ac:dyDescent="0.2">
      <c r="A322" s="8">
        <v>321</v>
      </c>
      <c r="B322" s="8">
        <f t="shared" si="10"/>
        <v>2020</v>
      </c>
      <c r="C322" s="8">
        <f t="shared" si="11"/>
        <v>8</v>
      </c>
      <c r="D322" s="85">
        <v>44057</v>
      </c>
      <c r="E322" s="31"/>
      <c r="F322" s="31">
        <v>60000</v>
      </c>
      <c r="G322" s="31"/>
      <c r="H322" s="31"/>
      <c r="I322" s="31" t="s">
        <v>88</v>
      </c>
      <c r="J322" s="5" t="s">
        <v>192</v>
      </c>
      <c r="K322" s="8"/>
    </row>
    <row r="323" spans="1:11" x14ac:dyDescent="0.2">
      <c r="A323" s="8">
        <v>322</v>
      </c>
      <c r="B323" s="8">
        <f t="shared" si="10"/>
        <v>2020</v>
      </c>
      <c r="C323" s="8">
        <f t="shared" si="11"/>
        <v>8</v>
      </c>
      <c r="D323" s="85">
        <v>44056</v>
      </c>
      <c r="E323" s="31"/>
      <c r="F323" s="31">
        <v>0</v>
      </c>
      <c r="G323" s="31"/>
      <c r="H323" s="31">
        <v>150000</v>
      </c>
      <c r="I323" s="31" t="s">
        <v>74</v>
      </c>
      <c r="J323" s="5" t="s">
        <v>354</v>
      </c>
      <c r="K323" s="8"/>
    </row>
    <row r="324" spans="1:11" x14ac:dyDescent="0.2">
      <c r="A324" s="8">
        <v>323</v>
      </c>
      <c r="B324" s="8">
        <f t="shared" si="10"/>
        <v>2020</v>
      </c>
      <c r="C324" s="8">
        <f t="shared" si="11"/>
        <v>8</v>
      </c>
      <c r="D324" s="85">
        <v>44059</v>
      </c>
      <c r="E324" s="31"/>
      <c r="F324" s="31">
        <v>15000</v>
      </c>
      <c r="G324" s="31"/>
      <c r="H324" s="31"/>
      <c r="I324" s="31" t="s">
        <v>85</v>
      </c>
      <c r="J324" s="5" t="s">
        <v>355</v>
      </c>
      <c r="K324" s="8"/>
    </row>
    <row r="325" spans="1:11" x14ac:dyDescent="0.2">
      <c r="A325" s="8">
        <v>324</v>
      </c>
      <c r="B325" s="8">
        <f t="shared" si="10"/>
        <v>2020</v>
      </c>
      <c r="C325" s="8">
        <f t="shared" si="11"/>
        <v>8</v>
      </c>
      <c r="D325" s="85">
        <v>44061</v>
      </c>
      <c r="E325" s="31"/>
      <c r="F325" s="31">
        <v>22000</v>
      </c>
      <c r="G325" s="31"/>
      <c r="H325" s="31"/>
      <c r="I325" s="31" t="s">
        <v>88</v>
      </c>
      <c r="J325" s="5" t="s">
        <v>356</v>
      </c>
      <c r="K325" s="8"/>
    </row>
    <row r="326" spans="1:11" x14ac:dyDescent="0.2">
      <c r="A326" s="8">
        <v>325</v>
      </c>
      <c r="B326" s="8">
        <f t="shared" ref="B326:B389" si="12">YEAR(D326)</f>
        <v>2020</v>
      </c>
      <c r="C326" s="8">
        <f t="shared" ref="C326:C389" si="13">MONTH(D326)</f>
        <v>8</v>
      </c>
      <c r="D326" s="85">
        <v>44061</v>
      </c>
      <c r="E326" s="31"/>
      <c r="F326" s="31">
        <v>130000</v>
      </c>
      <c r="G326" s="31"/>
      <c r="H326" s="31"/>
      <c r="I326" s="188" t="s">
        <v>4137</v>
      </c>
      <c r="J326" s="5" t="s">
        <v>357</v>
      </c>
      <c r="K326" s="8"/>
    </row>
    <row r="327" spans="1:11" x14ac:dyDescent="0.2">
      <c r="A327" s="8">
        <v>326</v>
      </c>
      <c r="B327" s="8">
        <f t="shared" si="12"/>
        <v>2020</v>
      </c>
      <c r="C327" s="8">
        <f t="shared" si="13"/>
        <v>8</v>
      </c>
      <c r="D327" s="85">
        <v>44061</v>
      </c>
      <c r="E327" s="31"/>
      <c r="F327" s="31"/>
      <c r="G327" s="31"/>
      <c r="H327" s="31"/>
      <c r="I327" s="31" t="s">
        <v>92</v>
      </c>
      <c r="J327" s="5" t="s">
        <v>358</v>
      </c>
      <c r="K327" s="8"/>
    </row>
    <row r="328" spans="1:11" x14ac:dyDescent="0.2">
      <c r="A328" s="8">
        <v>327</v>
      </c>
      <c r="B328" s="8">
        <f t="shared" si="12"/>
        <v>2020</v>
      </c>
      <c r="C328" s="8">
        <f t="shared" si="13"/>
        <v>8</v>
      </c>
      <c r="D328" s="85">
        <v>44063</v>
      </c>
      <c r="E328" s="31"/>
      <c r="F328" s="31">
        <v>0</v>
      </c>
      <c r="G328" s="31"/>
      <c r="H328" s="31">
        <v>108000</v>
      </c>
      <c r="I328" s="31" t="s">
        <v>74</v>
      </c>
      <c r="J328" s="5" t="s">
        <v>359</v>
      </c>
      <c r="K328" s="8"/>
    </row>
    <row r="329" spans="1:11" x14ac:dyDescent="0.2">
      <c r="A329" s="8">
        <v>328</v>
      </c>
      <c r="B329" s="8">
        <f t="shared" si="12"/>
        <v>2020</v>
      </c>
      <c r="C329" s="8">
        <f t="shared" si="13"/>
        <v>8</v>
      </c>
      <c r="D329" s="85">
        <v>44065</v>
      </c>
      <c r="E329" s="31"/>
      <c r="F329" s="31">
        <v>0</v>
      </c>
      <c r="G329" s="31"/>
      <c r="H329" s="31">
        <v>135000</v>
      </c>
      <c r="I329" s="31" t="s">
        <v>74</v>
      </c>
      <c r="J329" s="5" t="s">
        <v>354</v>
      </c>
      <c r="K329" s="8"/>
    </row>
    <row r="330" spans="1:11" x14ac:dyDescent="0.2">
      <c r="A330" s="8">
        <v>329</v>
      </c>
      <c r="B330" s="8">
        <f t="shared" si="12"/>
        <v>2020</v>
      </c>
      <c r="C330" s="8">
        <f t="shared" si="13"/>
        <v>8</v>
      </c>
      <c r="D330" s="85">
        <v>44066</v>
      </c>
      <c r="E330" s="31"/>
      <c r="F330" s="31">
        <v>30000</v>
      </c>
      <c r="G330" s="31"/>
      <c r="H330" s="31"/>
      <c r="I330" s="31" t="s">
        <v>88</v>
      </c>
      <c r="J330" s="5" t="s">
        <v>360</v>
      </c>
      <c r="K330" s="8"/>
    </row>
    <row r="331" spans="1:11" x14ac:dyDescent="0.2">
      <c r="A331" s="8">
        <v>330</v>
      </c>
      <c r="B331" s="8">
        <f t="shared" si="12"/>
        <v>2020</v>
      </c>
      <c r="C331" s="8">
        <f t="shared" si="13"/>
        <v>8</v>
      </c>
      <c r="D331" s="85">
        <v>44066</v>
      </c>
      <c r="E331" s="31"/>
      <c r="F331" s="31">
        <v>0</v>
      </c>
      <c r="G331" s="31"/>
      <c r="H331" s="31">
        <v>50000</v>
      </c>
      <c r="I331" s="31" t="s">
        <v>74</v>
      </c>
      <c r="J331" s="5" t="s">
        <v>361</v>
      </c>
      <c r="K331" s="8"/>
    </row>
    <row r="332" spans="1:11" x14ac:dyDescent="0.2">
      <c r="A332" s="8">
        <v>331</v>
      </c>
      <c r="B332" s="8">
        <f t="shared" si="12"/>
        <v>2020</v>
      </c>
      <c r="C332" s="8">
        <f t="shared" si="13"/>
        <v>8</v>
      </c>
      <c r="D332" s="85">
        <v>44067</v>
      </c>
      <c r="E332" s="31"/>
      <c r="F332" s="31">
        <v>0</v>
      </c>
      <c r="G332" s="31"/>
      <c r="H332" s="31">
        <v>195000</v>
      </c>
      <c r="I332" s="31" t="s">
        <v>74</v>
      </c>
      <c r="J332" s="5" t="s">
        <v>257</v>
      </c>
      <c r="K332" s="8"/>
    </row>
    <row r="333" spans="1:11" x14ac:dyDescent="0.2">
      <c r="A333" s="8">
        <v>332</v>
      </c>
      <c r="B333" s="8">
        <f t="shared" si="12"/>
        <v>2020</v>
      </c>
      <c r="C333" s="8">
        <f t="shared" si="13"/>
        <v>8</v>
      </c>
      <c r="D333" s="85">
        <v>44067</v>
      </c>
      <c r="E333" s="31"/>
      <c r="F333" s="31">
        <v>85000</v>
      </c>
      <c r="G333" s="31"/>
      <c r="H333" s="31"/>
      <c r="I333" s="31" t="s">
        <v>83</v>
      </c>
      <c r="J333" s="5" t="s">
        <v>362</v>
      </c>
      <c r="K333" s="8"/>
    </row>
    <row r="334" spans="1:11" x14ac:dyDescent="0.2">
      <c r="A334" s="8">
        <v>333</v>
      </c>
      <c r="B334" s="8">
        <f t="shared" si="12"/>
        <v>2020</v>
      </c>
      <c r="C334" s="8">
        <f t="shared" si="13"/>
        <v>8</v>
      </c>
      <c r="D334" s="85">
        <v>44072</v>
      </c>
      <c r="E334" s="31"/>
      <c r="F334" s="31">
        <v>40000</v>
      </c>
      <c r="G334" s="31"/>
      <c r="H334" s="31"/>
      <c r="I334" s="31" t="s">
        <v>300</v>
      </c>
      <c r="J334" s="5" t="s">
        <v>363</v>
      </c>
      <c r="K334" s="8"/>
    </row>
    <row r="335" spans="1:11" x14ac:dyDescent="0.2">
      <c r="A335" s="8">
        <v>334</v>
      </c>
      <c r="B335" s="8">
        <f t="shared" si="12"/>
        <v>2020</v>
      </c>
      <c r="C335" s="8">
        <f t="shared" si="13"/>
        <v>8</v>
      </c>
      <c r="D335" s="85">
        <v>44073</v>
      </c>
      <c r="E335" s="31"/>
      <c r="F335" s="31">
        <v>30000</v>
      </c>
      <c r="G335" s="31"/>
      <c r="H335" s="31"/>
      <c r="I335" s="31" t="s">
        <v>300</v>
      </c>
      <c r="J335" s="5" t="s">
        <v>120</v>
      </c>
      <c r="K335" s="8"/>
    </row>
    <row r="336" spans="1:11" x14ac:dyDescent="0.2">
      <c r="A336" s="8">
        <v>335</v>
      </c>
      <c r="B336" s="8">
        <f t="shared" si="12"/>
        <v>2020</v>
      </c>
      <c r="C336" s="8">
        <f t="shared" si="13"/>
        <v>8</v>
      </c>
      <c r="D336" s="85">
        <v>44074</v>
      </c>
      <c r="E336" s="31"/>
      <c r="F336" s="31">
        <v>100000</v>
      </c>
      <c r="G336" s="31"/>
      <c r="H336" s="31"/>
      <c r="I336" s="31" t="s">
        <v>364</v>
      </c>
      <c r="J336" s="5" t="s">
        <v>365</v>
      </c>
      <c r="K336" s="8">
        <f>SUM(F295:F336)</f>
        <v>2939400</v>
      </c>
    </row>
    <row r="337" spans="1:11" x14ac:dyDescent="0.2">
      <c r="A337" s="8">
        <v>336</v>
      </c>
      <c r="B337" s="8">
        <f t="shared" si="12"/>
        <v>2020</v>
      </c>
      <c r="C337" s="8">
        <f t="shared" si="13"/>
        <v>9</v>
      </c>
      <c r="D337" s="85">
        <v>44075</v>
      </c>
      <c r="E337" s="31"/>
      <c r="F337" s="31">
        <v>102000</v>
      </c>
      <c r="G337" s="31"/>
      <c r="H337" s="31"/>
      <c r="I337" s="31" t="s">
        <v>299</v>
      </c>
      <c r="J337" s="5" t="s">
        <v>366</v>
      </c>
      <c r="K337" s="8"/>
    </row>
    <row r="338" spans="1:11" x14ac:dyDescent="0.2">
      <c r="A338" s="8">
        <v>337</v>
      </c>
      <c r="B338" s="8">
        <f t="shared" si="12"/>
        <v>2020</v>
      </c>
      <c r="C338" s="8">
        <f t="shared" si="13"/>
        <v>9</v>
      </c>
      <c r="D338" s="85">
        <v>44075</v>
      </c>
      <c r="E338" s="31"/>
      <c r="F338" s="31">
        <v>109000</v>
      </c>
      <c r="G338" s="31"/>
      <c r="H338" s="31"/>
      <c r="I338" s="188" t="s">
        <v>4137</v>
      </c>
      <c r="J338" s="5" t="s">
        <v>367</v>
      </c>
      <c r="K338" s="8"/>
    </row>
    <row r="339" spans="1:11" x14ac:dyDescent="0.2">
      <c r="A339" s="8">
        <v>338</v>
      </c>
      <c r="B339" s="8">
        <f t="shared" si="12"/>
        <v>2020</v>
      </c>
      <c r="C339" s="8">
        <f t="shared" si="13"/>
        <v>9</v>
      </c>
      <c r="D339" s="85">
        <v>44076</v>
      </c>
      <c r="E339" s="31"/>
      <c r="F339" s="31">
        <v>2000000</v>
      </c>
      <c r="G339" s="31">
        <v>0</v>
      </c>
      <c r="H339" s="31"/>
      <c r="I339" s="31" t="s">
        <v>92</v>
      </c>
      <c r="J339" s="5" t="s">
        <v>368</v>
      </c>
      <c r="K339" s="8"/>
    </row>
    <row r="340" spans="1:11" x14ac:dyDescent="0.2">
      <c r="A340" s="8">
        <v>339</v>
      </c>
      <c r="B340" s="8">
        <f t="shared" si="12"/>
        <v>2020</v>
      </c>
      <c r="C340" s="8">
        <f t="shared" si="13"/>
        <v>9</v>
      </c>
      <c r="D340" s="85">
        <v>44077</v>
      </c>
      <c r="E340" s="31"/>
      <c r="F340" s="31">
        <v>14000</v>
      </c>
      <c r="G340" s="31"/>
      <c r="H340" s="31"/>
      <c r="I340" s="31"/>
      <c r="J340" s="5" t="s">
        <v>356</v>
      </c>
      <c r="K340" s="8"/>
    </row>
    <row r="341" spans="1:11" x14ac:dyDescent="0.2">
      <c r="A341" s="8">
        <v>340</v>
      </c>
      <c r="B341" s="8">
        <f t="shared" si="12"/>
        <v>2020</v>
      </c>
      <c r="C341" s="8">
        <f t="shared" si="13"/>
        <v>9</v>
      </c>
      <c r="D341" s="85">
        <v>44077</v>
      </c>
      <c r="E341" s="31"/>
      <c r="F341" s="31">
        <v>40000</v>
      </c>
      <c r="G341" s="31"/>
      <c r="H341" s="31"/>
      <c r="I341" s="31"/>
      <c r="J341" s="5" t="s">
        <v>369</v>
      </c>
      <c r="K341" s="8"/>
    </row>
    <row r="342" spans="1:11" x14ac:dyDescent="0.2">
      <c r="A342" s="8">
        <v>341</v>
      </c>
      <c r="B342" s="8">
        <f t="shared" si="12"/>
        <v>2020</v>
      </c>
      <c r="C342" s="8">
        <f t="shared" si="13"/>
        <v>9</v>
      </c>
      <c r="D342" s="85">
        <v>44079</v>
      </c>
      <c r="E342" s="31">
        <v>50000</v>
      </c>
      <c r="F342" s="31"/>
      <c r="G342" s="31"/>
      <c r="H342" s="31"/>
      <c r="I342" s="31" t="s">
        <v>109</v>
      </c>
      <c r="J342" s="5" t="s">
        <v>370</v>
      </c>
      <c r="K342" s="8"/>
    </row>
    <row r="343" spans="1:11" x14ac:dyDescent="0.2">
      <c r="A343" s="8">
        <v>342</v>
      </c>
      <c r="B343" s="8">
        <f t="shared" si="12"/>
        <v>2020</v>
      </c>
      <c r="C343" s="8">
        <f t="shared" si="13"/>
        <v>9</v>
      </c>
      <c r="D343" s="85">
        <v>44078</v>
      </c>
      <c r="E343" s="31"/>
      <c r="F343" s="31">
        <v>100000</v>
      </c>
      <c r="G343" s="31"/>
      <c r="H343" s="31"/>
      <c r="I343" s="31"/>
      <c r="J343" s="5" t="s">
        <v>371</v>
      </c>
      <c r="K343" s="8"/>
    </row>
    <row r="344" spans="1:11" x14ac:dyDescent="0.2">
      <c r="A344" s="8">
        <v>343</v>
      </c>
      <c r="B344" s="8">
        <f t="shared" si="12"/>
        <v>2020</v>
      </c>
      <c r="C344" s="8">
        <f t="shared" si="13"/>
        <v>9</v>
      </c>
      <c r="D344" s="85">
        <v>44078</v>
      </c>
      <c r="E344" s="31">
        <v>210000</v>
      </c>
      <c r="F344" s="31"/>
      <c r="G344" s="31"/>
      <c r="H344" s="31"/>
      <c r="I344" s="31" t="s">
        <v>109</v>
      </c>
      <c r="J344" s="5" t="s">
        <v>372</v>
      </c>
      <c r="K344" s="8"/>
    </row>
    <row r="345" spans="1:11" x14ac:dyDescent="0.2">
      <c r="A345" s="8">
        <v>344</v>
      </c>
      <c r="B345" s="8">
        <f t="shared" si="12"/>
        <v>2020</v>
      </c>
      <c r="C345" s="8">
        <f t="shared" si="13"/>
        <v>9</v>
      </c>
      <c r="D345" s="85">
        <v>44078</v>
      </c>
      <c r="E345" s="31">
        <v>100000</v>
      </c>
      <c r="F345" s="31"/>
      <c r="G345" s="31"/>
      <c r="H345" s="31"/>
      <c r="I345" s="31" t="s">
        <v>109</v>
      </c>
      <c r="J345" s="5" t="s">
        <v>373</v>
      </c>
      <c r="K345" s="8"/>
    </row>
    <row r="346" spans="1:11" x14ac:dyDescent="0.2">
      <c r="A346" s="8">
        <v>345</v>
      </c>
      <c r="B346" s="8">
        <f t="shared" si="12"/>
        <v>2020</v>
      </c>
      <c r="C346" s="8">
        <f t="shared" si="13"/>
        <v>9</v>
      </c>
      <c r="D346" s="85">
        <v>44079</v>
      </c>
      <c r="E346" s="31"/>
      <c r="F346" s="31">
        <v>178000</v>
      </c>
      <c r="G346" s="31"/>
      <c r="H346" s="31"/>
      <c r="I346" s="31" t="s">
        <v>88</v>
      </c>
      <c r="J346" s="5" t="s">
        <v>374</v>
      </c>
      <c r="K346" s="8"/>
    </row>
    <row r="347" spans="1:11" x14ac:dyDescent="0.2">
      <c r="A347" s="8">
        <v>346</v>
      </c>
      <c r="B347" s="8">
        <f t="shared" si="12"/>
        <v>2020</v>
      </c>
      <c r="C347" s="8">
        <f t="shared" si="13"/>
        <v>9</v>
      </c>
      <c r="D347" s="85">
        <v>44079</v>
      </c>
      <c r="E347" s="31"/>
      <c r="F347" s="31">
        <v>75000</v>
      </c>
      <c r="G347" s="31"/>
      <c r="H347" s="31"/>
      <c r="I347" s="31" t="s">
        <v>88</v>
      </c>
      <c r="J347" s="5" t="s">
        <v>375</v>
      </c>
      <c r="K347" s="8"/>
    </row>
    <row r="348" spans="1:11" x14ac:dyDescent="0.2">
      <c r="A348" s="8">
        <v>347</v>
      </c>
      <c r="B348" s="8">
        <f t="shared" si="12"/>
        <v>2020</v>
      </c>
      <c r="C348" s="8">
        <f t="shared" si="13"/>
        <v>9</v>
      </c>
      <c r="D348" s="85">
        <v>44080</v>
      </c>
      <c r="E348" s="31"/>
      <c r="F348" s="31">
        <v>600000</v>
      </c>
      <c r="G348" s="31"/>
      <c r="H348" s="31"/>
      <c r="I348" s="31" t="s">
        <v>201</v>
      </c>
      <c r="J348" s="5" t="s">
        <v>316</v>
      </c>
      <c r="K348" s="8"/>
    </row>
    <row r="349" spans="1:11" x14ac:dyDescent="0.2">
      <c r="A349" s="8">
        <v>348</v>
      </c>
      <c r="B349" s="8">
        <f t="shared" si="12"/>
        <v>2020</v>
      </c>
      <c r="C349" s="8">
        <f t="shared" si="13"/>
        <v>9</v>
      </c>
      <c r="D349" s="85">
        <v>44081</v>
      </c>
      <c r="E349" s="31">
        <v>30000</v>
      </c>
      <c r="F349" s="31"/>
      <c r="G349" s="31"/>
      <c r="H349" s="31"/>
      <c r="I349" s="31" t="s">
        <v>109</v>
      </c>
      <c r="J349" s="5" t="s">
        <v>376</v>
      </c>
      <c r="K349" s="8"/>
    </row>
    <row r="350" spans="1:11" x14ac:dyDescent="0.2">
      <c r="A350" s="8">
        <v>349</v>
      </c>
      <c r="B350" s="8">
        <f t="shared" si="12"/>
        <v>2020</v>
      </c>
      <c r="C350" s="8">
        <f t="shared" si="13"/>
        <v>9</v>
      </c>
      <c r="D350" s="85">
        <v>44081</v>
      </c>
      <c r="E350" s="31"/>
      <c r="F350" s="31"/>
      <c r="G350" s="31"/>
      <c r="H350" s="31">
        <v>16000</v>
      </c>
      <c r="I350" s="31" t="s">
        <v>74</v>
      </c>
      <c r="J350" s="5" t="s">
        <v>377</v>
      </c>
      <c r="K350" s="8"/>
    </row>
    <row r="351" spans="1:11" x14ac:dyDescent="0.2">
      <c r="A351" s="8">
        <v>350</v>
      </c>
      <c r="B351" s="8">
        <f t="shared" si="12"/>
        <v>2020</v>
      </c>
      <c r="C351" s="8">
        <f t="shared" si="13"/>
        <v>9</v>
      </c>
      <c r="D351" s="85">
        <v>44081</v>
      </c>
      <c r="E351" s="31">
        <v>200000</v>
      </c>
      <c r="F351" s="31"/>
      <c r="G351" s="31"/>
      <c r="H351" s="31">
        <v>118000</v>
      </c>
      <c r="I351" s="31" t="s">
        <v>109</v>
      </c>
      <c r="J351" s="5" t="s">
        <v>378</v>
      </c>
      <c r="K351" s="8"/>
    </row>
    <row r="352" spans="1:11" x14ac:dyDescent="0.2">
      <c r="A352" s="8">
        <v>351</v>
      </c>
      <c r="B352" s="8">
        <f t="shared" si="12"/>
        <v>2020</v>
      </c>
      <c r="C352" s="8">
        <f t="shared" si="13"/>
        <v>9</v>
      </c>
      <c r="D352" s="85">
        <v>44081</v>
      </c>
      <c r="E352" s="31"/>
      <c r="F352" s="31">
        <v>30000</v>
      </c>
      <c r="G352" s="31"/>
      <c r="H352" s="31"/>
      <c r="I352" s="31" t="s">
        <v>85</v>
      </c>
      <c r="J352" s="5" t="s">
        <v>379</v>
      </c>
      <c r="K352" s="8"/>
    </row>
    <row r="353" spans="1:11" x14ac:dyDescent="0.2">
      <c r="A353" s="8">
        <v>352</v>
      </c>
      <c r="B353" s="8">
        <f t="shared" si="12"/>
        <v>2020</v>
      </c>
      <c r="C353" s="8">
        <f t="shared" si="13"/>
        <v>9</v>
      </c>
      <c r="D353" s="85">
        <v>44081</v>
      </c>
      <c r="E353" s="31"/>
      <c r="F353" s="31">
        <v>10000</v>
      </c>
      <c r="G353" s="31"/>
      <c r="H353" s="31"/>
      <c r="I353" s="31" t="s">
        <v>88</v>
      </c>
      <c r="J353" s="5" t="s">
        <v>175</v>
      </c>
      <c r="K353" s="8"/>
    </row>
    <row r="354" spans="1:11" x14ac:dyDescent="0.2">
      <c r="A354" s="8">
        <v>353</v>
      </c>
      <c r="B354" s="8">
        <f t="shared" si="12"/>
        <v>2020</v>
      </c>
      <c r="C354" s="8">
        <f t="shared" si="13"/>
        <v>9</v>
      </c>
      <c r="D354" s="85">
        <v>44082</v>
      </c>
      <c r="E354" s="31">
        <v>370000</v>
      </c>
      <c r="F354" s="31"/>
      <c r="G354" s="31"/>
      <c r="H354" s="31"/>
      <c r="I354" s="31" t="s">
        <v>109</v>
      </c>
      <c r="J354" s="5" t="s">
        <v>380</v>
      </c>
      <c r="K354" s="8"/>
    </row>
    <row r="355" spans="1:11" x14ac:dyDescent="0.2">
      <c r="A355" s="8">
        <v>354</v>
      </c>
      <c r="B355" s="8">
        <f t="shared" si="12"/>
        <v>2020</v>
      </c>
      <c r="C355" s="8">
        <f t="shared" si="13"/>
        <v>9</v>
      </c>
      <c r="D355" s="85">
        <v>44082</v>
      </c>
      <c r="E355" s="31"/>
      <c r="F355" s="31">
        <v>20000</v>
      </c>
      <c r="G355" s="31"/>
      <c r="H355" s="31"/>
      <c r="I355" s="31" t="s">
        <v>88</v>
      </c>
      <c r="J355" s="5" t="s">
        <v>381</v>
      </c>
      <c r="K355" s="8"/>
    </row>
    <row r="356" spans="1:11" x14ac:dyDescent="0.2">
      <c r="A356" s="8">
        <v>355</v>
      </c>
      <c r="B356" s="8">
        <f t="shared" si="12"/>
        <v>2020</v>
      </c>
      <c r="C356" s="8">
        <f t="shared" si="13"/>
        <v>9</v>
      </c>
      <c r="D356" s="85">
        <v>44084</v>
      </c>
      <c r="E356" s="31"/>
      <c r="F356" s="31"/>
      <c r="G356" s="31"/>
      <c r="H356" s="31">
        <v>450000</v>
      </c>
      <c r="I356" s="31" t="s">
        <v>74</v>
      </c>
      <c r="J356" s="5" t="s">
        <v>382</v>
      </c>
      <c r="K356" s="8"/>
    </row>
    <row r="357" spans="1:11" x14ac:dyDescent="0.2">
      <c r="A357" s="8">
        <v>356</v>
      </c>
      <c r="B357" s="8">
        <f t="shared" si="12"/>
        <v>2020</v>
      </c>
      <c r="C357" s="8">
        <f t="shared" si="13"/>
        <v>9</v>
      </c>
      <c r="D357" s="85">
        <v>44084</v>
      </c>
      <c r="E357" s="31">
        <v>120000</v>
      </c>
      <c r="F357" s="31"/>
      <c r="G357" s="31"/>
      <c r="H357" s="31"/>
      <c r="I357" s="31" t="s">
        <v>109</v>
      </c>
      <c r="J357" s="5" t="s">
        <v>383</v>
      </c>
      <c r="K357" s="8"/>
    </row>
    <row r="358" spans="1:11" x14ac:dyDescent="0.2">
      <c r="A358" s="8">
        <v>357</v>
      </c>
      <c r="B358" s="8">
        <f t="shared" si="12"/>
        <v>2020</v>
      </c>
      <c r="C358" s="8">
        <f t="shared" si="13"/>
        <v>9</v>
      </c>
      <c r="D358" s="85">
        <v>44084</v>
      </c>
      <c r="E358" s="31"/>
      <c r="F358" s="31">
        <v>20000</v>
      </c>
      <c r="G358" s="31"/>
      <c r="H358" s="31"/>
      <c r="I358" s="31" t="s">
        <v>85</v>
      </c>
      <c r="J358" s="5" t="s">
        <v>384</v>
      </c>
      <c r="K358" s="8"/>
    </row>
    <row r="359" spans="1:11" x14ac:dyDescent="0.2">
      <c r="A359" s="8">
        <v>358</v>
      </c>
      <c r="B359" s="8">
        <f t="shared" si="12"/>
        <v>2020</v>
      </c>
      <c r="C359" s="8">
        <f t="shared" si="13"/>
        <v>9</v>
      </c>
      <c r="D359" s="85">
        <v>44084</v>
      </c>
      <c r="E359" s="31"/>
      <c r="F359" s="31">
        <v>20000</v>
      </c>
      <c r="G359" s="31"/>
      <c r="H359" s="31"/>
      <c r="I359" s="31" t="s">
        <v>85</v>
      </c>
      <c r="J359" s="5" t="s">
        <v>385</v>
      </c>
      <c r="K359" s="8"/>
    </row>
    <row r="360" spans="1:11" x14ac:dyDescent="0.2">
      <c r="A360" s="8">
        <v>359</v>
      </c>
      <c r="B360" s="8">
        <f t="shared" si="12"/>
        <v>2020</v>
      </c>
      <c r="C360" s="8">
        <f t="shared" si="13"/>
        <v>9</v>
      </c>
      <c r="D360" s="85">
        <v>44085</v>
      </c>
      <c r="E360" s="31"/>
      <c r="F360" s="31">
        <v>10000</v>
      </c>
      <c r="G360" s="31"/>
      <c r="H360" s="31"/>
      <c r="I360" s="31" t="s">
        <v>88</v>
      </c>
      <c r="J360" s="5" t="s">
        <v>89</v>
      </c>
      <c r="K360" s="8"/>
    </row>
    <row r="361" spans="1:11" x14ac:dyDescent="0.2">
      <c r="A361" s="8">
        <v>360</v>
      </c>
      <c r="B361" s="8">
        <f t="shared" si="12"/>
        <v>2020</v>
      </c>
      <c r="C361" s="8">
        <f t="shared" si="13"/>
        <v>9</v>
      </c>
      <c r="D361" s="85">
        <v>44086</v>
      </c>
      <c r="E361" s="31"/>
      <c r="F361" s="31">
        <v>95000</v>
      </c>
      <c r="G361" s="31"/>
      <c r="H361" s="31"/>
      <c r="I361" s="31" t="s">
        <v>83</v>
      </c>
      <c r="J361" s="5" t="s">
        <v>386</v>
      </c>
      <c r="K361" s="8"/>
    </row>
    <row r="362" spans="1:11" x14ac:dyDescent="0.2">
      <c r="A362" s="8">
        <v>361</v>
      </c>
      <c r="B362" s="8">
        <f t="shared" si="12"/>
        <v>2020</v>
      </c>
      <c r="C362" s="8">
        <f t="shared" si="13"/>
        <v>9</v>
      </c>
      <c r="D362" s="85">
        <v>44086</v>
      </c>
      <c r="E362" s="31"/>
      <c r="F362" s="31">
        <v>35000</v>
      </c>
      <c r="G362" s="31"/>
      <c r="H362" s="31"/>
      <c r="I362" s="31" t="s">
        <v>88</v>
      </c>
      <c r="J362" s="5" t="s">
        <v>387</v>
      </c>
      <c r="K362" s="8"/>
    </row>
    <row r="363" spans="1:11" x14ac:dyDescent="0.2">
      <c r="A363" s="8">
        <v>362</v>
      </c>
      <c r="B363" s="8">
        <f t="shared" si="12"/>
        <v>2020</v>
      </c>
      <c r="C363" s="8">
        <f t="shared" si="13"/>
        <v>9</v>
      </c>
      <c r="D363" s="85">
        <v>44086</v>
      </c>
      <c r="E363" s="31"/>
      <c r="F363" s="31">
        <v>120000</v>
      </c>
      <c r="G363" s="31"/>
      <c r="H363" s="31"/>
      <c r="I363" s="31" t="s">
        <v>85</v>
      </c>
      <c r="J363" s="5" t="s">
        <v>388</v>
      </c>
      <c r="K363" s="8"/>
    </row>
    <row r="364" spans="1:11" x14ac:dyDescent="0.2">
      <c r="A364" s="8">
        <v>363</v>
      </c>
      <c r="B364" s="8">
        <f t="shared" si="12"/>
        <v>2020</v>
      </c>
      <c r="C364" s="8">
        <f t="shared" si="13"/>
        <v>9</v>
      </c>
      <c r="D364" s="85">
        <v>44089</v>
      </c>
      <c r="E364" s="31"/>
      <c r="F364" s="31">
        <v>300000</v>
      </c>
      <c r="G364" s="31"/>
      <c r="H364" s="31"/>
      <c r="I364" s="31" t="s">
        <v>85</v>
      </c>
      <c r="J364" s="5" t="s">
        <v>389</v>
      </c>
      <c r="K364" s="8"/>
    </row>
    <row r="365" spans="1:11" x14ac:dyDescent="0.2">
      <c r="A365" s="8">
        <v>364</v>
      </c>
      <c r="B365" s="8">
        <f t="shared" si="12"/>
        <v>2020</v>
      </c>
      <c r="C365" s="8">
        <f t="shared" si="13"/>
        <v>9</v>
      </c>
      <c r="D365" s="85">
        <v>44089</v>
      </c>
      <c r="E365" s="31"/>
      <c r="F365" s="31">
        <v>240000</v>
      </c>
      <c r="G365" s="31"/>
      <c r="H365" s="31"/>
      <c r="I365" s="31" t="s">
        <v>390</v>
      </c>
      <c r="J365" s="5" t="s">
        <v>169</v>
      </c>
      <c r="K365" s="8"/>
    </row>
    <row r="366" spans="1:11" x14ac:dyDescent="0.2">
      <c r="A366" s="8">
        <v>365</v>
      </c>
      <c r="B366" s="8">
        <f t="shared" si="12"/>
        <v>2020</v>
      </c>
      <c r="C366" s="8">
        <f t="shared" si="13"/>
        <v>9</v>
      </c>
      <c r="D366" s="85">
        <v>44089</v>
      </c>
      <c r="E366" s="31"/>
      <c r="F366" s="31">
        <v>100000</v>
      </c>
      <c r="G366" s="31"/>
      <c r="H366" s="31"/>
      <c r="I366" s="31" t="s">
        <v>140</v>
      </c>
      <c r="J366" s="5" t="s">
        <v>391</v>
      </c>
      <c r="K366" s="8"/>
    </row>
    <row r="367" spans="1:11" x14ac:dyDescent="0.2">
      <c r="A367" s="8">
        <v>366</v>
      </c>
      <c r="B367" s="8">
        <f t="shared" si="12"/>
        <v>2020</v>
      </c>
      <c r="C367" s="8">
        <f t="shared" si="13"/>
        <v>9</v>
      </c>
      <c r="D367" s="85">
        <v>44089</v>
      </c>
      <c r="E367" s="31"/>
      <c r="F367" s="31">
        <v>800000</v>
      </c>
      <c r="G367" s="31">
        <v>0</v>
      </c>
      <c r="H367" s="31"/>
      <c r="I367" s="31" t="s">
        <v>92</v>
      </c>
      <c r="J367" s="5" t="s">
        <v>392</v>
      </c>
      <c r="K367" s="8"/>
    </row>
    <row r="368" spans="1:11" x14ac:dyDescent="0.2">
      <c r="A368" s="8">
        <v>367</v>
      </c>
      <c r="B368" s="8">
        <f t="shared" si="12"/>
        <v>2020</v>
      </c>
      <c r="C368" s="8">
        <f t="shared" si="13"/>
        <v>9</v>
      </c>
      <c r="D368" s="85">
        <v>44089</v>
      </c>
      <c r="E368" s="31"/>
      <c r="F368" s="31">
        <v>300000</v>
      </c>
      <c r="G368" s="31">
        <v>0</v>
      </c>
      <c r="H368" s="31"/>
      <c r="I368" s="31" t="s">
        <v>92</v>
      </c>
      <c r="J368" s="5" t="s">
        <v>393</v>
      </c>
      <c r="K368" s="8"/>
    </row>
    <row r="369" spans="1:11" x14ac:dyDescent="0.2">
      <c r="A369" s="8">
        <v>368</v>
      </c>
      <c r="B369" s="8">
        <f t="shared" si="12"/>
        <v>2020</v>
      </c>
      <c r="C369" s="8">
        <f t="shared" si="13"/>
        <v>9</v>
      </c>
      <c r="D369" s="85">
        <v>44104</v>
      </c>
      <c r="E369" s="31"/>
      <c r="F369" s="31">
        <v>47000</v>
      </c>
      <c r="G369" s="31"/>
      <c r="H369" s="31"/>
      <c r="I369" s="31"/>
      <c r="J369" s="5" t="s">
        <v>394</v>
      </c>
      <c r="K369" s="8"/>
    </row>
    <row r="370" spans="1:11" x14ac:dyDescent="0.2">
      <c r="A370" s="8">
        <v>369</v>
      </c>
      <c r="B370" s="8">
        <f t="shared" si="12"/>
        <v>2020</v>
      </c>
      <c r="C370" s="8">
        <f t="shared" si="13"/>
        <v>9</v>
      </c>
      <c r="D370" s="85">
        <v>44104</v>
      </c>
      <c r="E370" s="31"/>
      <c r="F370" s="31">
        <v>200000</v>
      </c>
      <c r="G370" s="31"/>
      <c r="H370" s="31"/>
      <c r="I370" s="31"/>
      <c r="J370" s="5" t="s">
        <v>395</v>
      </c>
      <c r="K370" s="8"/>
    </row>
    <row r="371" spans="1:11" x14ac:dyDescent="0.2">
      <c r="A371" s="8">
        <v>370</v>
      </c>
      <c r="B371" s="8">
        <f t="shared" si="12"/>
        <v>2020</v>
      </c>
      <c r="C371" s="8">
        <f t="shared" si="13"/>
        <v>9</v>
      </c>
      <c r="D371" s="85">
        <v>44104</v>
      </c>
      <c r="E371" s="31"/>
      <c r="F371" s="31">
        <v>600000</v>
      </c>
      <c r="G371" s="31"/>
      <c r="H371" s="31"/>
      <c r="I371" s="31" t="s">
        <v>85</v>
      </c>
      <c r="J371" s="5" t="s">
        <v>396</v>
      </c>
      <c r="K371" s="8"/>
    </row>
    <row r="372" spans="1:11" x14ac:dyDescent="0.2">
      <c r="A372" s="8">
        <v>371</v>
      </c>
      <c r="B372" s="8">
        <f t="shared" si="12"/>
        <v>2020</v>
      </c>
      <c r="C372" s="8">
        <f t="shared" si="13"/>
        <v>9</v>
      </c>
      <c r="D372" s="85">
        <v>44104</v>
      </c>
      <c r="E372" s="31"/>
      <c r="F372" s="31"/>
      <c r="G372" s="31"/>
      <c r="H372" s="31"/>
      <c r="I372" s="31" t="s">
        <v>92</v>
      </c>
      <c r="J372" s="5" t="s">
        <v>397</v>
      </c>
      <c r="K372" s="8"/>
    </row>
    <row r="373" spans="1:11" x14ac:dyDescent="0.2">
      <c r="A373" s="8">
        <v>372</v>
      </c>
      <c r="B373" s="8">
        <f t="shared" si="12"/>
        <v>2020</v>
      </c>
      <c r="C373" s="8">
        <f t="shared" si="13"/>
        <v>9</v>
      </c>
      <c r="D373" s="85">
        <v>44104</v>
      </c>
      <c r="E373" s="31"/>
      <c r="F373" s="31"/>
      <c r="G373" s="31"/>
      <c r="H373" s="31">
        <v>1000000</v>
      </c>
      <c r="I373" s="31" t="s">
        <v>74</v>
      </c>
      <c r="J373" s="5" t="s">
        <v>398</v>
      </c>
      <c r="K373" s="8"/>
    </row>
    <row r="374" spans="1:11" x14ac:dyDescent="0.2">
      <c r="A374" s="8">
        <v>373</v>
      </c>
      <c r="B374" s="8">
        <f t="shared" si="12"/>
        <v>2020</v>
      </c>
      <c r="C374" s="8">
        <f t="shared" si="13"/>
        <v>9</v>
      </c>
      <c r="D374" s="85">
        <v>44104</v>
      </c>
      <c r="E374" s="31">
        <v>600000</v>
      </c>
      <c r="F374" s="31"/>
      <c r="G374" s="31"/>
      <c r="H374" s="31">
        <v>2300000</v>
      </c>
      <c r="I374" s="31" t="s">
        <v>74</v>
      </c>
      <c r="J374" s="5" t="s">
        <v>399</v>
      </c>
      <c r="K374" s="8"/>
    </row>
    <row r="375" spans="1:11" x14ac:dyDescent="0.2">
      <c r="A375" s="8">
        <v>374</v>
      </c>
      <c r="B375" s="8">
        <f t="shared" si="12"/>
        <v>2020</v>
      </c>
      <c r="C375" s="8">
        <f t="shared" si="13"/>
        <v>9</v>
      </c>
      <c r="D375" s="86">
        <v>44104</v>
      </c>
      <c r="E375" s="45"/>
      <c r="F375" s="45">
        <v>500000</v>
      </c>
      <c r="G375" s="45"/>
      <c r="H375" s="45"/>
      <c r="I375" s="45" t="s">
        <v>85</v>
      </c>
      <c r="J375" s="25" t="s">
        <v>400</v>
      </c>
      <c r="K375" s="29">
        <f>SUM(F337:F375)</f>
        <v>6665000</v>
      </c>
    </row>
    <row r="376" spans="1:11" x14ac:dyDescent="0.2">
      <c r="A376" s="8">
        <v>375</v>
      </c>
      <c r="B376" s="8">
        <f t="shared" si="12"/>
        <v>2020</v>
      </c>
      <c r="C376" s="8">
        <f t="shared" si="13"/>
        <v>10</v>
      </c>
      <c r="D376" s="85">
        <v>44105</v>
      </c>
      <c r="E376" s="31"/>
      <c r="F376" s="31">
        <v>300000</v>
      </c>
      <c r="G376" s="31"/>
      <c r="H376" s="31"/>
      <c r="I376" s="31" t="s">
        <v>88</v>
      </c>
      <c r="J376" s="5" t="s">
        <v>335</v>
      </c>
      <c r="K376" s="8"/>
    </row>
    <row r="377" spans="1:11" x14ac:dyDescent="0.2">
      <c r="A377" s="8">
        <v>376</v>
      </c>
      <c r="B377" s="8">
        <f t="shared" si="12"/>
        <v>2020</v>
      </c>
      <c r="C377" s="8">
        <f t="shared" si="13"/>
        <v>10</v>
      </c>
      <c r="D377" s="85">
        <v>44108</v>
      </c>
      <c r="E377" s="31"/>
      <c r="F377" s="31">
        <v>50000</v>
      </c>
      <c r="G377" s="31"/>
      <c r="H377" s="31"/>
      <c r="I377" s="31" t="s">
        <v>88</v>
      </c>
      <c r="J377" s="5" t="s">
        <v>401</v>
      </c>
      <c r="K377" s="8"/>
    </row>
    <row r="378" spans="1:11" x14ac:dyDescent="0.2">
      <c r="A378" s="8">
        <v>377</v>
      </c>
      <c r="B378" s="8">
        <f t="shared" si="12"/>
        <v>2020</v>
      </c>
      <c r="C378" s="8">
        <f t="shared" si="13"/>
        <v>10</v>
      </c>
      <c r="D378" s="85">
        <v>44107</v>
      </c>
      <c r="E378" s="31"/>
      <c r="F378" s="31">
        <v>40000</v>
      </c>
      <c r="G378" s="31"/>
      <c r="H378" s="31"/>
      <c r="I378" s="31" t="s">
        <v>83</v>
      </c>
      <c r="J378" s="5" t="s">
        <v>402</v>
      </c>
      <c r="K378" s="8"/>
    </row>
    <row r="379" spans="1:11" x14ac:dyDescent="0.2">
      <c r="A379" s="8">
        <v>378</v>
      </c>
      <c r="B379" s="8">
        <f t="shared" si="12"/>
        <v>2020</v>
      </c>
      <c r="C379" s="8">
        <f t="shared" si="13"/>
        <v>10</v>
      </c>
      <c r="D379" s="85">
        <v>44108</v>
      </c>
      <c r="E379" s="31"/>
      <c r="F379" s="31">
        <v>28000</v>
      </c>
      <c r="G379" s="31"/>
      <c r="H379" s="31"/>
      <c r="I379" s="31" t="s">
        <v>85</v>
      </c>
      <c r="J379" s="5" t="s">
        <v>403</v>
      </c>
      <c r="K379" s="8"/>
    </row>
    <row r="380" spans="1:11" x14ac:dyDescent="0.2">
      <c r="A380" s="8">
        <v>379</v>
      </c>
      <c r="B380" s="8">
        <f t="shared" si="12"/>
        <v>2020</v>
      </c>
      <c r="C380" s="8">
        <f t="shared" si="13"/>
        <v>10</v>
      </c>
      <c r="D380" s="85">
        <v>44108</v>
      </c>
      <c r="E380" s="31"/>
      <c r="F380" s="31">
        <v>42000</v>
      </c>
      <c r="G380" s="31"/>
      <c r="H380" s="31"/>
      <c r="I380" s="31" t="s">
        <v>85</v>
      </c>
      <c r="J380" s="5" t="s">
        <v>404</v>
      </c>
      <c r="K380" s="8"/>
    </row>
    <row r="381" spans="1:11" x14ac:dyDescent="0.2">
      <c r="A381" s="8">
        <v>380</v>
      </c>
      <c r="B381" s="8">
        <f t="shared" si="12"/>
        <v>2020</v>
      </c>
      <c r="C381" s="8">
        <f t="shared" si="13"/>
        <v>10</v>
      </c>
      <c r="D381" s="85">
        <v>44108</v>
      </c>
      <c r="E381" s="31"/>
      <c r="F381" s="31">
        <v>85000</v>
      </c>
      <c r="G381" s="31"/>
      <c r="H381" s="31"/>
      <c r="I381" s="31" t="s">
        <v>85</v>
      </c>
      <c r="J381" s="5" t="s">
        <v>405</v>
      </c>
      <c r="K381" s="8"/>
    </row>
    <row r="382" spans="1:11" x14ac:dyDescent="0.2">
      <c r="A382" s="8">
        <v>381</v>
      </c>
      <c r="B382" s="8">
        <f t="shared" si="12"/>
        <v>2020</v>
      </c>
      <c r="C382" s="8">
        <f t="shared" si="13"/>
        <v>10</v>
      </c>
      <c r="D382" s="85">
        <v>44105</v>
      </c>
      <c r="E382" s="31"/>
      <c r="F382" s="31">
        <v>50000</v>
      </c>
      <c r="G382" s="31"/>
      <c r="H382" s="31"/>
      <c r="I382" s="31" t="s">
        <v>74</v>
      </c>
      <c r="J382" s="5" t="s">
        <v>406</v>
      </c>
      <c r="K382" s="8"/>
    </row>
    <row r="383" spans="1:11" x14ac:dyDescent="0.2">
      <c r="A383" s="8">
        <v>382</v>
      </c>
      <c r="B383" s="8">
        <f t="shared" si="12"/>
        <v>2020</v>
      </c>
      <c r="C383" s="8">
        <f t="shared" si="13"/>
        <v>10</v>
      </c>
      <c r="D383" s="85">
        <v>44105</v>
      </c>
      <c r="E383" s="31"/>
      <c r="F383" s="31">
        <v>60000</v>
      </c>
      <c r="G383" s="31"/>
      <c r="H383" s="31"/>
      <c r="I383" s="188" t="s">
        <v>4137</v>
      </c>
      <c r="J383" s="5" t="s">
        <v>407</v>
      </c>
      <c r="K383" s="8"/>
    </row>
    <row r="384" spans="1:11" x14ac:dyDescent="0.2">
      <c r="A384" s="8">
        <v>383</v>
      </c>
      <c r="B384" s="8">
        <f t="shared" si="12"/>
        <v>2020</v>
      </c>
      <c r="C384" s="8">
        <f t="shared" si="13"/>
        <v>10</v>
      </c>
      <c r="D384" s="85">
        <v>44109</v>
      </c>
      <c r="E384" s="31"/>
      <c r="F384" s="31">
        <v>100000</v>
      </c>
      <c r="G384" s="31"/>
      <c r="H384" s="31"/>
      <c r="I384" s="31" t="s">
        <v>85</v>
      </c>
      <c r="J384" s="5" t="s">
        <v>408</v>
      </c>
      <c r="K384" s="8"/>
    </row>
    <row r="385" spans="1:11" x14ac:dyDescent="0.2">
      <c r="A385" s="8">
        <v>384</v>
      </c>
      <c r="B385" s="8">
        <f t="shared" si="12"/>
        <v>2020</v>
      </c>
      <c r="C385" s="8">
        <f t="shared" si="13"/>
        <v>10</v>
      </c>
      <c r="D385" s="85">
        <v>44111</v>
      </c>
      <c r="E385" s="31"/>
      <c r="F385" s="31">
        <v>40000</v>
      </c>
      <c r="G385" s="31"/>
      <c r="H385" s="31"/>
      <c r="I385" s="31" t="s">
        <v>85</v>
      </c>
      <c r="J385" s="5" t="s">
        <v>409</v>
      </c>
      <c r="K385" s="8"/>
    </row>
    <row r="386" spans="1:11" x14ac:dyDescent="0.2">
      <c r="A386" s="8">
        <v>385</v>
      </c>
      <c r="B386" s="8">
        <f t="shared" si="12"/>
        <v>2020</v>
      </c>
      <c r="C386" s="8">
        <f t="shared" si="13"/>
        <v>10</v>
      </c>
      <c r="D386" s="85">
        <v>44110</v>
      </c>
      <c r="E386" s="31"/>
      <c r="F386" s="31">
        <v>20000</v>
      </c>
      <c r="G386" s="31"/>
      <c r="H386" s="31"/>
      <c r="I386" s="31" t="s">
        <v>85</v>
      </c>
      <c r="J386" s="5" t="s">
        <v>410</v>
      </c>
      <c r="K386" s="8"/>
    </row>
    <row r="387" spans="1:11" x14ac:dyDescent="0.2">
      <c r="A387" s="8">
        <v>386</v>
      </c>
      <c r="B387" s="8">
        <f t="shared" si="12"/>
        <v>2020</v>
      </c>
      <c r="C387" s="8">
        <f t="shared" si="13"/>
        <v>10</v>
      </c>
      <c r="D387" s="85">
        <v>44114</v>
      </c>
      <c r="E387" s="31">
        <v>200000</v>
      </c>
      <c r="F387" s="31">
        <v>200000</v>
      </c>
      <c r="G387" s="32">
        <v>0</v>
      </c>
      <c r="H387" s="31"/>
      <c r="I387" s="31" t="s">
        <v>92</v>
      </c>
      <c r="J387" s="5" t="s">
        <v>411</v>
      </c>
      <c r="K387" s="8"/>
    </row>
    <row r="388" spans="1:11" x14ac:dyDescent="0.2">
      <c r="A388" s="8">
        <v>387</v>
      </c>
      <c r="B388" s="8">
        <f t="shared" si="12"/>
        <v>2020</v>
      </c>
      <c r="C388" s="8">
        <f t="shared" si="13"/>
        <v>10</v>
      </c>
      <c r="D388" s="85">
        <v>44115</v>
      </c>
      <c r="F388" s="31">
        <v>185000</v>
      </c>
      <c r="G388" s="31"/>
      <c r="H388" s="31"/>
      <c r="I388" s="31" t="s">
        <v>85</v>
      </c>
      <c r="J388" s="5" t="s">
        <v>412</v>
      </c>
      <c r="K388" s="8"/>
    </row>
    <row r="389" spans="1:11" x14ac:dyDescent="0.2">
      <c r="A389" s="8">
        <v>388</v>
      </c>
      <c r="B389" s="8">
        <f t="shared" si="12"/>
        <v>2020</v>
      </c>
      <c r="C389" s="8">
        <f t="shared" si="13"/>
        <v>10</v>
      </c>
      <c r="D389" s="85">
        <v>44115</v>
      </c>
      <c r="E389" s="31"/>
      <c r="F389" s="31">
        <v>20000</v>
      </c>
      <c r="G389" s="31"/>
      <c r="H389" s="31"/>
      <c r="I389" s="31" t="s">
        <v>88</v>
      </c>
      <c r="J389" s="5" t="s">
        <v>413</v>
      </c>
      <c r="K389" s="8"/>
    </row>
    <row r="390" spans="1:11" x14ac:dyDescent="0.2">
      <c r="A390" s="8">
        <v>389</v>
      </c>
      <c r="B390" s="8">
        <f t="shared" ref="B390:B453" si="14">YEAR(D390)</f>
        <v>2020</v>
      </c>
      <c r="C390" s="8">
        <f t="shared" ref="C390:C453" si="15">MONTH(D390)</f>
        <v>10</v>
      </c>
      <c r="D390" s="85">
        <v>44115</v>
      </c>
      <c r="E390" s="31"/>
      <c r="F390" s="31">
        <v>600000</v>
      </c>
      <c r="G390" s="31"/>
      <c r="H390" s="31"/>
      <c r="I390" s="31" t="s">
        <v>201</v>
      </c>
      <c r="J390" s="5" t="s">
        <v>201</v>
      </c>
      <c r="K390" s="8"/>
    </row>
    <row r="391" spans="1:11" x14ac:dyDescent="0.2">
      <c r="A391" s="8">
        <v>390</v>
      </c>
      <c r="B391" s="8">
        <f t="shared" si="14"/>
        <v>2020</v>
      </c>
      <c r="C391" s="8">
        <f t="shared" si="15"/>
        <v>10</v>
      </c>
      <c r="D391" s="85">
        <v>44117</v>
      </c>
      <c r="E391" s="31"/>
      <c r="F391" s="31">
        <v>25000</v>
      </c>
      <c r="G391" s="31"/>
      <c r="H391" s="31"/>
      <c r="I391" s="31" t="s">
        <v>85</v>
      </c>
      <c r="J391" s="5" t="s">
        <v>414</v>
      </c>
      <c r="K391" s="8"/>
    </row>
    <row r="392" spans="1:11" x14ac:dyDescent="0.2">
      <c r="A392" s="8">
        <v>391</v>
      </c>
      <c r="B392" s="8">
        <f t="shared" si="14"/>
        <v>2020</v>
      </c>
      <c r="C392" s="8">
        <f t="shared" si="15"/>
        <v>10</v>
      </c>
      <c r="D392" s="85">
        <v>44119</v>
      </c>
      <c r="E392" s="31"/>
      <c r="F392" s="31">
        <v>120000</v>
      </c>
      <c r="G392" s="31"/>
      <c r="H392" s="31"/>
      <c r="I392" s="31" t="s">
        <v>140</v>
      </c>
      <c r="J392" s="5" t="s">
        <v>415</v>
      </c>
      <c r="K392" s="8"/>
    </row>
    <row r="393" spans="1:11" x14ac:dyDescent="0.2">
      <c r="A393" s="8">
        <v>392</v>
      </c>
      <c r="B393" s="8">
        <f t="shared" si="14"/>
        <v>2020</v>
      </c>
      <c r="C393" s="8">
        <f t="shared" si="15"/>
        <v>10</v>
      </c>
      <c r="D393" s="85">
        <v>44119</v>
      </c>
      <c r="E393" s="31"/>
      <c r="F393" s="31">
        <v>80000</v>
      </c>
      <c r="G393" s="31"/>
      <c r="H393" s="31"/>
      <c r="I393" s="31" t="s">
        <v>85</v>
      </c>
      <c r="J393" s="5" t="s">
        <v>416</v>
      </c>
      <c r="K393" s="8"/>
    </row>
    <row r="394" spans="1:11" x14ac:dyDescent="0.2">
      <c r="A394" s="8">
        <v>393</v>
      </c>
      <c r="B394" s="8">
        <f t="shared" si="14"/>
        <v>2020</v>
      </c>
      <c r="C394" s="8">
        <f t="shared" si="15"/>
        <v>10</v>
      </c>
      <c r="D394" s="85">
        <v>44120</v>
      </c>
      <c r="E394" s="31"/>
      <c r="F394" s="31">
        <v>0</v>
      </c>
      <c r="G394" s="31"/>
      <c r="H394" s="31"/>
      <c r="I394" s="31" t="s">
        <v>92</v>
      </c>
      <c r="J394" s="5" t="s">
        <v>417</v>
      </c>
      <c r="K394" s="8"/>
    </row>
    <row r="395" spans="1:11" x14ac:dyDescent="0.2">
      <c r="A395" s="8">
        <v>394</v>
      </c>
      <c r="B395" s="8">
        <f t="shared" si="14"/>
        <v>2020</v>
      </c>
      <c r="C395" s="8">
        <f t="shared" si="15"/>
        <v>10</v>
      </c>
      <c r="D395" s="85">
        <v>44121</v>
      </c>
      <c r="E395" s="31"/>
      <c r="F395" s="31">
        <v>175000</v>
      </c>
      <c r="G395" s="31"/>
      <c r="H395" s="31"/>
      <c r="I395" s="31" t="s">
        <v>85</v>
      </c>
      <c r="J395" s="5" t="s">
        <v>418</v>
      </c>
      <c r="K395" s="8"/>
    </row>
    <row r="396" spans="1:11" x14ac:dyDescent="0.2">
      <c r="A396" s="8">
        <v>395</v>
      </c>
      <c r="B396" s="8">
        <f t="shared" si="14"/>
        <v>2020</v>
      </c>
      <c r="C396" s="8">
        <f t="shared" si="15"/>
        <v>10</v>
      </c>
      <c r="D396" s="85">
        <v>44121</v>
      </c>
      <c r="E396" s="31"/>
      <c r="F396" s="31">
        <v>100000</v>
      </c>
      <c r="G396" s="31"/>
      <c r="H396" s="31"/>
      <c r="I396" s="31" t="s">
        <v>83</v>
      </c>
      <c r="J396" s="5" t="s">
        <v>83</v>
      </c>
      <c r="K396" s="8"/>
    </row>
    <row r="397" spans="1:11" x14ac:dyDescent="0.2">
      <c r="A397" s="8">
        <v>396</v>
      </c>
      <c r="B397" s="8">
        <f t="shared" si="14"/>
        <v>2020</v>
      </c>
      <c r="C397" s="8">
        <f t="shared" si="15"/>
        <v>10</v>
      </c>
      <c r="D397" s="85">
        <v>44122</v>
      </c>
      <c r="E397" s="31"/>
      <c r="F397" s="31">
        <v>20000</v>
      </c>
      <c r="G397" s="31"/>
      <c r="H397" s="31"/>
      <c r="I397" s="31" t="s">
        <v>85</v>
      </c>
      <c r="J397" s="5" t="s">
        <v>88</v>
      </c>
      <c r="K397" s="8"/>
    </row>
    <row r="398" spans="1:11" x14ac:dyDescent="0.2">
      <c r="A398" s="8">
        <v>397</v>
      </c>
      <c r="B398" s="8">
        <f t="shared" si="14"/>
        <v>2020</v>
      </c>
      <c r="C398" s="8">
        <f t="shared" si="15"/>
        <v>10</v>
      </c>
      <c r="D398" s="85">
        <v>44122</v>
      </c>
      <c r="E398" s="31"/>
      <c r="F398" s="31">
        <v>300000</v>
      </c>
      <c r="G398" s="31"/>
      <c r="H398" s="31"/>
      <c r="I398" s="31" t="s">
        <v>201</v>
      </c>
      <c r="J398" s="5" t="s">
        <v>419</v>
      </c>
      <c r="K398" s="8"/>
    </row>
    <row r="399" spans="1:11" x14ac:dyDescent="0.2">
      <c r="A399" s="8">
        <v>398</v>
      </c>
      <c r="B399" s="8">
        <f t="shared" si="14"/>
        <v>2020</v>
      </c>
      <c r="C399" s="8">
        <f t="shared" si="15"/>
        <v>10</v>
      </c>
      <c r="D399" s="85">
        <v>44125</v>
      </c>
      <c r="E399" s="31"/>
      <c r="F399" s="31"/>
      <c r="G399" s="31"/>
      <c r="H399" s="31">
        <v>150000</v>
      </c>
      <c r="I399" s="31" t="s">
        <v>74</v>
      </c>
      <c r="J399" s="5" t="s">
        <v>420</v>
      </c>
      <c r="K399" s="8"/>
    </row>
    <row r="400" spans="1:11" x14ac:dyDescent="0.2">
      <c r="A400" s="8">
        <v>399</v>
      </c>
      <c r="B400" s="8">
        <f t="shared" si="14"/>
        <v>2020</v>
      </c>
      <c r="C400" s="8">
        <f t="shared" si="15"/>
        <v>10</v>
      </c>
      <c r="D400" s="85">
        <v>44125</v>
      </c>
      <c r="E400" s="31"/>
      <c r="F400" s="31"/>
      <c r="G400" s="31"/>
      <c r="H400" s="31">
        <v>900000</v>
      </c>
      <c r="I400" s="31" t="s">
        <v>74</v>
      </c>
      <c r="J400" s="5" t="s">
        <v>421</v>
      </c>
      <c r="K400" s="8"/>
    </row>
    <row r="401" spans="1:11" x14ac:dyDescent="0.2">
      <c r="A401" s="8">
        <v>400</v>
      </c>
      <c r="B401" s="8">
        <f t="shared" si="14"/>
        <v>2020</v>
      </c>
      <c r="C401" s="8">
        <f t="shared" si="15"/>
        <v>10</v>
      </c>
      <c r="D401" s="85">
        <v>44124</v>
      </c>
      <c r="E401" s="31"/>
      <c r="F401" s="31">
        <v>120000</v>
      </c>
      <c r="G401" s="31"/>
      <c r="H401" s="31"/>
      <c r="I401" s="31" t="s">
        <v>85</v>
      </c>
      <c r="J401" s="5" t="s">
        <v>422</v>
      </c>
      <c r="K401" s="8"/>
    </row>
    <row r="402" spans="1:11" x14ac:dyDescent="0.2">
      <c r="A402" s="8">
        <v>401</v>
      </c>
      <c r="B402" s="8">
        <f t="shared" si="14"/>
        <v>2020</v>
      </c>
      <c r="C402" s="8">
        <f t="shared" si="15"/>
        <v>10</v>
      </c>
      <c r="D402" s="85">
        <v>44124</v>
      </c>
      <c r="E402" s="31"/>
      <c r="F402" s="31">
        <v>240000</v>
      </c>
      <c r="G402" s="31"/>
      <c r="H402" s="31"/>
      <c r="I402" s="31" t="s">
        <v>140</v>
      </c>
      <c r="J402" s="5" t="s">
        <v>169</v>
      </c>
      <c r="K402" s="8"/>
    </row>
    <row r="403" spans="1:11" x14ac:dyDescent="0.2">
      <c r="A403" s="8">
        <v>402</v>
      </c>
      <c r="B403" s="8">
        <f t="shared" si="14"/>
        <v>2020</v>
      </c>
      <c r="C403" s="8">
        <f t="shared" si="15"/>
        <v>10</v>
      </c>
      <c r="D403" s="85">
        <v>44124</v>
      </c>
      <c r="E403" s="31"/>
      <c r="F403" s="31">
        <v>40000</v>
      </c>
      <c r="G403" s="31"/>
      <c r="H403" s="31"/>
      <c r="I403" s="31"/>
      <c r="J403" s="5" t="s">
        <v>423</v>
      </c>
      <c r="K403" s="8"/>
    </row>
    <row r="404" spans="1:11" x14ac:dyDescent="0.2">
      <c r="A404" s="8">
        <v>403</v>
      </c>
      <c r="B404" s="8">
        <f t="shared" si="14"/>
        <v>2020</v>
      </c>
      <c r="C404" s="8">
        <f t="shared" si="15"/>
        <v>10</v>
      </c>
      <c r="D404" s="85">
        <v>44126</v>
      </c>
      <c r="E404" s="31">
        <v>0</v>
      </c>
      <c r="F404" s="31">
        <v>0</v>
      </c>
      <c r="G404" s="31">
        <v>0</v>
      </c>
      <c r="H404" s="31">
        <v>165000</v>
      </c>
      <c r="I404" s="31" t="s">
        <v>74</v>
      </c>
      <c r="J404" s="5" t="s">
        <v>424</v>
      </c>
      <c r="K404" s="8"/>
    </row>
    <row r="405" spans="1:11" x14ac:dyDescent="0.2">
      <c r="A405" s="8">
        <v>404</v>
      </c>
      <c r="B405" s="8">
        <f t="shared" si="14"/>
        <v>2020</v>
      </c>
      <c r="C405" s="8">
        <f t="shared" si="15"/>
        <v>10</v>
      </c>
      <c r="D405" s="85">
        <v>44125</v>
      </c>
      <c r="E405" s="31">
        <v>50000</v>
      </c>
      <c r="F405" s="31">
        <v>0</v>
      </c>
      <c r="G405" s="31">
        <v>0</v>
      </c>
      <c r="H405" s="31">
        <v>0</v>
      </c>
      <c r="I405" s="31" t="s">
        <v>109</v>
      </c>
      <c r="J405" s="5" t="s">
        <v>425</v>
      </c>
      <c r="K405" s="8"/>
    </row>
    <row r="406" spans="1:11" x14ac:dyDescent="0.2">
      <c r="A406" s="8">
        <v>405</v>
      </c>
      <c r="B406" s="8">
        <f t="shared" si="14"/>
        <v>2020</v>
      </c>
      <c r="C406" s="8">
        <f t="shared" si="15"/>
        <v>10</v>
      </c>
      <c r="D406" s="85">
        <v>44126</v>
      </c>
      <c r="E406" s="31">
        <v>360000</v>
      </c>
      <c r="F406" s="31">
        <v>0</v>
      </c>
      <c r="G406" s="31">
        <v>0</v>
      </c>
      <c r="H406" s="31">
        <v>0</v>
      </c>
      <c r="I406" s="31" t="s">
        <v>109</v>
      </c>
      <c r="J406" s="5" t="s">
        <v>426</v>
      </c>
      <c r="K406" s="8"/>
    </row>
    <row r="407" spans="1:11" x14ac:dyDescent="0.2">
      <c r="A407" s="8">
        <v>406</v>
      </c>
      <c r="B407" s="8">
        <f t="shared" si="14"/>
        <v>2020</v>
      </c>
      <c r="C407" s="8">
        <f t="shared" si="15"/>
        <v>10</v>
      </c>
      <c r="D407" s="85">
        <v>44127</v>
      </c>
      <c r="E407" s="31">
        <v>0</v>
      </c>
      <c r="F407" s="31">
        <v>10000</v>
      </c>
      <c r="G407" s="31">
        <v>0</v>
      </c>
      <c r="H407" s="31">
        <v>0</v>
      </c>
      <c r="I407" s="31" t="s">
        <v>85</v>
      </c>
      <c r="J407" s="5" t="s">
        <v>427</v>
      </c>
      <c r="K407" s="8"/>
    </row>
    <row r="408" spans="1:11" x14ac:dyDescent="0.2">
      <c r="A408" s="8">
        <v>407</v>
      </c>
      <c r="B408" s="8">
        <f t="shared" si="14"/>
        <v>2020</v>
      </c>
      <c r="C408" s="8">
        <f t="shared" si="15"/>
        <v>10</v>
      </c>
      <c r="D408" s="85">
        <v>44127</v>
      </c>
      <c r="E408" s="31">
        <v>130000</v>
      </c>
      <c r="F408" s="31">
        <v>195000</v>
      </c>
      <c r="G408" s="31">
        <v>0</v>
      </c>
      <c r="H408" s="31">
        <v>0</v>
      </c>
      <c r="I408" s="31" t="s">
        <v>85</v>
      </c>
      <c r="J408" s="5" t="s">
        <v>428</v>
      </c>
      <c r="K408" s="8"/>
    </row>
    <row r="409" spans="1:11" x14ac:dyDescent="0.2">
      <c r="A409" s="8">
        <v>408</v>
      </c>
      <c r="B409" s="8">
        <f t="shared" si="14"/>
        <v>2020</v>
      </c>
      <c r="C409" s="8">
        <f t="shared" si="15"/>
        <v>10</v>
      </c>
      <c r="D409" s="85">
        <v>44129</v>
      </c>
      <c r="E409" s="31">
        <v>0</v>
      </c>
      <c r="F409" s="31">
        <v>50000</v>
      </c>
      <c r="G409" s="31">
        <v>0</v>
      </c>
      <c r="H409" s="31">
        <v>0</v>
      </c>
      <c r="I409" s="31" t="s">
        <v>88</v>
      </c>
      <c r="J409" s="5" t="s">
        <v>429</v>
      </c>
      <c r="K409" s="8"/>
    </row>
    <row r="410" spans="1:11" x14ac:dyDescent="0.2">
      <c r="A410" s="8">
        <v>409</v>
      </c>
      <c r="B410" s="8">
        <f t="shared" si="14"/>
        <v>2020</v>
      </c>
      <c r="C410" s="8">
        <f t="shared" si="15"/>
        <v>10</v>
      </c>
      <c r="D410" s="85">
        <v>44129</v>
      </c>
      <c r="E410" s="31">
        <v>0</v>
      </c>
      <c r="F410" s="31">
        <v>20000</v>
      </c>
      <c r="G410" s="31">
        <v>0</v>
      </c>
      <c r="H410" s="31">
        <v>0</v>
      </c>
      <c r="I410" s="31" t="s">
        <v>85</v>
      </c>
      <c r="J410" s="5" t="s">
        <v>430</v>
      </c>
      <c r="K410" s="8"/>
    </row>
    <row r="411" spans="1:11" x14ac:dyDescent="0.2">
      <c r="A411" s="8">
        <v>410</v>
      </c>
      <c r="B411" s="8">
        <f t="shared" si="14"/>
        <v>2020</v>
      </c>
      <c r="C411" s="8">
        <f t="shared" si="15"/>
        <v>10</v>
      </c>
      <c r="D411" s="85">
        <v>44131</v>
      </c>
      <c r="E411" s="31">
        <v>2000000</v>
      </c>
      <c r="F411" s="31">
        <v>0</v>
      </c>
      <c r="G411" s="31">
        <v>0</v>
      </c>
      <c r="H411" s="31">
        <v>0</v>
      </c>
      <c r="I411" s="31" t="s">
        <v>109</v>
      </c>
      <c r="J411" s="5" t="s">
        <v>431</v>
      </c>
      <c r="K411" s="8"/>
    </row>
    <row r="412" spans="1:11" x14ac:dyDescent="0.2">
      <c r="A412" s="8">
        <v>411</v>
      </c>
      <c r="B412" s="8">
        <f t="shared" si="14"/>
        <v>2020</v>
      </c>
      <c r="C412" s="8">
        <f t="shared" si="15"/>
        <v>10</v>
      </c>
      <c r="D412" s="85">
        <v>44131</v>
      </c>
      <c r="E412" s="31">
        <v>210000</v>
      </c>
      <c r="F412" s="31">
        <v>0</v>
      </c>
      <c r="G412" s="31">
        <v>0</v>
      </c>
      <c r="H412" s="31">
        <v>0</v>
      </c>
      <c r="I412" s="31" t="s">
        <v>109</v>
      </c>
      <c r="J412" s="5" t="s">
        <v>432</v>
      </c>
      <c r="K412" s="8"/>
    </row>
    <row r="413" spans="1:11" x14ac:dyDescent="0.2">
      <c r="A413" s="8">
        <v>412</v>
      </c>
      <c r="B413" s="8">
        <f t="shared" si="14"/>
        <v>2020</v>
      </c>
      <c r="C413" s="8">
        <f t="shared" si="15"/>
        <v>10</v>
      </c>
      <c r="D413" s="85">
        <v>44131</v>
      </c>
      <c r="E413" s="31">
        <v>2000000</v>
      </c>
      <c r="F413" s="31">
        <v>0</v>
      </c>
      <c r="G413" s="31">
        <v>0</v>
      </c>
      <c r="H413" s="31">
        <v>0</v>
      </c>
      <c r="I413" s="31" t="s">
        <v>109</v>
      </c>
      <c r="J413" s="5" t="s">
        <v>417</v>
      </c>
      <c r="K413" s="8"/>
    </row>
    <row r="414" spans="1:11" x14ac:dyDescent="0.2">
      <c r="A414" s="8">
        <v>413</v>
      </c>
      <c r="B414" s="8">
        <f t="shared" si="14"/>
        <v>2020</v>
      </c>
      <c r="C414" s="8">
        <f t="shared" si="15"/>
        <v>10</v>
      </c>
      <c r="D414" s="85">
        <v>44131</v>
      </c>
      <c r="E414" s="31">
        <v>1250000</v>
      </c>
      <c r="F414" s="31">
        <v>0</v>
      </c>
      <c r="G414" s="31">
        <v>0</v>
      </c>
      <c r="H414" s="31">
        <v>0</v>
      </c>
      <c r="I414" s="31" t="s">
        <v>109</v>
      </c>
      <c r="J414" s="5" t="s">
        <v>433</v>
      </c>
      <c r="K414" s="8"/>
    </row>
    <row r="415" spans="1:11" x14ac:dyDescent="0.2">
      <c r="A415" s="8">
        <v>414</v>
      </c>
      <c r="B415" s="8">
        <f t="shared" si="14"/>
        <v>2020</v>
      </c>
      <c r="C415" s="8">
        <f t="shared" si="15"/>
        <v>10</v>
      </c>
      <c r="D415" s="85">
        <v>44131</v>
      </c>
      <c r="E415" s="31">
        <v>1747019.98</v>
      </c>
      <c r="F415" s="31">
        <v>0</v>
      </c>
      <c r="G415" s="31">
        <v>0</v>
      </c>
      <c r="H415" s="31">
        <v>0</v>
      </c>
      <c r="I415" s="31" t="s">
        <v>109</v>
      </c>
      <c r="J415" s="5" t="s">
        <v>434</v>
      </c>
      <c r="K415" s="8"/>
    </row>
    <row r="416" spans="1:11" x14ac:dyDescent="0.2">
      <c r="A416" s="8">
        <v>415</v>
      </c>
      <c r="B416" s="8">
        <f t="shared" si="14"/>
        <v>2020</v>
      </c>
      <c r="C416" s="8">
        <f t="shared" si="15"/>
        <v>10</v>
      </c>
      <c r="D416" s="85">
        <v>44131</v>
      </c>
      <c r="E416" s="31">
        <v>0</v>
      </c>
      <c r="F416" s="31">
        <v>97500</v>
      </c>
      <c r="G416" s="31">
        <v>0</v>
      </c>
      <c r="H416" s="31">
        <v>0</v>
      </c>
      <c r="I416" s="31" t="s">
        <v>83</v>
      </c>
      <c r="J416" s="5" t="s">
        <v>299</v>
      </c>
      <c r="K416" s="8"/>
    </row>
    <row r="417" spans="1:11" x14ac:dyDescent="0.2">
      <c r="A417" s="8">
        <v>416</v>
      </c>
      <c r="B417" s="8">
        <f t="shared" si="14"/>
        <v>2020</v>
      </c>
      <c r="C417" s="8">
        <f t="shared" si="15"/>
        <v>10</v>
      </c>
      <c r="D417" s="85">
        <v>44131</v>
      </c>
      <c r="E417" s="31">
        <v>0</v>
      </c>
      <c r="F417" s="31">
        <v>50000</v>
      </c>
      <c r="G417" s="31">
        <v>0</v>
      </c>
      <c r="H417" s="31">
        <v>0</v>
      </c>
      <c r="I417" s="31" t="s">
        <v>364</v>
      </c>
      <c r="J417" s="5" t="s">
        <v>435</v>
      </c>
      <c r="K417" s="8"/>
    </row>
    <row r="418" spans="1:11" x14ac:dyDescent="0.2">
      <c r="A418" s="8">
        <v>417</v>
      </c>
      <c r="B418" s="8">
        <f t="shared" si="14"/>
        <v>2020</v>
      </c>
      <c r="C418" s="8">
        <f t="shared" si="15"/>
        <v>10</v>
      </c>
      <c r="D418" s="85">
        <v>44132</v>
      </c>
      <c r="E418" s="31">
        <v>500000</v>
      </c>
      <c r="F418" s="31">
        <v>0</v>
      </c>
      <c r="G418" s="31">
        <v>0</v>
      </c>
      <c r="H418" s="31">
        <v>0</v>
      </c>
      <c r="I418" s="31" t="s">
        <v>109</v>
      </c>
      <c r="J418" s="5" t="s">
        <v>436</v>
      </c>
      <c r="K418" s="8"/>
    </row>
    <row r="419" spans="1:11" x14ac:dyDescent="0.2">
      <c r="A419" s="8">
        <v>418</v>
      </c>
      <c r="B419" s="8">
        <f t="shared" si="14"/>
        <v>2020</v>
      </c>
      <c r="C419" s="8">
        <f t="shared" si="15"/>
        <v>10</v>
      </c>
      <c r="D419" s="85">
        <v>44133</v>
      </c>
      <c r="E419" s="31">
        <v>0</v>
      </c>
      <c r="F419" s="31">
        <v>200000</v>
      </c>
      <c r="G419" s="31">
        <v>0</v>
      </c>
      <c r="H419" s="31">
        <v>0</v>
      </c>
      <c r="I419" s="31" t="s">
        <v>92</v>
      </c>
      <c r="J419" s="5" t="s">
        <v>437</v>
      </c>
      <c r="K419" s="8"/>
    </row>
    <row r="420" spans="1:11" x14ac:dyDescent="0.2">
      <c r="A420" s="8">
        <v>419</v>
      </c>
      <c r="B420" s="8">
        <f t="shared" si="14"/>
        <v>2020</v>
      </c>
      <c r="C420" s="8">
        <f t="shared" si="15"/>
        <v>10</v>
      </c>
      <c r="D420" s="85">
        <v>44135</v>
      </c>
      <c r="E420" s="31">
        <v>0</v>
      </c>
      <c r="F420" s="31">
        <v>0</v>
      </c>
      <c r="G420" s="35"/>
      <c r="H420" s="31">
        <v>0</v>
      </c>
      <c r="I420" s="31" t="s">
        <v>92</v>
      </c>
      <c r="J420" s="5" t="s">
        <v>438</v>
      </c>
      <c r="K420" s="8"/>
    </row>
    <row r="421" spans="1:11" x14ac:dyDescent="0.2">
      <c r="A421" s="8">
        <v>420</v>
      </c>
      <c r="B421" s="8">
        <f t="shared" si="14"/>
        <v>2020</v>
      </c>
      <c r="C421" s="8">
        <f t="shared" si="15"/>
        <v>11</v>
      </c>
      <c r="D421" s="85">
        <v>44136</v>
      </c>
      <c r="E421" s="31">
        <v>0</v>
      </c>
      <c r="F421" s="31">
        <v>120000</v>
      </c>
      <c r="G421" s="31">
        <v>0</v>
      </c>
      <c r="H421" s="31">
        <v>0</v>
      </c>
      <c r="I421" s="31" t="s">
        <v>364</v>
      </c>
      <c r="J421" s="5" t="s">
        <v>439</v>
      </c>
      <c r="K421" s="8"/>
    </row>
    <row r="422" spans="1:11" x14ac:dyDescent="0.2">
      <c r="A422" s="8">
        <v>421</v>
      </c>
      <c r="B422" s="8">
        <f t="shared" si="14"/>
        <v>2020</v>
      </c>
      <c r="C422" s="8">
        <f t="shared" si="15"/>
        <v>11</v>
      </c>
      <c r="D422" s="85">
        <v>44137</v>
      </c>
      <c r="E422" s="31">
        <v>0</v>
      </c>
      <c r="F422" s="31">
        <v>72000</v>
      </c>
      <c r="G422" s="31">
        <v>0</v>
      </c>
      <c r="H422" s="31">
        <v>0</v>
      </c>
      <c r="I422" s="31" t="s">
        <v>299</v>
      </c>
      <c r="J422" s="5" t="s">
        <v>299</v>
      </c>
      <c r="K422" s="8"/>
    </row>
    <row r="423" spans="1:11" x14ac:dyDescent="0.2">
      <c r="A423" s="8">
        <v>422</v>
      </c>
      <c r="B423" s="8">
        <f t="shared" si="14"/>
        <v>2020</v>
      </c>
      <c r="C423" s="8">
        <f t="shared" si="15"/>
        <v>11</v>
      </c>
      <c r="D423" s="85">
        <v>44136</v>
      </c>
      <c r="E423" s="31">
        <v>0</v>
      </c>
      <c r="F423" s="31">
        <v>20000</v>
      </c>
      <c r="G423" s="31">
        <v>0</v>
      </c>
      <c r="H423" s="31">
        <v>0</v>
      </c>
      <c r="I423" s="31" t="s">
        <v>88</v>
      </c>
      <c r="J423" s="5" t="s">
        <v>440</v>
      </c>
      <c r="K423" s="8"/>
    </row>
    <row r="424" spans="1:11" x14ac:dyDescent="0.2">
      <c r="A424" s="8">
        <v>423</v>
      </c>
      <c r="B424" s="8">
        <f t="shared" si="14"/>
        <v>2020</v>
      </c>
      <c r="C424" s="8">
        <f t="shared" si="15"/>
        <v>11</v>
      </c>
      <c r="D424" s="85">
        <v>44137</v>
      </c>
      <c r="E424" s="31">
        <v>0</v>
      </c>
      <c r="F424" s="31">
        <v>12000</v>
      </c>
      <c r="G424" s="31">
        <v>0</v>
      </c>
      <c r="H424" s="31">
        <v>0</v>
      </c>
      <c r="I424" s="31" t="s">
        <v>364</v>
      </c>
      <c r="J424" s="5" t="s">
        <v>441</v>
      </c>
      <c r="K424" s="8"/>
    </row>
    <row r="425" spans="1:11" x14ac:dyDescent="0.2">
      <c r="A425" s="8">
        <v>424</v>
      </c>
      <c r="B425" s="8">
        <f t="shared" si="14"/>
        <v>2020</v>
      </c>
      <c r="C425" s="8">
        <f t="shared" si="15"/>
        <v>11</v>
      </c>
      <c r="D425" s="85">
        <v>44140</v>
      </c>
      <c r="E425" s="31">
        <v>0</v>
      </c>
      <c r="F425" s="31">
        <v>60000</v>
      </c>
      <c r="G425" s="31">
        <v>0</v>
      </c>
      <c r="H425" s="31">
        <v>0</v>
      </c>
      <c r="I425" s="31" t="s">
        <v>364</v>
      </c>
      <c r="J425" s="5" t="s">
        <v>442</v>
      </c>
      <c r="K425" s="8"/>
    </row>
    <row r="426" spans="1:11" x14ac:dyDescent="0.2">
      <c r="A426" s="8">
        <v>425</v>
      </c>
      <c r="B426" s="8">
        <f t="shared" si="14"/>
        <v>2020</v>
      </c>
      <c r="C426" s="8">
        <f t="shared" si="15"/>
        <v>11</v>
      </c>
      <c r="D426" s="85">
        <v>44140</v>
      </c>
      <c r="E426" s="31">
        <v>0</v>
      </c>
      <c r="F426" s="31">
        <v>37000</v>
      </c>
      <c r="G426" s="31">
        <v>0</v>
      </c>
      <c r="H426" s="31">
        <v>0</v>
      </c>
      <c r="I426" s="31" t="s">
        <v>364</v>
      </c>
      <c r="J426" s="5" t="s">
        <v>443</v>
      </c>
      <c r="K426" s="8"/>
    </row>
    <row r="427" spans="1:11" x14ac:dyDescent="0.2">
      <c r="A427" s="8">
        <v>426</v>
      </c>
      <c r="B427" s="8">
        <f t="shared" si="14"/>
        <v>2020</v>
      </c>
      <c r="C427" s="8">
        <f t="shared" si="15"/>
        <v>11</v>
      </c>
      <c r="D427" s="85">
        <v>44140</v>
      </c>
      <c r="E427" s="31">
        <v>0</v>
      </c>
      <c r="F427" s="31">
        <v>60000</v>
      </c>
      <c r="G427" s="31">
        <v>0</v>
      </c>
      <c r="H427" s="31">
        <v>0</v>
      </c>
      <c r="I427" s="31" t="s">
        <v>364</v>
      </c>
      <c r="J427" s="5" t="s">
        <v>444</v>
      </c>
      <c r="K427" s="8"/>
    </row>
    <row r="428" spans="1:11" x14ac:dyDescent="0.2">
      <c r="A428" s="8">
        <v>427</v>
      </c>
      <c r="B428" s="8">
        <f t="shared" si="14"/>
        <v>2020</v>
      </c>
      <c r="C428" s="8">
        <f t="shared" si="15"/>
        <v>11</v>
      </c>
      <c r="D428" s="85">
        <v>44136</v>
      </c>
      <c r="E428" s="31">
        <v>0</v>
      </c>
      <c r="F428" s="31">
        <v>200000</v>
      </c>
      <c r="G428" s="31">
        <v>0</v>
      </c>
      <c r="H428" s="31">
        <v>0</v>
      </c>
      <c r="I428" s="31" t="s">
        <v>88</v>
      </c>
      <c r="J428" s="5" t="s">
        <v>445</v>
      </c>
      <c r="K428" s="8"/>
    </row>
    <row r="429" spans="1:11" x14ac:dyDescent="0.2">
      <c r="A429" s="8">
        <v>428</v>
      </c>
      <c r="B429" s="8">
        <f t="shared" si="14"/>
        <v>2020</v>
      </c>
      <c r="C429" s="8">
        <f t="shared" si="15"/>
        <v>11</v>
      </c>
      <c r="D429" s="85">
        <v>44143</v>
      </c>
      <c r="E429" s="31">
        <v>0</v>
      </c>
      <c r="F429" s="31">
        <v>52000</v>
      </c>
      <c r="G429" s="31">
        <v>0</v>
      </c>
      <c r="H429" s="31">
        <v>0</v>
      </c>
      <c r="I429" s="31" t="s">
        <v>88</v>
      </c>
      <c r="J429" s="5" t="s">
        <v>80</v>
      </c>
      <c r="K429" s="8"/>
    </row>
    <row r="430" spans="1:11" x14ac:dyDescent="0.2">
      <c r="A430" s="8">
        <v>429</v>
      </c>
      <c r="B430" s="8">
        <f t="shared" si="14"/>
        <v>2020</v>
      </c>
      <c r="C430" s="8">
        <f t="shared" si="15"/>
        <v>11</v>
      </c>
      <c r="D430" s="85">
        <v>44144</v>
      </c>
      <c r="E430" s="31">
        <v>0</v>
      </c>
      <c r="F430" s="31">
        <v>0</v>
      </c>
      <c r="G430" s="31">
        <v>0</v>
      </c>
      <c r="H430" s="31">
        <v>147000</v>
      </c>
      <c r="I430" s="31" t="s">
        <v>74</v>
      </c>
      <c r="J430" s="5" t="s">
        <v>446</v>
      </c>
      <c r="K430" s="8"/>
    </row>
    <row r="431" spans="1:11" x14ac:dyDescent="0.2">
      <c r="A431" s="8">
        <v>430</v>
      </c>
      <c r="B431" s="8">
        <f t="shared" si="14"/>
        <v>2020</v>
      </c>
      <c r="C431" s="8">
        <f t="shared" si="15"/>
        <v>11</v>
      </c>
      <c r="D431" s="85">
        <v>44145</v>
      </c>
      <c r="E431" s="31">
        <v>0</v>
      </c>
      <c r="F431" s="31">
        <v>200000</v>
      </c>
      <c r="G431" s="31">
        <v>0</v>
      </c>
      <c r="H431" s="31">
        <v>0</v>
      </c>
      <c r="I431" s="31" t="s">
        <v>92</v>
      </c>
      <c r="J431" s="5" t="s">
        <v>447</v>
      </c>
      <c r="K431" s="8"/>
    </row>
    <row r="432" spans="1:11" x14ac:dyDescent="0.2">
      <c r="A432" s="8">
        <v>431</v>
      </c>
      <c r="B432" s="8">
        <f t="shared" si="14"/>
        <v>2020</v>
      </c>
      <c r="C432" s="8">
        <f t="shared" si="15"/>
        <v>11</v>
      </c>
      <c r="D432" s="85">
        <v>44145</v>
      </c>
      <c r="E432" s="31">
        <v>0</v>
      </c>
      <c r="F432" s="31">
        <v>0</v>
      </c>
      <c r="G432" s="31">
        <v>0</v>
      </c>
      <c r="H432" s="31">
        <v>483000</v>
      </c>
      <c r="I432" s="31" t="s">
        <v>74</v>
      </c>
      <c r="J432" s="5" t="s">
        <v>448</v>
      </c>
      <c r="K432" s="8"/>
    </row>
    <row r="433" spans="1:11" x14ac:dyDescent="0.2">
      <c r="A433" s="8">
        <v>432</v>
      </c>
      <c r="B433" s="8">
        <f t="shared" si="14"/>
        <v>2020</v>
      </c>
      <c r="C433" s="8">
        <f t="shared" si="15"/>
        <v>11</v>
      </c>
      <c r="D433" s="85">
        <v>44149</v>
      </c>
      <c r="E433" s="31">
        <v>0</v>
      </c>
      <c r="F433" s="31">
        <v>600000</v>
      </c>
      <c r="G433" s="31">
        <v>0</v>
      </c>
      <c r="H433" s="31">
        <v>0</v>
      </c>
      <c r="I433" s="31" t="s">
        <v>92</v>
      </c>
      <c r="J433" s="5" t="s">
        <v>198</v>
      </c>
      <c r="K433" s="8"/>
    </row>
    <row r="434" spans="1:11" x14ac:dyDescent="0.2">
      <c r="A434" s="8">
        <v>433</v>
      </c>
      <c r="B434" s="8">
        <f t="shared" si="14"/>
        <v>2020</v>
      </c>
      <c r="C434" s="8">
        <f t="shared" si="15"/>
        <v>11</v>
      </c>
      <c r="D434" s="85">
        <v>44146</v>
      </c>
      <c r="E434" s="31">
        <v>0</v>
      </c>
      <c r="F434" s="31">
        <v>96000</v>
      </c>
      <c r="G434" s="31">
        <v>0</v>
      </c>
      <c r="H434" s="31">
        <v>0</v>
      </c>
      <c r="I434" s="31" t="s">
        <v>83</v>
      </c>
      <c r="J434" s="5" t="s">
        <v>26</v>
      </c>
      <c r="K434" s="8"/>
    </row>
    <row r="435" spans="1:11" x14ac:dyDescent="0.2">
      <c r="A435" s="8">
        <v>434</v>
      </c>
      <c r="B435" s="8">
        <f t="shared" si="14"/>
        <v>2020</v>
      </c>
      <c r="C435" s="8">
        <f t="shared" si="15"/>
        <v>11</v>
      </c>
      <c r="D435" s="85">
        <v>44149</v>
      </c>
      <c r="E435" s="31">
        <v>0</v>
      </c>
      <c r="F435" s="31">
        <v>30000</v>
      </c>
      <c r="G435" s="31">
        <v>0</v>
      </c>
      <c r="H435" s="31">
        <v>0</v>
      </c>
      <c r="I435" s="31" t="s">
        <v>85</v>
      </c>
      <c r="J435" s="5" t="s">
        <v>449</v>
      </c>
      <c r="K435" s="8"/>
    </row>
    <row r="436" spans="1:11" x14ac:dyDescent="0.2">
      <c r="A436" s="8">
        <v>435</v>
      </c>
      <c r="B436" s="8">
        <f t="shared" si="14"/>
        <v>2020</v>
      </c>
      <c r="C436" s="8">
        <f t="shared" si="15"/>
        <v>11</v>
      </c>
      <c r="D436" s="85">
        <v>44149</v>
      </c>
      <c r="E436" s="31">
        <v>0</v>
      </c>
      <c r="F436" s="31">
        <v>120000</v>
      </c>
      <c r="G436" s="31">
        <v>0</v>
      </c>
      <c r="H436" s="31">
        <v>0</v>
      </c>
      <c r="I436" s="31" t="s">
        <v>85</v>
      </c>
      <c r="J436" s="5" t="s">
        <v>450</v>
      </c>
      <c r="K436" s="8"/>
    </row>
    <row r="437" spans="1:11" x14ac:dyDescent="0.2">
      <c r="A437" s="8">
        <v>436</v>
      </c>
      <c r="B437" s="8">
        <f t="shared" si="14"/>
        <v>2020</v>
      </c>
      <c r="C437" s="8">
        <f t="shared" si="15"/>
        <v>11</v>
      </c>
      <c r="D437" s="85">
        <v>44150</v>
      </c>
      <c r="E437" s="31">
        <v>0</v>
      </c>
      <c r="F437" s="31">
        <v>600000</v>
      </c>
      <c r="G437" s="31">
        <v>0</v>
      </c>
      <c r="H437" s="31">
        <v>0</v>
      </c>
      <c r="I437" s="31" t="s">
        <v>201</v>
      </c>
      <c r="J437" s="5" t="s">
        <v>201</v>
      </c>
      <c r="K437" s="8"/>
    </row>
    <row r="438" spans="1:11" x14ac:dyDescent="0.2">
      <c r="A438" s="8">
        <v>437</v>
      </c>
      <c r="B438" s="8">
        <f t="shared" si="14"/>
        <v>2020</v>
      </c>
      <c r="C438" s="8">
        <f t="shared" si="15"/>
        <v>11</v>
      </c>
      <c r="D438" s="85">
        <v>44150</v>
      </c>
      <c r="E438" s="31">
        <v>0</v>
      </c>
      <c r="F438" s="31">
        <v>2000000</v>
      </c>
      <c r="G438" s="31">
        <v>0</v>
      </c>
      <c r="H438" s="31">
        <v>0</v>
      </c>
      <c r="I438" s="31" t="s">
        <v>85</v>
      </c>
      <c r="J438" s="5" t="s">
        <v>451</v>
      </c>
      <c r="K438" s="8"/>
    </row>
    <row r="439" spans="1:11" x14ac:dyDescent="0.2">
      <c r="A439" s="8">
        <v>438</v>
      </c>
      <c r="B439" s="8">
        <f t="shared" si="14"/>
        <v>2020</v>
      </c>
      <c r="C439" s="8">
        <f t="shared" si="15"/>
        <v>11</v>
      </c>
      <c r="D439" s="85">
        <v>44150</v>
      </c>
      <c r="E439" s="31">
        <v>0</v>
      </c>
      <c r="F439" s="31">
        <v>600000</v>
      </c>
      <c r="G439" s="31">
        <v>0</v>
      </c>
      <c r="H439" s="31">
        <v>0</v>
      </c>
      <c r="I439" s="31" t="s">
        <v>307</v>
      </c>
      <c r="J439" s="5" t="s">
        <v>307</v>
      </c>
      <c r="K439" s="8"/>
    </row>
    <row r="440" spans="1:11" x14ac:dyDescent="0.2">
      <c r="A440" s="8">
        <v>439</v>
      </c>
      <c r="B440" s="8">
        <f t="shared" si="14"/>
        <v>2020</v>
      </c>
      <c r="C440" s="8">
        <f t="shared" si="15"/>
        <v>11</v>
      </c>
      <c r="D440" s="85">
        <v>44150</v>
      </c>
      <c r="E440" s="31">
        <v>0</v>
      </c>
      <c r="F440" s="31">
        <v>50000</v>
      </c>
      <c r="G440" s="31">
        <v>0</v>
      </c>
      <c r="H440" s="31">
        <v>0</v>
      </c>
      <c r="I440" s="31" t="s">
        <v>92</v>
      </c>
      <c r="J440" s="5" t="s">
        <v>452</v>
      </c>
      <c r="K440" s="8"/>
    </row>
    <row r="441" spans="1:11" x14ac:dyDescent="0.2">
      <c r="A441" s="8">
        <v>440</v>
      </c>
      <c r="B441" s="8">
        <f t="shared" si="14"/>
        <v>2020</v>
      </c>
      <c r="C441" s="8">
        <f t="shared" si="15"/>
        <v>11</v>
      </c>
      <c r="D441" s="85">
        <v>44152</v>
      </c>
      <c r="E441" s="31">
        <v>0</v>
      </c>
      <c r="F441" s="31">
        <v>240000</v>
      </c>
      <c r="G441" s="31">
        <v>0</v>
      </c>
      <c r="H441" s="31">
        <v>0</v>
      </c>
      <c r="I441" s="31" t="s">
        <v>390</v>
      </c>
      <c r="J441" s="5" t="s">
        <v>453</v>
      </c>
      <c r="K441" s="8"/>
    </row>
    <row r="442" spans="1:11" x14ac:dyDescent="0.2">
      <c r="A442" s="8">
        <v>441</v>
      </c>
      <c r="B442" s="8">
        <f t="shared" si="14"/>
        <v>2020</v>
      </c>
      <c r="C442" s="8">
        <f t="shared" si="15"/>
        <v>11</v>
      </c>
      <c r="D442" s="85">
        <v>44152</v>
      </c>
      <c r="E442" s="31">
        <v>0</v>
      </c>
      <c r="F442" s="31">
        <v>80000</v>
      </c>
      <c r="G442" s="31">
        <v>0</v>
      </c>
      <c r="H442" s="31">
        <v>0</v>
      </c>
      <c r="I442" s="31" t="s">
        <v>140</v>
      </c>
      <c r="J442" s="5" t="s">
        <v>391</v>
      </c>
      <c r="K442" s="8"/>
    </row>
    <row r="443" spans="1:11" x14ac:dyDescent="0.2">
      <c r="A443" s="8">
        <v>442</v>
      </c>
      <c r="B443" s="8">
        <f t="shared" si="14"/>
        <v>2020</v>
      </c>
      <c r="C443" s="8">
        <f t="shared" si="15"/>
        <v>11</v>
      </c>
      <c r="D443" s="85">
        <v>44152</v>
      </c>
      <c r="E443" s="31">
        <v>0</v>
      </c>
      <c r="F443" s="31">
        <v>100000</v>
      </c>
      <c r="G443" s="31">
        <v>0</v>
      </c>
      <c r="H443" s="31">
        <v>0</v>
      </c>
      <c r="I443" s="31" t="s">
        <v>85</v>
      </c>
      <c r="J443" s="5" t="s">
        <v>454</v>
      </c>
      <c r="K443" s="8"/>
    </row>
    <row r="444" spans="1:11" x14ac:dyDescent="0.2">
      <c r="A444" s="8">
        <v>443</v>
      </c>
      <c r="B444" s="8">
        <f t="shared" si="14"/>
        <v>2020</v>
      </c>
      <c r="C444" s="8">
        <f t="shared" si="15"/>
        <v>11</v>
      </c>
      <c r="D444" s="85">
        <v>44152</v>
      </c>
      <c r="E444" s="31">
        <v>0</v>
      </c>
      <c r="F444" s="31">
        <v>50000</v>
      </c>
      <c r="G444" s="31">
        <v>0</v>
      </c>
      <c r="H444" s="31">
        <v>0</v>
      </c>
      <c r="I444" s="31" t="s">
        <v>85</v>
      </c>
      <c r="J444" s="5" t="s">
        <v>455</v>
      </c>
      <c r="K444" s="8"/>
    </row>
    <row r="445" spans="1:11" x14ac:dyDescent="0.2">
      <c r="A445" s="8">
        <v>444</v>
      </c>
      <c r="B445" s="8">
        <f t="shared" si="14"/>
        <v>2020</v>
      </c>
      <c r="C445" s="8">
        <f t="shared" si="15"/>
        <v>11</v>
      </c>
      <c r="D445" s="85">
        <v>44153</v>
      </c>
      <c r="E445" s="31">
        <v>0</v>
      </c>
      <c r="F445" s="31">
        <v>250000</v>
      </c>
      <c r="G445" s="31">
        <v>0</v>
      </c>
      <c r="H445" s="31">
        <v>0</v>
      </c>
      <c r="I445" s="31" t="s">
        <v>85</v>
      </c>
      <c r="J445" s="5" t="s">
        <v>456</v>
      </c>
      <c r="K445" s="8"/>
    </row>
    <row r="446" spans="1:11" x14ac:dyDescent="0.2">
      <c r="A446" s="8">
        <v>445</v>
      </c>
      <c r="B446" s="8">
        <f t="shared" si="14"/>
        <v>2020</v>
      </c>
      <c r="C446" s="8">
        <f t="shared" si="15"/>
        <v>11</v>
      </c>
      <c r="D446" s="85">
        <v>44153</v>
      </c>
      <c r="E446" s="31">
        <v>600000</v>
      </c>
      <c r="F446" s="31">
        <v>0</v>
      </c>
      <c r="G446" s="31">
        <v>0</v>
      </c>
      <c r="H446" s="31">
        <v>0</v>
      </c>
      <c r="I446" s="31" t="s">
        <v>85</v>
      </c>
      <c r="J446" s="5" t="s">
        <v>457</v>
      </c>
      <c r="K446" s="8"/>
    </row>
    <row r="447" spans="1:11" x14ac:dyDescent="0.2">
      <c r="A447" s="8">
        <v>446</v>
      </c>
      <c r="B447" s="8">
        <f t="shared" si="14"/>
        <v>2020</v>
      </c>
      <c r="C447" s="8">
        <f t="shared" si="15"/>
        <v>11</v>
      </c>
      <c r="D447" s="85">
        <v>44153</v>
      </c>
      <c r="E447" s="31">
        <v>0</v>
      </c>
      <c r="F447" s="31">
        <v>24000</v>
      </c>
      <c r="G447" s="31">
        <v>0</v>
      </c>
      <c r="H447" s="31">
        <v>0</v>
      </c>
      <c r="I447" s="31" t="s">
        <v>88</v>
      </c>
      <c r="J447" s="5" t="s">
        <v>458</v>
      </c>
      <c r="K447" s="8"/>
    </row>
    <row r="448" spans="1:11" x14ac:dyDescent="0.2">
      <c r="A448" s="8">
        <v>447</v>
      </c>
      <c r="B448" s="8">
        <f t="shared" si="14"/>
        <v>2020</v>
      </c>
      <c r="C448" s="8">
        <f t="shared" si="15"/>
        <v>11</v>
      </c>
      <c r="D448" s="85">
        <v>44153</v>
      </c>
      <c r="E448" s="31">
        <v>0</v>
      </c>
      <c r="F448" s="31">
        <v>95000</v>
      </c>
      <c r="G448" s="31">
        <v>0</v>
      </c>
      <c r="H448" s="31">
        <v>0</v>
      </c>
      <c r="I448" s="31" t="s">
        <v>83</v>
      </c>
      <c r="J448" s="5" t="s">
        <v>83</v>
      </c>
      <c r="K448" s="8"/>
    </row>
    <row r="449" spans="1:11" x14ac:dyDescent="0.2">
      <c r="A449" s="8">
        <v>448</v>
      </c>
      <c r="B449" s="8">
        <f t="shared" si="14"/>
        <v>2020</v>
      </c>
      <c r="C449" s="8">
        <f t="shared" si="15"/>
        <v>11</v>
      </c>
      <c r="D449" s="85">
        <v>44155</v>
      </c>
      <c r="E449" s="31">
        <v>0</v>
      </c>
      <c r="F449" s="31">
        <v>50000</v>
      </c>
      <c r="G449" s="31">
        <v>0</v>
      </c>
      <c r="H449" s="31">
        <v>0</v>
      </c>
      <c r="I449" s="31" t="s">
        <v>85</v>
      </c>
      <c r="J449" s="5" t="s">
        <v>459</v>
      </c>
      <c r="K449" s="8"/>
    </row>
    <row r="450" spans="1:11" x14ac:dyDescent="0.2">
      <c r="A450" s="8">
        <v>449</v>
      </c>
      <c r="B450" s="8">
        <f t="shared" si="14"/>
        <v>2020</v>
      </c>
      <c r="C450" s="8">
        <f t="shared" si="15"/>
        <v>11</v>
      </c>
      <c r="D450" s="85">
        <v>44136</v>
      </c>
      <c r="E450" s="31">
        <v>20000</v>
      </c>
      <c r="F450" s="31">
        <v>20000</v>
      </c>
      <c r="G450" s="31">
        <v>0</v>
      </c>
      <c r="H450" s="31">
        <v>0</v>
      </c>
      <c r="I450" s="31" t="s">
        <v>85</v>
      </c>
      <c r="J450" s="5" t="s">
        <v>460</v>
      </c>
      <c r="K450" s="8"/>
    </row>
    <row r="451" spans="1:11" x14ac:dyDescent="0.2">
      <c r="A451" s="8">
        <v>450</v>
      </c>
      <c r="B451" s="8">
        <f t="shared" si="14"/>
        <v>2020</v>
      </c>
      <c r="C451" s="8">
        <f t="shared" si="15"/>
        <v>11</v>
      </c>
      <c r="D451" s="85">
        <v>44136</v>
      </c>
      <c r="E451" s="31">
        <v>40000</v>
      </c>
      <c r="F451" s="31">
        <v>0</v>
      </c>
      <c r="G451" s="31">
        <v>0</v>
      </c>
      <c r="H451" s="31">
        <v>0</v>
      </c>
      <c r="I451" s="31" t="s">
        <v>109</v>
      </c>
      <c r="J451" s="5" t="s">
        <v>461</v>
      </c>
      <c r="K451" s="8"/>
    </row>
    <row r="452" spans="1:11" x14ac:dyDescent="0.2">
      <c r="A452" s="8">
        <v>451</v>
      </c>
      <c r="B452" s="8">
        <f t="shared" si="14"/>
        <v>2020</v>
      </c>
      <c r="C452" s="8">
        <f t="shared" si="15"/>
        <v>11</v>
      </c>
      <c r="D452" s="85">
        <v>44153</v>
      </c>
      <c r="E452" s="31">
        <v>40000</v>
      </c>
      <c r="F452" s="31">
        <v>0</v>
      </c>
      <c r="G452" s="31">
        <v>0</v>
      </c>
      <c r="H452" s="31">
        <v>0</v>
      </c>
      <c r="I452" s="31" t="s">
        <v>109</v>
      </c>
      <c r="J452" s="5" t="s">
        <v>462</v>
      </c>
      <c r="K452" s="8"/>
    </row>
    <row r="453" spans="1:11" x14ac:dyDescent="0.2">
      <c r="A453" s="8">
        <v>452</v>
      </c>
      <c r="B453" s="8">
        <f t="shared" si="14"/>
        <v>2020</v>
      </c>
      <c r="C453" s="8">
        <f t="shared" si="15"/>
        <v>11</v>
      </c>
      <c r="D453" s="85">
        <v>44153</v>
      </c>
      <c r="E453" s="31">
        <v>60000</v>
      </c>
      <c r="F453" s="31">
        <v>0</v>
      </c>
      <c r="G453" s="31">
        <v>0</v>
      </c>
      <c r="H453" s="31">
        <v>0</v>
      </c>
      <c r="I453" s="31" t="s">
        <v>109</v>
      </c>
      <c r="J453" s="5" t="s">
        <v>463</v>
      </c>
      <c r="K453" s="8"/>
    </row>
    <row r="454" spans="1:11" x14ac:dyDescent="0.2">
      <c r="A454" s="8">
        <v>453</v>
      </c>
      <c r="B454" s="8">
        <f t="shared" ref="B454:B517" si="16">YEAR(D454)</f>
        <v>2020</v>
      </c>
      <c r="C454" s="8">
        <f t="shared" ref="C454:C517" si="17">MONTH(D454)</f>
        <v>11</v>
      </c>
      <c r="D454" s="85">
        <v>44156</v>
      </c>
      <c r="E454" s="31">
        <v>0</v>
      </c>
      <c r="F454" s="31">
        <v>35000</v>
      </c>
      <c r="G454" s="31">
        <v>0</v>
      </c>
      <c r="H454" s="31">
        <v>0</v>
      </c>
      <c r="I454" s="31" t="s">
        <v>109</v>
      </c>
      <c r="J454" s="5" t="s">
        <v>464</v>
      </c>
      <c r="K454" s="8"/>
    </row>
    <row r="455" spans="1:11" x14ac:dyDescent="0.2">
      <c r="A455" s="8">
        <v>454</v>
      </c>
      <c r="B455" s="8">
        <f t="shared" si="16"/>
        <v>2020</v>
      </c>
      <c r="C455" s="8">
        <f t="shared" si="17"/>
        <v>11</v>
      </c>
      <c r="D455" s="85">
        <v>44156</v>
      </c>
      <c r="E455" s="31">
        <v>0</v>
      </c>
      <c r="F455" s="31">
        <v>20000</v>
      </c>
      <c r="G455" s="31">
        <v>0</v>
      </c>
      <c r="H455" s="31">
        <v>0</v>
      </c>
      <c r="I455" s="31" t="s">
        <v>85</v>
      </c>
      <c r="J455" s="5" t="s">
        <v>465</v>
      </c>
      <c r="K455" s="8"/>
    </row>
    <row r="456" spans="1:11" x14ac:dyDescent="0.2">
      <c r="A456" s="8">
        <v>455</v>
      </c>
      <c r="B456" s="8">
        <f t="shared" si="16"/>
        <v>2020</v>
      </c>
      <c r="C456" s="8">
        <f t="shared" si="17"/>
        <v>11</v>
      </c>
      <c r="D456" s="85">
        <v>44158</v>
      </c>
      <c r="E456" s="31">
        <v>20000</v>
      </c>
      <c r="F456" s="31">
        <v>0</v>
      </c>
      <c r="G456" s="31">
        <v>0</v>
      </c>
      <c r="H456" s="31">
        <v>0</v>
      </c>
      <c r="I456" s="31" t="s">
        <v>109</v>
      </c>
      <c r="J456" s="5" t="s">
        <v>466</v>
      </c>
      <c r="K456" s="8"/>
    </row>
    <row r="457" spans="1:11" x14ac:dyDescent="0.2">
      <c r="A457" s="8">
        <v>456</v>
      </c>
      <c r="B457" s="8">
        <f t="shared" si="16"/>
        <v>2020</v>
      </c>
      <c r="C457" s="8">
        <f t="shared" si="17"/>
        <v>11</v>
      </c>
      <c r="D457" s="85">
        <v>44158</v>
      </c>
      <c r="E457" s="31">
        <v>20000</v>
      </c>
      <c r="F457" s="31">
        <v>0</v>
      </c>
      <c r="G457" s="31">
        <v>0</v>
      </c>
      <c r="H457" s="31">
        <v>0</v>
      </c>
      <c r="I457" s="31" t="s">
        <v>109</v>
      </c>
      <c r="J457" s="5" t="s">
        <v>467</v>
      </c>
      <c r="K457" s="8"/>
    </row>
    <row r="458" spans="1:11" x14ac:dyDescent="0.2">
      <c r="A458" s="8">
        <v>457</v>
      </c>
      <c r="B458" s="8">
        <f t="shared" si="16"/>
        <v>2020</v>
      </c>
      <c r="C458" s="8">
        <f t="shared" si="17"/>
        <v>11</v>
      </c>
      <c r="D458" s="85">
        <v>44158</v>
      </c>
      <c r="E458" s="31">
        <v>0</v>
      </c>
      <c r="F458" s="31">
        <v>170000</v>
      </c>
      <c r="G458" s="31">
        <v>0</v>
      </c>
      <c r="H458" s="31">
        <v>0</v>
      </c>
      <c r="I458" s="31" t="s">
        <v>85</v>
      </c>
      <c r="J458" s="5" t="s">
        <v>468</v>
      </c>
      <c r="K458" s="8"/>
    </row>
    <row r="459" spans="1:11" x14ac:dyDescent="0.2">
      <c r="A459" s="8">
        <v>458</v>
      </c>
      <c r="B459" s="8">
        <f t="shared" si="16"/>
        <v>2020</v>
      </c>
      <c r="C459" s="8">
        <f t="shared" si="17"/>
        <v>11</v>
      </c>
      <c r="D459" s="85">
        <v>44158</v>
      </c>
      <c r="E459" s="31">
        <v>0</v>
      </c>
      <c r="F459" s="31">
        <v>0</v>
      </c>
      <c r="G459" s="31">
        <v>0</v>
      </c>
      <c r="H459" s="31">
        <v>145000</v>
      </c>
      <c r="I459" s="31" t="s">
        <v>74</v>
      </c>
      <c r="J459" s="5" t="s">
        <v>469</v>
      </c>
      <c r="K459" s="8"/>
    </row>
    <row r="460" spans="1:11" x14ac:dyDescent="0.2">
      <c r="A460" s="8">
        <v>459</v>
      </c>
      <c r="B460" s="8">
        <f t="shared" si="16"/>
        <v>2020</v>
      </c>
      <c r="C460" s="8">
        <f t="shared" si="17"/>
        <v>11</v>
      </c>
      <c r="D460" s="85">
        <v>44160</v>
      </c>
      <c r="E460" s="31">
        <v>60000</v>
      </c>
      <c r="F460" s="31">
        <v>0</v>
      </c>
      <c r="G460" s="31">
        <v>0</v>
      </c>
      <c r="H460" s="31">
        <v>0</v>
      </c>
      <c r="I460" s="31" t="s">
        <v>109</v>
      </c>
      <c r="J460" s="5" t="s">
        <v>470</v>
      </c>
      <c r="K460" s="8"/>
    </row>
    <row r="461" spans="1:11" x14ac:dyDescent="0.2">
      <c r="A461" s="8">
        <v>460</v>
      </c>
      <c r="B461" s="8">
        <f t="shared" si="16"/>
        <v>2020</v>
      </c>
      <c r="C461" s="8">
        <f t="shared" si="17"/>
        <v>11</v>
      </c>
      <c r="D461" s="85">
        <v>44160</v>
      </c>
      <c r="E461" s="31">
        <v>0</v>
      </c>
      <c r="F461" s="31">
        <v>20000</v>
      </c>
      <c r="G461" s="31">
        <v>0</v>
      </c>
      <c r="H461" s="31">
        <v>0</v>
      </c>
      <c r="I461" s="31" t="s">
        <v>85</v>
      </c>
      <c r="J461" s="5" t="s">
        <v>471</v>
      </c>
      <c r="K461" s="8"/>
    </row>
    <row r="462" spans="1:11" x14ac:dyDescent="0.2">
      <c r="A462" s="8">
        <v>461</v>
      </c>
      <c r="B462" s="8">
        <f t="shared" si="16"/>
        <v>2020</v>
      </c>
      <c r="C462" s="8">
        <f t="shared" si="17"/>
        <v>11</v>
      </c>
      <c r="D462" s="85">
        <v>44160</v>
      </c>
      <c r="E462" s="31">
        <v>0</v>
      </c>
      <c r="F462" s="31">
        <v>25000</v>
      </c>
      <c r="G462" s="31">
        <v>0</v>
      </c>
      <c r="H462" s="31">
        <v>0</v>
      </c>
      <c r="I462" s="31" t="s">
        <v>85</v>
      </c>
      <c r="J462" s="5" t="s">
        <v>472</v>
      </c>
      <c r="K462" s="8"/>
    </row>
    <row r="463" spans="1:11" x14ac:dyDescent="0.2">
      <c r="A463" s="8">
        <v>462</v>
      </c>
      <c r="B463" s="8">
        <f t="shared" si="16"/>
        <v>2020</v>
      </c>
      <c r="C463" s="8">
        <f t="shared" si="17"/>
        <v>11</v>
      </c>
      <c r="D463" s="85">
        <v>44160</v>
      </c>
      <c r="E463" s="31">
        <v>0</v>
      </c>
      <c r="F463" s="31">
        <v>75000</v>
      </c>
      <c r="G463" s="31">
        <v>0</v>
      </c>
      <c r="H463" s="31">
        <v>0</v>
      </c>
      <c r="I463" s="31" t="s">
        <v>85</v>
      </c>
      <c r="J463" s="5" t="s">
        <v>473</v>
      </c>
      <c r="K463" s="8"/>
    </row>
    <row r="464" spans="1:11" x14ac:dyDescent="0.2">
      <c r="A464" s="8">
        <v>463</v>
      </c>
      <c r="B464" s="8">
        <f t="shared" si="16"/>
        <v>2020</v>
      </c>
      <c r="C464" s="8">
        <f t="shared" si="17"/>
        <v>11</v>
      </c>
      <c r="D464" s="85">
        <v>44161</v>
      </c>
      <c r="E464" s="31">
        <v>0</v>
      </c>
      <c r="F464" s="31">
        <v>30000</v>
      </c>
      <c r="G464" s="31">
        <v>0</v>
      </c>
      <c r="H464" s="31">
        <v>0</v>
      </c>
      <c r="I464" s="31" t="s">
        <v>88</v>
      </c>
      <c r="J464" s="5" t="s">
        <v>474</v>
      </c>
      <c r="K464" s="8"/>
    </row>
    <row r="465" spans="1:11" x14ac:dyDescent="0.2">
      <c r="A465" s="8">
        <v>464</v>
      </c>
      <c r="B465" s="8">
        <f t="shared" si="16"/>
        <v>2020</v>
      </c>
      <c r="C465" s="8">
        <f t="shared" si="17"/>
        <v>11</v>
      </c>
      <c r="D465" s="85">
        <v>44161</v>
      </c>
      <c r="E465" s="31">
        <v>0</v>
      </c>
      <c r="F465" s="31">
        <v>75000</v>
      </c>
      <c r="G465" s="31">
        <v>0</v>
      </c>
      <c r="H465" s="31">
        <v>0</v>
      </c>
      <c r="I465" s="31" t="s">
        <v>85</v>
      </c>
      <c r="J465" s="5" t="s">
        <v>475</v>
      </c>
      <c r="K465" s="8"/>
    </row>
    <row r="466" spans="1:11" x14ac:dyDescent="0.2">
      <c r="A466" s="8">
        <v>465</v>
      </c>
      <c r="B466" s="8">
        <f t="shared" si="16"/>
        <v>2020</v>
      </c>
      <c r="C466" s="8">
        <f t="shared" si="17"/>
        <v>11</v>
      </c>
      <c r="D466" s="85">
        <v>44161</v>
      </c>
      <c r="E466" s="31">
        <v>0</v>
      </c>
      <c r="F466" s="31">
        <v>75000</v>
      </c>
      <c r="G466" s="31">
        <v>0</v>
      </c>
      <c r="H466" s="31">
        <v>0</v>
      </c>
      <c r="I466" s="31" t="s">
        <v>85</v>
      </c>
      <c r="J466" s="5" t="s">
        <v>476</v>
      </c>
      <c r="K466" s="8"/>
    </row>
    <row r="467" spans="1:11" x14ac:dyDescent="0.2">
      <c r="A467" s="8">
        <v>466</v>
      </c>
      <c r="B467" s="8">
        <f t="shared" si="16"/>
        <v>2020</v>
      </c>
      <c r="C467" s="8">
        <f t="shared" si="17"/>
        <v>11</v>
      </c>
      <c r="D467" s="85">
        <v>44162</v>
      </c>
      <c r="E467" s="31">
        <v>0</v>
      </c>
      <c r="F467" s="31">
        <v>165000</v>
      </c>
      <c r="G467" s="31">
        <v>0</v>
      </c>
      <c r="H467" s="31">
        <v>0</v>
      </c>
      <c r="I467" s="31" t="s">
        <v>85</v>
      </c>
      <c r="J467" s="5" t="s">
        <v>477</v>
      </c>
      <c r="K467" s="8"/>
    </row>
    <row r="468" spans="1:11" x14ac:dyDescent="0.2">
      <c r="A468" s="8">
        <v>467</v>
      </c>
      <c r="B468" s="8">
        <f t="shared" si="16"/>
        <v>2020</v>
      </c>
      <c r="C468" s="8">
        <f t="shared" si="17"/>
        <v>11</v>
      </c>
      <c r="D468" s="85">
        <v>44161</v>
      </c>
      <c r="E468" s="31">
        <v>0</v>
      </c>
      <c r="F468" s="31">
        <v>360000</v>
      </c>
      <c r="G468" s="31">
        <v>0</v>
      </c>
      <c r="H468" s="31">
        <v>0</v>
      </c>
      <c r="I468" s="31" t="s">
        <v>85</v>
      </c>
      <c r="J468" s="5" t="s">
        <v>478</v>
      </c>
      <c r="K468" s="8"/>
    </row>
    <row r="469" spans="1:11" x14ac:dyDescent="0.2">
      <c r="A469" s="8">
        <v>468</v>
      </c>
      <c r="B469" s="8">
        <f t="shared" si="16"/>
        <v>2020</v>
      </c>
      <c r="C469" s="8">
        <f t="shared" si="17"/>
        <v>11</v>
      </c>
      <c r="D469" s="85">
        <v>44158</v>
      </c>
      <c r="E469" s="31">
        <v>80000</v>
      </c>
      <c r="F469" s="31">
        <v>0</v>
      </c>
      <c r="G469" s="31">
        <v>0</v>
      </c>
      <c r="H469" s="31">
        <v>0</v>
      </c>
      <c r="I469" s="31" t="s">
        <v>109</v>
      </c>
      <c r="J469" s="5" t="s">
        <v>479</v>
      </c>
      <c r="K469" s="8"/>
    </row>
    <row r="470" spans="1:11" x14ac:dyDescent="0.2">
      <c r="A470" s="8">
        <v>469</v>
      </c>
      <c r="B470" s="8">
        <f t="shared" si="16"/>
        <v>2020</v>
      </c>
      <c r="C470" s="8">
        <f t="shared" si="17"/>
        <v>11</v>
      </c>
      <c r="D470" s="85">
        <v>44136</v>
      </c>
      <c r="E470" s="31">
        <v>20000</v>
      </c>
      <c r="F470" s="31">
        <v>0</v>
      </c>
      <c r="G470" s="31">
        <v>0</v>
      </c>
      <c r="H470" s="31">
        <v>0</v>
      </c>
      <c r="I470" s="31" t="s">
        <v>109</v>
      </c>
      <c r="J470" s="5" t="s">
        <v>480</v>
      </c>
      <c r="K470" s="8"/>
    </row>
    <row r="471" spans="1:11" x14ac:dyDescent="0.2">
      <c r="A471" s="8">
        <v>470</v>
      </c>
      <c r="B471" s="8">
        <f t="shared" si="16"/>
        <v>2020</v>
      </c>
      <c r="C471" s="8">
        <f t="shared" si="17"/>
        <v>11</v>
      </c>
      <c r="D471" s="85">
        <v>44162</v>
      </c>
      <c r="E471" s="31">
        <v>0</v>
      </c>
      <c r="F471" s="31">
        <v>100000</v>
      </c>
      <c r="G471" s="31">
        <v>0</v>
      </c>
      <c r="H471" s="31">
        <v>0</v>
      </c>
      <c r="I471" s="31" t="s">
        <v>83</v>
      </c>
      <c r="J471" s="5" t="s">
        <v>83</v>
      </c>
      <c r="K471" s="8"/>
    </row>
    <row r="472" spans="1:11" x14ac:dyDescent="0.2">
      <c r="A472" s="8">
        <v>471</v>
      </c>
      <c r="B472" s="8">
        <f t="shared" si="16"/>
        <v>2020</v>
      </c>
      <c r="C472" s="8">
        <f t="shared" si="17"/>
        <v>11</v>
      </c>
      <c r="D472" s="85">
        <v>44162</v>
      </c>
      <c r="E472" s="31">
        <v>0</v>
      </c>
      <c r="F472" s="31">
        <v>0</v>
      </c>
      <c r="G472" s="31">
        <v>0</v>
      </c>
      <c r="H472" s="31">
        <v>276000</v>
      </c>
      <c r="I472" s="31" t="s">
        <v>85</v>
      </c>
      <c r="J472" s="5" t="s">
        <v>481</v>
      </c>
      <c r="K472" s="8"/>
    </row>
    <row r="473" spans="1:11" x14ac:dyDescent="0.2">
      <c r="A473" s="8">
        <v>472</v>
      </c>
      <c r="B473" s="8">
        <f t="shared" si="16"/>
        <v>2020</v>
      </c>
      <c r="C473" s="8">
        <f t="shared" si="17"/>
        <v>11</v>
      </c>
      <c r="D473" s="85">
        <v>44165</v>
      </c>
      <c r="E473" s="31">
        <v>0</v>
      </c>
      <c r="F473" s="31">
        <v>38000</v>
      </c>
      <c r="G473" s="31">
        <v>0</v>
      </c>
      <c r="H473" s="31">
        <v>0</v>
      </c>
      <c r="I473" s="31" t="s">
        <v>85</v>
      </c>
      <c r="J473" s="5" t="s">
        <v>482</v>
      </c>
      <c r="K473" s="8"/>
    </row>
    <row r="474" spans="1:11" x14ac:dyDescent="0.2">
      <c r="A474" s="8">
        <v>473</v>
      </c>
      <c r="B474" s="8">
        <f t="shared" si="16"/>
        <v>2020</v>
      </c>
      <c r="C474" s="8">
        <f t="shared" si="17"/>
        <v>11</v>
      </c>
      <c r="D474" s="85">
        <v>44165</v>
      </c>
      <c r="E474" s="31">
        <v>0</v>
      </c>
      <c r="F474" s="31">
        <v>38000</v>
      </c>
      <c r="G474" s="31">
        <v>0</v>
      </c>
      <c r="H474" s="31">
        <v>0</v>
      </c>
      <c r="I474" s="31" t="s">
        <v>85</v>
      </c>
      <c r="J474" s="5" t="s">
        <v>483</v>
      </c>
      <c r="K474" s="8"/>
    </row>
    <row r="475" spans="1:11" x14ac:dyDescent="0.2">
      <c r="A475" s="8">
        <v>474</v>
      </c>
      <c r="B475" s="8">
        <f t="shared" si="16"/>
        <v>2020</v>
      </c>
      <c r="C475" s="8">
        <f t="shared" si="17"/>
        <v>11</v>
      </c>
      <c r="D475" s="85">
        <v>44165</v>
      </c>
      <c r="E475" s="31">
        <v>0</v>
      </c>
      <c r="F475" s="31">
        <v>102000</v>
      </c>
      <c r="G475" s="31">
        <v>0</v>
      </c>
      <c r="H475" s="31">
        <v>0</v>
      </c>
      <c r="I475" s="31" t="s">
        <v>85</v>
      </c>
      <c r="J475" s="5" t="s">
        <v>484</v>
      </c>
      <c r="K475" s="8"/>
    </row>
    <row r="476" spans="1:11" x14ac:dyDescent="0.2">
      <c r="A476" s="8">
        <v>475</v>
      </c>
      <c r="B476" s="8">
        <f t="shared" si="16"/>
        <v>2020</v>
      </c>
      <c r="C476" s="8">
        <f t="shared" si="17"/>
        <v>11</v>
      </c>
      <c r="D476" s="85">
        <v>44165</v>
      </c>
      <c r="E476" s="31">
        <v>0</v>
      </c>
      <c r="F476" s="31">
        <v>58000</v>
      </c>
      <c r="G476" s="31">
        <v>0</v>
      </c>
      <c r="H476" s="31">
        <v>0</v>
      </c>
      <c r="I476" s="31" t="s">
        <v>85</v>
      </c>
      <c r="J476" s="5" t="s">
        <v>485</v>
      </c>
      <c r="K476" s="8"/>
    </row>
    <row r="477" spans="1:11" x14ac:dyDescent="0.2">
      <c r="A477" s="8">
        <v>476</v>
      </c>
      <c r="B477" s="8">
        <f t="shared" si="16"/>
        <v>2020</v>
      </c>
      <c r="C477" s="8">
        <f t="shared" si="17"/>
        <v>11</v>
      </c>
      <c r="D477" s="85">
        <v>44165</v>
      </c>
      <c r="E477" s="31">
        <v>0</v>
      </c>
      <c r="F477" s="31">
        <v>35000</v>
      </c>
      <c r="G477" s="31">
        <v>0</v>
      </c>
      <c r="H477" s="31">
        <v>0</v>
      </c>
      <c r="I477" s="31" t="s">
        <v>85</v>
      </c>
      <c r="J477" s="5" t="s">
        <v>486</v>
      </c>
      <c r="K477" s="8"/>
    </row>
    <row r="478" spans="1:11" x14ac:dyDescent="0.2">
      <c r="A478" s="8">
        <v>477</v>
      </c>
      <c r="B478" s="8">
        <f t="shared" si="16"/>
        <v>2020</v>
      </c>
      <c r="C478" s="8">
        <f t="shared" si="17"/>
        <v>11</v>
      </c>
      <c r="D478" s="85">
        <v>44165</v>
      </c>
      <c r="E478" s="31">
        <v>108000</v>
      </c>
      <c r="F478" s="31">
        <v>0</v>
      </c>
      <c r="G478" s="31">
        <v>0</v>
      </c>
      <c r="H478" s="31">
        <v>0</v>
      </c>
      <c r="I478" s="31" t="s">
        <v>85</v>
      </c>
      <c r="J478" s="5" t="s">
        <v>487</v>
      </c>
      <c r="K478" s="8"/>
    </row>
    <row r="479" spans="1:11" x14ac:dyDescent="0.2">
      <c r="A479" s="8">
        <v>478</v>
      </c>
      <c r="B479" s="8">
        <f t="shared" si="16"/>
        <v>2020</v>
      </c>
      <c r="C479" s="8">
        <f t="shared" si="17"/>
        <v>11</v>
      </c>
      <c r="D479" s="85">
        <v>44162</v>
      </c>
      <c r="E479" s="31">
        <v>152000</v>
      </c>
      <c r="F479" s="31">
        <v>0</v>
      </c>
      <c r="G479" s="31">
        <v>0</v>
      </c>
      <c r="H479" s="31">
        <v>0</v>
      </c>
      <c r="I479" s="31" t="s">
        <v>109</v>
      </c>
      <c r="J479" s="5" t="s">
        <v>488</v>
      </c>
      <c r="K479" s="8"/>
    </row>
    <row r="480" spans="1:11" x14ac:dyDescent="0.2">
      <c r="A480" s="8">
        <v>479</v>
      </c>
      <c r="B480" s="8">
        <f t="shared" si="16"/>
        <v>2020</v>
      </c>
      <c r="C480" s="8">
        <f t="shared" si="17"/>
        <v>11</v>
      </c>
      <c r="D480" s="85">
        <v>44162</v>
      </c>
      <c r="E480" s="31">
        <v>2000000</v>
      </c>
      <c r="F480" s="31">
        <v>0</v>
      </c>
      <c r="G480" s="31">
        <v>0</v>
      </c>
      <c r="H480" s="31">
        <v>0</v>
      </c>
      <c r="I480" s="31" t="s">
        <v>109</v>
      </c>
      <c r="J480" s="5" t="s">
        <v>489</v>
      </c>
      <c r="K480" s="8"/>
    </row>
    <row r="481" spans="1:11" x14ac:dyDescent="0.2">
      <c r="A481" s="8">
        <v>480</v>
      </c>
      <c r="B481" s="8">
        <f t="shared" si="16"/>
        <v>2020</v>
      </c>
      <c r="C481" s="8">
        <f t="shared" si="17"/>
        <v>12</v>
      </c>
      <c r="D481" s="85">
        <v>44166</v>
      </c>
      <c r="E481" s="31">
        <v>2836900</v>
      </c>
      <c r="F481" s="31">
        <v>0</v>
      </c>
      <c r="G481" s="31">
        <v>0</v>
      </c>
      <c r="H481" s="31">
        <v>0</v>
      </c>
      <c r="I481" s="31" t="s">
        <v>109</v>
      </c>
      <c r="J481" s="5" t="s">
        <v>490</v>
      </c>
      <c r="K481" s="8"/>
    </row>
    <row r="482" spans="1:11" x14ac:dyDescent="0.2">
      <c r="A482" s="8">
        <v>481</v>
      </c>
      <c r="B482" s="8">
        <f t="shared" si="16"/>
        <v>2020</v>
      </c>
      <c r="C482" s="8">
        <f t="shared" si="17"/>
        <v>12</v>
      </c>
      <c r="D482" s="85">
        <v>44166</v>
      </c>
      <c r="E482" s="31">
        <v>0</v>
      </c>
      <c r="F482" s="31">
        <v>40000</v>
      </c>
      <c r="G482" s="31">
        <v>0</v>
      </c>
      <c r="H482" s="31">
        <v>0</v>
      </c>
      <c r="I482" s="31" t="s">
        <v>85</v>
      </c>
      <c r="J482" s="5" t="s">
        <v>491</v>
      </c>
      <c r="K482" s="8"/>
    </row>
    <row r="483" spans="1:11" x14ac:dyDescent="0.2">
      <c r="A483" s="8">
        <v>482</v>
      </c>
      <c r="B483" s="8">
        <f t="shared" si="16"/>
        <v>2020</v>
      </c>
      <c r="C483" s="8">
        <f t="shared" si="17"/>
        <v>12</v>
      </c>
      <c r="D483" s="85">
        <v>44167</v>
      </c>
      <c r="E483" s="31">
        <v>0</v>
      </c>
      <c r="F483" s="31">
        <v>0</v>
      </c>
      <c r="G483" s="31">
        <v>0</v>
      </c>
      <c r="H483" s="31">
        <v>280000</v>
      </c>
      <c r="I483" s="31" t="s">
        <v>85</v>
      </c>
      <c r="J483" s="5" t="s">
        <v>481</v>
      </c>
      <c r="K483" s="8"/>
    </row>
    <row r="484" spans="1:11" x14ac:dyDescent="0.2">
      <c r="A484" s="8">
        <v>483</v>
      </c>
      <c r="B484" s="8">
        <f t="shared" si="16"/>
        <v>2020</v>
      </c>
      <c r="C484" s="8">
        <f t="shared" si="17"/>
        <v>12</v>
      </c>
      <c r="D484" s="85">
        <v>44168</v>
      </c>
      <c r="E484" s="31">
        <v>0</v>
      </c>
      <c r="F484" s="31">
        <v>50000</v>
      </c>
      <c r="G484" s="31">
        <v>0</v>
      </c>
      <c r="H484" s="31">
        <v>0</v>
      </c>
      <c r="I484" s="31" t="s">
        <v>85</v>
      </c>
      <c r="J484" s="5" t="s">
        <v>492</v>
      </c>
      <c r="K484" s="8"/>
    </row>
    <row r="485" spans="1:11" x14ac:dyDescent="0.2">
      <c r="A485" s="8">
        <v>484</v>
      </c>
      <c r="B485" s="8">
        <f t="shared" si="16"/>
        <v>2020</v>
      </c>
      <c r="C485" s="8">
        <f t="shared" si="17"/>
        <v>12</v>
      </c>
      <c r="D485" s="85">
        <v>44168</v>
      </c>
      <c r="E485" s="31">
        <v>0</v>
      </c>
      <c r="F485" s="31">
        <v>20000</v>
      </c>
      <c r="G485" s="31">
        <v>0</v>
      </c>
      <c r="H485" s="31">
        <v>0</v>
      </c>
      <c r="I485" s="31" t="s">
        <v>85</v>
      </c>
      <c r="J485" s="5" t="s">
        <v>158</v>
      </c>
      <c r="K485" s="8"/>
    </row>
    <row r="486" spans="1:11" x14ac:dyDescent="0.2">
      <c r="A486" s="8">
        <v>485</v>
      </c>
      <c r="B486" s="8">
        <f t="shared" si="16"/>
        <v>2020</v>
      </c>
      <c r="C486" s="8">
        <f t="shared" si="17"/>
        <v>12</v>
      </c>
      <c r="D486" s="85">
        <v>44168</v>
      </c>
      <c r="E486" s="31">
        <v>0</v>
      </c>
      <c r="F486" s="31">
        <v>15000</v>
      </c>
      <c r="G486" s="31">
        <v>0</v>
      </c>
      <c r="H486" s="31">
        <v>0</v>
      </c>
      <c r="I486" s="31" t="s">
        <v>85</v>
      </c>
      <c r="J486" s="5" t="s">
        <v>300</v>
      </c>
      <c r="K486" s="8"/>
    </row>
    <row r="487" spans="1:11" x14ac:dyDescent="0.2">
      <c r="A487" s="8">
        <v>486</v>
      </c>
      <c r="B487" s="8">
        <f t="shared" si="16"/>
        <v>2020</v>
      </c>
      <c r="C487" s="8">
        <f t="shared" si="17"/>
        <v>12</v>
      </c>
      <c r="D487" s="85">
        <v>44169</v>
      </c>
      <c r="E487" s="31">
        <v>0</v>
      </c>
      <c r="F487" s="31">
        <v>0</v>
      </c>
      <c r="G487" s="31"/>
      <c r="H487" s="31">
        <v>0</v>
      </c>
      <c r="I487" s="31" t="s">
        <v>92</v>
      </c>
      <c r="J487" s="5" t="s">
        <v>493</v>
      </c>
      <c r="K487" s="8"/>
    </row>
    <row r="488" spans="1:11" x14ac:dyDescent="0.2">
      <c r="A488" s="8">
        <v>487</v>
      </c>
      <c r="B488" s="8">
        <f t="shared" si="16"/>
        <v>2020</v>
      </c>
      <c r="C488" s="8">
        <f t="shared" si="17"/>
        <v>12</v>
      </c>
      <c r="D488" s="85">
        <v>44169</v>
      </c>
      <c r="E488" s="31">
        <v>0</v>
      </c>
      <c r="F488" s="31">
        <v>150000</v>
      </c>
      <c r="G488" s="31">
        <v>0</v>
      </c>
      <c r="H488" s="31">
        <v>0</v>
      </c>
      <c r="I488" s="31" t="s">
        <v>140</v>
      </c>
      <c r="J488" s="5" t="s">
        <v>494</v>
      </c>
      <c r="K488" s="8"/>
    </row>
    <row r="489" spans="1:11" x14ac:dyDescent="0.2">
      <c r="A489" s="8">
        <v>488</v>
      </c>
      <c r="B489" s="8">
        <f t="shared" si="16"/>
        <v>2020</v>
      </c>
      <c r="C489" s="8">
        <f t="shared" si="17"/>
        <v>12</v>
      </c>
      <c r="D489" s="85">
        <v>44170</v>
      </c>
      <c r="E489" s="31">
        <v>0</v>
      </c>
      <c r="F489" s="31">
        <v>70000</v>
      </c>
      <c r="G489" s="31">
        <v>0</v>
      </c>
      <c r="H489" s="31">
        <v>0</v>
      </c>
      <c r="I489" s="31" t="s">
        <v>88</v>
      </c>
      <c r="J489" s="5" t="s">
        <v>495</v>
      </c>
      <c r="K489" s="8"/>
    </row>
    <row r="490" spans="1:11" x14ac:dyDescent="0.2">
      <c r="A490" s="8">
        <v>489</v>
      </c>
      <c r="B490" s="8">
        <f t="shared" si="16"/>
        <v>2020</v>
      </c>
      <c r="C490" s="8">
        <f t="shared" si="17"/>
        <v>12</v>
      </c>
      <c r="D490" s="85">
        <v>44170</v>
      </c>
      <c r="E490" s="31">
        <v>0</v>
      </c>
      <c r="F490" s="31">
        <v>90000</v>
      </c>
      <c r="G490" s="31">
        <v>0</v>
      </c>
      <c r="H490" s="31">
        <v>0</v>
      </c>
      <c r="I490" s="31" t="s">
        <v>83</v>
      </c>
      <c r="J490" s="5" t="s">
        <v>83</v>
      </c>
      <c r="K490" s="8"/>
    </row>
    <row r="491" spans="1:11" x14ac:dyDescent="0.2">
      <c r="A491" s="8">
        <v>490</v>
      </c>
      <c r="B491" s="8">
        <f t="shared" si="16"/>
        <v>2020</v>
      </c>
      <c r="C491" s="8">
        <f t="shared" si="17"/>
        <v>12</v>
      </c>
      <c r="D491" s="85">
        <v>44171</v>
      </c>
      <c r="E491" s="31">
        <v>45000</v>
      </c>
      <c r="F491" s="31">
        <v>0</v>
      </c>
      <c r="G491" s="31">
        <v>0</v>
      </c>
      <c r="H491" s="31">
        <v>0</v>
      </c>
      <c r="I491" s="31" t="s">
        <v>109</v>
      </c>
      <c r="J491" s="5" t="s">
        <v>496</v>
      </c>
      <c r="K491" s="8"/>
    </row>
    <row r="492" spans="1:11" x14ac:dyDescent="0.2">
      <c r="A492" s="8">
        <v>491</v>
      </c>
      <c r="B492" s="8">
        <f t="shared" si="16"/>
        <v>2020</v>
      </c>
      <c r="C492" s="8">
        <f t="shared" si="17"/>
        <v>12</v>
      </c>
      <c r="D492" s="85">
        <v>44174</v>
      </c>
      <c r="E492" s="31">
        <v>0</v>
      </c>
      <c r="F492" s="31">
        <v>0</v>
      </c>
      <c r="G492" s="31">
        <v>0</v>
      </c>
      <c r="H492" s="31">
        <v>620000</v>
      </c>
      <c r="I492" s="31" t="s">
        <v>74</v>
      </c>
      <c r="J492" s="5" t="s">
        <v>497</v>
      </c>
      <c r="K492" s="8"/>
    </row>
    <row r="493" spans="1:11" x14ac:dyDescent="0.2">
      <c r="A493" s="8">
        <v>492</v>
      </c>
      <c r="B493" s="8">
        <f t="shared" si="16"/>
        <v>2020</v>
      </c>
      <c r="C493" s="8">
        <f t="shared" si="17"/>
        <v>12</v>
      </c>
      <c r="D493" s="85">
        <v>44174</v>
      </c>
      <c r="E493" s="31">
        <v>0</v>
      </c>
      <c r="F493" s="31">
        <v>12000</v>
      </c>
      <c r="G493" s="31">
        <v>0</v>
      </c>
      <c r="H493" s="31">
        <v>0</v>
      </c>
      <c r="I493" s="31" t="s">
        <v>88</v>
      </c>
      <c r="J493" s="5" t="s">
        <v>498</v>
      </c>
      <c r="K493" s="8"/>
    </row>
    <row r="494" spans="1:11" x14ac:dyDescent="0.2">
      <c r="A494" s="8">
        <v>493</v>
      </c>
      <c r="B494" s="8">
        <f t="shared" si="16"/>
        <v>2020</v>
      </c>
      <c r="C494" s="8">
        <f t="shared" si="17"/>
        <v>12</v>
      </c>
      <c r="D494" s="85">
        <v>44174</v>
      </c>
      <c r="E494" s="31">
        <v>0</v>
      </c>
      <c r="F494" s="31">
        <v>10000</v>
      </c>
      <c r="G494" s="31">
        <v>0</v>
      </c>
      <c r="H494" s="31">
        <v>0</v>
      </c>
      <c r="I494" s="31" t="s">
        <v>364</v>
      </c>
      <c r="J494" s="5" t="s">
        <v>499</v>
      </c>
      <c r="K494" s="8"/>
    </row>
    <row r="495" spans="1:11" x14ac:dyDescent="0.2">
      <c r="A495" s="8">
        <v>494</v>
      </c>
      <c r="B495" s="8">
        <f t="shared" si="16"/>
        <v>2020</v>
      </c>
      <c r="C495" s="8">
        <f t="shared" si="17"/>
        <v>12</v>
      </c>
      <c r="D495" s="85">
        <v>44176</v>
      </c>
      <c r="E495" s="31">
        <v>0</v>
      </c>
      <c r="F495" s="31">
        <v>120000</v>
      </c>
      <c r="G495" s="31">
        <v>0</v>
      </c>
      <c r="H495" s="31">
        <v>0</v>
      </c>
      <c r="I495" s="31" t="s">
        <v>364</v>
      </c>
      <c r="J495" s="5" t="s">
        <v>500</v>
      </c>
      <c r="K495" s="8"/>
    </row>
    <row r="496" spans="1:11" x14ac:dyDescent="0.2">
      <c r="A496" s="8">
        <v>495</v>
      </c>
      <c r="B496" s="8">
        <f t="shared" si="16"/>
        <v>2020</v>
      </c>
      <c r="C496" s="8">
        <f t="shared" si="17"/>
        <v>12</v>
      </c>
      <c r="D496" s="85">
        <v>44176</v>
      </c>
      <c r="E496" s="31">
        <v>0</v>
      </c>
      <c r="F496" s="31">
        <v>0</v>
      </c>
      <c r="G496" s="31">
        <v>0</v>
      </c>
      <c r="H496" s="31">
        <v>309000</v>
      </c>
      <c r="I496" s="31" t="s">
        <v>364</v>
      </c>
      <c r="J496" s="5" t="s">
        <v>501</v>
      </c>
      <c r="K496" s="8"/>
    </row>
    <row r="497" spans="1:11" x14ac:dyDescent="0.2">
      <c r="A497" s="8">
        <v>496</v>
      </c>
      <c r="B497" s="8">
        <f t="shared" si="16"/>
        <v>2020</v>
      </c>
      <c r="C497" s="8">
        <f t="shared" si="17"/>
        <v>12</v>
      </c>
      <c r="D497" s="85">
        <v>44176</v>
      </c>
      <c r="E497" s="31">
        <v>0</v>
      </c>
      <c r="F497" s="31">
        <v>80000</v>
      </c>
      <c r="G497" s="31">
        <v>0</v>
      </c>
      <c r="H497" s="31">
        <v>0</v>
      </c>
      <c r="I497" s="31" t="s">
        <v>83</v>
      </c>
      <c r="J497" s="5" t="s">
        <v>299</v>
      </c>
      <c r="K497" s="8"/>
    </row>
    <row r="498" spans="1:11" x14ac:dyDescent="0.2">
      <c r="A498" s="8">
        <v>497</v>
      </c>
      <c r="B498" s="8">
        <f t="shared" si="16"/>
        <v>2020</v>
      </c>
      <c r="C498" s="8">
        <f t="shared" si="17"/>
        <v>12</v>
      </c>
      <c r="D498" s="85">
        <v>44175</v>
      </c>
      <c r="E498" s="31">
        <v>0</v>
      </c>
      <c r="F498" s="31">
        <v>25000</v>
      </c>
      <c r="G498" s="31">
        <v>0</v>
      </c>
      <c r="H498" s="31">
        <v>0</v>
      </c>
      <c r="I498" s="31" t="s">
        <v>88</v>
      </c>
      <c r="J498" s="5" t="s">
        <v>502</v>
      </c>
      <c r="K498" s="8"/>
    </row>
    <row r="499" spans="1:11" x14ac:dyDescent="0.2">
      <c r="A499" s="8">
        <v>498</v>
      </c>
      <c r="B499" s="8">
        <f t="shared" si="16"/>
        <v>2020</v>
      </c>
      <c r="C499" s="8">
        <f t="shared" si="17"/>
        <v>12</v>
      </c>
      <c r="D499" s="90">
        <v>44176</v>
      </c>
      <c r="E499" s="91">
        <v>0</v>
      </c>
      <c r="F499" s="91">
        <v>250000</v>
      </c>
      <c r="G499" s="91">
        <v>0</v>
      </c>
      <c r="H499" s="91">
        <v>0</v>
      </c>
      <c r="I499" s="91" t="s">
        <v>364</v>
      </c>
      <c r="J499" s="89" t="s">
        <v>503</v>
      </c>
      <c r="K499" s="96"/>
    </row>
    <row r="500" spans="1:11" x14ac:dyDescent="0.2">
      <c r="A500" s="8">
        <v>499</v>
      </c>
      <c r="B500" s="8">
        <f t="shared" si="16"/>
        <v>2020</v>
      </c>
      <c r="C500" s="8">
        <f t="shared" si="17"/>
        <v>12</v>
      </c>
      <c r="D500" s="85">
        <v>44177</v>
      </c>
      <c r="E500" s="31">
        <v>0</v>
      </c>
      <c r="F500" s="31">
        <v>20000</v>
      </c>
      <c r="G500" s="31">
        <v>0</v>
      </c>
      <c r="H500" s="31">
        <v>0</v>
      </c>
      <c r="I500" s="31" t="s">
        <v>364</v>
      </c>
      <c r="J500" s="5" t="s">
        <v>504</v>
      </c>
      <c r="K500" s="8"/>
    </row>
    <row r="501" spans="1:11" x14ac:dyDescent="0.2">
      <c r="A501" s="8">
        <v>500</v>
      </c>
      <c r="B501" s="8">
        <f t="shared" si="16"/>
        <v>2020</v>
      </c>
      <c r="C501" s="8">
        <f t="shared" si="17"/>
        <v>12</v>
      </c>
      <c r="D501" s="85">
        <v>44177</v>
      </c>
      <c r="E501" s="31">
        <v>0</v>
      </c>
      <c r="F501" s="31">
        <v>18000</v>
      </c>
      <c r="G501" s="31">
        <v>0</v>
      </c>
      <c r="H501" s="31">
        <v>0</v>
      </c>
      <c r="I501" s="31" t="s">
        <v>364</v>
      </c>
      <c r="J501" s="5" t="s">
        <v>505</v>
      </c>
      <c r="K501" s="8"/>
    </row>
    <row r="502" spans="1:11" x14ac:dyDescent="0.2">
      <c r="A502" s="8">
        <v>501</v>
      </c>
      <c r="B502" s="8">
        <f t="shared" si="16"/>
        <v>2020</v>
      </c>
      <c r="C502" s="8">
        <f t="shared" si="17"/>
        <v>12</v>
      </c>
      <c r="D502" s="85">
        <v>44177</v>
      </c>
      <c r="E502" s="31">
        <v>0</v>
      </c>
      <c r="F502" s="31">
        <v>8500</v>
      </c>
      <c r="G502" s="31">
        <v>0</v>
      </c>
      <c r="H502" s="31">
        <v>0</v>
      </c>
      <c r="I502" s="31" t="s">
        <v>364</v>
      </c>
      <c r="J502" s="5" t="s">
        <v>506</v>
      </c>
      <c r="K502" s="8"/>
    </row>
    <row r="503" spans="1:11" x14ac:dyDescent="0.2">
      <c r="A503" s="8">
        <v>502</v>
      </c>
      <c r="B503" s="8">
        <f t="shared" si="16"/>
        <v>2020</v>
      </c>
      <c r="C503" s="8">
        <f t="shared" si="17"/>
        <v>12</v>
      </c>
      <c r="D503" s="85">
        <v>44177</v>
      </c>
      <c r="E503" s="31">
        <v>0</v>
      </c>
      <c r="F503" s="31">
        <v>11000</v>
      </c>
      <c r="G503" s="31">
        <v>0</v>
      </c>
      <c r="H503" s="31">
        <v>0</v>
      </c>
      <c r="I503" s="31" t="s">
        <v>364</v>
      </c>
      <c r="J503" s="5" t="s">
        <v>507</v>
      </c>
      <c r="K503" s="8"/>
    </row>
    <row r="504" spans="1:11" x14ac:dyDescent="0.2">
      <c r="A504" s="8">
        <v>503</v>
      </c>
      <c r="B504" s="8">
        <f t="shared" si="16"/>
        <v>2020</v>
      </c>
      <c r="C504" s="8">
        <f t="shared" si="17"/>
        <v>12</v>
      </c>
      <c r="D504" s="85">
        <v>44178</v>
      </c>
      <c r="E504" s="31">
        <v>0</v>
      </c>
      <c r="F504" s="31">
        <v>12000</v>
      </c>
      <c r="G504" s="31">
        <v>0</v>
      </c>
      <c r="H504" s="31">
        <v>0</v>
      </c>
      <c r="I504" s="31" t="s">
        <v>364</v>
      </c>
      <c r="J504" s="5" t="s">
        <v>120</v>
      </c>
      <c r="K504" s="8"/>
    </row>
    <row r="505" spans="1:11" x14ac:dyDescent="0.2">
      <c r="A505" s="8">
        <v>504</v>
      </c>
      <c r="B505" s="8">
        <f t="shared" si="16"/>
        <v>2020</v>
      </c>
      <c r="C505" s="8">
        <f t="shared" si="17"/>
        <v>12</v>
      </c>
      <c r="D505" s="85">
        <v>44178</v>
      </c>
      <c r="E505" s="31">
        <v>0</v>
      </c>
      <c r="F505" s="31">
        <v>50000</v>
      </c>
      <c r="G505" s="31">
        <v>0</v>
      </c>
      <c r="H505" s="31">
        <v>0</v>
      </c>
      <c r="I505" s="31" t="s">
        <v>364</v>
      </c>
      <c r="J505" s="5" t="s">
        <v>508</v>
      </c>
      <c r="K505" s="8"/>
    </row>
    <row r="506" spans="1:11" x14ac:dyDescent="0.2">
      <c r="A506" s="8">
        <v>505</v>
      </c>
      <c r="B506" s="8">
        <f t="shared" si="16"/>
        <v>2020</v>
      </c>
      <c r="C506" s="8">
        <f t="shared" si="17"/>
        <v>12</v>
      </c>
      <c r="D506" s="85">
        <v>44178</v>
      </c>
      <c r="E506" s="31">
        <v>0</v>
      </c>
      <c r="F506" s="31">
        <v>50000</v>
      </c>
      <c r="G506" s="31">
        <v>0</v>
      </c>
      <c r="H506" s="31">
        <v>0</v>
      </c>
      <c r="I506" s="31" t="s">
        <v>364</v>
      </c>
      <c r="J506" s="5" t="s">
        <v>509</v>
      </c>
      <c r="K506" s="8"/>
    </row>
    <row r="507" spans="1:11" x14ac:dyDescent="0.2">
      <c r="A507" s="8">
        <v>506</v>
      </c>
      <c r="B507" s="8">
        <f t="shared" si="16"/>
        <v>2020</v>
      </c>
      <c r="C507" s="8">
        <f t="shared" si="17"/>
        <v>12</v>
      </c>
      <c r="D507" s="85">
        <v>44178</v>
      </c>
      <c r="E507" s="31">
        <v>0</v>
      </c>
      <c r="F507" s="31">
        <v>15000</v>
      </c>
      <c r="G507" s="31">
        <v>0</v>
      </c>
      <c r="H507" s="31">
        <v>0</v>
      </c>
      <c r="I507" s="31" t="s">
        <v>364</v>
      </c>
      <c r="J507" s="5" t="s">
        <v>89</v>
      </c>
      <c r="K507" s="8"/>
    </row>
    <row r="508" spans="1:11" x14ac:dyDescent="0.2">
      <c r="A508" s="8">
        <v>507</v>
      </c>
      <c r="B508" s="8">
        <f t="shared" si="16"/>
        <v>2020</v>
      </c>
      <c r="C508" s="8">
        <f t="shared" si="17"/>
        <v>12</v>
      </c>
      <c r="D508" s="85">
        <v>44178</v>
      </c>
      <c r="E508" s="31">
        <v>0</v>
      </c>
      <c r="F508" s="31">
        <v>10000</v>
      </c>
      <c r="G508" s="31">
        <v>0</v>
      </c>
      <c r="H508" s="31">
        <v>0</v>
      </c>
      <c r="I508" s="31" t="s">
        <v>364</v>
      </c>
      <c r="J508" s="5" t="s">
        <v>510</v>
      </c>
      <c r="K508" s="8"/>
    </row>
    <row r="509" spans="1:11" x14ac:dyDescent="0.2">
      <c r="A509" s="8">
        <v>508</v>
      </c>
      <c r="B509" s="8">
        <f t="shared" si="16"/>
        <v>2020</v>
      </c>
      <c r="C509" s="8">
        <f t="shared" si="17"/>
        <v>12</v>
      </c>
      <c r="D509" s="85">
        <v>44179</v>
      </c>
      <c r="E509" s="31">
        <v>0</v>
      </c>
      <c r="F509" s="31">
        <v>0</v>
      </c>
      <c r="G509" s="31">
        <v>0</v>
      </c>
      <c r="H509" s="31">
        <v>0</v>
      </c>
      <c r="I509" s="31"/>
      <c r="J509" s="5"/>
      <c r="K509" s="8"/>
    </row>
    <row r="510" spans="1:11" x14ac:dyDescent="0.2">
      <c r="A510" s="8">
        <v>509</v>
      </c>
      <c r="B510" s="8">
        <f t="shared" si="16"/>
        <v>2020</v>
      </c>
      <c r="C510" s="8">
        <f t="shared" si="17"/>
        <v>12</v>
      </c>
      <c r="D510" s="85">
        <v>44180</v>
      </c>
      <c r="E510" s="31">
        <v>0</v>
      </c>
      <c r="F510" s="31">
        <v>800000</v>
      </c>
      <c r="G510" s="31">
        <v>0</v>
      </c>
      <c r="H510" s="31">
        <v>0</v>
      </c>
      <c r="I510" s="31" t="s">
        <v>140</v>
      </c>
      <c r="J510" s="5" t="s">
        <v>511</v>
      </c>
      <c r="K510" s="8"/>
    </row>
    <row r="511" spans="1:11" x14ac:dyDescent="0.2">
      <c r="A511" s="8">
        <v>510</v>
      </c>
      <c r="B511" s="8">
        <f t="shared" si="16"/>
        <v>2020</v>
      </c>
      <c r="C511" s="8">
        <f t="shared" si="17"/>
        <v>12</v>
      </c>
      <c r="D511" s="85">
        <v>44180</v>
      </c>
      <c r="E511" s="31">
        <v>0</v>
      </c>
      <c r="F511" s="31">
        <v>250000</v>
      </c>
      <c r="G511" s="31">
        <v>0</v>
      </c>
      <c r="H511" s="31">
        <v>0</v>
      </c>
      <c r="I511" s="31" t="s">
        <v>88</v>
      </c>
      <c r="J511" s="5" t="s">
        <v>512</v>
      </c>
      <c r="K511" s="8"/>
    </row>
    <row r="512" spans="1:11" x14ac:dyDescent="0.2">
      <c r="A512" s="8">
        <v>511</v>
      </c>
      <c r="B512" s="8">
        <f t="shared" si="16"/>
        <v>2020</v>
      </c>
      <c r="C512" s="8">
        <f t="shared" si="17"/>
        <v>12</v>
      </c>
      <c r="D512" s="85">
        <v>44180</v>
      </c>
      <c r="E512" s="31">
        <v>0</v>
      </c>
      <c r="F512" s="31">
        <v>200000</v>
      </c>
      <c r="G512" s="31">
        <v>0</v>
      </c>
      <c r="H512" s="31">
        <v>0</v>
      </c>
      <c r="I512" s="31" t="s">
        <v>140</v>
      </c>
      <c r="J512" s="5" t="s">
        <v>513</v>
      </c>
      <c r="K512" s="8"/>
    </row>
    <row r="513" spans="1:11" x14ac:dyDescent="0.2">
      <c r="A513" s="8">
        <v>512</v>
      </c>
      <c r="B513" s="8">
        <f t="shared" si="16"/>
        <v>2020</v>
      </c>
      <c r="C513" s="8">
        <f t="shared" si="17"/>
        <v>12</v>
      </c>
      <c r="D513" s="85">
        <v>44180</v>
      </c>
      <c r="E513" s="31">
        <v>0</v>
      </c>
      <c r="F513" s="31">
        <v>450000</v>
      </c>
      <c r="G513" s="31">
        <v>0</v>
      </c>
      <c r="H513" s="31">
        <v>0</v>
      </c>
      <c r="I513" s="31" t="s">
        <v>364</v>
      </c>
      <c r="J513" s="5" t="s">
        <v>514</v>
      </c>
      <c r="K513" s="8"/>
    </row>
    <row r="514" spans="1:11" x14ac:dyDescent="0.2">
      <c r="A514" s="8">
        <v>513</v>
      </c>
      <c r="B514" s="8">
        <f t="shared" si="16"/>
        <v>2020</v>
      </c>
      <c r="C514" s="8">
        <f t="shared" si="17"/>
        <v>12</v>
      </c>
      <c r="D514" s="85">
        <v>44180</v>
      </c>
      <c r="E514" s="31">
        <v>0</v>
      </c>
      <c r="F514" s="31">
        <v>77000</v>
      </c>
      <c r="G514" s="31">
        <v>0</v>
      </c>
      <c r="H514" s="31">
        <v>0</v>
      </c>
      <c r="I514" s="31" t="s">
        <v>364</v>
      </c>
      <c r="J514" s="5" t="s">
        <v>117</v>
      </c>
      <c r="K514" s="8"/>
    </row>
    <row r="515" spans="1:11" x14ac:dyDescent="0.2">
      <c r="A515" s="8">
        <v>514</v>
      </c>
      <c r="B515" s="8">
        <f t="shared" si="16"/>
        <v>2020</v>
      </c>
      <c r="C515" s="8">
        <f t="shared" si="17"/>
        <v>12</v>
      </c>
      <c r="D515" s="85">
        <v>44180</v>
      </c>
      <c r="E515" s="31">
        <v>0</v>
      </c>
      <c r="F515" s="31">
        <v>0</v>
      </c>
      <c r="G515" s="31">
        <v>0</v>
      </c>
      <c r="H515" s="31">
        <v>550000</v>
      </c>
      <c r="I515" s="31" t="s">
        <v>364</v>
      </c>
      <c r="J515" s="5" t="s">
        <v>515</v>
      </c>
      <c r="K515" s="8"/>
    </row>
    <row r="516" spans="1:11" x14ac:dyDescent="0.2">
      <c r="A516" s="8">
        <v>515</v>
      </c>
      <c r="B516" s="8">
        <f t="shared" si="16"/>
        <v>2020</v>
      </c>
      <c r="C516" s="8">
        <f t="shared" si="17"/>
        <v>12</v>
      </c>
      <c r="D516" s="85">
        <v>44180</v>
      </c>
      <c r="E516" s="31">
        <v>0</v>
      </c>
      <c r="F516" s="31">
        <v>360000</v>
      </c>
      <c r="G516" s="31">
        <v>0</v>
      </c>
      <c r="H516" s="31">
        <v>0</v>
      </c>
      <c r="I516" s="31" t="s">
        <v>85</v>
      </c>
      <c r="J516" s="5" t="s">
        <v>516</v>
      </c>
      <c r="K516" s="8"/>
    </row>
    <row r="517" spans="1:11" x14ac:dyDescent="0.2">
      <c r="A517" s="8">
        <v>516</v>
      </c>
      <c r="B517" s="8">
        <f t="shared" si="16"/>
        <v>2020</v>
      </c>
      <c r="C517" s="8">
        <f t="shared" si="17"/>
        <v>12</v>
      </c>
      <c r="D517" s="85">
        <v>44180</v>
      </c>
      <c r="E517" s="31">
        <v>0</v>
      </c>
      <c r="F517" s="31">
        <v>0</v>
      </c>
      <c r="G517" s="31">
        <v>0</v>
      </c>
      <c r="H517" s="31">
        <v>150000</v>
      </c>
      <c r="I517" s="31" t="s">
        <v>74</v>
      </c>
      <c r="J517" s="5" t="s">
        <v>517</v>
      </c>
      <c r="K517" s="8"/>
    </row>
    <row r="518" spans="1:11" x14ac:dyDescent="0.2">
      <c r="A518" s="8">
        <v>517</v>
      </c>
      <c r="B518" s="8">
        <f t="shared" ref="B518:B581" si="18">YEAR(D518)</f>
        <v>2020</v>
      </c>
      <c r="C518" s="8">
        <f t="shared" ref="C518:C581" si="19">MONTH(D518)</f>
        <v>12</v>
      </c>
      <c r="D518" s="85">
        <v>44180</v>
      </c>
      <c r="E518" s="31">
        <v>15000</v>
      </c>
      <c r="F518" s="31">
        <v>0</v>
      </c>
      <c r="G518" s="31">
        <v>0</v>
      </c>
      <c r="H518" s="31">
        <v>0</v>
      </c>
      <c r="I518" s="31" t="s">
        <v>109</v>
      </c>
      <c r="J518" s="5" t="s">
        <v>518</v>
      </c>
      <c r="K518" s="8"/>
    </row>
    <row r="519" spans="1:11" x14ac:dyDescent="0.2">
      <c r="A519" s="8">
        <v>518</v>
      </c>
      <c r="B519" s="8">
        <f t="shared" si="18"/>
        <v>2020</v>
      </c>
      <c r="C519" s="8">
        <f t="shared" si="19"/>
        <v>12</v>
      </c>
      <c r="D519" s="90">
        <v>44176</v>
      </c>
      <c r="E519" s="91">
        <v>0</v>
      </c>
      <c r="F519" s="91">
        <v>165000</v>
      </c>
      <c r="G519" s="91">
        <v>0</v>
      </c>
      <c r="H519" s="91">
        <v>0</v>
      </c>
      <c r="I519" s="91" t="s">
        <v>364</v>
      </c>
      <c r="J519" s="89" t="s">
        <v>503</v>
      </c>
      <c r="K519" s="96"/>
    </row>
    <row r="520" spans="1:11" x14ac:dyDescent="0.2">
      <c r="A520" s="8">
        <v>519</v>
      </c>
      <c r="B520" s="8">
        <f t="shared" si="18"/>
        <v>2020</v>
      </c>
      <c r="C520" s="8">
        <f t="shared" si="19"/>
        <v>12</v>
      </c>
      <c r="D520" s="85">
        <v>44176</v>
      </c>
      <c r="E520" s="31">
        <v>105000</v>
      </c>
      <c r="F520" s="31">
        <v>85000</v>
      </c>
      <c r="G520" s="31">
        <v>0</v>
      </c>
      <c r="H520" s="31">
        <v>0</v>
      </c>
      <c r="I520" s="31" t="s">
        <v>85</v>
      </c>
      <c r="J520" s="5" t="s">
        <v>519</v>
      </c>
      <c r="K520" s="8"/>
    </row>
    <row r="521" spans="1:11" x14ac:dyDescent="0.2">
      <c r="A521" s="8">
        <v>520</v>
      </c>
      <c r="B521" s="8">
        <f t="shared" si="18"/>
        <v>2020</v>
      </c>
      <c r="C521" s="8">
        <f t="shared" si="19"/>
        <v>12</v>
      </c>
      <c r="D521" s="85">
        <v>44182</v>
      </c>
      <c r="E521" s="31">
        <v>0</v>
      </c>
      <c r="F521" s="31">
        <v>800000</v>
      </c>
      <c r="G521" s="31">
        <v>0</v>
      </c>
      <c r="H521" s="31">
        <v>0</v>
      </c>
      <c r="I521" s="31" t="s">
        <v>287</v>
      </c>
      <c r="J521" s="5" t="s">
        <v>520</v>
      </c>
      <c r="K521" s="8"/>
    </row>
    <row r="522" spans="1:11" x14ac:dyDescent="0.2">
      <c r="A522" s="8">
        <v>521</v>
      </c>
      <c r="B522" s="8">
        <f t="shared" si="18"/>
        <v>2020</v>
      </c>
      <c r="C522" s="8">
        <f t="shared" si="19"/>
        <v>12</v>
      </c>
      <c r="D522" s="85">
        <v>44182</v>
      </c>
      <c r="E522" s="31">
        <v>0</v>
      </c>
      <c r="F522" s="31">
        <v>80000</v>
      </c>
      <c r="G522" s="31">
        <v>0</v>
      </c>
      <c r="H522" s="31">
        <v>0</v>
      </c>
      <c r="I522" s="31" t="s">
        <v>83</v>
      </c>
      <c r="J522" s="5" t="s">
        <v>521</v>
      </c>
      <c r="K522" s="8"/>
    </row>
    <row r="523" spans="1:11" x14ac:dyDescent="0.2">
      <c r="A523" s="8">
        <v>522</v>
      </c>
      <c r="B523" s="8">
        <f t="shared" si="18"/>
        <v>2020</v>
      </c>
      <c r="C523" s="8">
        <f t="shared" si="19"/>
        <v>12</v>
      </c>
      <c r="D523" s="85">
        <v>44182</v>
      </c>
      <c r="E523" s="31">
        <v>0</v>
      </c>
      <c r="F523" s="31">
        <v>80000</v>
      </c>
      <c r="G523" s="31">
        <v>0</v>
      </c>
      <c r="H523" s="31">
        <v>0</v>
      </c>
      <c r="I523" s="31" t="s">
        <v>85</v>
      </c>
      <c r="J523" s="5" t="s">
        <v>522</v>
      </c>
      <c r="K523" s="8"/>
    </row>
    <row r="524" spans="1:11" x14ac:dyDescent="0.2">
      <c r="A524" s="8">
        <v>523</v>
      </c>
      <c r="B524" s="8">
        <f t="shared" si="18"/>
        <v>2020</v>
      </c>
      <c r="C524" s="8">
        <f t="shared" si="19"/>
        <v>12</v>
      </c>
      <c r="D524" s="85">
        <v>44183</v>
      </c>
      <c r="E524" s="31">
        <v>435000</v>
      </c>
      <c r="F524" s="31">
        <v>0</v>
      </c>
      <c r="G524" s="31">
        <v>0</v>
      </c>
      <c r="H524" s="31">
        <v>188000</v>
      </c>
      <c r="I524" s="31" t="s">
        <v>109</v>
      </c>
      <c r="J524" s="5" t="s">
        <v>523</v>
      </c>
      <c r="K524" s="8"/>
    </row>
    <row r="525" spans="1:11" x14ac:dyDescent="0.2">
      <c r="A525" s="8">
        <v>524</v>
      </c>
      <c r="B525" s="8">
        <f t="shared" si="18"/>
        <v>2020</v>
      </c>
      <c r="C525" s="8">
        <f t="shared" si="19"/>
        <v>12</v>
      </c>
      <c r="D525" s="85">
        <v>44183</v>
      </c>
      <c r="E525" s="31">
        <v>330000</v>
      </c>
      <c r="F525" s="31">
        <v>0</v>
      </c>
      <c r="G525" s="31">
        <v>0</v>
      </c>
      <c r="H525" s="31">
        <v>0</v>
      </c>
      <c r="I525" s="31" t="s">
        <v>109</v>
      </c>
      <c r="J525" s="5" t="s">
        <v>524</v>
      </c>
      <c r="K525" s="8"/>
    </row>
    <row r="526" spans="1:11" x14ac:dyDescent="0.2">
      <c r="A526" s="8">
        <v>525</v>
      </c>
      <c r="B526" s="8">
        <f t="shared" si="18"/>
        <v>2020</v>
      </c>
      <c r="C526" s="8">
        <f t="shared" si="19"/>
        <v>12</v>
      </c>
      <c r="D526" s="85">
        <v>44183</v>
      </c>
      <c r="E526" s="31">
        <v>20000</v>
      </c>
      <c r="F526" s="31">
        <v>0</v>
      </c>
      <c r="G526" s="31">
        <v>0</v>
      </c>
      <c r="H526" s="31">
        <v>0</v>
      </c>
      <c r="I526" s="31" t="s">
        <v>109</v>
      </c>
      <c r="J526" s="5" t="s">
        <v>525</v>
      </c>
      <c r="K526" s="8"/>
    </row>
    <row r="527" spans="1:11" x14ac:dyDescent="0.2">
      <c r="A527" s="8">
        <v>526</v>
      </c>
      <c r="B527" s="8">
        <f t="shared" si="18"/>
        <v>2020</v>
      </c>
      <c r="C527" s="8">
        <f t="shared" si="19"/>
        <v>12</v>
      </c>
      <c r="D527" s="85">
        <v>44184</v>
      </c>
      <c r="E527" s="31">
        <v>0</v>
      </c>
      <c r="F527" s="31">
        <v>55000</v>
      </c>
      <c r="G527" s="31">
        <v>0</v>
      </c>
      <c r="H527" s="31">
        <v>0</v>
      </c>
      <c r="I527" s="31" t="s">
        <v>85</v>
      </c>
      <c r="J527" s="5" t="s">
        <v>526</v>
      </c>
      <c r="K527" s="8"/>
    </row>
    <row r="528" spans="1:11" x14ac:dyDescent="0.2">
      <c r="A528" s="8">
        <v>527</v>
      </c>
      <c r="B528" s="8">
        <f t="shared" si="18"/>
        <v>2020</v>
      </c>
      <c r="C528" s="8">
        <f t="shared" si="19"/>
        <v>12</v>
      </c>
      <c r="D528" s="85">
        <v>44184</v>
      </c>
      <c r="E528" s="31">
        <v>0</v>
      </c>
      <c r="F528" s="31">
        <v>40000</v>
      </c>
      <c r="G528" s="31">
        <v>0</v>
      </c>
      <c r="H528" s="31">
        <v>0</v>
      </c>
      <c r="I528" s="31" t="s">
        <v>85</v>
      </c>
      <c r="J528" s="5" t="s">
        <v>527</v>
      </c>
      <c r="K528" s="8"/>
    </row>
    <row r="529" spans="1:11" x14ac:dyDescent="0.2">
      <c r="A529" s="8">
        <v>528</v>
      </c>
      <c r="B529" s="8">
        <f t="shared" si="18"/>
        <v>2020</v>
      </c>
      <c r="C529" s="8">
        <f t="shared" si="19"/>
        <v>12</v>
      </c>
      <c r="D529" s="85">
        <v>44185</v>
      </c>
      <c r="E529" s="31">
        <v>0</v>
      </c>
      <c r="F529" s="31">
        <v>600000</v>
      </c>
      <c r="G529" s="31">
        <v>0</v>
      </c>
      <c r="H529" s="31">
        <v>0</v>
      </c>
      <c r="I529" s="31" t="s">
        <v>201</v>
      </c>
      <c r="J529" s="5" t="s">
        <v>201</v>
      </c>
      <c r="K529" s="8"/>
    </row>
    <row r="530" spans="1:11" x14ac:dyDescent="0.2">
      <c r="A530" s="8">
        <v>529</v>
      </c>
      <c r="B530" s="8">
        <f t="shared" si="18"/>
        <v>2020</v>
      </c>
      <c r="C530" s="8">
        <f t="shared" si="19"/>
        <v>12</v>
      </c>
      <c r="D530" s="85">
        <v>44185</v>
      </c>
      <c r="E530" s="31">
        <v>0</v>
      </c>
      <c r="F530" s="31">
        <v>24000</v>
      </c>
      <c r="G530" s="31">
        <v>0</v>
      </c>
      <c r="H530" s="31">
        <v>0</v>
      </c>
      <c r="I530" s="31" t="s">
        <v>88</v>
      </c>
      <c r="J530" s="5" t="s">
        <v>528</v>
      </c>
      <c r="K530" s="8"/>
    </row>
    <row r="531" spans="1:11" x14ac:dyDescent="0.2">
      <c r="A531" s="8">
        <v>530</v>
      </c>
      <c r="B531" s="8">
        <f t="shared" si="18"/>
        <v>2020</v>
      </c>
      <c r="C531" s="8">
        <f t="shared" si="19"/>
        <v>12</v>
      </c>
      <c r="D531" s="85">
        <v>44185</v>
      </c>
      <c r="E531" s="31">
        <v>0</v>
      </c>
      <c r="F531" s="31">
        <v>6000</v>
      </c>
      <c r="G531" s="31">
        <v>0</v>
      </c>
      <c r="H531" s="31">
        <v>0</v>
      </c>
      <c r="I531" s="31" t="s">
        <v>88</v>
      </c>
      <c r="J531" s="5" t="s">
        <v>529</v>
      </c>
      <c r="K531" s="8"/>
    </row>
    <row r="532" spans="1:11" x14ac:dyDescent="0.2">
      <c r="A532" s="8">
        <v>531</v>
      </c>
      <c r="B532" s="8">
        <f t="shared" si="18"/>
        <v>2020</v>
      </c>
      <c r="C532" s="8">
        <f t="shared" si="19"/>
        <v>12</v>
      </c>
      <c r="D532" s="85">
        <v>44186</v>
      </c>
      <c r="E532" s="31">
        <v>0</v>
      </c>
      <c r="F532" s="31">
        <v>18000</v>
      </c>
      <c r="G532" s="31">
        <v>0</v>
      </c>
      <c r="H532" s="31">
        <v>0</v>
      </c>
      <c r="I532" s="31" t="s">
        <v>88</v>
      </c>
      <c r="J532" s="5" t="s">
        <v>530</v>
      </c>
      <c r="K532" s="8"/>
    </row>
    <row r="533" spans="1:11" x14ac:dyDescent="0.2">
      <c r="A533" s="8">
        <v>532</v>
      </c>
      <c r="B533" s="8">
        <f t="shared" si="18"/>
        <v>2020</v>
      </c>
      <c r="C533" s="8">
        <f t="shared" si="19"/>
        <v>12</v>
      </c>
      <c r="D533" s="85">
        <v>44188</v>
      </c>
      <c r="E533" s="31">
        <v>2466000</v>
      </c>
      <c r="F533" s="31">
        <v>0</v>
      </c>
      <c r="G533" s="31">
        <v>0</v>
      </c>
      <c r="H533" s="31">
        <v>0</v>
      </c>
      <c r="I533" s="31" t="s">
        <v>109</v>
      </c>
      <c r="J533" s="5" t="s">
        <v>531</v>
      </c>
      <c r="K533" s="8"/>
    </row>
    <row r="534" spans="1:11" x14ac:dyDescent="0.2">
      <c r="A534" s="8">
        <v>533</v>
      </c>
      <c r="B534" s="8">
        <f t="shared" si="18"/>
        <v>2020</v>
      </c>
      <c r="C534" s="8">
        <f t="shared" si="19"/>
        <v>12</v>
      </c>
      <c r="D534" s="85">
        <v>44183</v>
      </c>
      <c r="E534" s="31">
        <v>220000</v>
      </c>
      <c r="F534" s="31">
        <v>0</v>
      </c>
      <c r="G534" s="31">
        <v>0</v>
      </c>
      <c r="H534" s="31">
        <v>0</v>
      </c>
      <c r="I534" s="31" t="s">
        <v>109</v>
      </c>
      <c r="J534" s="5" t="s">
        <v>532</v>
      </c>
      <c r="K534" s="8"/>
    </row>
    <row r="535" spans="1:11" x14ac:dyDescent="0.2">
      <c r="A535" s="8">
        <v>534</v>
      </c>
      <c r="B535" s="8">
        <f t="shared" si="18"/>
        <v>2020</v>
      </c>
      <c r="C535" s="8">
        <f t="shared" si="19"/>
        <v>12</v>
      </c>
      <c r="D535" s="85">
        <v>44189</v>
      </c>
      <c r="E535" s="31">
        <v>0</v>
      </c>
      <c r="F535" s="31">
        <v>300000</v>
      </c>
      <c r="G535" s="31">
        <v>0</v>
      </c>
      <c r="H535" s="31">
        <v>0</v>
      </c>
      <c r="I535" s="31" t="s">
        <v>92</v>
      </c>
      <c r="J535" s="5" t="s">
        <v>342</v>
      </c>
      <c r="K535" s="8"/>
    </row>
    <row r="536" spans="1:11" x14ac:dyDescent="0.2">
      <c r="A536" s="8">
        <v>535</v>
      </c>
      <c r="B536" s="8">
        <f t="shared" si="18"/>
        <v>2020</v>
      </c>
      <c r="C536" s="8">
        <f t="shared" si="19"/>
        <v>12</v>
      </c>
      <c r="D536" s="85">
        <v>44189</v>
      </c>
      <c r="E536" s="31">
        <v>0</v>
      </c>
      <c r="F536" s="31">
        <v>150000</v>
      </c>
      <c r="G536" s="31">
        <v>0</v>
      </c>
      <c r="H536" s="31">
        <v>0</v>
      </c>
      <c r="I536" s="31" t="s">
        <v>85</v>
      </c>
      <c r="J536" s="5" t="s">
        <v>533</v>
      </c>
      <c r="K536" s="8"/>
    </row>
    <row r="537" spans="1:11" x14ac:dyDescent="0.2">
      <c r="A537" s="8">
        <v>536</v>
      </c>
      <c r="B537" s="8">
        <f t="shared" si="18"/>
        <v>2020</v>
      </c>
      <c r="C537" s="8">
        <f t="shared" si="19"/>
        <v>12</v>
      </c>
      <c r="D537" s="85">
        <v>44190</v>
      </c>
      <c r="E537" s="31">
        <v>0</v>
      </c>
      <c r="F537" s="31">
        <v>48000</v>
      </c>
      <c r="G537" s="31">
        <v>0</v>
      </c>
      <c r="H537" s="31">
        <v>0</v>
      </c>
      <c r="I537" s="31" t="s">
        <v>85</v>
      </c>
      <c r="J537" s="5" t="s">
        <v>534</v>
      </c>
      <c r="K537" s="8"/>
    </row>
    <row r="538" spans="1:11" x14ac:dyDescent="0.2">
      <c r="A538" s="8">
        <v>537</v>
      </c>
      <c r="B538" s="8">
        <f t="shared" si="18"/>
        <v>2020</v>
      </c>
      <c r="C538" s="8">
        <f t="shared" si="19"/>
        <v>12</v>
      </c>
      <c r="D538" s="85">
        <v>44190</v>
      </c>
      <c r="E538" s="31">
        <v>0</v>
      </c>
      <c r="F538" s="31">
        <v>76000</v>
      </c>
      <c r="G538" s="31">
        <v>0</v>
      </c>
      <c r="H538" s="31">
        <v>0</v>
      </c>
      <c r="I538" s="31" t="s">
        <v>85</v>
      </c>
      <c r="J538" s="5" t="s">
        <v>535</v>
      </c>
      <c r="K538" s="8"/>
    </row>
    <row r="539" spans="1:11" x14ac:dyDescent="0.2">
      <c r="A539" s="8">
        <v>538</v>
      </c>
      <c r="B539" s="8">
        <f t="shared" si="18"/>
        <v>2020</v>
      </c>
      <c r="C539" s="8">
        <f t="shared" si="19"/>
        <v>12</v>
      </c>
      <c r="D539" s="85">
        <v>44190</v>
      </c>
      <c r="E539" s="31">
        <v>0</v>
      </c>
      <c r="F539" s="31">
        <v>50000</v>
      </c>
      <c r="G539" s="31">
        <v>0</v>
      </c>
      <c r="H539" s="31">
        <v>0</v>
      </c>
      <c r="I539" s="31" t="s">
        <v>85</v>
      </c>
      <c r="J539" s="5" t="s">
        <v>536</v>
      </c>
      <c r="K539" s="8"/>
    </row>
    <row r="540" spans="1:11" x14ac:dyDescent="0.2">
      <c r="A540" s="8">
        <v>539</v>
      </c>
      <c r="B540" s="8">
        <f t="shared" si="18"/>
        <v>2020</v>
      </c>
      <c r="C540" s="8">
        <f t="shared" si="19"/>
        <v>12</v>
      </c>
      <c r="D540" s="85">
        <v>44190</v>
      </c>
      <c r="E540" s="31">
        <v>0</v>
      </c>
      <c r="F540" s="31">
        <v>25000</v>
      </c>
      <c r="G540" s="31">
        <v>0</v>
      </c>
      <c r="H540" s="31">
        <v>0</v>
      </c>
      <c r="I540" s="31" t="s">
        <v>85</v>
      </c>
      <c r="J540" s="5" t="s">
        <v>537</v>
      </c>
      <c r="K540" s="8"/>
    </row>
    <row r="541" spans="1:11" x14ac:dyDescent="0.2">
      <c r="A541" s="8">
        <v>540</v>
      </c>
      <c r="B541" s="8">
        <f t="shared" si="18"/>
        <v>2020</v>
      </c>
      <c r="C541" s="8">
        <f t="shared" si="19"/>
        <v>12</v>
      </c>
      <c r="D541" s="85">
        <v>44190</v>
      </c>
      <c r="E541" s="31">
        <v>0</v>
      </c>
      <c r="F541" s="31">
        <v>139000</v>
      </c>
      <c r="G541" s="31">
        <v>0</v>
      </c>
      <c r="H541" s="31">
        <v>0</v>
      </c>
      <c r="I541" s="31" t="s">
        <v>85</v>
      </c>
      <c r="J541" s="5" t="s">
        <v>538</v>
      </c>
      <c r="K541" s="8"/>
    </row>
    <row r="542" spans="1:11" x14ac:dyDescent="0.2">
      <c r="A542" s="8">
        <v>541</v>
      </c>
      <c r="B542" s="8">
        <f t="shared" si="18"/>
        <v>2020</v>
      </c>
      <c r="C542" s="8">
        <f t="shared" si="19"/>
        <v>12</v>
      </c>
      <c r="D542" s="85">
        <v>44190</v>
      </c>
      <c r="E542" s="31">
        <v>0</v>
      </c>
      <c r="F542" s="31">
        <v>76000</v>
      </c>
      <c r="G542" s="31">
        <v>0</v>
      </c>
      <c r="H542" s="31">
        <v>0</v>
      </c>
      <c r="I542" s="31" t="s">
        <v>85</v>
      </c>
      <c r="J542" s="5" t="s">
        <v>539</v>
      </c>
      <c r="K542" s="8"/>
    </row>
    <row r="543" spans="1:11" x14ac:dyDescent="0.2">
      <c r="A543" s="8">
        <v>542</v>
      </c>
      <c r="B543" s="8">
        <f t="shared" si="18"/>
        <v>2020</v>
      </c>
      <c r="C543" s="8">
        <f t="shared" si="19"/>
        <v>12</v>
      </c>
      <c r="D543" s="85">
        <v>44191</v>
      </c>
      <c r="E543" s="31">
        <v>0</v>
      </c>
      <c r="F543" s="31">
        <v>95000</v>
      </c>
      <c r="G543" s="31">
        <v>0</v>
      </c>
      <c r="H543" s="31">
        <v>0</v>
      </c>
      <c r="I543" s="31" t="s">
        <v>83</v>
      </c>
      <c r="J543" s="5" t="s">
        <v>540</v>
      </c>
      <c r="K543" s="8"/>
    </row>
    <row r="544" spans="1:11" x14ac:dyDescent="0.2">
      <c r="A544" s="8">
        <v>543</v>
      </c>
      <c r="B544" s="8">
        <f t="shared" si="18"/>
        <v>2020</v>
      </c>
      <c r="C544" s="8">
        <f t="shared" si="19"/>
        <v>12</v>
      </c>
      <c r="D544" s="85">
        <v>44191</v>
      </c>
      <c r="E544" s="31">
        <v>0</v>
      </c>
      <c r="F544" s="31">
        <v>120000</v>
      </c>
      <c r="G544" s="31">
        <v>0</v>
      </c>
      <c r="H544" s="31">
        <v>0</v>
      </c>
      <c r="I544" s="31" t="s">
        <v>85</v>
      </c>
      <c r="J544" s="5" t="s">
        <v>541</v>
      </c>
      <c r="K544" s="8"/>
    </row>
    <row r="545" spans="1:11" x14ac:dyDescent="0.2">
      <c r="A545" s="8">
        <v>544</v>
      </c>
      <c r="B545" s="8">
        <f t="shared" si="18"/>
        <v>2020</v>
      </c>
      <c r="C545" s="8">
        <f t="shared" si="19"/>
        <v>12</v>
      </c>
      <c r="D545" s="85">
        <v>44191</v>
      </c>
      <c r="E545" s="31">
        <v>0</v>
      </c>
      <c r="F545" s="31">
        <v>30000</v>
      </c>
      <c r="G545" s="31">
        <v>0</v>
      </c>
      <c r="H545" s="31">
        <v>0</v>
      </c>
      <c r="I545" s="31" t="s">
        <v>88</v>
      </c>
      <c r="J545" s="5" t="s">
        <v>542</v>
      </c>
      <c r="K545" s="8"/>
    </row>
    <row r="546" spans="1:11" x14ac:dyDescent="0.2">
      <c r="A546" s="8">
        <v>545</v>
      </c>
      <c r="B546" s="8">
        <f t="shared" si="18"/>
        <v>2020</v>
      </c>
      <c r="C546" s="8">
        <f t="shared" si="19"/>
        <v>12</v>
      </c>
      <c r="D546" s="85">
        <v>44191</v>
      </c>
      <c r="E546" s="31">
        <v>0</v>
      </c>
      <c r="F546" s="31">
        <v>100000</v>
      </c>
      <c r="G546" s="31">
        <v>0</v>
      </c>
      <c r="H546" s="31">
        <v>0</v>
      </c>
      <c r="I546" s="31" t="s">
        <v>85</v>
      </c>
      <c r="J546" s="5" t="s">
        <v>543</v>
      </c>
      <c r="K546" s="8"/>
    </row>
    <row r="547" spans="1:11" x14ac:dyDescent="0.2">
      <c r="A547" s="8">
        <v>546</v>
      </c>
      <c r="B547" s="8">
        <f t="shared" si="18"/>
        <v>2020</v>
      </c>
      <c r="C547" s="8">
        <f t="shared" si="19"/>
        <v>12</v>
      </c>
      <c r="D547" s="85">
        <v>44192</v>
      </c>
      <c r="E547" s="31">
        <v>0</v>
      </c>
      <c r="F547" s="31">
        <v>75000</v>
      </c>
      <c r="G547" s="31">
        <v>0</v>
      </c>
      <c r="H547" s="31">
        <v>0</v>
      </c>
      <c r="I547" s="31" t="s">
        <v>85</v>
      </c>
      <c r="J547" s="5" t="s">
        <v>544</v>
      </c>
      <c r="K547" s="8"/>
    </row>
    <row r="548" spans="1:11" x14ac:dyDescent="0.2">
      <c r="A548" s="8">
        <v>547</v>
      </c>
      <c r="B548" s="8">
        <f t="shared" si="18"/>
        <v>2020</v>
      </c>
      <c r="C548" s="8">
        <f t="shared" si="19"/>
        <v>12</v>
      </c>
      <c r="D548" s="85">
        <v>44193</v>
      </c>
      <c r="E548" s="31">
        <v>0</v>
      </c>
      <c r="F548" s="31">
        <v>20000</v>
      </c>
      <c r="G548" s="31">
        <v>0</v>
      </c>
      <c r="H548" s="31">
        <v>0</v>
      </c>
      <c r="I548" s="31" t="s">
        <v>88</v>
      </c>
      <c r="J548" s="5" t="s">
        <v>440</v>
      </c>
      <c r="K548" s="8"/>
    </row>
    <row r="549" spans="1:11" x14ac:dyDescent="0.2">
      <c r="A549" s="8">
        <v>548</v>
      </c>
      <c r="B549" s="8">
        <f t="shared" si="18"/>
        <v>2020</v>
      </c>
      <c r="C549" s="8">
        <f t="shared" si="19"/>
        <v>12</v>
      </c>
      <c r="D549" s="85">
        <v>44195</v>
      </c>
      <c r="E549" s="31">
        <v>0</v>
      </c>
      <c r="F549" s="31">
        <v>1500000</v>
      </c>
      <c r="G549" s="31">
        <v>0</v>
      </c>
      <c r="H549" s="31">
        <v>0</v>
      </c>
      <c r="I549" s="31" t="s">
        <v>92</v>
      </c>
      <c r="J549" s="5" t="s">
        <v>545</v>
      </c>
      <c r="K549" s="8"/>
    </row>
    <row r="550" spans="1:11" x14ac:dyDescent="0.2">
      <c r="A550" s="8">
        <v>549</v>
      </c>
      <c r="B550" s="8">
        <f t="shared" si="18"/>
        <v>2020</v>
      </c>
      <c r="C550" s="8">
        <f t="shared" si="19"/>
        <v>12</v>
      </c>
      <c r="D550" s="85">
        <v>44195</v>
      </c>
      <c r="E550" s="31">
        <v>0</v>
      </c>
      <c r="F550" s="31">
        <v>100000</v>
      </c>
      <c r="G550" s="31">
        <v>0</v>
      </c>
      <c r="H550" s="31">
        <v>0</v>
      </c>
      <c r="I550" s="31" t="s">
        <v>85</v>
      </c>
      <c r="J550" s="5" t="s">
        <v>546</v>
      </c>
      <c r="K550" s="8"/>
    </row>
    <row r="551" spans="1:11" x14ac:dyDescent="0.2">
      <c r="A551" s="8">
        <v>550</v>
      </c>
      <c r="B551" s="8">
        <f t="shared" si="18"/>
        <v>2020</v>
      </c>
      <c r="C551" s="8">
        <f t="shared" si="19"/>
        <v>12</v>
      </c>
      <c r="D551" s="85">
        <v>44195</v>
      </c>
      <c r="E551" s="31">
        <v>0</v>
      </c>
      <c r="F551" s="31">
        <v>58000</v>
      </c>
      <c r="G551" s="31">
        <v>0</v>
      </c>
      <c r="H551" s="31">
        <v>0</v>
      </c>
      <c r="I551" s="31" t="s">
        <v>85</v>
      </c>
      <c r="J551" s="5" t="s">
        <v>547</v>
      </c>
      <c r="K551" s="8"/>
    </row>
    <row r="552" spans="1:11" x14ac:dyDescent="0.2">
      <c r="A552" s="8">
        <v>551</v>
      </c>
      <c r="B552" s="8">
        <f t="shared" si="18"/>
        <v>2020</v>
      </c>
      <c r="C552" s="8">
        <f t="shared" si="19"/>
        <v>12</v>
      </c>
      <c r="D552" s="85">
        <v>44195</v>
      </c>
      <c r="E552" s="31">
        <v>0</v>
      </c>
      <c r="F552" s="31">
        <v>30000</v>
      </c>
      <c r="G552" s="31">
        <v>0</v>
      </c>
      <c r="H552" s="31">
        <v>0</v>
      </c>
      <c r="I552" s="31" t="s">
        <v>85</v>
      </c>
      <c r="J552" s="5" t="s">
        <v>548</v>
      </c>
      <c r="K552" s="8"/>
    </row>
    <row r="553" spans="1:11" x14ac:dyDescent="0.2">
      <c r="A553" s="8">
        <v>552</v>
      </c>
      <c r="B553" s="8">
        <f t="shared" si="18"/>
        <v>2020</v>
      </c>
      <c r="C553" s="8">
        <f t="shared" si="19"/>
        <v>12</v>
      </c>
      <c r="D553" s="93">
        <v>44195</v>
      </c>
      <c r="E553" s="35">
        <v>0</v>
      </c>
      <c r="F553" s="35">
        <v>576000</v>
      </c>
      <c r="G553" s="35">
        <v>0</v>
      </c>
      <c r="H553" s="35">
        <v>0</v>
      </c>
      <c r="I553" s="35" t="s">
        <v>549</v>
      </c>
      <c r="J553" s="36" t="s">
        <v>550</v>
      </c>
      <c r="K553" s="56"/>
    </row>
    <row r="554" spans="1:11" x14ac:dyDescent="0.2">
      <c r="A554" s="8">
        <v>553</v>
      </c>
      <c r="B554" s="8">
        <f t="shared" si="18"/>
        <v>2020</v>
      </c>
      <c r="C554" s="8">
        <f t="shared" si="19"/>
        <v>12</v>
      </c>
      <c r="D554" s="85">
        <v>44195</v>
      </c>
      <c r="E554" s="35">
        <v>2300000</v>
      </c>
      <c r="F554" s="35">
        <v>0</v>
      </c>
      <c r="G554" s="35">
        <v>0</v>
      </c>
      <c r="H554" s="35">
        <v>0</v>
      </c>
      <c r="I554" s="35" t="s">
        <v>551</v>
      </c>
      <c r="J554" s="36" t="s">
        <v>552</v>
      </c>
      <c r="K554" s="56"/>
    </row>
    <row r="555" spans="1:11" x14ac:dyDescent="0.2">
      <c r="A555" s="8">
        <v>554</v>
      </c>
      <c r="B555" s="8">
        <f t="shared" si="18"/>
        <v>2021</v>
      </c>
      <c r="C555" s="8">
        <f t="shared" si="19"/>
        <v>1</v>
      </c>
      <c r="D555" s="85">
        <v>44197</v>
      </c>
      <c r="E555" s="31">
        <v>0</v>
      </c>
      <c r="F555" s="31">
        <v>50000</v>
      </c>
      <c r="G555" s="31">
        <v>0</v>
      </c>
      <c r="H555" s="31">
        <v>0</v>
      </c>
      <c r="I555" s="31" t="s">
        <v>85</v>
      </c>
      <c r="J555" s="5" t="s">
        <v>553</v>
      </c>
      <c r="K555" s="8"/>
    </row>
    <row r="556" spans="1:11" x14ac:dyDescent="0.2">
      <c r="A556" s="8">
        <v>555</v>
      </c>
      <c r="B556" s="8">
        <f t="shared" si="18"/>
        <v>2021</v>
      </c>
      <c r="C556" s="8">
        <f t="shared" si="19"/>
        <v>1</v>
      </c>
      <c r="D556" s="85">
        <v>44197</v>
      </c>
      <c r="E556" s="31">
        <v>0</v>
      </c>
      <c r="F556" s="31">
        <v>30000</v>
      </c>
      <c r="G556" s="31">
        <v>0</v>
      </c>
      <c r="H556" s="31">
        <v>0</v>
      </c>
      <c r="I556" s="31" t="s">
        <v>85</v>
      </c>
      <c r="J556" s="5" t="s">
        <v>554</v>
      </c>
      <c r="K556" s="8"/>
    </row>
    <row r="557" spans="1:11" x14ac:dyDescent="0.2">
      <c r="A557" s="8">
        <v>556</v>
      </c>
      <c r="B557" s="8">
        <f t="shared" si="18"/>
        <v>2020</v>
      </c>
      <c r="C557" s="8">
        <f t="shared" si="19"/>
        <v>12</v>
      </c>
      <c r="D557" s="85">
        <v>44196</v>
      </c>
      <c r="E557" s="31">
        <v>0</v>
      </c>
      <c r="F557" s="31">
        <v>280000</v>
      </c>
      <c r="G557" s="31">
        <v>0</v>
      </c>
      <c r="H557" s="31">
        <v>0</v>
      </c>
      <c r="I557" s="31" t="s">
        <v>85</v>
      </c>
      <c r="J557" s="5" t="s">
        <v>555</v>
      </c>
      <c r="K557" s="8"/>
    </row>
    <row r="558" spans="1:11" x14ac:dyDescent="0.2">
      <c r="A558" s="8">
        <v>557</v>
      </c>
      <c r="B558" s="8">
        <f t="shared" si="18"/>
        <v>2021</v>
      </c>
      <c r="C558" s="8">
        <f t="shared" si="19"/>
        <v>1</v>
      </c>
      <c r="D558" s="85">
        <v>44200</v>
      </c>
      <c r="E558" s="31">
        <v>0</v>
      </c>
      <c r="F558" s="31">
        <v>11000</v>
      </c>
      <c r="G558" s="31">
        <v>0</v>
      </c>
      <c r="H558" s="31">
        <v>0</v>
      </c>
      <c r="I558" s="31" t="s">
        <v>85</v>
      </c>
      <c r="J558" s="5" t="s">
        <v>556</v>
      </c>
      <c r="K558" s="8"/>
    </row>
    <row r="559" spans="1:11" x14ac:dyDescent="0.2">
      <c r="A559" s="8">
        <v>558</v>
      </c>
      <c r="B559" s="8">
        <f t="shared" si="18"/>
        <v>2021</v>
      </c>
      <c r="C559" s="8">
        <f t="shared" si="19"/>
        <v>1</v>
      </c>
      <c r="D559" s="85">
        <v>44201</v>
      </c>
      <c r="E559" s="31">
        <v>0</v>
      </c>
      <c r="F559" s="31">
        <v>97000</v>
      </c>
      <c r="G559" s="31">
        <v>0</v>
      </c>
      <c r="H559" s="31">
        <v>0</v>
      </c>
      <c r="I559" s="31" t="s">
        <v>83</v>
      </c>
      <c r="J559" s="5" t="s">
        <v>83</v>
      </c>
      <c r="K559" s="8"/>
    </row>
    <row r="560" spans="1:11" x14ac:dyDescent="0.2">
      <c r="A560" s="8">
        <v>559</v>
      </c>
      <c r="B560" s="8">
        <f t="shared" si="18"/>
        <v>2021</v>
      </c>
      <c r="C560" s="8">
        <f t="shared" si="19"/>
        <v>1</v>
      </c>
      <c r="D560" s="85">
        <v>44201</v>
      </c>
      <c r="E560" s="31">
        <v>928000</v>
      </c>
      <c r="F560" s="31">
        <v>0</v>
      </c>
      <c r="G560" s="31">
        <v>0</v>
      </c>
      <c r="H560" s="31">
        <v>0</v>
      </c>
      <c r="I560" s="31" t="s">
        <v>109</v>
      </c>
      <c r="J560" s="5" t="s">
        <v>557</v>
      </c>
      <c r="K560" s="8"/>
    </row>
    <row r="561" spans="1:11" x14ac:dyDescent="0.2">
      <c r="A561" s="8">
        <v>560</v>
      </c>
      <c r="B561" s="8">
        <f t="shared" si="18"/>
        <v>2021</v>
      </c>
      <c r="C561" s="8">
        <f t="shared" si="19"/>
        <v>1</v>
      </c>
      <c r="D561" s="85">
        <v>44202</v>
      </c>
      <c r="E561" s="31">
        <v>2380000</v>
      </c>
      <c r="F561" s="31">
        <v>0</v>
      </c>
      <c r="G561" s="31">
        <v>0</v>
      </c>
      <c r="H561" s="31">
        <v>0</v>
      </c>
      <c r="I561" s="31" t="s">
        <v>109</v>
      </c>
      <c r="J561" s="5" t="s">
        <v>558</v>
      </c>
      <c r="K561" s="8"/>
    </row>
    <row r="562" spans="1:11" x14ac:dyDescent="0.2">
      <c r="A562" s="8">
        <v>561</v>
      </c>
      <c r="B562" s="8">
        <f t="shared" si="18"/>
        <v>2021</v>
      </c>
      <c r="C562" s="8">
        <f t="shared" si="19"/>
        <v>1</v>
      </c>
      <c r="D562" s="85">
        <v>44202</v>
      </c>
      <c r="E562" s="31">
        <v>0</v>
      </c>
      <c r="F562" s="31">
        <v>17000</v>
      </c>
      <c r="G562" s="31">
        <v>0</v>
      </c>
      <c r="H562" s="31">
        <v>0</v>
      </c>
      <c r="I562" s="31" t="s">
        <v>85</v>
      </c>
      <c r="J562" s="5" t="s">
        <v>559</v>
      </c>
      <c r="K562" s="8"/>
    </row>
    <row r="563" spans="1:11" x14ac:dyDescent="0.2">
      <c r="A563" s="8">
        <v>562</v>
      </c>
      <c r="B563" s="8">
        <f t="shared" si="18"/>
        <v>2021</v>
      </c>
      <c r="C563" s="8">
        <f t="shared" si="19"/>
        <v>1</v>
      </c>
      <c r="D563" s="85">
        <v>44202</v>
      </c>
      <c r="E563" s="31">
        <v>100000</v>
      </c>
      <c r="F563" s="31">
        <v>0</v>
      </c>
      <c r="G563" s="31">
        <v>0</v>
      </c>
      <c r="H563" s="31">
        <v>0</v>
      </c>
      <c r="I563" s="31" t="s">
        <v>109</v>
      </c>
      <c r="J563" s="5" t="s">
        <v>560</v>
      </c>
      <c r="K563" s="8"/>
    </row>
    <row r="564" spans="1:11" x14ac:dyDescent="0.2">
      <c r="A564" s="8">
        <v>563</v>
      </c>
      <c r="B564" s="8">
        <f t="shared" si="18"/>
        <v>2021</v>
      </c>
      <c r="C564" s="8">
        <f t="shared" si="19"/>
        <v>1</v>
      </c>
      <c r="D564" s="85">
        <v>44202</v>
      </c>
      <c r="E564" s="31">
        <v>0</v>
      </c>
      <c r="F564" s="31">
        <v>40000</v>
      </c>
      <c r="G564" s="31">
        <v>0</v>
      </c>
      <c r="H564" s="31">
        <v>0</v>
      </c>
      <c r="I564" s="31" t="s">
        <v>85</v>
      </c>
      <c r="J564" s="5" t="s">
        <v>561</v>
      </c>
      <c r="K564" s="8"/>
    </row>
    <row r="565" spans="1:11" x14ac:dyDescent="0.2">
      <c r="A565" s="8">
        <v>564</v>
      </c>
      <c r="B565" s="8">
        <f t="shared" si="18"/>
        <v>2021</v>
      </c>
      <c r="C565" s="8">
        <f t="shared" si="19"/>
        <v>1</v>
      </c>
      <c r="D565" s="85">
        <v>44203</v>
      </c>
      <c r="E565" s="31">
        <v>0</v>
      </c>
      <c r="F565" s="31">
        <v>50000</v>
      </c>
      <c r="G565" s="31">
        <v>0</v>
      </c>
      <c r="H565" s="31">
        <v>0</v>
      </c>
      <c r="I565" s="31" t="s">
        <v>85</v>
      </c>
      <c r="J565" s="5" t="s">
        <v>562</v>
      </c>
      <c r="K565" s="8"/>
    </row>
    <row r="566" spans="1:11" x14ac:dyDescent="0.2">
      <c r="A566" s="8">
        <v>565</v>
      </c>
      <c r="B566" s="8">
        <f t="shared" si="18"/>
        <v>2021</v>
      </c>
      <c r="C566" s="8">
        <f t="shared" si="19"/>
        <v>1</v>
      </c>
      <c r="D566" s="85">
        <v>44203</v>
      </c>
      <c r="E566" s="31">
        <v>0</v>
      </c>
      <c r="F566" s="31">
        <v>32000</v>
      </c>
      <c r="G566" s="31">
        <v>0</v>
      </c>
      <c r="H566" s="31">
        <v>0</v>
      </c>
      <c r="I566" s="31" t="s">
        <v>85</v>
      </c>
      <c r="J566" s="5" t="s">
        <v>563</v>
      </c>
      <c r="K566" s="8"/>
    </row>
    <row r="567" spans="1:11" x14ac:dyDescent="0.2">
      <c r="A567" s="8">
        <v>566</v>
      </c>
      <c r="B567" s="8">
        <f t="shared" si="18"/>
        <v>2021</v>
      </c>
      <c r="C567" s="8">
        <f t="shared" si="19"/>
        <v>1</v>
      </c>
      <c r="D567" s="85">
        <v>44203</v>
      </c>
      <c r="E567" s="31">
        <v>0</v>
      </c>
      <c r="F567" s="31">
        <v>12000</v>
      </c>
      <c r="G567" s="31">
        <v>0</v>
      </c>
      <c r="H567" s="31">
        <v>0</v>
      </c>
      <c r="I567" s="31" t="s">
        <v>85</v>
      </c>
      <c r="J567" s="5" t="s">
        <v>564</v>
      </c>
      <c r="K567" s="8"/>
    </row>
    <row r="568" spans="1:11" x14ac:dyDescent="0.2">
      <c r="A568" s="8">
        <v>567</v>
      </c>
      <c r="B568" s="8">
        <f t="shared" si="18"/>
        <v>2021</v>
      </c>
      <c r="C568" s="8">
        <f t="shared" si="19"/>
        <v>1</v>
      </c>
      <c r="D568" s="85">
        <v>44203</v>
      </c>
      <c r="E568" s="31">
        <v>1415000</v>
      </c>
      <c r="F568" s="31">
        <v>0</v>
      </c>
      <c r="G568" s="31">
        <v>0</v>
      </c>
      <c r="H568" s="31">
        <v>0</v>
      </c>
      <c r="I568" s="31" t="s">
        <v>109</v>
      </c>
      <c r="J568" s="5" t="s">
        <v>557</v>
      </c>
      <c r="K568" s="8"/>
    </row>
    <row r="569" spans="1:11" ht="16" x14ac:dyDescent="0.2">
      <c r="A569" s="8">
        <v>568</v>
      </c>
      <c r="B569" s="8">
        <f t="shared" si="18"/>
        <v>2021</v>
      </c>
      <c r="C569" s="8">
        <f t="shared" si="19"/>
        <v>1</v>
      </c>
      <c r="D569" s="85">
        <v>44204</v>
      </c>
      <c r="E569" s="31">
        <v>0</v>
      </c>
      <c r="F569" s="31">
        <v>20000</v>
      </c>
      <c r="G569" s="31">
        <v>0</v>
      </c>
      <c r="H569" s="31">
        <v>0</v>
      </c>
      <c r="I569" s="31" t="s">
        <v>85</v>
      </c>
      <c r="J569" s="95" t="s">
        <v>565</v>
      </c>
      <c r="K569" s="101"/>
    </row>
    <row r="570" spans="1:11" ht="16" x14ac:dyDescent="0.2">
      <c r="A570" s="8">
        <v>569</v>
      </c>
      <c r="B570" s="8">
        <f t="shared" si="18"/>
        <v>2021</v>
      </c>
      <c r="C570" s="8">
        <f t="shared" si="19"/>
        <v>1</v>
      </c>
      <c r="D570" s="85">
        <v>44205</v>
      </c>
      <c r="E570" s="31">
        <v>0</v>
      </c>
      <c r="F570" s="31">
        <v>30000</v>
      </c>
      <c r="G570" s="31">
        <v>0</v>
      </c>
      <c r="H570" s="31">
        <v>0</v>
      </c>
      <c r="I570" s="31" t="s">
        <v>85</v>
      </c>
      <c r="J570" s="94" t="s">
        <v>85</v>
      </c>
      <c r="K570" s="101"/>
    </row>
    <row r="571" spans="1:11" ht="16" x14ac:dyDescent="0.2">
      <c r="A571" s="8">
        <v>570</v>
      </c>
      <c r="B571" s="8">
        <f t="shared" si="18"/>
        <v>2021</v>
      </c>
      <c r="C571" s="8">
        <f t="shared" si="19"/>
        <v>1</v>
      </c>
      <c r="D571" s="85">
        <v>44206</v>
      </c>
      <c r="E571" s="31">
        <v>0</v>
      </c>
      <c r="F571" s="31">
        <v>40000</v>
      </c>
      <c r="G571" s="31">
        <v>0</v>
      </c>
      <c r="H571" s="31">
        <v>0</v>
      </c>
      <c r="I571" s="31" t="s">
        <v>85</v>
      </c>
      <c r="J571" s="94" t="s">
        <v>566</v>
      </c>
      <c r="K571" s="101"/>
    </row>
    <row r="572" spans="1:11" ht="16" x14ac:dyDescent="0.2">
      <c r="A572" s="8">
        <v>571</v>
      </c>
      <c r="B572" s="8">
        <f t="shared" si="18"/>
        <v>2021</v>
      </c>
      <c r="C572" s="8">
        <f t="shared" si="19"/>
        <v>1</v>
      </c>
      <c r="D572" s="85">
        <v>44207</v>
      </c>
      <c r="E572" s="31">
        <v>0</v>
      </c>
      <c r="F572" s="31">
        <v>30000</v>
      </c>
      <c r="G572" s="31">
        <v>0</v>
      </c>
      <c r="H572" s="31">
        <v>0</v>
      </c>
      <c r="I572" s="31" t="s">
        <v>85</v>
      </c>
      <c r="J572" s="94" t="s">
        <v>566</v>
      </c>
      <c r="K572" s="101"/>
    </row>
    <row r="573" spans="1:11" ht="16" x14ac:dyDescent="0.2">
      <c r="A573" s="8">
        <v>572</v>
      </c>
      <c r="B573" s="8">
        <f t="shared" si="18"/>
        <v>2021</v>
      </c>
      <c r="C573" s="8">
        <f t="shared" si="19"/>
        <v>1</v>
      </c>
      <c r="D573" s="85">
        <v>44207</v>
      </c>
      <c r="E573" s="31">
        <v>0</v>
      </c>
      <c r="F573" s="31">
        <v>9000</v>
      </c>
      <c r="G573" s="31">
        <v>0</v>
      </c>
      <c r="H573" s="31">
        <v>0</v>
      </c>
      <c r="I573" s="31" t="s">
        <v>85</v>
      </c>
      <c r="J573" s="94" t="s">
        <v>88</v>
      </c>
      <c r="K573" s="101"/>
    </row>
    <row r="574" spans="1:11" ht="16" x14ac:dyDescent="0.2">
      <c r="A574" s="8">
        <v>573</v>
      </c>
      <c r="B574" s="8">
        <f t="shared" si="18"/>
        <v>2021</v>
      </c>
      <c r="C574" s="8">
        <f t="shared" si="19"/>
        <v>1</v>
      </c>
      <c r="D574" s="85">
        <v>44208</v>
      </c>
      <c r="E574" s="31">
        <v>0</v>
      </c>
      <c r="F574" s="31">
        <v>20000</v>
      </c>
      <c r="G574" s="31">
        <v>0</v>
      </c>
      <c r="H574" s="31">
        <v>0</v>
      </c>
      <c r="I574" s="31" t="s">
        <v>85</v>
      </c>
      <c r="J574" s="94" t="s">
        <v>567</v>
      </c>
      <c r="K574" s="101"/>
    </row>
    <row r="575" spans="1:11" ht="16" x14ac:dyDescent="0.2">
      <c r="A575" s="8">
        <v>574</v>
      </c>
      <c r="B575" s="8">
        <f t="shared" si="18"/>
        <v>2021</v>
      </c>
      <c r="C575" s="8">
        <f t="shared" si="19"/>
        <v>1</v>
      </c>
      <c r="D575" s="85">
        <v>44209</v>
      </c>
      <c r="E575" s="31">
        <v>15000</v>
      </c>
      <c r="F575" s="31">
        <v>0</v>
      </c>
      <c r="G575" s="31">
        <v>0</v>
      </c>
      <c r="H575" s="31">
        <v>0</v>
      </c>
      <c r="I575" s="31" t="s">
        <v>109</v>
      </c>
      <c r="J575" s="94" t="s">
        <v>568</v>
      </c>
      <c r="K575" s="101"/>
    </row>
    <row r="576" spans="1:11" x14ac:dyDescent="0.2">
      <c r="A576" s="8">
        <v>575</v>
      </c>
      <c r="B576" s="8">
        <f t="shared" si="18"/>
        <v>2021</v>
      </c>
      <c r="C576" s="8">
        <f t="shared" si="19"/>
        <v>1</v>
      </c>
      <c r="D576" s="85">
        <v>44209</v>
      </c>
      <c r="E576" s="31">
        <v>0</v>
      </c>
      <c r="F576" s="31">
        <v>25000</v>
      </c>
      <c r="G576" s="31">
        <v>0</v>
      </c>
      <c r="H576" s="31">
        <v>0</v>
      </c>
      <c r="I576" s="31" t="s">
        <v>83</v>
      </c>
      <c r="J576" s="5" t="s">
        <v>299</v>
      </c>
      <c r="K576" s="8"/>
    </row>
    <row r="577" spans="1:11" x14ac:dyDescent="0.2">
      <c r="A577" s="8">
        <v>576</v>
      </c>
      <c r="B577" s="8">
        <f t="shared" si="18"/>
        <v>2021</v>
      </c>
      <c r="C577" s="8">
        <f t="shared" si="19"/>
        <v>1</v>
      </c>
      <c r="D577" s="85">
        <v>44209</v>
      </c>
      <c r="E577" s="31">
        <v>0</v>
      </c>
      <c r="F577" s="31">
        <v>10000</v>
      </c>
      <c r="G577" s="31">
        <v>0</v>
      </c>
      <c r="H577" s="31">
        <v>0</v>
      </c>
      <c r="I577" s="31" t="s">
        <v>85</v>
      </c>
      <c r="J577" s="5" t="s">
        <v>175</v>
      </c>
      <c r="K577" s="8"/>
    </row>
    <row r="578" spans="1:11" x14ac:dyDescent="0.2">
      <c r="A578" s="8">
        <v>577</v>
      </c>
      <c r="B578" s="8">
        <f t="shared" si="18"/>
        <v>2021</v>
      </c>
      <c r="C578" s="8">
        <f t="shared" si="19"/>
        <v>1</v>
      </c>
      <c r="D578" s="85">
        <v>44210</v>
      </c>
      <c r="E578" s="31">
        <v>0</v>
      </c>
      <c r="F578" s="31">
        <v>60000</v>
      </c>
      <c r="G578" s="31">
        <v>0</v>
      </c>
      <c r="H578" s="31">
        <v>0</v>
      </c>
      <c r="I578" s="31" t="s">
        <v>85</v>
      </c>
      <c r="J578" s="5" t="s">
        <v>569</v>
      </c>
      <c r="K578" s="8"/>
    </row>
    <row r="579" spans="1:11" x14ac:dyDescent="0.2">
      <c r="A579" s="8">
        <v>578</v>
      </c>
      <c r="B579" s="8">
        <f t="shared" si="18"/>
        <v>2021</v>
      </c>
      <c r="C579" s="8">
        <f t="shared" si="19"/>
        <v>1</v>
      </c>
      <c r="D579" s="85">
        <v>44211</v>
      </c>
      <c r="E579" s="31">
        <v>0</v>
      </c>
      <c r="F579" s="31">
        <v>40000</v>
      </c>
      <c r="G579" s="31">
        <v>0</v>
      </c>
      <c r="H579" s="31">
        <v>0</v>
      </c>
      <c r="I579" s="31" t="s">
        <v>364</v>
      </c>
      <c r="J579" s="5" t="s">
        <v>570</v>
      </c>
      <c r="K579" s="8"/>
    </row>
    <row r="580" spans="1:11" x14ac:dyDescent="0.2">
      <c r="A580" s="8">
        <v>579</v>
      </c>
      <c r="B580" s="8">
        <f t="shared" si="18"/>
        <v>2021</v>
      </c>
      <c r="C580" s="8">
        <f t="shared" si="19"/>
        <v>1</v>
      </c>
      <c r="D580" s="85">
        <v>44212</v>
      </c>
      <c r="E580" s="31">
        <v>0</v>
      </c>
      <c r="F580" s="31">
        <v>350000</v>
      </c>
      <c r="G580" s="31">
        <v>0</v>
      </c>
      <c r="H580" s="31">
        <v>0</v>
      </c>
      <c r="I580" s="31" t="s">
        <v>571</v>
      </c>
      <c r="J580" s="5" t="s">
        <v>307</v>
      </c>
      <c r="K580" s="8"/>
    </row>
    <row r="581" spans="1:11" x14ac:dyDescent="0.2">
      <c r="A581" s="8">
        <v>580</v>
      </c>
      <c r="B581" s="8">
        <f t="shared" si="18"/>
        <v>2021</v>
      </c>
      <c r="C581" s="8">
        <f t="shared" si="19"/>
        <v>1</v>
      </c>
      <c r="D581" s="85">
        <v>44212</v>
      </c>
      <c r="E581" s="31">
        <v>0</v>
      </c>
      <c r="F581" s="31">
        <v>275000</v>
      </c>
      <c r="G581" s="31">
        <v>0</v>
      </c>
      <c r="H581" s="31">
        <v>0</v>
      </c>
      <c r="I581" s="31" t="s">
        <v>571</v>
      </c>
      <c r="J581" s="5" t="s">
        <v>335</v>
      </c>
      <c r="K581" s="8"/>
    </row>
    <row r="582" spans="1:11" x14ac:dyDescent="0.2">
      <c r="A582" s="8">
        <v>581</v>
      </c>
      <c r="B582" s="8">
        <f t="shared" ref="B582:B645" si="20">YEAR(D582)</f>
        <v>2021</v>
      </c>
      <c r="C582" s="8">
        <f t="shared" ref="C582:C645" si="21">MONTH(D582)</f>
        <v>1</v>
      </c>
      <c r="D582" s="85">
        <v>44212</v>
      </c>
      <c r="E582" s="31">
        <v>0</v>
      </c>
      <c r="F582" s="31">
        <v>100000</v>
      </c>
      <c r="G582" s="31">
        <v>0</v>
      </c>
      <c r="H582" s="31">
        <v>0</v>
      </c>
      <c r="I582" s="31" t="s">
        <v>571</v>
      </c>
      <c r="J582" s="5" t="s">
        <v>391</v>
      </c>
      <c r="K582" s="8"/>
    </row>
    <row r="583" spans="1:11" x14ac:dyDescent="0.2">
      <c r="A583" s="8">
        <v>582</v>
      </c>
      <c r="B583" s="8">
        <f t="shared" si="20"/>
        <v>2021</v>
      </c>
      <c r="C583" s="8">
        <f t="shared" si="21"/>
        <v>1</v>
      </c>
      <c r="D583" s="85">
        <v>44212</v>
      </c>
      <c r="E583" s="31">
        <v>0</v>
      </c>
      <c r="F583" s="31">
        <v>75000</v>
      </c>
      <c r="G583" s="31">
        <v>0</v>
      </c>
      <c r="H583" s="31">
        <v>0</v>
      </c>
      <c r="I583" s="31" t="s">
        <v>571</v>
      </c>
      <c r="J583" s="5" t="s">
        <v>572</v>
      </c>
      <c r="K583" s="8"/>
    </row>
    <row r="584" spans="1:11" x14ac:dyDescent="0.2">
      <c r="A584" s="8">
        <v>583</v>
      </c>
      <c r="B584" s="8">
        <f t="shared" si="20"/>
        <v>2021</v>
      </c>
      <c r="C584" s="8">
        <f t="shared" si="21"/>
        <v>1</v>
      </c>
      <c r="D584" s="85">
        <v>44212</v>
      </c>
      <c r="E584" s="31">
        <v>0</v>
      </c>
      <c r="F584" s="31">
        <v>80000</v>
      </c>
      <c r="G584" s="31">
        <v>0</v>
      </c>
      <c r="H584" s="31">
        <v>0</v>
      </c>
      <c r="I584" s="31" t="s">
        <v>571</v>
      </c>
      <c r="J584" s="5" t="s">
        <v>573</v>
      </c>
      <c r="K584" s="8"/>
    </row>
    <row r="585" spans="1:11" x14ac:dyDescent="0.2">
      <c r="A585" s="8">
        <v>584</v>
      </c>
      <c r="B585" s="8">
        <f t="shared" si="20"/>
        <v>2021</v>
      </c>
      <c r="C585" s="8">
        <f t="shared" si="21"/>
        <v>1</v>
      </c>
      <c r="D585" s="85">
        <v>44212</v>
      </c>
      <c r="E585" s="31">
        <v>0</v>
      </c>
      <c r="F585" s="31">
        <v>125000</v>
      </c>
      <c r="G585" s="31">
        <v>0</v>
      </c>
      <c r="H585" s="31">
        <v>0</v>
      </c>
      <c r="I585" s="31" t="s">
        <v>364</v>
      </c>
      <c r="J585" s="5" t="s">
        <v>574</v>
      </c>
      <c r="K585" s="8"/>
    </row>
    <row r="586" spans="1:11" x14ac:dyDescent="0.2">
      <c r="A586" s="8">
        <v>585</v>
      </c>
      <c r="B586" s="8">
        <f t="shared" si="20"/>
        <v>2021</v>
      </c>
      <c r="C586" s="8">
        <f t="shared" si="21"/>
        <v>1</v>
      </c>
      <c r="D586" s="85">
        <v>44212</v>
      </c>
      <c r="E586" s="31">
        <v>0</v>
      </c>
      <c r="F586" s="31">
        <v>300000</v>
      </c>
      <c r="G586" s="31">
        <v>0</v>
      </c>
      <c r="H586" s="31">
        <v>0</v>
      </c>
      <c r="I586" s="31" t="s">
        <v>390</v>
      </c>
      <c r="J586" s="5" t="s">
        <v>575</v>
      </c>
      <c r="K586" s="8"/>
    </row>
    <row r="587" spans="1:11" x14ac:dyDescent="0.2">
      <c r="A587" s="8">
        <v>586</v>
      </c>
      <c r="B587" s="8">
        <f t="shared" si="20"/>
        <v>2021</v>
      </c>
      <c r="C587" s="8">
        <f t="shared" si="21"/>
        <v>1</v>
      </c>
      <c r="D587" s="85">
        <v>44213</v>
      </c>
      <c r="E587" s="31">
        <v>0</v>
      </c>
      <c r="F587" s="31">
        <v>20000</v>
      </c>
      <c r="G587" s="31">
        <v>0</v>
      </c>
      <c r="H587" s="31">
        <v>0</v>
      </c>
      <c r="I587" s="31" t="s">
        <v>364</v>
      </c>
      <c r="J587" s="5" t="s">
        <v>576</v>
      </c>
      <c r="K587" s="8"/>
    </row>
    <row r="588" spans="1:11" x14ac:dyDescent="0.2">
      <c r="A588" s="8">
        <v>587</v>
      </c>
      <c r="B588" s="8">
        <f t="shared" si="20"/>
        <v>2021</v>
      </c>
      <c r="C588" s="8">
        <f t="shared" si="21"/>
        <v>1</v>
      </c>
      <c r="D588" s="85">
        <v>44216</v>
      </c>
      <c r="E588" s="31">
        <v>0</v>
      </c>
      <c r="F588" s="31">
        <v>100000</v>
      </c>
      <c r="G588" s="31">
        <v>0</v>
      </c>
      <c r="H588" s="31">
        <v>0</v>
      </c>
      <c r="I588" s="31" t="s">
        <v>364</v>
      </c>
      <c r="J588" s="5" t="s">
        <v>577</v>
      </c>
      <c r="K588" s="8"/>
    </row>
    <row r="589" spans="1:11" x14ac:dyDescent="0.2">
      <c r="A589" s="8">
        <v>588</v>
      </c>
      <c r="B589" s="8">
        <f t="shared" si="20"/>
        <v>2021</v>
      </c>
      <c r="C589" s="8">
        <f t="shared" si="21"/>
        <v>1</v>
      </c>
      <c r="D589" s="85">
        <v>44216</v>
      </c>
      <c r="E589" s="31">
        <v>0</v>
      </c>
      <c r="F589" s="31">
        <v>90000</v>
      </c>
      <c r="G589" s="31">
        <v>0</v>
      </c>
      <c r="H589" s="31">
        <v>0</v>
      </c>
      <c r="I589" s="31" t="s">
        <v>83</v>
      </c>
      <c r="J589" s="5" t="s">
        <v>578</v>
      </c>
      <c r="K589" s="8"/>
    </row>
    <row r="590" spans="1:11" x14ac:dyDescent="0.2">
      <c r="A590" s="8">
        <v>589</v>
      </c>
      <c r="B590" s="8">
        <f t="shared" si="20"/>
        <v>2021</v>
      </c>
      <c r="C590" s="8">
        <f t="shared" si="21"/>
        <v>1</v>
      </c>
      <c r="D590" s="85">
        <v>44217</v>
      </c>
      <c r="E590" s="31">
        <v>0</v>
      </c>
      <c r="F590" s="31">
        <v>0</v>
      </c>
      <c r="G590" s="31">
        <v>0</v>
      </c>
      <c r="H590" s="31">
        <v>272000</v>
      </c>
      <c r="I590" s="31" t="s">
        <v>74</v>
      </c>
      <c r="J590" s="5" t="s">
        <v>579</v>
      </c>
      <c r="K590" s="8"/>
    </row>
    <row r="591" spans="1:11" x14ac:dyDescent="0.2">
      <c r="A591" s="8">
        <v>590</v>
      </c>
      <c r="B591" s="8">
        <f t="shared" si="20"/>
        <v>2021</v>
      </c>
      <c r="C591" s="8">
        <f t="shared" si="21"/>
        <v>1</v>
      </c>
      <c r="D591" s="85">
        <v>44217</v>
      </c>
      <c r="E591" s="31">
        <v>0</v>
      </c>
      <c r="F591" s="31">
        <v>50000</v>
      </c>
      <c r="G591" s="31">
        <v>0</v>
      </c>
      <c r="H591" s="31">
        <v>0</v>
      </c>
      <c r="I591" s="31" t="s">
        <v>364</v>
      </c>
      <c r="J591" s="5" t="s">
        <v>580</v>
      </c>
      <c r="K591" s="8"/>
    </row>
    <row r="592" spans="1:11" x14ac:dyDescent="0.2">
      <c r="A592" s="8">
        <v>591</v>
      </c>
      <c r="B592" s="8">
        <f t="shared" si="20"/>
        <v>2021</v>
      </c>
      <c r="C592" s="8">
        <f t="shared" si="21"/>
        <v>1</v>
      </c>
      <c r="D592" s="85">
        <v>44217</v>
      </c>
      <c r="E592" s="31">
        <v>481000</v>
      </c>
      <c r="F592" s="31">
        <v>0</v>
      </c>
      <c r="G592" s="31">
        <v>0</v>
      </c>
      <c r="H592" s="31">
        <v>0</v>
      </c>
      <c r="I592" s="31" t="s">
        <v>109</v>
      </c>
      <c r="J592" s="5" t="s">
        <v>581</v>
      </c>
      <c r="K592" s="8"/>
    </row>
    <row r="593" spans="1:11" x14ac:dyDescent="0.2">
      <c r="A593" s="8">
        <v>592</v>
      </c>
      <c r="B593" s="8">
        <f t="shared" si="20"/>
        <v>2021</v>
      </c>
      <c r="C593" s="8">
        <f t="shared" si="21"/>
        <v>1</v>
      </c>
      <c r="D593" s="93">
        <v>44217</v>
      </c>
      <c r="E593" s="35">
        <v>0</v>
      </c>
      <c r="F593" s="35">
        <v>220000</v>
      </c>
      <c r="G593" s="35">
        <v>0</v>
      </c>
      <c r="H593" s="35">
        <v>0</v>
      </c>
      <c r="I593" s="35" t="s">
        <v>549</v>
      </c>
      <c r="J593" s="36" t="s">
        <v>582</v>
      </c>
      <c r="K593" s="56"/>
    </row>
    <row r="594" spans="1:11" x14ac:dyDescent="0.2">
      <c r="A594" s="8">
        <v>593</v>
      </c>
      <c r="B594" s="8">
        <f t="shared" si="20"/>
        <v>2021</v>
      </c>
      <c r="C594" s="8">
        <f t="shared" si="21"/>
        <v>1</v>
      </c>
      <c r="D594" s="85">
        <v>44218</v>
      </c>
      <c r="E594" s="31">
        <v>20000</v>
      </c>
      <c r="F594" s="31">
        <v>0</v>
      </c>
      <c r="G594" s="31">
        <v>0</v>
      </c>
      <c r="H594" s="31">
        <v>0</v>
      </c>
      <c r="I594" s="31" t="s">
        <v>109</v>
      </c>
      <c r="J594" s="5" t="s">
        <v>583</v>
      </c>
      <c r="K594" s="8"/>
    </row>
    <row r="595" spans="1:11" x14ac:dyDescent="0.2">
      <c r="A595" s="8">
        <v>594</v>
      </c>
      <c r="B595" s="8">
        <f t="shared" si="20"/>
        <v>2021</v>
      </c>
      <c r="C595" s="8">
        <f t="shared" si="21"/>
        <v>1</v>
      </c>
      <c r="D595" s="85">
        <v>44219</v>
      </c>
      <c r="E595" s="31">
        <v>0</v>
      </c>
      <c r="F595" s="31">
        <v>20000</v>
      </c>
      <c r="G595" s="31">
        <v>0</v>
      </c>
      <c r="H595" s="31">
        <v>0</v>
      </c>
      <c r="I595" s="31" t="s">
        <v>85</v>
      </c>
      <c r="J595" s="5" t="s">
        <v>120</v>
      </c>
      <c r="K595" s="8"/>
    </row>
    <row r="596" spans="1:11" x14ac:dyDescent="0.2">
      <c r="A596" s="8">
        <v>595</v>
      </c>
      <c r="B596" s="8">
        <f t="shared" si="20"/>
        <v>2021</v>
      </c>
      <c r="C596" s="8">
        <f t="shared" si="21"/>
        <v>1</v>
      </c>
      <c r="D596" s="85">
        <v>44220</v>
      </c>
      <c r="E596" s="31">
        <v>0</v>
      </c>
      <c r="F596" s="31">
        <v>10000</v>
      </c>
      <c r="G596" s="31">
        <v>0</v>
      </c>
      <c r="H596" s="31">
        <v>0</v>
      </c>
      <c r="I596" s="31" t="s">
        <v>85</v>
      </c>
      <c r="J596" s="5" t="s">
        <v>584</v>
      </c>
      <c r="K596" s="8"/>
    </row>
    <row r="597" spans="1:11" x14ac:dyDescent="0.2">
      <c r="A597" s="8">
        <v>596</v>
      </c>
      <c r="B597" s="8">
        <f t="shared" si="20"/>
        <v>2021</v>
      </c>
      <c r="C597" s="8">
        <f t="shared" si="21"/>
        <v>1</v>
      </c>
      <c r="D597" s="85">
        <v>44220</v>
      </c>
      <c r="E597" s="31">
        <v>0</v>
      </c>
      <c r="F597" s="31">
        <v>600000</v>
      </c>
      <c r="G597" s="31">
        <v>0</v>
      </c>
      <c r="H597" s="31">
        <v>0</v>
      </c>
      <c r="I597" s="31" t="s">
        <v>201</v>
      </c>
      <c r="J597" s="5" t="s">
        <v>316</v>
      </c>
      <c r="K597" s="8"/>
    </row>
    <row r="598" spans="1:11" x14ac:dyDescent="0.2">
      <c r="A598" s="8">
        <v>597</v>
      </c>
      <c r="B598" s="8">
        <f t="shared" si="20"/>
        <v>2021</v>
      </c>
      <c r="C598" s="8">
        <f t="shared" si="21"/>
        <v>1</v>
      </c>
      <c r="D598" s="85">
        <v>44221</v>
      </c>
      <c r="E598" s="31">
        <v>0</v>
      </c>
      <c r="F598" s="31">
        <v>370000</v>
      </c>
      <c r="G598" s="31">
        <v>0</v>
      </c>
      <c r="H598" s="31">
        <v>0</v>
      </c>
      <c r="I598" s="31" t="s">
        <v>85</v>
      </c>
      <c r="J598" s="5" t="s">
        <v>585</v>
      </c>
      <c r="K598" s="8"/>
    </row>
    <row r="599" spans="1:11" x14ac:dyDescent="0.2">
      <c r="A599" s="8">
        <v>598</v>
      </c>
      <c r="B599" s="8">
        <f t="shared" si="20"/>
        <v>2021</v>
      </c>
      <c r="C599" s="8">
        <f t="shared" si="21"/>
        <v>1</v>
      </c>
      <c r="D599" s="85">
        <v>44222</v>
      </c>
      <c r="E599" s="31">
        <v>0</v>
      </c>
      <c r="F599" s="31">
        <v>0</v>
      </c>
      <c r="G599" s="35"/>
      <c r="H599" s="31">
        <v>0</v>
      </c>
      <c r="I599" s="31" t="s">
        <v>92</v>
      </c>
      <c r="J599" s="5" t="s">
        <v>586</v>
      </c>
      <c r="K599" s="8"/>
    </row>
    <row r="600" spans="1:11" x14ac:dyDescent="0.2">
      <c r="A600" s="8">
        <v>599</v>
      </c>
      <c r="B600" s="8">
        <f t="shared" si="20"/>
        <v>2021</v>
      </c>
      <c r="C600" s="8">
        <f t="shared" si="21"/>
        <v>1</v>
      </c>
      <c r="D600" s="85">
        <v>44223</v>
      </c>
      <c r="E600" s="31">
        <v>50000</v>
      </c>
      <c r="F600" s="31">
        <v>96000</v>
      </c>
      <c r="G600" s="31">
        <v>0</v>
      </c>
      <c r="H600" s="31">
        <v>0</v>
      </c>
      <c r="I600" s="31" t="s">
        <v>83</v>
      </c>
      <c r="J600" s="5" t="s">
        <v>587</v>
      </c>
      <c r="K600" s="8">
        <v>362</v>
      </c>
    </row>
    <row r="601" spans="1:11" x14ac:dyDescent="0.2">
      <c r="A601" s="8">
        <v>600</v>
      </c>
      <c r="B601" s="8">
        <f t="shared" si="20"/>
        <v>2021</v>
      </c>
      <c r="C601" s="8">
        <f t="shared" si="21"/>
        <v>1</v>
      </c>
      <c r="D601" s="85">
        <v>44224</v>
      </c>
      <c r="E601" s="31">
        <v>0</v>
      </c>
      <c r="F601" s="32">
        <v>100000</v>
      </c>
      <c r="G601" s="31">
        <v>0</v>
      </c>
      <c r="H601" s="31">
        <v>0</v>
      </c>
      <c r="I601" s="31" t="s">
        <v>85</v>
      </c>
      <c r="J601" s="5" t="s">
        <v>588</v>
      </c>
      <c r="K601" s="8"/>
    </row>
    <row r="602" spans="1:11" x14ac:dyDescent="0.2">
      <c r="A602" s="8">
        <v>601</v>
      </c>
      <c r="B602" s="8">
        <f t="shared" si="20"/>
        <v>2021</v>
      </c>
      <c r="C602" s="8">
        <f t="shared" si="21"/>
        <v>1</v>
      </c>
      <c r="D602" s="85">
        <v>44225</v>
      </c>
      <c r="E602" s="31">
        <v>0</v>
      </c>
      <c r="F602" s="31">
        <v>50000</v>
      </c>
      <c r="G602" s="31">
        <v>0</v>
      </c>
      <c r="H602" s="31">
        <v>0</v>
      </c>
      <c r="I602" s="31" t="s">
        <v>85</v>
      </c>
      <c r="J602" s="5" t="s">
        <v>589</v>
      </c>
      <c r="K602" s="8"/>
    </row>
    <row r="603" spans="1:11" x14ac:dyDescent="0.2">
      <c r="A603" s="8">
        <v>602</v>
      </c>
      <c r="B603" s="8">
        <f t="shared" si="20"/>
        <v>2021</v>
      </c>
      <c r="C603" s="8">
        <f t="shared" si="21"/>
        <v>1</v>
      </c>
      <c r="D603" s="85">
        <v>44226</v>
      </c>
      <c r="E603" s="31">
        <v>0</v>
      </c>
      <c r="F603" s="31">
        <v>50000</v>
      </c>
      <c r="G603" s="31">
        <v>0</v>
      </c>
      <c r="H603" s="31">
        <v>0</v>
      </c>
      <c r="I603" s="31" t="s">
        <v>85</v>
      </c>
      <c r="J603" s="5" t="s">
        <v>590</v>
      </c>
      <c r="K603" s="8"/>
    </row>
    <row r="604" spans="1:11" x14ac:dyDescent="0.2">
      <c r="A604" s="8">
        <v>603</v>
      </c>
      <c r="B604" s="8">
        <f t="shared" si="20"/>
        <v>2021</v>
      </c>
      <c r="C604" s="8">
        <f t="shared" si="21"/>
        <v>1</v>
      </c>
      <c r="D604" s="85">
        <v>44226</v>
      </c>
      <c r="E604" s="31">
        <v>0</v>
      </c>
      <c r="F604" s="31">
        <v>80000</v>
      </c>
      <c r="G604" s="31">
        <v>0</v>
      </c>
      <c r="H604" s="31">
        <v>0</v>
      </c>
      <c r="I604" s="31" t="s">
        <v>85</v>
      </c>
      <c r="J604" s="5" t="s">
        <v>591</v>
      </c>
      <c r="K604" s="8"/>
    </row>
    <row r="605" spans="1:11" x14ac:dyDescent="0.2">
      <c r="A605" s="8">
        <v>604</v>
      </c>
      <c r="B605" s="8">
        <f t="shared" si="20"/>
        <v>2021</v>
      </c>
      <c r="C605" s="8">
        <f t="shared" si="21"/>
        <v>1</v>
      </c>
      <c r="D605" s="85">
        <v>44226</v>
      </c>
      <c r="E605" s="31">
        <v>0</v>
      </c>
      <c r="F605" s="31">
        <v>20000</v>
      </c>
      <c r="G605" s="31">
        <v>0</v>
      </c>
      <c r="H605" s="31">
        <v>0</v>
      </c>
      <c r="I605" s="31" t="s">
        <v>85</v>
      </c>
      <c r="J605" s="5" t="s">
        <v>592</v>
      </c>
      <c r="K605" s="8"/>
    </row>
    <row r="606" spans="1:11" x14ac:dyDescent="0.2">
      <c r="A606" s="8">
        <v>605</v>
      </c>
      <c r="B606" s="8">
        <f t="shared" si="20"/>
        <v>2021</v>
      </c>
      <c r="C606" s="8">
        <f t="shared" si="21"/>
        <v>1</v>
      </c>
      <c r="D606" s="85">
        <v>44226</v>
      </c>
      <c r="E606" s="31">
        <v>0</v>
      </c>
      <c r="F606" s="31">
        <v>20000</v>
      </c>
      <c r="G606" s="31">
        <v>0</v>
      </c>
      <c r="H606" s="31">
        <v>0</v>
      </c>
      <c r="I606" s="31" t="s">
        <v>85</v>
      </c>
      <c r="J606" s="5" t="s">
        <v>593</v>
      </c>
      <c r="K606" s="8"/>
    </row>
    <row r="607" spans="1:11" x14ac:dyDescent="0.2">
      <c r="A607" s="8">
        <v>606</v>
      </c>
      <c r="B607" s="8">
        <f t="shared" si="20"/>
        <v>2021</v>
      </c>
      <c r="C607" s="8">
        <f t="shared" si="21"/>
        <v>1</v>
      </c>
      <c r="D607" s="85">
        <v>44226</v>
      </c>
      <c r="E607" s="31">
        <v>0</v>
      </c>
      <c r="F607" s="31">
        <v>25000</v>
      </c>
      <c r="G607" s="31">
        <v>0</v>
      </c>
      <c r="H607" s="31">
        <v>0</v>
      </c>
      <c r="I607" s="31" t="s">
        <v>85</v>
      </c>
      <c r="J607" s="5" t="s">
        <v>594</v>
      </c>
      <c r="K607" s="8"/>
    </row>
    <row r="608" spans="1:11" x14ac:dyDescent="0.2">
      <c r="A608" s="8">
        <v>607</v>
      </c>
      <c r="B608" s="8">
        <f t="shared" si="20"/>
        <v>2021</v>
      </c>
      <c r="C608" s="8">
        <f t="shared" si="21"/>
        <v>1</v>
      </c>
      <c r="D608" s="85">
        <v>44227</v>
      </c>
      <c r="E608" s="31">
        <v>2400000</v>
      </c>
      <c r="F608" s="31">
        <v>0</v>
      </c>
      <c r="G608" s="31">
        <v>0</v>
      </c>
      <c r="H608" s="31">
        <v>0</v>
      </c>
      <c r="I608" s="31" t="s">
        <v>109</v>
      </c>
      <c r="J608" s="5" t="s">
        <v>557</v>
      </c>
      <c r="K608" s="8"/>
    </row>
    <row r="609" spans="1:11" x14ac:dyDescent="0.2">
      <c r="A609" s="8">
        <v>608</v>
      </c>
      <c r="B609" s="8">
        <f t="shared" si="20"/>
        <v>2021</v>
      </c>
      <c r="C609" s="8">
        <f t="shared" si="21"/>
        <v>2</v>
      </c>
      <c r="D609" s="85">
        <v>44228</v>
      </c>
      <c r="E609" s="31">
        <v>150000</v>
      </c>
      <c r="F609" s="31">
        <v>0</v>
      </c>
      <c r="G609" s="31">
        <v>0</v>
      </c>
      <c r="H609" s="31">
        <v>0</v>
      </c>
      <c r="I609" s="31" t="s">
        <v>109</v>
      </c>
      <c r="J609" s="5" t="s">
        <v>595</v>
      </c>
      <c r="K609" s="8"/>
    </row>
    <row r="610" spans="1:11" x14ac:dyDescent="0.2">
      <c r="A610" s="8">
        <v>609</v>
      </c>
      <c r="B610" s="8">
        <f t="shared" si="20"/>
        <v>2021</v>
      </c>
      <c r="C610" s="8">
        <f t="shared" si="21"/>
        <v>2</v>
      </c>
      <c r="D610" s="85">
        <v>44228</v>
      </c>
      <c r="E610" s="31">
        <v>143000</v>
      </c>
      <c r="F610" s="31">
        <v>0</v>
      </c>
      <c r="G610" s="31">
        <v>0</v>
      </c>
      <c r="H610" s="31">
        <v>0</v>
      </c>
      <c r="I610" s="31" t="s">
        <v>109</v>
      </c>
      <c r="J610" s="5" t="s">
        <v>596</v>
      </c>
      <c r="K610" s="8"/>
    </row>
    <row r="611" spans="1:11" x14ac:dyDescent="0.2">
      <c r="A611" s="8">
        <v>610</v>
      </c>
      <c r="B611" s="8">
        <f t="shared" si="20"/>
        <v>2021</v>
      </c>
      <c r="C611" s="8">
        <f t="shared" si="21"/>
        <v>2</v>
      </c>
      <c r="D611" s="85">
        <v>44230</v>
      </c>
      <c r="E611" s="31">
        <v>0</v>
      </c>
      <c r="F611" s="31">
        <v>400000</v>
      </c>
      <c r="G611" s="31">
        <v>0</v>
      </c>
      <c r="H611" s="31">
        <v>0</v>
      </c>
      <c r="I611" s="31" t="s">
        <v>92</v>
      </c>
      <c r="J611" s="5" t="s">
        <v>597</v>
      </c>
      <c r="K611" s="8"/>
    </row>
    <row r="612" spans="1:11" x14ac:dyDescent="0.2">
      <c r="A612" s="8">
        <v>611</v>
      </c>
      <c r="B612" s="8">
        <f t="shared" si="20"/>
        <v>2021</v>
      </c>
      <c r="C612" s="8">
        <f t="shared" si="21"/>
        <v>2</v>
      </c>
      <c r="D612" s="85">
        <v>44230</v>
      </c>
      <c r="E612" s="31">
        <v>99000</v>
      </c>
      <c r="F612" s="31">
        <v>43000</v>
      </c>
      <c r="G612" s="31">
        <v>0</v>
      </c>
      <c r="H612" s="31">
        <v>0</v>
      </c>
      <c r="I612" s="31" t="s">
        <v>92</v>
      </c>
      <c r="J612" s="5" t="s">
        <v>598</v>
      </c>
      <c r="K612" s="8"/>
    </row>
    <row r="613" spans="1:11" x14ac:dyDescent="0.2">
      <c r="A613" s="8">
        <v>612</v>
      </c>
      <c r="B613" s="8">
        <f t="shared" si="20"/>
        <v>2021</v>
      </c>
      <c r="C613" s="8">
        <f t="shared" si="21"/>
        <v>2</v>
      </c>
      <c r="D613" s="85">
        <v>44231</v>
      </c>
      <c r="E613" s="31">
        <v>0</v>
      </c>
      <c r="F613" s="31">
        <v>40000</v>
      </c>
      <c r="G613" s="31">
        <v>0</v>
      </c>
      <c r="H613" s="31">
        <v>0</v>
      </c>
      <c r="I613" s="31" t="s">
        <v>85</v>
      </c>
      <c r="J613" s="5" t="s">
        <v>491</v>
      </c>
      <c r="K613" s="8"/>
    </row>
    <row r="614" spans="1:11" x14ac:dyDescent="0.2">
      <c r="A614" s="8">
        <v>613</v>
      </c>
      <c r="B614" s="8">
        <f t="shared" si="20"/>
        <v>2021</v>
      </c>
      <c r="C614" s="8">
        <f t="shared" si="21"/>
        <v>2</v>
      </c>
      <c r="D614" s="85">
        <v>44231</v>
      </c>
      <c r="E614" s="31">
        <v>0</v>
      </c>
      <c r="F614" s="31">
        <v>95000</v>
      </c>
      <c r="G614" s="31">
        <v>0</v>
      </c>
      <c r="H614" s="31">
        <v>0</v>
      </c>
      <c r="I614" s="31" t="s">
        <v>83</v>
      </c>
      <c r="J614" s="5" t="s">
        <v>599</v>
      </c>
      <c r="K614" s="8">
        <v>365</v>
      </c>
    </row>
    <row r="615" spans="1:11" x14ac:dyDescent="0.2">
      <c r="A615" s="8">
        <v>614</v>
      </c>
      <c r="B615" s="8">
        <f t="shared" si="20"/>
        <v>2021</v>
      </c>
      <c r="C615" s="8">
        <f t="shared" si="21"/>
        <v>2</v>
      </c>
      <c r="D615" s="85">
        <v>44233</v>
      </c>
      <c r="E615" s="31">
        <v>0</v>
      </c>
      <c r="F615" s="31">
        <v>0</v>
      </c>
      <c r="G615" s="31">
        <v>0</v>
      </c>
      <c r="H615" s="31">
        <v>150000</v>
      </c>
      <c r="I615" s="31" t="s">
        <v>85</v>
      </c>
      <c r="J615" s="5" t="s">
        <v>600</v>
      </c>
      <c r="K615" s="8"/>
    </row>
    <row r="616" spans="1:11" x14ac:dyDescent="0.2">
      <c r="A616" s="8">
        <v>615</v>
      </c>
      <c r="B616" s="8">
        <f t="shared" si="20"/>
        <v>2021</v>
      </c>
      <c r="C616" s="8">
        <f t="shared" si="21"/>
        <v>2</v>
      </c>
      <c r="D616" s="85">
        <v>44233</v>
      </c>
      <c r="E616" s="31">
        <v>0</v>
      </c>
      <c r="F616" s="31">
        <v>0</v>
      </c>
      <c r="G616" s="31">
        <v>0</v>
      </c>
      <c r="H616" s="31">
        <v>270000</v>
      </c>
      <c r="I616" s="31" t="s">
        <v>85</v>
      </c>
      <c r="J616" s="5" t="s">
        <v>601</v>
      </c>
      <c r="K616" s="8"/>
    </row>
    <row r="617" spans="1:11" x14ac:dyDescent="0.2">
      <c r="A617" s="8">
        <v>616</v>
      </c>
      <c r="B617" s="8">
        <f t="shared" si="20"/>
        <v>2021</v>
      </c>
      <c r="C617" s="8">
        <f t="shared" si="21"/>
        <v>2</v>
      </c>
      <c r="D617" s="85">
        <v>44233</v>
      </c>
      <c r="E617" s="31">
        <v>0</v>
      </c>
      <c r="F617" s="31">
        <v>100000</v>
      </c>
      <c r="G617" s="31">
        <v>0</v>
      </c>
      <c r="H617" s="31">
        <v>0</v>
      </c>
      <c r="I617" s="31" t="s">
        <v>85</v>
      </c>
      <c r="J617" s="5" t="s">
        <v>227</v>
      </c>
      <c r="K617" s="8"/>
    </row>
    <row r="618" spans="1:11" x14ac:dyDescent="0.2">
      <c r="A618" s="8">
        <v>617</v>
      </c>
      <c r="B618" s="8">
        <f t="shared" si="20"/>
        <v>2021</v>
      </c>
      <c r="C618" s="8">
        <f t="shared" si="21"/>
        <v>2</v>
      </c>
      <c r="D618" s="85">
        <v>44233</v>
      </c>
      <c r="E618" s="31">
        <v>0</v>
      </c>
      <c r="F618" s="31">
        <v>0</v>
      </c>
      <c r="G618" s="31">
        <v>0</v>
      </c>
      <c r="H618" s="31">
        <v>80000</v>
      </c>
      <c r="I618" s="31" t="s">
        <v>85</v>
      </c>
      <c r="J618" s="5" t="s">
        <v>602</v>
      </c>
      <c r="K618" s="8"/>
    </row>
    <row r="619" spans="1:11" x14ac:dyDescent="0.2">
      <c r="A619" s="8">
        <v>618</v>
      </c>
      <c r="B619" s="8">
        <f t="shared" si="20"/>
        <v>2021</v>
      </c>
      <c r="C619" s="8">
        <f t="shared" si="21"/>
        <v>2</v>
      </c>
      <c r="D619" s="85">
        <v>44234</v>
      </c>
      <c r="E619" s="31">
        <v>2000000</v>
      </c>
      <c r="F619" s="31">
        <v>0</v>
      </c>
      <c r="G619" s="31">
        <v>0</v>
      </c>
      <c r="H619" s="31">
        <v>0</v>
      </c>
      <c r="I619" s="31" t="s">
        <v>109</v>
      </c>
      <c r="J619" s="5" t="s">
        <v>603</v>
      </c>
      <c r="K619" s="8"/>
    </row>
    <row r="620" spans="1:11" x14ac:dyDescent="0.2">
      <c r="A620" s="8">
        <v>619</v>
      </c>
      <c r="B620" s="8">
        <f t="shared" si="20"/>
        <v>2021</v>
      </c>
      <c r="C620" s="8">
        <f t="shared" si="21"/>
        <v>2</v>
      </c>
      <c r="D620" s="85">
        <v>44235</v>
      </c>
      <c r="E620" s="31">
        <v>0</v>
      </c>
      <c r="F620" s="31">
        <v>210000</v>
      </c>
      <c r="G620" s="31">
        <v>0</v>
      </c>
      <c r="H620" s="31">
        <v>0</v>
      </c>
      <c r="I620" s="31" t="s">
        <v>85</v>
      </c>
      <c r="J620" s="5" t="s">
        <v>604</v>
      </c>
      <c r="K620" s="8"/>
    </row>
    <row r="621" spans="1:11" x14ac:dyDescent="0.2">
      <c r="A621" s="8">
        <v>620</v>
      </c>
      <c r="B621" s="8">
        <f t="shared" si="20"/>
        <v>2021</v>
      </c>
      <c r="C621" s="8">
        <f t="shared" si="21"/>
        <v>2</v>
      </c>
      <c r="D621" s="85">
        <v>44236</v>
      </c>
      <c r="E621" s="31">
        <v>0</v>
      </c>
      <c r="F621" s="31">
        <v>20000</v>
      </c>
      <c r="G621" s="31">
        <v>0</v>
      </c>
      <c r="H621" s="31">
        <v>0</v>
      </c>
      <c r="I621" s="31" t="s">
        <v>85</v>
      </c>
      <c r="J621" s="5" t="s">
        <v>605</v>
      </c>
      <c r="K621" s="8"/>
    </row>
    <row r="622" spans="1:11" x14ac:dyDescent="0.2">
      <c r="A622" s="8">
        <v>621</v>
      </c>
      <c r="B622" s="8">
        <f t="shared" si="20"/>
        <v>2021</v>
      </c>
      <c r="C622" s="8">
        <f t="shared" si="21"/>
        <v>2</v>
      </c>
      <c r="D622" s="85">
        <v>44236</v>
      </c>
      <c r="E622" s="31">
        <v>0</v>
      </c>
      <c r="F622" s="31">
        <v>20000</v>
      </c>
      <c r="G622" s="31">
        <v>0</v>
      </c>
      <c r="H622" s="31">
        <v>0</v>
      </c>
      <c r="I622" s="31" t="s">
        <v>85</v>
      </c>
      <c r="J622" s="5" t="s">
        <v>606</v>
      </c>
      <c r="K622" s="8"/>
    </row>
    <row r="623" spans="1:11" x14ac:dyDescent="0.2">
      <c r="A623" s="8">
        <v>622</v>
      </c>
      <c r="B623" s="8">
        <f t="shared" si="20"/>
        <v>2021</v>
      </c>
      <c r="C623" s="8">
        <f t="shared" si="21"/>
        <v>2</v>
      </c>
      <c r="D623" s="85">
        <v>44236</v>
      </c>
      <c r="E623" s="31">
        <v>0</v>
      </c>
      <c r="F623" s="31">
        <v>10000</v>
      </c>
      <c r="G623" s="31">
        <v>0</v>
      </c>
      <c r="H623" s="31">
        <v>0</v>
      </c>
      <c r="I623" s="31" t="s">
        <v>85</v>
      </c>
      <c r="J623" s="5" t="s">
        <v>607</v>
      </c>
      <c r="K623" s="8"/>
    </row>
    <row r="624" spans="1:11" x14ac:dyDescent="0.2">
      <c r="A624" s="8">
        <v>623</v>
      </c>
      <c r="B624" s="8">
        <f t="shared" si="20"/>
        <v>2021</v>
      </c>
      <c r="C624" s="8">
        <f t="shared" si="21"/>
        <v>2</v>
      </c>
      <c r="D624" s="85">
        <v>44237</v>
      </c>
      <c r="E624" s="31">
        <v>0</v>
      </c>
      <c r="F624" s="31">
        <v>20000</v>
      </c>
      <c r="G624" s="31">
        <v>0</v>
      </c>
      <c r="H624" s="31">
        <v>0</v>
      </c>
      <c r="I624" s="31" t="s">
        <v>85</v>
      </c>
      <c r="J624" s="5" t="s">
        <v>608</v>
      </c>
      <c r="K624" s="8"/>
    </row>
    <row r="625" spans="1:11" x14ac:dyDescent="0.2">
      <c r="A625" s="8">
        <v>624</v>
      </c>
      <c r="B625" s="8">
        <f t="shared" si="20"/>
        <v>2021</v>
      </c>
      <c r="C625" s="8">
        <f t="shared" si="21"/>
        <v>2</v>
      </c>
      <c r="D625" s="85">
        <v>44238</v>
      </c>
      <c r="E625" s="31">
        <v>238000</v>
      </c>
      <c r="F625" s="31">
        <v>0</v>
      </c>
      <c r="G625" s="31">
        <v>0</v>
      </c>
      <c r="H625" s="31">
        <v>0</v>
      </c>
      <c r="I625" s="31" t="s">
        <v>109</v>
      </c>
      <c r="J625" s="5" t="s">
        <v>609</v>
      </c>
      <c r="K625" s="8"/>
    </row>
    <row r="626" spans="1:11" x14ac:dyDescent="0.2">
      <c r="A626" s="8">
        <v>625</v>
      </c>
      <c r="B626" s="8">
        <f t="shared" si="20"/>
        <v>2021</v>
      </c>
      <c r="C626" s="8">
        <f t="shared" si="21"/>
        <v>2</v>
      </c>
      <c r="D626" s="85">
        <v>44238</v>
      </c>
      <c r="E626" s="31">
        <v>0</v>
      </c>
      <c r="F626" s="31">
        <v>200000</v>
      </c>
      <c r="G626" s="31">
        <v>0</v>
      </c>
      <c r="H626" s="31">
        <v>0</v>
      </c>
      <c r="I626" s="31" t="s">
        <v>85</v>
      </c>
      <c r="J626" s="5" t="s">
        <v>610</v>
      </c>
      <c r="K626" s="8"/>
    </row>
    <row r="627" spans="1:11" x14ac:dyDescent="0.2">
      <c r="A627" s="8">
        <v>626</v>
      </c>
      <c r="B627" s="8">
        <f t="shared" si="20"/>
        <v>2021</v>
      </c>
      <c r="C627" s="8">
        <f t="shared" si="21"/>
        <v>2</v>
      </c>
      <c r="D627" s="85">
        <v>44239</v>
      </c>
      <c r="E627" s="31">
        <v>0</v>
      </c>
      <c r="F627" s="31">
        <v>300000</v>
      </c>
      <c r="G627" s="31">
        <v>0</v>
      </c>
      <c r="H627" s="31">
        <v>0</v>
      </c>
      <c r="I627" s="31" t="s">
        <v>85</v>
      </c>
      <c r="J627" s="5" t="s">
        <v>611</v>
      </c>
      <c r="K627" s="8"/>
    </row>
    <row r="628" spans="1:11" x14ac:dyDescent="0.2">
      <c r="A628" s="8">
        <v>627</v>
      </c>
      <c r="B628" s="8">
        <f t="shared" si="20"/>
        <v>2021</v>
      </c>
      <c r="C628" s="8">
        <f t="shared" si="21"/>
        <v>2</v>
      </c>
      <c r="D628" s="85">
        <v>44240</v>
      </c>
      <c r="E628" s="31">
        <v>0</v>
      </c>
      <c r="F628" s="31">
        <v>75000</v>
      </c>
      <c r="G628" s="31">
        <v>0</v>
      </c>
      <c r="H628" s="31">
        <v>0</v>
      </c>
      <c r="I628" s="31" t="s">
        <v>85</v>
      </c>
      <c r="J628" s="5" t="s">
        <v>612</v>
      </c>
      <c r="K628" s="8"/>
    </row>
    <row r="629" spans="1:11" x14ac:dyDescent="0.2">
      <c r="A629" s="8">
        <v>628</v>
      </c>
      <c r="B629" s="8">
        <f t="shared" si="20"/>
        <v>2021</v>
      </c>
      <c r="C629" s="8">
        <f t="shared" si="21"/>
        <v>2</v>
      </c>
      <c r="D629" s="85">
        <v>44240</v>
      </c>
      <c r="E629" s="31">
        <v>0</v>
      </c>
      <c r="F629" s="31">
        <v>70000</v>
      </c>
      <c r="G629" s="31">
        <v>0</v>
      </c>
      <c r="H629" s="31">
        <v>0</v>
      </c>
      <c r="I629" s="31" t="s">
        <v>85</v>
      </c>
      <c r="J629" s="5" t="s">
        <v>613</v>
      </c>
      <c r="K629" s="8"/>
    </row>
    <row r="630" spans="1:11" x14ac:dyDescent="0.2">
      <c r="A630" s="8">
        <v>629</v>
      </c>
      <c r="B630" s="8">
        <f t="shared" si="20"/>
        <v>2021</v>
      </c>
      <c r="C630" s="8">
        <f t="shared" si="21"/>
        <v>2</v>
      </c>
      <c r="D630" s="85">
        <v>44240</v>
      </c>
      <c r="E630" s="31">
        <v>0</v>
      </c>
      <c r="F630" s="31">
        <v>40000</v>
      </c>
      <c r="G630" s="31">
        <v>0</v>
      </c>
      <c r="H630" s="31">
        <v>0</v>
      </c>
      <c r="I630" s="31" t="s">
        <v>85</v>
      </c>
      <c r="J630" s="5" t="s">
        <v>614</v>
      </c>
      <c r="K630" s="8"/>
    </row>
    <row r="631" spans="1:11" x14ac:dyDescent="0.2">
      <c r="A631" s="8">
        <v>630</v>
      </c>
      <c r="B631" s="8">
        <f t="shared" si="20"/>
        <v>2021</v>
      </c>
      <c r="C631" s="8">
        <f t="shared" si="21"/>
        <v>2</v>
      </c>
      <c r="D631" s="85">
        <v>44240</v>
      </c>
      <c r="E631" s="31">
        <v>0</v>
      </c>
      <c r="F631" s="31">
        <v>20000</v>
      </c>
      <c r="G631" s="31">
        <v>0</v>
      </c>
      <c r="H631" s="31">
        <v>0</v>
      </c>
      <c r="I631" s="31" t="s">
        <v>85</v>
      </c>
      <c r="J631" s="5" t="s">
        <v>615</v>
      </c>
      <c r="K631" s="8"/>
    </row>
    <row r="632" spans="1:11" x14ac:dyDescent="0.2">
      <c r="A632" s="8">
        <v>631</v>
      </c>
      <c r="B632" s="8">
        <f t="shared" si="20"/>
        <v>2021</v>
      </c>
      <c r="C632" s="8">
        <f t="shared" si="21"/>
        <v>2</v>
      </c>
      <c r="D632" s="85">
        <v>44241</v>
      </c>
      <c r="E632" s="31">
        <v>0</v>
      </c>
      <c r="F632" s="31">
        <v>97000</v>
      </c>
      <c r="G632" s="31">
        <v>0</v>
      </c>
      <c r="H632" s="31">
        <v>0</v>
      </c>
      <c r="I632" s="31" t="s">
        <v>85</v>
      </c>
      <c r="J632" s="5" t="s">
        <v>616</v>
      </c>
      <c r="K632" s="8">
        <v>370</v>
      </c>
    </row>
    <row r="633" spans="1:11" x14ac:dyDescent="0.2">
      <c r="A633" s="8">
        <v>632</v>
      </c>
      <c r="B633" s="8">
        <f t="shared" si="20"/>
        <v>2021</v>
      </c>
      <c r="C633" s="8">
        <f t="shared" si="21"/>
        <v>2</v>
      </c>
      <c r="D633" s="85">
        <v>44241</v>
      </c>
      <c r="E633" s="31">
        <v>0</v>
      </c>
      <c r="F633" s="31">
        <v>80000</v>
      </c>
      <c r="G633" s="31">
        <v>0</v>
      </c>
      <c r="H633" s="31">
        <v>0</v>
      </c>
      <c r="I633" s="31" t="s">
        <v>85</v>
      </c>
      <c r="J633" s="5" t="s">
        <v>617</v>
      </c>
      <c r="K633" s="8"/>
    </row>
    <row r="634" spans="1:11" x14ac:dyDescent="0.2">
      <c r="A634" s="8">
        <v>633</v>
      </c>
      <c r="B634" s="8">
        <f t="shared" si="20"/>
        <v>2021</v>
      </c>
      <c r="C634" s="8">
        <f t="shared" si="21"/>
        <v>2</v>
      </c>
      <c r="D634" s="85">
        <v>44241</v>
      </c>
      <c r="E634" s="31">
        <v>0</v>
      </c>
      <c r="F634" s="31">
        <v>40000</v>
      </c>
      <c r="G634" s="31">
        <v>0</v>
      </c>
      <c r="H634" s="31">
        <v>0</v>
      </c>
      <c r="I634" s="31" t="s">
        <v>85</v>
      </c>
      <c r="J634" s="5" t="s">
        <v>618</v>
      </c>
      <c r="K634" s="8"/>
    </row>
    <row r="635" spans="1:11" x14ac:dyDescent="0.2">
      <c r="A635" s="8">
        <v>634</v>
      </c>
      <c r="B635" s="8">
        <f t="shared" si="20"/>
        <v>2021</v>
      </c>
      <c r="C635" s="8">
        <f t="shared" si="21"/>
        <v>2</v>
      </c>
      <c r="D635" s="85">
        <v>44241</v>
      </c>
      <c r="E635" s="31">
        <v>0</v>
      </c>
      <c r="F635" s="31">
        <v>23000</v>
      </c>
      <c r="G635" s="31">
        <v>0</v>
      </c>
      <c r="H635" s="31">
        <v>0</v>
      </c>
      <c r="I635" s="31" t="s">
        <v>85</v>
      </c>
      <c r="J635" s="5" t="s">
        <v>619</v>
      </c>
      <c r="K635" s="8"/>
    </row>
    <row r="636" spans="1:11" x14ac:dyDescent="0.2">
      <c r="A636" s="8">
        <v>635</v>
      </c>
      <c r="B636" s="8">
        <f t="shared" si="20"/>
        <v>2021</v>
      </c>
      <c r="C636" s="8">
        <f t="shared" si="21"/>
        <v>2</v>
      </c>
      <c r="D636" s="85">
        <v>44241</v>
      </c>
      <c r="E636" s="31">
        <v>0</v>
      </c>
      <c r="F636" s="31">
        <v>23000</v>
      </c>
      <c r="G636" s="31">
        <v>0</v>
      </c>
      <c r="H636" s="31">
        <v>0</v>
      </c>
      <c r="I636" s="31" t="s">
        <v>85</v>
      </c>
      <c r="J636" s="5" t="s">
        <v>620</v>
      </c>
      <c r="K636" s="8"/>
    </row>
    <row r="637" spans="1:11" x14ac:dyDescent="0.2">
      <c r="A637" s="8">
        <v>636</v>
      </c>
      <c r="B637" s="8">
        <f t="shared" si="20"/>
        <v>2021</v>
      </c>
      <c r="C637" s="8">
        <f t="shared" si="21"/>
        <v>2</v>
      </c>
      <c r="D637" s="85">
        <v>44241</v>
      </c>
      <c r="E637" s="31">
        <v>0</v>
      </c>
      <c r="F637" s="31">
        <v>50000</v>
      </c>
      <c r="G637" s="31">
        <v>0</v>
      </c>
      <c r="H637" s="31">
        <v>0</v>
      </c>
      <c r="I637" s="31" t="s">
        <v>85</v>
      </c>
      <c r="J637" s="5" t="s">
        <v>621</v>
      </c>
      <c r="K637" s="8"/>
    </row>
    <row r="638" spans="1:11" x14ac:dyDescent="0.2">
      <c r="A638" s="8">
        <v>637</v>
      </c>
      <c r="B638" s="8">
        <f t="shared" si="20"/>
        <v>2021</v>
      </c>
      <c r="C638" s="8">
        <f t="shared" si="21"/>
        <v>2</v>
      </c>
      <c r="D638" s="85">
        <v>44242</v>
      </c>
      <c r="E638" s="31">
        <v>0</v>
      </c>
      <c r="F638" s="31">
        <v>350000</v>
      </c>
      <c r="G638" s="31">
        <v>0</v>
      </c>
      <c r="H638" s="31">
        <v>0</v>
      </c>
      <c r="I638" s="31" t="s">
        <v>85</v>
      </c>
      <c r="J638" s="5" t="s">
        <v>307</v>
      </c>
      <c r="K638" s="8"/>
    </row>
    <row r="639" spans="1:11" x14ac:dyDescent="0.2">
      <c r="A639" s="8">
        <v>638</v>
      </c>
      <c r="B639" s="8">
        <f t="shared" si="20"/>
        <v>2021</v>
      </c>
      <c r="C639" s="8">
        <f t="shared" si="21"/>
        <v>2</v>
      </c>
      <c r="D639" s="85">
        <v>44242</v>
      </c>
      <c r="E639" s="31">
        <v>0</v>
      </c>
      <c r="F639" s="31">
        <v>275000</v>
      </c>
      <c r="G639" s="31">
        <v>0</v>
      </c>
      <c r="H639" s="31">
        <v>0</v>
      </c>
      <c r="I639" s="31" t="s">
        <v>85</v>
      </c>
      <c r="J639" s="5" t="s">
        <v>335</v>
      </c>
      <c r="K639" s="8"/>
    </row>
    <row r="640" spans="1:11" x14ac:dyDescent="0.2">
      <c r="A640" s="8">
        <v>639</v>
      </c>
      <c r="B640" s="8">
        <f t="shared" si="20"/>
        <v>2021</v>
      </c>
      <c r="C640" s="8">
        <f t="shared" si="21"/>
        <v>2</v>
      </c>
      <c r="D640" s="85">
        <v>44242</v>
      </c>
      <c r="E640" s="31">
        <v>0</v>
      </c>
      <c r="F640" s="31">
        <v>100000</v>
      </c>
      <c r="G640" s="31">
        <v>0</v>
      </c>
      <c r="H640" s="31">
        <v>0</v>
      </c>
      <c r="I640" s="31" t="s">
        <v>85</v>
      </c>
      <c r="J640" s="5" t="s">
        <v>391</v>
      </c>
      <c r="K640" s="8"/>
    </row>
    <row r="641" spans="1:11" x14ac:dyDescent="0.2">
      <c r="A641" s="8">
        <v>640</v>
      </c>
      <c r="B641" s="8">
        <f t="shared" si="20"/>
        <v>2021</v>
      </c>
      <c r="C641" s="8">
        <f t="shared" si="21"/>
        <v>2</v>
      </c>
      <c r="D641" s="85">
        <v>44242</v>
      </c>
      <c r="E641" s="31">
        <v>0</v>
      </c>
      <c r="F641" s="31">
        <v>75000</v>
      </c>
      <c r="G641" s="31">
        <v>0</v>
      </c>
      <c r="H641" s="31">
        <v>0</v>
      </c>
      <c r="I641" s="31" t="s">
        <v>85</v>
      </c>
      <c r="J641" s="5" t="s">
        <v>572</v>
      </c>
      <c r="K641" s="8"/>
    </row>
    <row r="642" spans="1:11" x14ac:dyDescent="0.2">
      <c r="A642" s="8">
        <v>641</v>
      </c>
      <c r="B642" s="8">
        <f t="shared" si="20"/>
        <v>2021</v>
      </c>
      <c r="C642" s="8">
        <f t="shared" si="21"/>
        <v>2</v>
      </c>
      <c r="D642" s="85">
        <v>44242</v>
      </c>
      <c r="E642" s="31">
        <v>0</v>
      </c>
      <c r="F642" s="31">
        <v>100000</v>
      </c>
      <c r="G642" s="31">
        <v>0</v>
      </c>
      <c r="H642" s="31">
        <v>0</v>
      </c>
      <c r="I642" s="31" t="s">
        <v>85</v>
      </c>
      <c r="J642" s="5" t="s">
        <v>573</v>
      </c>
      <c r="K642" s="8"/>
    </row>
    <row r="643" spans="1:11" x14ac:dyDescent="0.2">
      <c r="A643" s="8">
        <v>642</v>
      </c>
      <c r="B643" s="8">
        <f t="shared" si="20"/>
        <v>2021</v>
      </c>
      <c r="C643" s="8">
        <f t="shared" si="21"/>
        <v>2</v>
      </c>
      <c r="D643" s="85">
        <v>44242</v>
      </c>
      <c r="E643" s="31">
        <v>0</v>
      </c>
      <c r="F643" s="31">
        <v>800000</v>
      </c>
      <c r="G643" s="31">
        <v>0</v>
      </c>
      <c r="H643" s="31">
        <v>0</v>
      </c>
      <c r="I643" s="31" t="s">
        <v>85</v>
      </c>
      <c r="J643" s="5" t="s">
        <v>622</v>
      </c>
      <c r="K643" s="8"/>
    </row>
    <row r="644" spans="1:11" x14ac:dyDescent="0.2">
      <c r="A644" s="8">
        <v>643</v>
      </c>
      <c r="B644" s="8">
        <f t="shared" si="20"/>
        <v>2021</v>
      </c>
      <c r="C644" s="8">
        <f t="shared" si="21"/>
        <v>2</v>
      </c>
      <c r="D644" s="85">
        <v>44243</v>
      </c>
      <c r="E644" s="31">
        <v>0</v>
      </c>
      <c r="F644" s="31">
        <v>40000</v>
      </c>
      <c r="G644" s="31">
        <v>0</v>
      </c>
      <c r="H644" s="31">
        <v>0</v>
      </c>
      <c r="I644" s="31" t="s">
        <v>85</v>
      </c>
      <c r="J644" s="5" t="s">
        <v>623</v>
      </c>
      <c r="K644" s="8"/>
    </row>
    <row r="645" spans="1:11" x14ac:dyDescent="0.2">
      <c r="A645" s="8">
        <v>644</v>
      </c>
      <c r="B645" s="8">
        <f t="shared" si="20"/>
        <v>2021</v>
      </c>
      <c r="C645" s="8">
        <f t="shared" si="21"/>
        <v>2</v>
      </c>
      <c r="D645" s="85">
        <v>44244</v>
      </c>
      <c r="E645" s="31">
        <v>0</v>
      </c>
      <c r="F645" s="31">
        <v>8000</v>
      </c>
      <c r="G645" s="31">
        <v>0</v>
      </c>
      <c r="H645" s="31">
        <v>0</v>
      </c>
      <c r="I645" s="31" t="s">
        <v>85</v>
      </c>
      <c r="J645" s="5" t="s">
        <v>624</v>
      </c>
      <c r="K645" s="8"/>
    </row>
    <row r="646" spans="1:11" x14ac:dyDescent="0.2">
      <c r="A646" s="8">
        <v>645</v>
      </c>
      <c r="B646" s="8">
        <f t="shared" ref="B646:B709" si="22">YEAR(D646)</f>
        <v>2021</v>
      </c>
      <c r="C646" s="8">
        <f t="shared" ref="C646:C709" si="23">MONTH(D646)</f>
        <v>2</v>
      </c>
      <c r="D646" s="85">
        <v>44244</v>
      </c>
      <c r="E646" s="31">
        <v>0</v>
      </c>
      <c r="F646" s="31">
        <v>279000</v>
      </c>
      <c r="G646" s="31">
        <v>0</v>
      </c>
      <c r="H646" s="31">
        <v>0</v>
      </c>
      <c r="I646" s="31" t="s">
        <v>85</v>
      </c>
      <c r="J646" s="5" t="s">
        <v>625</v>
      </c>
      <c r="K646" s="8"/>
    </row>
    <row r="647" spans="1:11" x14ac:dyDescent="0.2">
      <c r="A647" s="8">
        <v>646</v>
      </c>
      <c r="B647" s="8">
        <f t="shared" si="22"/>
        <v>2021</v>
      </c>
      <c r="C647" s="8">
        <f t="shared" si="23"/>
        <v>2</v>
      </c>
      <c r="D647" s="85">
        <v>44244</v>
      </c>
      <c r="E647" s="31">
        <v>0</v>
      </c>
      <c r="F647" s="31">
        <v>68000</v>
      </c>
      <c r="G647" s="31">
        <v>0</v>
      </c>
      <c r="H647" s="31">
        <v>0</v>
      </c>
      <c r="I647" s="31" t="s">
        <v>85</v>
      </c>
      <c r="J647" s="5" t="s">
        <v>626</v>
      </c>
      <c r="K647" s="8"/>
    </row>
    <row r="648" spans="1:11" x14ac:dyDescent="0.2">
      <c r="A648" s="8">
        <v>647</v>
      </c>
      <c r="B648" s="8">
        <f t="shared" si="22"/>
        <v>2021</v>
      </c>
      <c r="C648" s="8">
        <f t="shared" si="23"/>
        <v>2</v>
      </c>
      <c r="D648" s="85">
        <v>44244</v>
      </c>
      <c r="E648" s="31">
        <v>0</v>
      </c>
      <c r="F648" s="31">
        <v>15000</v>
      </c>
      <c r="G648" s="31">
        <v>0</v>
      </c>
      <c r="H648" s="31">
        <v>0</v>
      </c>
      <c r="I648" s="31" t="s">
        <v>85</v>
      </c>
      <c r="J648" s="5" t="s">
        <v>244</v>
      </c>
      <c r="K648" s="8"/>
    </row>
    <row r="649" spans="1:11" x14ac:dyDescent="0.2">
      <c r="A649" s="8">
        <v>648</v>
      </c>
      <c r="B649" s="8">
        <f t="shared" si="22"/>
        <v>2021</v>
      </c>
      <c r="C649" s="8">
        <f t="shared" si="23"/>
        <v>2</v>
      </c>
      <c r="D649" s="85">
        <v>44244</v>
      </c>
      <c r="E649" s="31">
        <v>0</v>
      </c>
      <c r="F649" s="31">
        <v>200000</v>
      </c>
      <c r="G649" s="31">
        <v>0</v>
      </c>
      <c r="H649" s="31">
        <v>0</v>
      </c>
      <c r="I649" s="31" t="s">
        <v>85</v>
      </c>
      <c r="J649" s="5" t="s">
        <v>627</v>
      </c>
      <c r="K649" s="8"/>
    </row>
    <row r="650" spans="1:11" x14ac:dyDescent="0.2">
      <c r="A650" s="8">
        <v>649</v>
      </c>
      <c r="B650" s="8">
        <f t="shared" si="22"/>
        <v>2021</v>
      </c>
      <c r="C650" s="8">
        <f t="shared" si="23"/>
        <v>2</v>
      </c>
      <c r="D650" s="85">
        <v>44245</v>
      </c>
      <c r="E650" s="31">
        <v>0</v>
      </c>
      <c r="F650" s="31">
        <v>40000</v>
      </c>
      <c r="G650" s="31">
        <v>0</v>
      </c>
      <c r="H650" s="31">
        <v>0</v>
      </c>
      <c r="I650" s="31" t="s">
        <v>85</v>
      </c>
      <c r="J650" s="5" t="s">
        <v>628</v>
      </c>
      <c r="K650" s="8"/>
    </row>
    <row r="651" spans="1:11" x14ac:dyDescent="0.2">
      <c r="A651" s="8">
        <v>650</v>
      </c>
      <c r="B651" s="8">
        <f t="shared" si="22"/>
        <v>2021</v>
      </c>
      <c r="C651" s="8">
        <f t="shared" si="23"/>
        <v>2</v>
      </c>
      <c r="D651" s="85">
        <v>44245</v>
      </c>
      <c r="E651" s="31">
        <v>0</v>
      </c>
      <c r="F651" s="31">
        <v>40000</v>
      </c>
      <c r="G651" s="31">
        <v>0</v>
      </c>
      <c r="H651" s="31">
        <v>0</v>
      </c>
      <c r="I651" s="31" t="s">
        <v>85</v>
      </c>
      <c r="J651" s="5" t="s">
        <v>629</v>
      </c>
      <c r="K651" s="8"/>
    </row>
    <row r="652" spans="1:11" x14ac:dyDescent="0.2">
      <c r="A652" s="8">
        <v>651</v>
      </c>
      <c r="B652" s="8">
        <f t="shared" si="22"/>
        <v>2021</v>
      </c>
      <c r="C652" s="8">
        <f t="shared" si="23"/>
        <v>2</v>
      </c>
      <c r="D652" s="85">
        <v>44247</v>
      </c>
      <c r="E652" s="31">
        <v>0</v>
      </c>
      <c r="F652" s="31">
        <v>13000</v>
      </c>
      <c r="G652" s="31">
        <v>0</v>
      </c>
      <c r="H652" s="31">
        <v>0</v>
      </c>
      <c r="I652" s="31" t="s">
        <v>85</v>
      </c>
      <c r="J652" s="5" t="s">
        <v>630</v>
      </c>
      <c r="K652" s="8"/>
    </row>
    <row r="653" spans="1:11" x14ac:dyDescent="0.2">
      <c r="A653" s="8">
        <v>652</v>
      </c>
      <c r="B653" s="8">
        <f t="shared" si="22"/>
        <v>2021</v>
      </c>
      <c r="C653" s="8">
        <f t="shared" si="23"/>
        <v>2</v>
      </c>
      <c r="D653" s="85">
        <v>44247</v>
      </c>
      <c r="E653" s="31">
        <v>0</v>
      </c>
      <c r="F653" s="31">
        <v>170000</v>
      </c>
      <c r="G653" s="31">
        <v>0</v>
      </c>
      <c r="H653" s="31">
        <v>0</v>
      </c>
      <c r="I653" s="31" t="s">
        <v>85</v>
      </c>
      <c r="J653" s="5" t="s">
        <v>631</v>
      </c>
      <c r="K653" s="8"/>
    </row>
    <row r="654" spans="1:11" x14ac:dyDescent="0.2">
      <c r="A654" s="8">
        <v>653</v>
      </c>
      <c r="B654" s="8">
        <f t="shared" si="22"/>
        <v>2021</v>
      </c>
      <c r="C654" s="8">
        <f t="shared" si="23"/>
        <v>2</v>
      </c>
      <c r="D654" s="85">
        <v>44248</v>
      </c>
      <c r="E654" s="31">
        <v>0</v>
      </c>
      <c r="F654" s="31">
        <v>500000</v>
      </c>
      <c r="G654" s="31">
        <v>0</v>
      </c>
      <c r="H654" s="31">
        <v>0</v>
      </c>
      <c r="I654" s="31" t="s">
        <v>85</v>
      </c>
      <c r="J654" s="5" t="s">
        <v>632</v>
      </c>
      <c r="K654" s="8"/>
    </row>
    <row r="655" spans="1:11" x14ac:dyDescent="0.2">
      <c r="A655" s="8">
        <v>654</v>
      </c>
      <c r="B655" s="8">
        <f t="shared" si="22"/>
        <v>2021</v>
      </c>
      <c r="C655" s="8">
        <f t="shared" si="23"/>
        <v>2</v>
      </c>
      <c r="D655" s="85">
        <v>44248</v>
      </c>
      <c r="E655" s="31">
        <v>0</v>
      </c>
      <c r="F655" s="31">
        <v>1500000</v>
      </c>
      <c r="G655" s="31">
        <v>0</v>
      </c>
      <c r="H655" s="31">
        <v>0</v>
      </c>
      <c r="I655" s="31" t="s">
        <v>85</v>
      </c>
      <c r="J655" s="5" t="s">
        <v>633</v>
      </c>
      <c r="K655" s="8"/>
    </row>
    <row r="656" spans="1:11" x14ac:dyDescent="0.2">
      <c r="A656" s="8">
        <v>655</v>
      </c>
      <c r="B656" s="8">
        <f t="shared" si="22"/>
        <v>2021</v>
      </c>
      <c r="C656" s="8">
        <f t="shared" si="23"/>
        <v>2</v>
      </c>
      <c r="D656" s="85">
        <v>44248</v>
      </c>
      <c r="E656" s="31">
        <v>0</v>
      </c>
      <c r="F656" s="31">
        <v>25000</v>
      </c>
      <c r="G656" s="31">
        <v>0</v>
      </c>
      <c r="H656" s="31">
        <v>0</v>
      </c>
      <c r="I656" s="31" t="s">
        <v>85</v>
      </c>
      <c r="J656" s="5" t="s">
        <v>634</v>
      </c>
      <c r="K656" s="8"/>
    </row>
    <row r="657" spans="1:11" x14ac:dyDescent="0.2">
      <c r="A657" s="8">
        <v>656</v>
      </c>
      <c r="B657" s="8">
        <f t="shared" si="22"/>
        <v>2021</v>
      </c>
      <c r="C657" s="8">
        <f t="shared" si="23"/>
        <v>2</v>
      </c>
      <c r="D657" s="85">
        <v>44248</v>
      </c>
      <c r="E657" s="31">
        <v>0</v>
      </c>
      <c r="F657" s="31">
        <v>20000</v>
      </c>
      <c r="G657" s="31">
        <v>0</v>
      </c>
      <c r="H657" s="31">
        <v>0</v>
      </c>
      <c r="I657" s="31" t="s">
        <v>85</v>
      </c>
      <c r="J657" s="5" t="s">
        <v>635</v>
      </c>
      <c r="K657" s="8"/>
    </row>
    <row r="658" spans="1:11" x14ac:dyDescent="0.2">
      <c r="A658" s="8">
        <v>657</v>
      </c>
      <c r="B658" s="8">
        <f t="shared" si="22"/>
        <v>2021</v>
      </c>
      <c r="C658" s="8">
        <f t="shared" si="23"/>
        <v>2</v>
      </c>
      <c r="D658" s="85">
        <v>44248</v>
      </c>
      <c r="E658" s="31">
        <v>0</v>
      </c>
      <c r="F658" s="31">
        <v>30000</v>
      </c>
      <c r="G658" s="31">
        <v>0</v>
      </c>
      <c r="H658" s="31">
        <v>0</v>
      </c>
      <c r="I658" s="31" t="s">
        <v>85</v>
      </c>
      <c r="J658" s="5" t="s">
        <v>636</v>
      </c>
      <c r="K658" s="8"/>
    </row>
    <row r="659" spans="1:11" x14ac:dyDescent="0.2">
      <c r="A659" s="8">
        <v>658</v>
      </c>
      <c r="B659" s="8">
        <f t="shared" si="22"/>
        <v>2021</v>
      </c>
      <c r="C659" s="8">
        <f t="shared" si="23"/>
        <v>1</v>
      </c>
      <c r="D659" s="85">
        <v>44218</v>
      </c>
      <c r="E659" s="31">
        <v>0</v>
      </c>
      <c r="F659" s="31">
        <v>200000</v>
      </c>
      <c r="G659" s="31">
        <v>0</v>
      </c>
      <c r="H659" s="31">
        <v>0</v>
      </c>
      <c r="I659" s="31" t="s">
        <v>85</v>
      </c>
      <c r="J659" s="5" t="s">
        <v>637</v>
      </c>
      <c r="K659" s="8"/>
    </row>
    <row r="660" spans="1:11" x14ac:dyDescent="0.2">
      <c r="A660" s="8">
        <v>659</v>
      </c>
      <c r="B660" s="8">
        <f t="shared" si="22"/>
        <v>2021</v>
      </c>
      <c r="C660" s="8">
        <f t="shared" si="23"/>
        <v>2</v>
      </c>
      <c r="D660" s="85">
        <v>44249</v>
      </c>
      <c r="E660" s="31">
        <v>0</v>
      </c>
      <c r="F660" s="31">
        <v>125000</v>
      </c>
      <c r="G660" s="31">
        <v>0</v>
      </c>
      <c r="H660" s="31">
        <v>0</v>
      </c>
      <c r="I660" s="31" t="s">
        <v>85</v>
      </c>
      <c r="J660" s="5" t="s">
        <v>638</v>
      </c>
      <c r="K660" s="8"/>
    </row>
    <row r="661" spans="1:11" x14ac:dyDescent="0.2">
      <c r="A661" s="8">
        <v>660</v>
      </c>
      <c r="B661" s="8">
        <f t="shared" si="22"/>
        <v>2021</v>
      </c>
      <c r="C661" s="8">
        <f t="shared" si="23"/>
        <v>2</v>
      </c>
      <c r="D661" s="85">
        <v>44249</v>
      </c>
      <c r="E661" s="31">
        <v>153000</v>
      </c>
      <c r="F661" s="31">
        <v>153000</v>
      </c>
      <c r="G661" s="31">
        <v>0</v>
      </c>
      <c r="H661" s="31">
        <v>0</v>
      </c>
      <c r="I661" s="31" t="s">
        <v>85</v>
      </c>
      <c r="J661" s="5" t="s">
        <v>639</v>
      </c>
      <c r="K661" s="8"/>
    </row>
    <row r="662" spans="1:11" x14ac:dyDescent="0.2">
      <c r="A662" s="8">
        <v>661</v>
      </c>
      <c r="B662" s="8">
        <f t="shared" si="22"/>
        <v>2021</v>
      </c>
      <c r="C662" s="8">
        <f t="shared" si="23"/>
        <v>2</v>
      </c>
      <c r="D662" s="85">
        <v>44249</v>
      </c>
      <c r="E662" s="31">
        <v>0</v>
      </c>
      <c r="F662" s="31">
        <v>150000</v>
      </c>
      <c r="G662" s="31">
        <v>0</v>
      </c>
      <c r="H662" s="31">
        <v>0</v>
      </c>
      <c r="I662" s="31" t="s">
        <v>92</v>
      </c>
      <c r="J662" s="5" t="s">
        <v>640</v>
      </c>
      <c r="K662" s="8"/>
    </row>
    <row r="663" spans="1:11" x14ac:dyDescent="0.2">
      <c r="A663" s="8">
        <v>662</v>
      </c>
      <c r="B663" s="8">
        <f t="shared" si="22"/>
        <v>2021</v>
      </c>
      <c r="C663" s="8">
        <f t="shared" si="23"/>
        <v>2</v>
      </c>
      <c r="D663" s="85">
        <v>44249</v>
      </c>
      <c r="E663" s="31">
        <v>0</v>
      </c>
      <c r="F663" s="31">
        <v>128000</v>
      </c>
      <c r="G663" s="31">
        <v>0</v>
      </c>
      <c r="H663" s="31">
        <v>0</v>
      </c>
      <c r="I663" s="31" t="s">
        <v>85</v>
      </c>
      <c r="J663" s="5" t="s">
        <v>641</v>
      </c>
      <c r="K663" s="8"/>
    </row>
    <row r="664" spans="1:11" x14ac:dyDescent="0.2">
      <c r="A664" s="8">
        <v>663</v>
      </c>
      <c r="B664" s="8">
        <f t="shared" si="22"/>
        <v>2021</v>
      </c>
      <c r="C664" s="8">
        <f t="shared" si="23"/>
        <v>2</v>
      </c>
      <c r="D664" s="85">
        <v>44249</v>
      </c>
      <c r="E664" s="31">
        <v>0</v>
      </c>
      <c r="F664" s="31">
        <v>92000</v>
      </c>
      <c r="G664" s="31">
        <v>0</v>
      </c>
      <c r="H664" s="31">
        <v>0</v>
      </c>
      <c r="I664" s="31" t="s">
        <v>83</v>
      </c>
      <c r="J664" s="5" t="s">
        <v>642</v>
      </c>
      <c r="K664" s="8">
        <v>328</v>
      </c>
    </row>
    <row r="665" spans="1:11" x14ac:dyDescent="0.2">
      <c r="A665" s="8">
        <v>664</v>
      </c>
      <c r="B665" s="8">
        <f t="shared" si="22"/>
        <v>2021</v>
      </c>
      <c r="C665" s="8">
        <f t="shared" si="23"/>
        <v>2</v>
      </c>
      <c r="D665" s="85">
        <v>44250</v>
      </c>
      <c r="E665" s="31"/>
      <c r="F665" s="31"/>
      <c r="G665" s="31"/>
      <c r="H665" s="31"/>
      <c r="I665" s="31" t="s">
        <v>85</v>
      </c>
      <c r="J665" s="5"/>
      <c r="K665" s="8"/>
    </row>
    <row r="666" spans="1:11" x14ac:dyDescent="0.2">
      <c r="A666" s="8">
        <v>665</v>
      </c>
      <c r="B666" s="8">
        <f t="shared" si="22"/>
        <v>2021</v>
      </c>
      <c r="C666" s="8">
        <f t="shared" si="23"/>
        <v>2</v>
      </c>
      <c r="D666" s="85">
        <v>44251</v>
      </c>
      <c r="E666" s="31">
        <v>0</v>
      </c>
      <c r="F666" s="31">
        <v>510000</v>
      </c>
      <c r="G666" s="31">
        <v>0</v>
      </c>
      <c r="H666" s="31">
        <v>0</v>
      </c>
      <c r="I666" s="31" t="s">
        <v>364</v>
      </c>
      <c r="J666" s="5" t="s">
        <v>643</v>
      </c>
      <c r="K666" s="8"/>
    </row>
    <row r="667" spans="1:11" x14ac:dyDescent="0.2">
      <c r="A667" s="8">
        <v>666</v>
      </c>
      <c r="B667" s="8">
        <f t="shared" si="22"/>
        <v>2021</v>
      </c>
      <c r="C667" s="8">
        <f t="shared" si="23"/>
        <v>2</v>
      </c>
      <c r="D667" s="85">
        <v>44251</v>
      </c>
      <c r="E667" s="31">
        <v>0</v>
      </c>
      <c r="F667" s="31">
        <v>0</v>
      </c>
      <c r="G667" s="31">
        <v>0</v>
      </c>
      <c r="H667" s="31">
        <v>500000</v>
      </c>
      <c r="I667" s="31" t="s">
        <v>74</v>
      </c>
      <c r="J667" s="5" t="s">
        <v>597</v>
      </c>
      <c r="K667" s="8"/>
    </row>
    <row r="668" spans="1:11" x14ac:dyDescent="0.2">
      <c r="A668" s="8">
        <v>667</v>
      </c>
      <c r="B668" s="8">
        <f t="shared" si="22"/>
        <v>2021</v>
      </c>
      <c r="C668" s="8">
        <f t="shared" si="23"/>
        <v>2</v>
      </c>
      <c r="D668" s="85">
        <v>44252</v>
      </c>
      <c r="E668" s="31">
        <v>0</v>
      </c>
      <c r="F668" s="31">
        <v>0</v>
      </c>
      <c r="G668" s="31">
        <v>0</v>
      </c>
      <c r="H668" s="31"/>
      <c r="I668" s="31" t="s">
        <v>364</v>
      </c>
      <c r="J668" s="5"/>
      <c r="K668" s="8"/>
    </row>
    <row r="669" spans="1:11" x14ac:dyDescent="0.2">
      <c r="A669" s="8">
        <v>668</v>
      </c>
      <c r="B669" s="8">
        <f t="shared" si="22"/>
        <v>2021</v>
      </c>
      <c r="C669" s="8">
        <f t="shared" si="23"/>
        <v>2</v>
      </c>
      <c r="D669" s="85">
        <v>44253</v>
      </c>
      <c r="E669" s="31">
        <v>200000</v>
      </c>
      <c r="F669" s="31">
        <v>0</v>
      </c>
      <c r="G669" s="31">
        <v>0</v>
      </c>
      <c r="H669" s="31">
        <v>0</v>
      </c>
      <c r="I669" s="31" t="s">
        <v>109</v>
      </c>
      <c r="J669" s="5" t="s">
        <v>644</v>
      </c>
      <c r="K669" s="8"/>
    </row>
    <row r="670" spans="1:11" x14ac:dyDescent="0.2">
      <c r="A670" s="8">
        <v>669</v>
      </c>
      <c r="B670" s="8">
        <f t="shared" si="22"/>
        <v>2021</v>
      </c>
      <c r="C670" s="8">
        <f t="shared" si="23"/>
        <v>2</v>
      </c>
      <c r="D670" s="85">
        <v>44254</v>
      </c>
      <c r="E670" s="31">
        <v>0</v>
      </c>
      <c r="F670" s="31">
        <v>0</v>
      </c>
      <c r="G670" s="31">
        <v>0</v>
      </c>
      <c r="H670" s="31">
        <v>0</v>
      </c>
      <c r="I670" s="31" t="s">
        <v>85</v>
      </c>
      <c r="J670" s="5"/>
      <c r="K670" s="8"/>
    </row>
    <row r="671" spans="1:11" x14ac:dyDescent="0.2">
      <c r="A671" s="8">
        <v>670</v>
      </c>
      <c r="B671" s="8">
        <f t="shared" si="22"/>
        <v>2021</v>
      </c>
      <c r="C671" s="8">
        <f t="shared" si="23"/>
        <v>2</v>
      </c>
      <c r="D671" s="85">
        <v>44255</v>
      </c>
      <c r="E671" s="31">
        <v>0</v>
      </c>
      <c r="F671" s="31">
        <v>45000</v>
      </c>
      <c r="G671" s="31">
        <v>0</v>
      </c>
      <c r="H671" s="31">
        <v>0</v>
      </c>
      <c r="I671" s="31" t="s">
        <v>85</v>
      </c>
      <c r="J671" s="5" t="s">
        <v>645</v>
      </c>
      <c r="K671" s="8"/>
    </row>
    <row r="672" spans="1:11" x14ac:dyDescent="0.2">
      <c r="A672" s="8">
        <v>671</v>
      </c>
      <c r="B672" s="8">
        <f t="shared" si="22"/>
        <v>2021</v>
      </c>
      <c r="C672" s="8">
        <f t="shared" si="23"/>
        <v>3</v>
      </c>
      <c r="D672" s="85">
        <v>44256</v>
      </c>
      <c r="E672" s="31">
        <v>0</v>
      </c>
      <c r="F672" s="31">
        <v>95000</v>
      </c>
      <c r="G672" s="31">
        <v>0</v>
      </c>
      <c r="H672" s="31">
        <v>0</v>
      </c>
      <c r="I672" s="31" t="s">
        <v>83</v>
      </c>
      <c r="J672" s="5" t="s">
        <v>646</v>
      </c>
      <c r="K672" s="8">
        <v>341</v>
      </c>
    </row>
    <row r="673" spans="1:11" x14ac:dyDescent="0.2">
      <c r="A673" s="8">
        <v>672</v>
      </c>
      <c r="B673" s="8">
        <f t="shared" si="22"/>
        <v>2021</v>
      </c>
      <c r="C673" s="8">
        <f t="shared" si="23"/>
        <v>3</v>
      </c>
      <c r="D673" s="85">
        <v>44257</v>
      </c>
      <c r="E673" s="31">
        <v>0</v>
      </c>
      <c r="F673" s="31">
        <v>150000</v>
      </c>
      <c r="G673" s="31">
        <v>0</v>
      </c>
      <c r="H673" s="31">
        <v>0</v>
      </c>
      <c r="I673" s="31" t="s">
        <v>85</v>
      </c>
      <c r="J673" s="5" t="s">
        <v>647</v>
      </c>
      <c r="K673" s="8"/>
    </row>
    <row r="674" spans="1:11" x14ac:dyDescent="0.2">
      <c r="A674" s="8">
        <v>673</v>
      </c>
      <c r="B674" s="8">
        <f t="shared" si="22"/>
        <v>2021</v>
      </c>
      <c r="C674" s="8">
        <f t="shared" si="23"/>
        <v>3</v>
      </c>
      <c r="D674" s="85">
        <v>44258</v>
      </c>
      <c r="E674" s="31">
        <v>0</v>
      </c>
      <c r="F674" s="31">
        <v>100000</v>
      </c>
      <c r="G674" s="31">
        <v>0</v>
      </c>
      <c r="H674" s="31">
        <v>0</v>
      </c>
      <c r="I674" s="31" t="s">
        <v>85</v>
      </c>
      <c r="J674" s="5" t="s">
        <v>648</v>
      </c>
      <c r="K674" s="8"/>
    </row>
    <row r="675" spans="1:11" x14ac:dyDescent="0.2">
      <c r="A675" s="8">
        <v>674</v>
      </c>
      <c r="B675" s="8">
        <f t="shared" si="22"/>
        <v>2021</v>
      </c>
      <c r="C675" s="8">
        <f t="shared" si="23"/>
        <v>3</v>
      </c>
      <c r="D675" s="85">
        <v>44258</v>
      </c>
      <c r="E675" s="31">
        <v>0</v>
      </c>
      <c r="F675" s="31">
        <v>60000</v>
      </c>
      <c r="G675" s="31">
        <v>0</v>
      </c>
      <c r="H675" s="31">
        <v>0</v>
      </c>
      <c r="I675" s="31" t="s">
        <v>85</v>
      </c>
      <c r="J675" s="5" t="s">
        <v>649</v>
      </c>
      <c r="K675" s="8"/>
    </row>
    <row r="676" spans="1:11" x14ac:dyDescent="0.2">
      <c r="A676" s="8">
        <v>675</v>
      </c>
      <c r="B676" s="8">
        <f t="shared" si="22"/>
        <v>2021</v>
      </c>
      <c r="C676" s="8">
        <f t="shared" si="23"/>
        <v>3</v>
      </c>
      <c r="D676" s="85">
        <v>44258</v>
      </c>
      <c r="E676" s="31">
        <v>0</v>
      </c>
      <c r="F676" s="31">
        <v>10000</v>
      </c>
      <c r="G676" s="31">
        <v>0</v>
      </c>
      <c r="H676" s="31">
        <v>0</v>
      </c>
      <c r="I676" s="31" t="s">
        <v>85</v>
      </c>
      <c r="J676" s="5" t="s">
        <v>650</v>
      </c>
      <c r="K676" s="8"/>
    </row>
    <row r="677" spans="1:11" x14ac:dyDescent="0.2">
      <c r="A677" s="8">
        <v>676</v>
      </c>
      <c r="B677" s="8">
        <f t="shared" si="22"/>
        <v>2021</v>
      </c>
      <c r="C677" s="8">
        <f t="shared" si="23"/>
        <v>3</v>
      </c>
      <c r="D677" s="85">
        <v>44259</v>
      </c>
      <c r="E677" s="31">
        <v>0</v>
      </c>
      <c r="F677" s="31">
        <v>58000</v>
      </c>
      <c r="G677" s="31">
        <v>0</v>
      </c>
      <c r="H677" s="31">
        <v>0</v>
      </c>
      <c r="I677" s="31" t="s">
        <v>85</v>
      </c>
      <c r="J677" s="5" t="s">
        <v>651</v>
      </c>
      <c r="K677" s="8"/>
    </row>
    <row r="678" spans="1:11" x14ac:dyDescent="0.2">
      <c r="A678" s="8">
        <v>677</v>
      </c>
      <c r="B678" s="8">
        <f t="shared" si="22"/>
        <v>2021</v>
      </c>
      <c r="C678" s="8">
        <f t="shared" si="23"/>
        <v>3</v>
      </c>
      <c r="D678" s="85">
        <v>44260</v>
      </c>
      <c r="E678" s="31">
        <v>0</v>
      </c>
      <c r="F678" s="31">
        <v>30000</v>
      </c>
      <c r="G678" s="31">
        <v>0</v>
      </c>
      <c r="H678" s="31">
        <v>0</v>
      </c>
      <c r="I678" s="31" t="s">
        <v>85</v>
      </c>
      <c r="J678" s="5" t="s">
        <v>652</v>
      </c>
      <c r="K678" s="8"/>
    </row>
    <row r="679" spans="1:11" x14ac:dyDescent="0.2">
      <c r="A679" s="8">
        <v>678</v>
      </c>
      <c r="B679" s="8">
        <f t="shared" si="22"/>
        <v>2021</v>
      </c>
      <c r="C679" s="8">
        <f t="shared" si="23"/>
        <v>3</v>
      </c>
      <c r="D679" s="85">
        <v>44261</v>
      </c>
      <c r="E679" s="31">
        <v>0</v>
      </c>
      <c r="F679" s="31">
        <v>66000</v>
      </c>
      <c r="G679" s="31">
        <v>0</v>
      </c>
      <c r="H679" s="31">
        <v>0</v>
      </c>
      <c r="I679" s="31" t="s">
        <v>85</v>
      </c>
      <c r="J679" s="5" t="s">
        <v>653</v>
      </c>
      <c r="K679" s="8"/>
    </row>
    <row r="680" spans="1:11" x14ac:dyDescent="0.2">
      <c r="A680" s="8">
        <v>679</v>
      </c>
      <c r="B680" s="8">
        <f t="shared" si="22"/>
        <v>2021</v>
      </c>
      <c r="C680" s="8">
        <f t="shared" si="23"/>
        <v>3</v>
      </c>
      <c r="D680" s="85">
        <v>44262</v>
      </c>
      <c r="E680" s="31">
        <v>0</v>
      </c>
      <c r="F680" s="31">
        <v>70000</v>
      </c>
      <c r="G680" s="31">
        <v>0</v>
      </c>
      <c r="H680" s="31">
        <v>0</v>
      </c>
      <c r="I680" s="31" t="s">
        <v>85</v>
      </c>
      <c r="J680" s="5" t="s">
        <v>654</v>
      </c>
      <c r="K680" s="8"/>
    </row>
    <row r="681" spans="1:11" x14ac:dyDescent="0.2">
      <c r="A681" s="8">
        <v>680</v>
      </c>
      <c r="B681" s="8">
        <f t="shared" si="22"/>
        <v>2021</v>
      </c>
      <c r="C681" s="8">
        <f t="shared" si="23"/>
        <v>3</v>
      </c>
      <c r="D681" s="85">
        <v>44256</v>
      </c>
      <c r="E681" s="31">
        <v>0</v>
      </c>
      <c r="F681" s="31">
        <v>250000</v>
      </c>
      <c r="G681" s="31">
        <v>0</v>
      </c>
      <c r="H681" s="31">
        <v>0</v>
      </c>
      <c r="I681" s="31" t="s">
        <v>85</v>
      </c>
      <c r="J681" s="5" t="s">
        <v>604</v>
      </c>
      <c r="K681" s="8"/>
    </row>
    <row r="682" spans="1:11" x14ac:dyDescent="0.2">
      <c r="A682" s="8">
        <v>681</v>
      </c>
      <c r="B682" s="8">
        <f t="shared" si="22"/>
        <v>2021</v>
      </c>
      <c r="C682" s="8">
        <f t="shared" si="23"/>
        <v>3</v>
      </c>
      <c r="D682" s="85">
        <v>44263</v>
      </c>
      <c r="E682" s="31">
        <v>0</v>
      </c>
      <c r="F682" s="31">
        <v>100000</v>
      </c>
      <c r="G682" s="31">
        <v>0</v>
      </c>
      <c r="H682" s="31">
        <v>0</v>
      </c>
      <c r="I682" s="31" t="s">
        <v>83</v>
      </c>
      <c r="J682" s="5" t="s">
        <v>655</v>
      </c>
      <c r="K682" s="8">
        <v>359</v>
      </c>
    </row>
    <row r="683" spans="1:11" x14ac:dyDescent="0.2">
      <c r="A683" s="8">
        <v>682</v>
      </c>
      <c r="B683" s="8">
        <f t="shared" si="22"/>
        <v>2021</v>
      </c>
      <c r="C683" s="8">
        <f t="shared" si="23"/>
        <v>3</v>
      </c>
      <c r="D683" s="85">
        <v>44264</v>
      </c>
      <c r="E683" s="31">
        <v>0</v>
      </c>
      <c r="F683" s="31">
        <v>35000</v>
      </c>
      <c r="G683" s="31">
        <v>0</v>
      </c>
      <c r="H683" s="31">
        <v>0</v>
      </c>
      <c r="I683" s="31" t="s">
        <v>85</v>
      </c>
      <c r="J683" s="5" t="s">
        <v>656</v>
      </c>
      <c r="K683" s="8"/>
    </row>
    <row r="684" spans="1:11" x14ac:dyDescent="0.2">
      <c r="A684" s="8">
        <v>683</v>
      </c>
      <c r="B684" s="8">
        <f t="shared" si="22"/>
        <v>2021</v>
      </c>
      <c r="C684" s="8">
        <f t="shared" si="23"/>
        <v>3</v>
      </c>
      <c r="D684" s="85">
        <v>44264</v>
      </c>
      <c r="E684" s="31">
        <v>0</v>
      </c>
      <c r="F684" s="31">
        <v>25000</v>
      </c>
      <c r="G684" s="31">
        <v>0</v>
      </c>
      <c r="H684" s="31">
        <v>0</v>
      </c>
      <c r="I684" s="31" t="s">
        <v>85</v>
      </c>
      <c r="J684" s="5" t="s">
        <v>657</v>
      </c>
      <c r="K684" s="8"/>
    </row>
    <row r="685" spans="1:11" x14ac:dyDescent="0.2">
      <c r="A685" s="8">
        <v>684</v>
      </c>
      <c r="B685" s="8">
        <f t="shared" si="22"/>
        <v>2021</v>
      </c>
      <c r="C685" s="8">
        <f t="shared" si="23"/>
        <v>3</v>
      </c>
      <c r="D685" s="85">
        <v>44264</v>
      </c>
      <c r="E685" s="31">
        <v>0</v>
      </c>
      <c r="F685" s="31">
        <v>35000</v>
      </c>
      <c r="G685" s="31">
        <v>0</v>
      </c>
      <c r="H685" s="31">
        <v>0</v>
      </c>
      <c r="I685" s="31" t="s">
        <v>85</v>
      </c>
      <c r="J685" s="5" t="s">
        <v>658</v>
      </c>
      <c r="K685" s="8"/>
    </row>
    <row r="686" spans="1:11" x14ac:dyDescent="0.2">
      <c r="A686" s="8">
        <v>685</v>
      </c>
      <c r="B686" s="8">
        <f t="shared" si="22"/>
        <v>2021</v>
      </c>
      <c r="C686" s="8">
        <f t="shared" si="23"/>
        <v>3</v>
      </c>
      <c r="D686" s="85">
        <v>44265</v>
      </c>
      <c r="E686" s="31">
        <v>0</v>
      </c>
      <c r="F686" s="31">
        <v>0</v>
      </c>
      <c r="G686" s="31">
        <v>0</v>
      </c>
      <c r="H686" s="31">
        <v>105000</v>
      </c>
      <c r="I686" s="31" t="s">
        <v>74</v>
      </c>
      <c r="J686" s="5" t="s">
        <v>659</v>
      </c>
      <c r="K686" s="8"/>
    </row>
    <row r="687" spans="1:11" x14ac:dyDescent="0.2">
      <c r="A687" s="8">
        <v>686</v>
      </c>
      <c r="B687" s="8">
        <f t="shared" si="22"/>
        <v>2021</v>
      </c>
      <c r="C687" s="8">
        <f t="shared" si="23"/>
        <v>3</v>
      </c>
      <c r="D687" s="85">
        <v>44266</v>
      </c>
      <c r="E687" s="31">
        <v>0</v>
      </c>
      <c r="F687" s="31">
        <v>150000</v>
      </c>
      <c r="G687" s="31">
        <v>0</v>
      </c>
      <c r="H687" s="31">
        <v>0</v>
      </c>
      <c r="I687" s="31" t="s">
        <v>85</v>
      </c>
      <c r="J687" s="5" t="s">
        <v>660</v>
      </c>
      <c r="K687" s="8"/>
    </row>
    <row r="688" spans="1:11" x14ac:dyDescent="0.2">
      <c r="A688" s="8">
        <v>687</v>
      </c>
      <c r="B688" s="8">
        <f t="shared" si="22"/>
        <v>2021</v>
      </c>
      <c r="C688" s="8">
        <f t="shared" si="23"/>
        <v>3</v>
      </c>
      <c r="D688" s="85">
        <v>44266</v>
      </c>
      <c r="E688" s="31">
        <v>0</v>
      </c>
      <c r="F688" s="31">
        <v>70000</v>
      </c>
      <c r="G688" s="31">
        <v>0</v>
      </c>
      <c r="H688" s="31">
        <v>0</v>
      </c>
      <c r="I688" s="31" t="s">
        <v>85</v>
      </c>
      <c r="J688" s="5" t="s">
        <v>661</v>
      </c>
      <c r="K688" s="8"/>
    </row>
    <row r="689" spans="1:11" x14ac:dyDescent="0.2">
      <c r="A689" s="8">
        <v>688</v>
      </c>
      <c r="B689" s="8">
        <f t="shared" si="22"/>
        <v>2021</v>
      </c>
      <c r="C689" s="8">
        <f t="shared" si="23"/>
        <v>3</v>
      </c>
      <c r="D689" s="85">
        <v>44267</v>
      </c>
      <c r="E689" s="31">
        <v>0</v>
      </c>
      <c r="F689" s="31">
        <v>450000</v>
      </c>
      <c r="G689" s="31">
        <v>0</v>
      </c>
      <c r="H689" s="31">
        <v>0</v>
      </c>
      <c r="I689" s="31" t="s">
        <v>74</v>
      </c>
      <c r="J689" s="5" t="s">
        <v>597</v>
      </c>
      <c r="K689" s="8"/>
    </row>
    <row r="690" spans="1:11" x14ac:dyDescent="0.2">
      <c r="A690" s="8">
        <v>689</v>
      </c>
      <c r="B690" s="8">
        <f t="shared" si="22"/>
        <v>2021</v>
      </c>
      <c r="C690" s="8">
        <f t="shared" si="23"/>
        <v>3</v>
      </c>
      <c r="D690" s="85">
        <v>44267</v>
      </c>
      <c r="E690" s="31">
        <v>0</v>
      </c>
      <c r="F690" s="31">
        <v>92000</v>
      </c>
      <c r="G690" s="31">
        <v>0</v>
      </c>
      <c r="H690" s="31">
        <v>0</v>
      </c>
      <c r="I690" s="31" t="s">
        <v>74</v>
      </c>
      <c r="J690" s="5" t="s">
        <v>662</v>
      </c>
      <c r="K690" s="8"/>
    </row>
    <row r="691" spans="1:11" x14ac:dyDescent="0.2">
      <c r="A691" s="8">
        <v>690</v>
      </c>
      <c r="B691" s="8">
        <f t="shared" si="22"/>
        <v>2021</v>
      </c>
      <c r="C691" s="8">
        <f t="shared" si="23"/>
        <v>3</v>
      </c>
      <c r="D691" s="85">
        <v>44269</v>
      </c>
      <c r="E691" s="31">
        <v>0</v>
      </c>
      <c r="F691" s="31">
        <v>170000</v>
      </c>
      <c r="G691" s="31">
        <v>0</v>
      </c>
      <c r="H691" s="31">
        <v>0</v>
      </c>
      <c r="I691" s="31" t="s">
        <v>85</v>
      </c>
      <c r="J691" s="5" t="s">
        <v>663</v>
      </c>
      <c r="K691" s="8"/>
    </row>
    <row r="692" spans="1:11" x14ac:dyDescent="0.2">
      <c r="A692" s="8">
        <v>691</v>
      </c>
      <c r="B692" s="8">
        <f t="shared" si="22"/>
        <v>2021</v>
      </c>
      <c r="C692" s="8">
        <f t="shared" si="23"/>
        <v>3</v>
      </c>
      <c r="D692" s="85">
        <v>44269</v>
      </c>
      <c r="E692" s="31">
        <v>0</v>
      </c>
      <c r="F692" s="31">
        <v>140000</v>
      </c>
      <c r="G692" s="31">
        <v>0</v>
      </c>
      <c r="H692" s="31">
        <v>0</v>
      </c>
      <c r="I692" s="31" t="s">
        <v>85</v>
      </c>
      <c r="J692" s="5" t="s">
        <v>664</v>
      </c>
      <c r="K692" s="8"/>
    </row>
    <row r="693" spans="1:11" x14ac:dyDescent="0.2">
      <c r="A693" s="8">
        <v>692</v>
      </c>
      <c r="B693" s="8">
        <f t="shared" si="22"/>
        <v>2021</v>
      </c>
      <c r="C693" s="8">
        <f t="shared" si="23"/>
        <v>3</v>
      </c>
      <c r="D693" s="85">
        <v>44269</v>
      </c>
      <c r="E693" s="31">
        <v>0</v>
      </c>
      <c r="F693" s="31">
        <v>50000</v>
      </c>
      <c r="G693" s="31">
        <v>0</v>
      </c>
      <c r="H693" s="31">
        <v>0</v>
      </c>
      <c r="I693" s="31" t="s">
        <v>85</v>
      </c>
      <c r="J693" s="5" t="s">
        <v>300</v>
      </c>
      <c r="K693" s="8"/>
    </row>
    <row r="694" spans="1:11" x14ac:dyDescent="0.2">
      <c r="A694" s="8">
        <v>693</v>
      </c>
      <c r="B694" s="8">
        <f t="shared" si="22"/>
        <v>2021</v>
      </c>
      <c r="C694" s="8">
        <f t="shared" si="23"/>
        <v>3</v>
      </c>
      <c r="D694" s="85">
        <v>44269</v>
      </c>
      <c r="E694" s="31">
        <v>0</v>
      </c>
      <c r="F694" s="31">
        <v>95000</v>
      </c>
      <c r="G694" s="31">
        <v>0</v>
      </c>
      <c r="H694" s="31">
        <v>0</v>
      </c>
      <c r="I694" s="31" t="s">
        <v>83</v>
      </c>
      <c r="J694" s="5" t="s">
        <v>665</v>
      </c>
      <c r="K694" s="8">
        <v>364</v>
      </c>
    </row>
    <row r="695" spans="1:11" x14ac:dyDescent="0.2">
      <c r="A695" s="8">
        <v>694</v>
      </c>
      <c r="B695" s="8">
        <f t="shared" si="22"/>
        <v>2021</v>
      </c>
      <c r="C695" s="8">
        <f t="shared" si="23"/>
        <v>3</v>
      </c>
      <c r="D695" s="85">
        <v>44270</v>
      </c>
      <c r="E695" s="31">
        <v>0</v>
      </c>
      <c r="F695" s="31">
        <v>350000</v>
      </c>
      <c r="G695" s="31">
        <v>0</v>
      </c>
      <c r="H695" s="31">
        <v>0</v>
      </c>
      <c r="I695" s="31" t="s">
        <v>571</v>
      </c>
      <c r="J695" s="5" t="s">
        <v>307</v>
      </c>
      <c r="K695" s="8"/>
    </row>
    <row r="696" spans="1:11" x14ac:dyDescent="0.2">
      <c r="A696" s="8">
        <v>695</v>
      </c>
      <c r="B696" s="8">
        <f t="shared" si="22"/>
        <v>2021</v>
      </c>
      <c r="C696" s="8">
        <f t="shared" si="23"/>
        <v>3</v>
      </c>
      <c r="D696" s="85">
        <v>44270</v>
      </c>
      <c r="E696" s="31">
        <v>0</v>
      </c>
      <c r="F696" s="31">
        <v>275000</v>
      </c>
      <c r="G696" s="31">
        <v>0</v>
      </c>
      <c r="H696" s="31">
        <v>0</v>
      </c>
      <c r="I696" s="31" t="s">
        <v>571</v>
      </c>
      <c r="J696" s="5" t="s">
        <v>335</v>
      </c>
      <c r="K696" s="8"/>
    </row>
    <row r="697" spans="1:11" x14ac:dyDescent="0.2">
      <c r="A697" s="8">
        <v>696</v>
      </c>
      <c r="B697" s="8">
        <f t="shared" si="22"/>
        <v>2021</v>
      </c>
      <c r="C697" s="8">
        <f t="shared" si="23"/>
        <v>3</v>
      </c>
      <c r="D697" s="85">
        <v>44270</v>
      </c>
      <c r="E697" s="31">
        <v>0</v>
      </c>
      <c r="F697" s="31">
        <v>100000</v>
      </c>
      <c r="G697" s="31">
        <v>0</v>
      </c>
      <c r="H697" s="31">
        <v>0</v>
      </c>
      <c r="I697" s="31" t="s">
        <v>571</v>
      </c>
      <c r="J697" s="5" t="s">
        <v>391</v>
      </c>
      <c r="K697" s="8"/>
    </row>
    <row r="698" spans="1:11" x14ac:dyDescent="0.2">
      <c r="A698" s="8">
        <v>697</v>
      </c>
      <c r="B698" s="8">
        <f t="shared" si="22"/>
        <v>2021</v>
      </c>
      <c r="C698" s="8">
        <f t="shared" si="23"/>
        <v>3</v>
      </c>
      <c r="D698" s="85">
        <v>44270</v>
      </c>
      <c r="E698" s="31">
        <v>0</v>
      </c>
      <c r="F698" s="31">
        <v>75000</v>
      </c>
      <c r="G698" s="31">
        <v>0</v>
      </c>
      <c r="H698" s="31">
        <v>0</v>
      </c>
      <c r="I698" s="31" t="s">
        <v>571</v>
      </c>
      <c r="J698" s="5" t="s">
        <v>572</v>
      </c>
      <c r="K698" s="8"/>
    </row>
    <row r="699" spans="1:11" x14ac:dyDescent="0.2">
      <c r="A699" s="8">
        <v>698</v>
      </c>
      <c r="B699" s="8">
        <f t="shared" si="22"/>
        <v>2021</v>
      </c>
      <c r="C699" s="8">
        <f t="shared" si="23"/>
        <v>3</v>
      </c>
      <c r="D699" s="85">
        <v>44270</v>
      </c>
      <c r="E699" s="31">
        <v>0</v>
      </c>
      <c r="F699" s="31">
        <v>100000</v>
      </c>
      <c r="G699" s="31">
        <v>0</v>
      </c>
      <c r="H699" s="31">
        <v>0</v>
      </c>
      <c r="I699" s="31" t="s">
        <v>571</v>
      </c>
      <c r="J699" s="5" t="s">
        <v>573</v>
      </c>
      <c r="K699" s="8"/>
    </row>
    <row r="700" spans="1:11" x14ac:dyDescent="0.2">
      <c r="A700" s="8">
        <v>699</v>
      </c>
      <c r="B700" s="8">
        <f t="shared" si="22"/>
        <v>2021</v>
      </c>
      <c r="C700" s="8">
        <f t="shared" si="23"/>
        <v>3</v>
      </c>
      <c r="D700" s="85">
        <v>44256</v>
      </c>
      <c r="E700" s="31">
        <v>250000</v>
      </c>
      <c r="F700" s="31">
        <v>130000</v>
      </c>
      <c r="G700" s="31">
        <v>0</v>
      </c>
      <c r="H700" s="31">
        <v>0</v>
      </c>
      <c r="I700" s="31" t="s">
        <v>74</v>
      </c>
      <c r="J700" s="5" t="s">
        <v>666</v>
      </c>
      <c r="K700" s="8"/>
    </row>
    <row r="701" spans="1:11" x14ac:dyDescent="0.2">
      <c r="A701" s="8">
        <v>700</v>
      </c>
      <c r="B701" s="8">
        <f t="shared" si="22"/>
        <v>2021</v>
      </c>
      <c r="C701" s="8">
        <f t="shared" si="23"/>
        <v>3</v>
      </c>
      <c r="D701" s="85">
        <v>44270</v>
      </c>
      <c r="E701" s="31">
        <v>250000</v>
      </c>
      <c r="F701" s="31">
        <v>130000</v>
      </c>
      <c r="G701" s="31">
        <v>0</v>
      </c>
      <c r="H701" s="31">
        <v>0</v>
      </c>
      <c r="I701" s="31" t="s">
        <v>74</v>
      </c>
      <c r="J701" s="5" t="s">
        <v>667</v>
      </c>
      <c r="K701" s="8"/>
    </row>
    <row r="702" spans="1:11" x14ac:dyDescent="0.2">
      <c r="A702" s="8">
        <v>701</v>
      </c>
      <c r="B702" s="8">
        <f t="shared" si="22"/>
        <v>2021</v>
      </c>
      <c r="C702" s="8">
        <f t="shared" si="23"/>
        <v>3</v>
      </c>
      <c r="D702" s="85">
        <v>44271</v>
      </c>
      <c r="E702" s="31">
        <v>0</v>
      </c>
      <c r="F702" s="31">
        <v>30000</v>
      </c>
      <c r="G702" s="31">
        <v>0</v>
      </c>
      <c r="H702" s="31">
        <v>0</v>
      </c>
      <c r="I702" s="31" t="s">
        <v>85</v>
      </c>
      <c r="J702" s="5" t="s">
        <v>668</v>
      </c>
      <c r="K702" s="8"/>
    </row>
    <row r="703" spans="1:11" x14ac:dyDescent="0.2">
      <c r="A703" s="8">
        <v>702</v>
      </c>
      <c r="B703" s="8">
        <f t="shared" si="22"/>
        <v>2021</v>
      </c>
      <c r="C703" s="8">
        <f t="shared" si="23"/>
        <v>3</v>
      </c>
      <c r="D703" s="85">
        <v>44276</v>
      </c>
      <c r="E703" s="31">
        <v>0</v>
      </c>
      <c r="F703" s="31">
        <v>1400000</v>
      </c>
      <c r="G703" s="31">
        <v>0</v>
      </c>
      <c r="H703" s="31">
        <v>0</v>
      </c>
      <c r="I703" s="31" t="s">
        <v>85</v>
      </c>
      <c r="J703" s="5" t="s">
        <v>669</v>
      </c>
      <c r="K703" s="8"/>
    </row>
    <row r="704" spans="1:11" x14ac:dyDescent="0.2">
      <c r="A704" s="8">
        <v>703</v>
      </c>
      <c r="B704" s="8">
        <f t="shared" si="22"/>
        <v>2021</v>
      </c>
      <c r="C704" s="8">
        <f t="shared" si="23"/>
        <v>3</v>
      </c>
      <c r="D704" s="85">
        <v>44278</v>
      </c>
      <c r="E704" s="31">
        <v>0</v>
      </c>
      <c r="F704" s="31">
        <v>35000</v>
      </c>
      <c r="G704" s="31">
        <v>0</v>
      </c>
      <c r="H704" s="31">
        <v>0</v>
      </c>
      <c r="I704" s="31" t="s">
        <v>85</v>
      </c>
      <c r="J704" s="5" t="s">
        <v>670</v>
      </c>
      <c r="K704" s="8"/>
    </row>
    <row r="705" spans="1:11" x14ac:dyDescent="0.2">
      <c r="A705" s="8">
        <v>704</v>
      </c>
      <c r="B705" s="8">
        <f t="shared" si="22"/>
        <v>2021</v>
      </c>
      <c r="C705" s="8">
        <f t="shared" si="23"/>
        <v>3</v>
      </c>
      <c r="D705" s="85">
        <v>44279</v>
      </c>
      <c r="E705" s="31">
        <v>0</v>
      </c>
      <c r="F705" s="31">
        <v>40000</v>
      </c>
      <c r="G705" s="31">
        <v>0</v>
      </c>
      <c r="H705" s="31">
        <v>0</v>
      </c>
      <c r="I705" s="31" t="s">
        <v>85</v>
      </c>
      <c r="J705" s="5" t="s">
        <v>671</v>
      </c>
      <c r="K705" s="8"/>
    </row>
    <row r="706" spans="1:11" x14ac:dyDescent="0.2">
      <c r="A706" s="8">
        <v>705</v>
      </c>
      <c r="B706" s="8">
        <f t="shared" si="22"/>
        <v>2021</v>
      </c>
      <c r="C706" s="8">
        <f t="shared" si="23"/>
        <v>3</v>
      </c>
      <c r="D706" s="85">
        <v>44279</v>
      </c>
      <c r="E706" s="31">
        <v>0</v>
      </c>
      <c r="F706" s="31">
        <v>20000</v>
      </c>
      <c r="G706" s="31">
        <v>0</v>
      </c>
      <c r="H706" s="31">
        <v>0</v>
      </c>
      <c r="I706" s="31" t="s">
        <v>85</v>
      </c>
      <c r="J706" s="5" t="s">
        <v>672</v>
      </c>
      <c r="K706" s="8"/>
    </row>
    <row r="707" spans="1:11" x14ac:dyDescent="0.2">
      <c r="A707" s="8">
        <v>706</v>
      </c>
      <c r="B707" s="8">
        <f t="shared" si="22"/>
        <v>2021</v>
      </c>
      <c r="C707" s="8">
        <f t="shared" si="23"/>
        <v>3</v>
      </c>
      <c r="D707" s="85">
        <v>44280</v>
      </c>
      <c r="E707" s="31">
        <v>0</v>
      </c>
      <c r="F707" s="31">
        <v>150000</v>
      </c>
      <c r="G707" s="31">
        <v>0</v>
      </c>
      <c r="H707" s="31">
        <v>0</v>
      </c>
      <c r="I707" s="31" t="s">
        <v>85</v>
      </c>
      <c r="J707" s="5" t="s">
        <v>673</v>
      </c>
      <c r="K707" s="8"/>
    </row>
    <row r="708" spans="1:11" x14ac:dyDescent="0.2">
      <c r="A708" s="8">
        <v>707</v>
      </c>
      <c r="B708" s="8">
        <f t="shared" si="22"/>
        <v>2021</v>
      </c>
      <c r="C708" s="8">
        <f t="shared" si="23"/>
        <v>3</v>
      </c>
      <c r="D708" s="85">
        <v>44280</v>
      </c>
      <c r="E708" s="31">
        <v>0</v>
      </c>
      <c r="F708" s="31">
        <v>75000</v>
      </c>
      <c r="G708" s="31">
        <v>0</v>
      </c>
      <c r="H708" s="31">
        <v>0</v>
      </c>
      <c r="I708" s="31" t="s">
        <v>85</v>
      </c>
      <c r="J708" s="5" t="s">
        <v>674</v>
      </c>
      <c r="K708" s="8"/>
    </row>
    <row r="709" spans="1:11" x14ac:dyDescent="0.2">
      <c r="A709" s="8">
        <v>708</v>
      </c>
      <c r="B709" s="8">
        <f t="shared" si="22"/>
        <v>2021</v>
      </c>
      <c r="C709" s="8">
        <f t="shared" si="23"/>
        <v>3</v>
      </c>
      <c r="D709" s="85">
        <v>44280</v>
      </c>
      <c r="E709" s="31">
        <v>0</v>
      </c>
      <c r="F709" s="31">
        <v>110000</v>
      </c>
      <c r="G709" s="31">
        <v>0</v>
      </c>
      <c r="H709" s="31">
        <v>0</v>
      </c>
      <c r="I709" s="31" t="s">
        <v>85</v>
      </c>
      <c r="J709" s="5" t="s">
        <v>675</v>
      </c>
      <c r="K709" s="8"/>
    </row>
    <row r="710" spans="1:11" x14ac:dyDescent="0.2">
      <c r="A710" s="8">
        <v>709</v>
      </c>
      <c r="B710" s="8">
        <f t="shared" ref="B710:B773" si="24">YEAR(D710)</f>
        <v>2021</v>
      </c>
      <c r="C710" s="8">
        <f t="shared" ref="C710:C773" si="25">MONTH(D710)</f>
        <v>3</v>
      </c>
      <c r="D710" s="85">
        <v>44267</v>
      </c>
      <c r="E710" s="31">
        <v>620000</v>
      </c>
      <c r="F710" s="31">
        <v>0</v>
      </c>
      <c r="G710" s="31">
        <v>0</v>
      </c>
      <c r="H710" s="31">
        <v>0</v>
      </c>
      <c r="I710" s="31" t="s">
        <v>676</v>
      </c>
      <c r="J710" s="5" t="s">
        <v>677</v>
      </c>
      <c r="K710" s="8"/>
    </row>
    <row r="711" spans="1:11" x14ac:dyDescent="0.2">
      <c r="A711" s="8">
        <v>710</v>
      </c>
      <c r="B711" s="8">
        <f t="shared" si="24"/>
        <v>2021</v>
      </c>
      <c r="C711" s="8">
        <f t="shared" si="25"/>
        <v>3</v>
      </c>
      <c r="D711" s="85">
        <v>44282</v>
      </c>
      <c r="E711" s="31">
        <v>0</v>
      </c>
      <c r="F711" s="31">
        <v>90000</v>
      </c>
      <c r="G711" s="31">
        <v>0</v>
      </c>
      <c r="H711" s="31">
        <v>0</v>
      </c>
      <c r="I711" s="31" t="s">
        <v>83</v>
      </c>
      <c r="J711" s="5" t="s">
        <v>678</v>
      </c>
      <c r="K711" s="8">
        <v>342</v>
      </c>
    </row>
    <row r="712" spans="1:11" x14ac:dyDescent="0.2">
      <c r="A712" s="8">
        <v>711</v>
      </c>
      <c r="B712" s="8">
        <f t="shared" si="24"/>
        <v>2021</v>
      </c>
      <c r="C712" s="8">
        <f t="shared" si="25"/>
        <v>3</v>
      </c>
      <c r="D712" s="85">
        <v>44282</v>
      </c>
      <c r="E712" s="31">
        <v>0</v>
      </c>
      <c r="F712" s="31">
        <v>20000</v>
      </c>
      <c r="G712" s="31">
        <v>0</v>
      </c>
      <c r="H712" s="31">
        <v>0</v>
      </c>
      <c r="I712" s="31" t="s">
        <v>85</v>
      </c>
      <c r="J712" s="5" t="s">
        <v>679</v>
      </c>
      <c r="K712" s="8"/>
    </row>
    <row r="713" spans="1:11" x14ac:dyDescent="0.2">
      <c r="A713" s="8">
        <v>712</v>
      </c>
      <c r="B713" s="8">
        <f t="shared" si="24"/>
        <v>2021</v>
      </c>
      <c r="C713" s="8">
        <f t="shared" si="25"/>
        <v>3</v>
      </c>
      <c r="D713" s="85">
        <v>44282</v>
      </c>
      <c r="E713" s="31">
        <v>0</v>
      </c>
      <c r="F713" s="31">
        <v>200000</v>
      </c>
      <c r="G713" s="31">
        <v>0</v>
      </c>
      <c r="H713" s="31">
        <v>0</v>
      </c>
      <c r="I713" s="31" t="s">
        <v>85</v>
      </c>
      <c r="J713" s="5" t="s">
        <v>680</v>
      </c>
      <c r="K713" s="8"/>
    </row>
    <row r="714" spans="1:11" x14ac:dyDescent="0.2">
      <c r="A714" s="8">
        <v>713</v>
      </c>
      <c r="B714" s="8">
        <f t="shared" si="24"/>
        <v>2021</v>
      </c>
      <c r="C714" s="8">
        <f t="shared" si="25"/>
        <v>3</v>
      </c>
      <c r="D714" s="85">
        <v>44282</v>
      </c>
      <c r="E714" s="31">
        <v>0</v>
      </c>
      <c r="F714" s="31">
        <v>35000</v>
      </c>
      <c r="G714" s="31">
        <v>0</v>
      </c>
      <c r="H714" s="31">
        <v>0</v>
      </c>
      <c r="I714" s="31" t="s">
        <v>85</v>
      </c>
      <c r="J714" s="5" t="s">
        <v>681</v>
      </c>
      <c r="K714" s="8"/>
    </row>
    <row r="715" spans="1:11" x14ac:dyDescent="0.2">
      <c r="A715" s="8">
        <v>714</v>
      </c>
      <c r="B715" s="8">
        <f t="shared" si="24"/>
        <v>2021</v>
      </c>
      <c r="C715" s="8">
        <f t="shared" si="25"/>
        <v>3</v>
      </c>
      <c r="D715" s="85">
        <v>44283</v>
      </c>
      <c r="E715" s="31">
        <v>0</v>
      </c>
      <c r="F715" s="31">
        <v>600000</v>
      </c>
      <c r="G715" s="31">
        <v>0</v>
      </c>
      <c r="H715" s="31">
        <v>0</v>
      </c>
      <c r="I715" s="31" t="s">
        <v>201</v>
      </c>
      <c r="J715" s="5" t="s">
        <v>682</v>
      </c>
      <c r="K715" s="8"/>
    </row>
    <row r="716" spans="1:11" x14ac:dyDescent="0.2">
      <c r="A716" s="8">
        <v>715</v>
      </c>
      <c r="B716" s="8">
        <f t="shared" si="24"/>
        <v>2021</v>
      </c>
      <c r="C716" s="8">
        <f t="shared" si="25"/>
        <v>3</v>
      </c>
      <c r="D716" s="85">
        <v>44283</v>
      </c>
      <c r="E716" s="31">
        <v>0</v>
      </c>
      <c r="F716" s="31">
        <v>30000</v>
      </c>
      <c r="G716" s="31">
        <v>0</v>
      </c>
      <c r="H716" s="31">
        <v>0</v>
      </c>
      <c r="I716" s="31" t="s">
        <v>85</v>
      </c>
      <c r="J716" s="5" t="s">
        <v>683</v>
      </c>
      <c r="K716" s="8"/>
    </row>
    <row r="717" spans="1:11" x14ac:dyDescent="0.2">
      <c r="A717" s="8">
        <v>716</v>
      </c>
      <c r="B717" s="8">
        <f t="shared" si="24"/>
        <v>2021</v>
      </c>
      <c r="C717" s="8">
        <f t="shared" si="25"/>
        <v>3</v>
      </c>
      <c r="D717" s="85">
        <v>44284</v>
      </c>
      <c r="E717" s="31">
        <v>0</v>
      </c>
      <c r="F717" s="31">
        <v>200000</v>
      </c>
      <c r="G717" s="31">
        <v>0</v>
      </c>
      <c r="H717" s="31">
        <v>0</v>
      </c>
      <c r="I717" s="31" t="s">
        <v>85</v>
      </c>
      <c r="J717" s="5" t="s">
        <v>684</v>
      </c>
      <c r="K717" s="8"/>
    </row>
    <row r="718" spans="1:11" x14ac:dyDescent="0.2">
      <c r="A718" s="8">
        <v>717</v>
      </c>
      <c r="B718" s="8">
        <f t="shared" si="24"/>
        <v>2021</v>
      </c>
      <c r="C718" s="8">
        <f t="shared" si="25"/>
        <v>3</v>
      </c>
      <c r="D718" s="85">
        <v>44284</v>
      </c>
      <c r="E718" s="31">
        <v>0</v>
      </c>
      <c r="F718" s="31">
        <v>20000</v>
      </c>
      <c r="G718" s="31">
        <v>0</v>
      </c>
      <c r="H718" s="31">
        <v>0</v>
      </c>
      <c r="I718" s="31" t="s">
        <v>85</v>
      </c>
      <c r="J718" s="5" t="s">
        <v>685</v>
      </c>
      <c r="K718" s="8"/>
    </row>
    <row r="719" spans="1:11" x14ac:dyDescent="0.2">
      <c r="A719" s="8">
        <v>718</v>
      </c>
      <c r="B719" s="8">
        <f t="shared" si="24"/>
        <v>2021</v>
      </c>
      <c r="C719" s="8">
        <f t="shared" si="25"/>
        <v>3</v>
      </c>
      <c r="D719" s="85">
        <v>44284</v>
      </c>
      <c r="E719" s="31">
        <v>0</v>
      </c>
      <c r="F719" s="31">
        <v>0</v>
      </c>
      <c r="G719" s="35"/>
      <c r="H719" s="31">
        <v>0</v>
      </c>
      <c r="I719" s="31" t="s">
        <v>92</v>
      </c>
      <c r="J719" s="5" t="s">
        <v>686</v>
      </c>
      <c r="K719" s="8"/>
    </row>
    <row r="720" spans="1:11" x14ac:dyDescent="0.2">
      <c r="A720" s="8">
        <v>719</v>
      </c>
      <c r="B720" s="8">
        <f t="shared" si="24"/>
        <v>2021</v>
      </c>
      <c r="C720" s="8">
        <f t="shared" si="25"/>
        <v>3</v>
      </c>
      <c r="D720" s="85">
        <v>44285</v>
      </c>
      <c r="E720" s="31">
        <v>0</v>
      </c>
      <c r="F720" s="31">
        <v>30000</v>
      </c>
      <c r="G720" s="31">
        <v>0</v>
      </c>
      <c r="H720" s="31">
        <v>0</v>
      </c>
      <c r="I720" s="31" t="s">
        <v>85</v>
      </c>
      <c r="J720" s="5" t="s">
        <v>687</v>
      </c>
      <c r="K720" s="8"/>
    </row>
    <row r="721" spans="1:11" x14ac:dyDescent="0.2">
      <c r="A721" s="8">
        <v>720</v>
      </c>
      <c r="B721" s="8">
        <f t="shared" si="24"/>
        <v>2021</v>
      </c>
      <c r="C721" s="8">
        <f t="shared" si="25"/>
        <v>3</v>
      </c>
      <c r="D721" s="85">
        <v>44286</v>
      </c>
      <c r="E721" s="31">
        <v>0</v>
      </c>
      <c r="F721" s="31">
        <v>11000</v>
      </c>
      <c r="G721" s="31">
        <v>0</v>
      </c>
      <c r="H721" s="31">
        <v>0</v>
      </c>
      <c r="I721" s="31" t="s">
        <v>85</v>
      </c>
      <c r="J721" s="5" t="s">
        <v>605</v>
      </c>
      <c r="K721" s="8"/>
    </row>
    <row r="722" spans="1:11" x14ac:dyDescent="0.2">
      <c r="A722" s="8">
        <v>721</v>
      </c>
      <c r="B722" s="8">
        <f t="shared" si="24"/>
        <v>2021</v>
      </c>
      <c r="C722" s="8">
        <f t="shared" si="25"/>
        <v>3</v>
      </c>
      <c r="D722" s="86">
        <v>44286</v>
      </c>
      <c r="E722" s="45">
        <v>0</v>
      </c>
      <c r="F722" s="45">
        <v>470000</v>
      </c>
      <c r="G722" s="45">
        <v>0</v>
      </c>
      <c r="H722" s="45">
        <v>0</v>
      </c>
      <c r="I722" s="45" t="s">
        <v>364</v>
      </c>
      <c r="J722" s="25" t="s">
        <v>688</v>
      </c>
      <c r="K722" s="29"/>
    </row>
    <row r="723" spans="1:11" x14ac:dyDescent="0.2">
      <c r="A723" s="8">
        <v>722</v>
      </c>
      <c r="B723" s="8">
        <f t="shared" si="24"/>
        <v>2021</v>
      </c>
      <c r="C723" s="8">
        <f t="shared" si="25"/>
        <v>4</v>
      </c>
      <c r="D723" s="85">
        <v>44287</v>
      </c>
      <c r="E723" s="31">
        <v>0</v>
      </c>
      <c r="F723" s="31">
        <v>120000</v>
      </c>
      <c r="G723" s="31">
        <v>0</v>
      </c>
      <c r="H723" s="31">
        <v>0</v>
      </c>
      <c r="I723" s="31" t="s">
        <v>83</v>
      </c>
      <c r="J723" s="5" t="s">
        <v>689</v>
      </c>
      <c r="K723" s="8">
        <v>294</v>
      </c>
    </row>
    <row r="724" spans="1:11" x14ac:dyDescent="0.2">
      <c r="A724" s="8">
        <v>723</v>
      </c>
      <c r="B724" s="8">
        <f t="shared" si="24"/>
        <v>2021</v>
      </c>
      <c r="C724" s="8">
        <f t="shared" si="25"/>
        <v>4</v>
      </c>
      <c r="D724" s="85">
        <v>44287</v>
      </c>
      <c r="E724" s="31">
        <v>0</v>
      </c>
      <c r="F724" s="31">
        <v>20000</v>
      </c>
      <c r="G724" s="31">
        <v>0</v>
      </c>
      <c r="H724" s="31">
        <v>0</v>
      </c>
      <c r="I724" s="31" t="s">
        <v>85</v>
      </c>
      <c r="J724" s="5" t="s">
        <v>690</v>
      </c>
      <c r="K724" s="8"/>
    </row>
    <row r="725" spans="1:11" x14ac:dyDescent="0.2">
      <c r="A725" s="8">
        <v>724</v>
      </c>
      <c r="B725" s="8">
        <f t="shared" si="24"/>
        <v>2021</v>
      </c>
      <c r="C725" s="8">
        <f t="shared" si="25"/>
        <v>4</v>
      </c>
      <c r="D725" s="85">
        <v>44288</v>
      </c>
      <c r="E725" s="31">
        <v>0</v>
      </c>
      <c r="F725" s="31">
        <v>30000</v>
      </c>
      <c r="G725" s="31">
        <v>0</v>
      </c>
      <c r="H725" s="31">
        <v>0</v>
      </c>
      <c r="I725" s="31" t="s">
        <v>85</v>
      </c>
      <c r="J725" s="5" t="s">
        <v>691</v>
      </c>
      <c r="K725" s="8"/>
    </row>
    <row r="726" spans="1:11" x14ac:dyDescent="0.2">
      <c r="A726" s="8">
        <v>725</v>
      </c>
      <c r="B726" s="8">
        <f t="shared" si="24"/>
        <v>2021</v>
      </c>
      <c r="C726" s="8">
        <f t="shared" si="25"/>
        <v>4</v>
      </c>
      <c r="D726" s="85">
        <v>44288</v>
      </c>
      <c r="E726" s="31">
        <v>0</v>
      </c>
      <c r="F726" s="31">
        <v>20000</v>
      </c>
      <c r="G726" s="31">
        <v>0</v>
      </c>
      <c r="H726" s="31">
        <v>0</v>
      </c>
      <c r="I726" s="31" t="s">
        <v>85</v>
      </c>
      <c r="J726" s="5" t="s">
        <v>692</v>
      </c>
      <c r="K726" s="8"/>
    </row>
    <row r="727" spans="1:11" x14ac:dyDescent="0.2">
      <c r="A727" s="8">
        <v>726</v>
      </c>
      <c r="B727" s="8">
        <f t="shared" si="24"/>
        <v>2021</v>
      </c>
      <c r="C727" s="8">
        <f t="shared" si="25"/>
        <v>4</v>
      </c>
      <c r="D727" s="85">
        <v>44289</v>
      </c>
      <c r="E727" s="31">
        <v>0</v>
      </c>
      <c r="F727" s="31">
        <v>15000</v>
      </c>
      <c r="G727" s="31">
        <v>0</v>
      </c>
      <c r="H727" s="31">
        <v>0</v>
      </c>
      <c r="I727" s="31" t="s">
        <v>85</v>
      </c>
      <c r="J727" s="5" t="s">
        <v>693</v>
      </c>
      <c r="K727" s="8"/>
    </row>
    <row r="728" spans="1:11" x14ac:dyDescent="0.2">
      <c r="A728" s="8">
        <v>727</v>
      </c>
      <c r="B728" s="8">
        <f t="shared" si="24"/>
        <v>2021</v>
      </c>
      <c r="C728" s="8">
        <f t="shared" si="25"/>
        <v>4</v>
      </c>
      <c r="D728" s="85">
        <v>44289</v>
      </c>
      <c r="E728" s="31">
        <v>0</v>
      </c>
      <c r="F728" s="31">
        <v>40000</v>
      </c>
      <c r="G728" s="31">
        <v>0</v>
      </c>
      <c r="H728" s="31">
        <v>0</v>
      </c>
      <c r="I728" s="31" t="s">
        <v>85</v>
      </c>
      <c r="J728" s="5" t="s">
        <v>694</v>
      </c>
      <c r="K728" s="8"/>
    </row>
    <row r="729" spans="1:11" x14ac:dyDescent="0.2">
      <c r="A729" s="8">
        <v>728</v>
      </c>
      <c r="B729" s="8">
        <f t="shared" si="24"/>
        <v>2021</v>
      </c>
      <c r="C729" s="8">
        <f t="shared" si="25"/>
        <v>4</v>
      </c>
      <c r="D729" s="85">
        <v>44290</v>
      </c>
      <c r="E729" s="31">
        <v>0</v>
      </c>
      <c r="F729" s="31">
        <v>50000</v>
      </c>
      <c r="G729" s="31">
        <v>0</v>
      </c>
      <c r="H729" s="31">
        <v>0</v>
      </c>
      <c r="I729" s="31" t="s">
        <v>85</v>
      </c>
      <c r="J729" s="5" t="s">
        <v>695</v>
      </c>
      <c r="K729" s="8"/>
    </row>
    <row r="730" spans="1:11" x14ac:dyDescent="0.2">
      <c r="A730" s="8">
        <v>729</v>
      </c>
      <c r="B730" s="8">
        <f t="shared" si="24"/>
        <v>2021</v>
      </c>
      <c r="C730" s="8">
        <f t="shared" si="25"/>
        <v>4</v>
      </c>
      <c r="D730" s="85">
        <v>44290</v>
      </c>
      <c r="E730" s="31">
        <v>0</v>
      </c>
      <c r="F730" s="31">
        <v>87000</v>
      </c>
      <c r="G730" s="31">
        <v>0</v>
      </c>
      <c r="H730" s="31">
        <v>0</v>
      </c>
      <c r="I730" s="31" t="s">
        <v>85</v>
      </c>
      <c r="J730" s="5" t="s">
        <v>696</v>
      </c>
      <c r="K730" s="8"/>
    </row>
    <row r="731" spans="1:11" x14ac:dyDescent="0.2">
      <c r="A731" s="8">
        <v>730</v>
      </c>
      <c r="B731" s="8">
        <f t="shared" si="24"/>
        <v>2021</v>
      </c>
      <c r="C731" s="8">
        <f t="shared" si="25"/>
        <v>4</v>
      </c>
      <c r="D731" s="85">
        <v>44291</v>
      </c>
      <c r="E731" s="31">
        <v>0</v>
      </c>
      <c r="F731" s="31">
        <v>50000</v>
      </c>
      <c r="G731" s="31">
        <v>0</v>
      </c>
      <c r="H731" s="31">
        <v>0</v>
      </c>
      <c r="I731" s="31" t="s">
        <v>85</v>
      </c>
      <c r="J731" s="5" t="s">
        <v>697</v>
      </c>
      <c r="K731" s="8"/>
    </row>
    <row r="732" spans="1:11" x14ac:dyDescent="0.2">
      <c r="A732" s="8">
        <v>731</v>
      </c>
      <c r="B732" s="8">
        <f t="shared" si="24"/>
        <v>2021</v>
      </c>
      <c r="C732" s="8">
        <f t="shared" si="25"/>
        <v>4</v>
      </c>
      <c r="D732" s="85">
        <v>44292</v>
      </c>
      <c r="E732" s="31">
        <v>0</v>
      </c>
      <c r="F732" s="31">
        <v>300000</v>
      </c>
      <c r="G732" s="31">
        <v>0</v>
      </c>
      <c r="H732" s="31">
        <v>0</v>
      </c>
      <c r="I732" s="31" t="s">
        <v>85</v>
      </c>
      <c r="J732" s="5" t="s">
        <v>611</v>
      </c>
      <c r="K732" s="8"/>
    </row>
    <row r="733" spans="1:11" x14ac:dyDescent="0.2">
      <c r="A733" s="8">
        <v>732</v>
      </c>
      <c r="B733" s="8">
        <f t="shared" si="24"/>
        <v>2021</v>
      </c>
      <c r="C733" s="8">
        <f t="shared" si="25"/>
        <v>4</v>
      </c>
      <c r="D733" s="85">
        <v>44292</v>
      </c>
      <c r="E733" s="31">
        <v>0</v>
      </c>
      <c r="F733" s="31">
        <v>300000</v>
      </c>
      <c r="G733" s="31">
        <v>0</v>
      </c>
      <c r="H733" s="31">
        <v>0</v>
      </c>
      <c r="I733" s="31" t="s">
        <v>85</v>
      </c>
      <c r="J733" s="5" t="s">
        <v>698</v>
      </c>
      <c r="K733" s="8"/>
    </row>
    <row r="734" spans="1:11" x14ac:dyDescent="0.2">
      <c r="A734" s="8">
        <v>733</v>
      </c>
      <c r="B734" s="8">
        <f t="shared" si="24"/>
        <v>2021</v>
      </c>
      <c r="C734" s="8">
        <f t="shared" si="25"/>
        <v>4</v>
      </c>
      <c r="D734" s="85">
        <v>44292</v>
      </c>
      <c r="E734" s="31">
        <v>0</v>
      </c>
      <c r="F734" s="31">
        <v>110000</v>
      </c>
      <c r="G734" s="31">
        <v>0</v>
      </c>
      <c r="H734" s="31">
        <v>0</v>
      </c>
      <c r="I734" s="31" t="s">
        <v>85</v>
      </c>
      <c r="J734" s="5" t="s">
        <v>699</v>
      </c>
      <c r="K734" s="8"/>
    </row>
    <row r="735" spans="1:11" x14ac:dyDescent="0.2">
      <c r="A735" s="8">
        <v>734</v>
      </c>
      <c r="B735" s="8">
        <f t="shared" si="24"/>
        <v>2021</v>
      </c>
      <c r="C735" s="8">
        <f t="shared" si="25"/>
        <v>4</v>
      </c>
      <c r="D735" s="85">
        <v>44292</v>
      </c>
      <c r="E735" s="31">
        <v>0</v>
      </c>
      <c r="F735" s="31">
        <v>0</v>
      </c>
      <c r="G735" s="31">
        <v>0</v>
      </c>
      <c r="H735" s="31">
        <v>190000</v>
      </c>
      <c r="I735" s="31" t="s">
        <v>85</v>
      </c>
      <c r="J735" s="5" t="s">
        <v>700</v>
      </c>
      <c r="K735" s="8"/>
    </row>
    <row r="736" spans="1:11" x14ac:dyDescent="0.2">
      <c r="A736" s="8">
        <v>735</v>
      </c>
      <c r="B736" s="8">
        <f t="shared" si="24"/>
        <v>2021</v>
      </c>
      <c r="C736" s="8">
        <f t="shared" si="25"/>
        <v>4</v>
      </c>
      <c r="D736" s="85">
        <v>44292</v>
      </c>
      <c r="E736" s="31">
        <v>0</v>
      </c>
      <c r="F736" s="31">
        <v>10500</v>
      </c>
      <c r="G736" s="31">
        <v>0</v>
      </c>
      <c r="H736" s="31">
        <v>0</v>
      </c>
      <c r="I736" s="31" t="s">
        <v>85</v>
      </c>
      <c r="J736" s="5" t="s">
        <v>97</v>
      </c>
      <c r="K736" s="8"/>
    </row>
    <row r="737" spans="1:11" x14ac:dyDescent="0.2">
      <c r="A737" s="8">
        <v>736</v>
      </c>
      <c r="B737" s="8">
        <f t="shared" si="24"/>
        <v>2021</v>
      </c>
      <c r="C737" s="8">
        <f t="shared" si="25"/>
        <v>4</v>
      </c>
      <c r="D737" s="85">
        <v>44293</v>
      </c>
      <c r="E737" s="31">
        <v>120000</v>
      </c>
      <c r="F737" s="31">
        <v>0</v>
      </c>
      <c r="G737" s="31">
        <v>0</v>
      </c>
      <c r="H737" s="31">
        <v>0</v>
      </c>
      <c r="I737" s="31" t="s">
        <v>109</v>
      </c>
      <c r="J737" s="5" t="s">
        <v>701</v>
      </c>
      <c r="K737" s="8"/>
    </row>
    <row r="738" spans="1:11" x14ac:dyDescent="0.2">
      <c r="A738" s="8">
        <v>737</v>
      </c>
      <c r="B738" s="8">
        <f t="shared" si="24"/>
        <v>2021</v>
      </c>
      <c r="C738" s="8">
        <f t="shared" si="25"/>
        <v>4</v>
      </c>
      <c r="D738" s="85">
        <v>44294</v>
      </c>
      <c r="E738" s="31">
        <v>0</v>
      </c>
      <c r="F738" s="31">
        <v>30000</v>
      </c>
      <c r="G738" s="31">
        <v>0</v>
      </c>
      <c r="H738" s="31">
        <v>0</v>
      </c>
      <c r="I738" s="31" t="s">
        <v>364</v>
      </c>
      <c r="J738" s="5" t="s">
        <v>702</v>
      </c>
      <c r="K738" s="8"/>
    </row>
    <row r="739" spans="1:11" x14ac:dyDescent="0.2">
      <c r="A739" s="8">
        <v>738</v>
      </c>
      <c r="B739" s="8">
        <f t="shared" si="24"/>
        <v>2021</v>
      </c>
      <c r="C739" s="8">
        <f t="shared" si="25"/>
        <v>4</v>
      </c>
      <c r="D739" s="85">
        <v>44294</v>
      </c>
      <c r="E739" s="31">
        <v>0</v>
      </c>
      <c r="F739" s="31">
        <v>20000</v>
      </c>
      <c r="G739" s="31">
        <v>0</v>
      </c>
      <c r="H739" s="31">
        <v>0</v>
      </c>
      <c r="I739" s="31" t="s">
        <v>364</v>
      </c>
      <c r="J739" s="5" t="s">
        <v>703</v>
      </c>
      <c r="K739" s="8"/>
    </row>
    <row r="740" spans="1:11" x14ac:dyDescent="0.2">
      <c r="A740" s="8">
        <v>739</v>
      </c>
      <c r="B740" s="8">
        <f t="shared" si="24"/>
        <v>2021</v>
      </c>
      <c r="C740" s="8">
        <f t="shared" si="25"/>
        <v>4</v>
      </c>
      <c r="D740" s="85">
        <v>44292</v>
      </c>
      <c r="E740" s="31">
        <v>400000</v>
      </c>
      <c r="F740" s="31">
        <v>0</v>
      </c>
      <c r="G740" s="31">
        <v>0</v>
      </c>
      <c r="H740" s="31">
        <v>0</v>
      </c>
      <c r="I740" s="31" t="s">
        <v>704</v>
      </c>
      <c r="J740" s="5" t="s">
        <v>705</v>
      </c>
      <c r="K740" s="8"/>
    </row>
    <row r="741" spans="1:11" x14ac:dyDescent="0.2">
      <c r="A741" s="8">
        <v>740</v>
      </c>
      <c r="B741" s="8">
        <f t="shared" si="24"/>
        <v>2021</v>
      </c>
      <c r="C741" s="8">
        <f t="shared" si="25"/>
        <v>4</v>
      </c>
      <c r="D741" s="85">
        <v>44294</v>
      </c>
      <c r="E741" s="31">
        <v>0</v>
      </c>
      <c r="F741" s="31">
        <v>0</v>
      </c>
      <c r="G741" s="35"/>
      <c r="H741" s="31">
        <v>0</v>
      </c>
      <c r="I741" s="31" t="s">
        <v>92</v>
      </c>
      <c r="J741" s="5" t="s">
        <v>706</v>
      </c>
      <c r="K741" s="8"/>
    </row>
    <row r="742" spans="1:11" x14ac:dyDescent="0.2">
      <c r="A742" s="8">
        <v>741</v>
      </c>
      <c r="B742" s="8">
        <f t="shared" si="24"/>
        <v>2021</v>
      </c>
      <c r="C742" s="8">
        <f t="shared" si="25"/>
        <v>4</v>
      </c>
      <c r="D742" s="85">
        <v>44295</v>
      </c>
      <c r="E742" s="31">
        <v>0</v>
      </c>
      <c r="F742" s="31">
        <v>10000</v>
      </c>
      <c r="G742" s="31">
        <v>0</v>
      </c>
      <c r="H742" s="31">
        <v>0</v>
      </c>
      <c r="I742" s="31" t="s">
        <v>364</v>
      </c>
      <c r="J742" s="5" t="s">
        <v>120</v>
      </c>
      <c r="K742" s="8"/>
    </row>
    <row r="743" spans="1:11" x14ac:dyDescent="0.2">
      <c r="A743" s="8">
        <v>742</v>
      </c>
      <c r="B743" s="8">
        <f t="shared" si="24"/>
        <v>2021</v>
      </c>
      <c r="C743" s="8">
        <f t="shared" si="25"/>
        <v>4</v>
      </c>
      <c r="D743" s="85">
        <v>44295</v>
      </c>
      <c r="E743" s="31">
        <v>300000</v>
      </c>
      <c r="F743" s="31">
        <v>200000</v>
      </c>
      <c r="G743" s="31">
        <v>0</v>
      </c>
      <c r="H743" s="31">
        <v>0</v>
      </c>
      <c r="I743" s="31" t="s">
        <v>109</v>
      </c>
      <c r="J743" s="5" t="s">
        <v>707</v>
      </c>
      <c r="K743" s="8"/>
    </row>
    <row r="744" spans="1:11" x14ac:dyDescent="0.2">
      <c r="A744" s="8">
        <v>743</v>
      </c>
      <c r="B744" s="8">
        <f t="shared" si="24"/>
        <v>2021</v>
      </c>
      <c r="C744" s="8">
        <f t="shared" si="25"/>
        <v>4</v>
      </c>
      <c r="D744" s="85">
        <v>44295</v>
      </c>
      <c r="E744" s="31">
        <v>140000</v>
      </c>
      <c r="F744" s="31">
        <v>90000</v>
      </c>
      <c r="G744" s="31">
        <v>0</v>
      </c>
      <c r="H744" s="31">
        <v>0</v>
      </c>
      <c r="I744" s="31" t="s">
        <v>109</v>
      </c>
      <c r="J744" s="5" t="s">
        <v>708</v>
      </c>
      <c r="K744" s="8"/>
    </row>
    <row r="745" spans="1:11" x14ac:dyDescent="0.2">
      <c r="A745" s="8">
        <v>744</v>
      </c>
      <c r="B745" s="8">
        <f t="shared" si="24"/>
        <v>2021</v>
      </c>
      <c r="C745" s="8">
        <f t="shared" si="25"/>
        <v>4</v>
      </c>
      <c r="D745" s="85">
        <v>44295</v>
      </c>
      <c r="E745" s="31">
        <v>60000</v>
      </c>
      <c r="F745" s="31">
        <v>0</v>
      </c>
      <c r="G745" s="31">
        <v>0</v>
      </c>
      <c r="H745" s="31">
        <v>0</v>
      </c>
      <c r="I745" s="31" t="s">
        <v>109</v>
      </c>
      <c r="J745" s="5" t="s">
        <v>709</v>
      </c>
      <c r="K745" s="8"/>
    </row>
    <row r="746" spans="1:11" x14ac:dyDescent="0.2">
      <c r="A746" s="8">
        <v>745</v>
      </c>
      <c r="B746" s="8">
        <f t="shared" si="24"/>
        <v>2021</v>
      </c>
      <c r="C746" s="8">
        <f t="shared" si="25"/>
        <v>4</v>
      </c>
      <c r="D746" s="85">
        <v>44295</v>
      </c>
      <c r="E746" s="31">
        <v>110000</v>
      </c>
      <c r="F746" s="31">
        <v>0</v>
      </c>
      <c r="G746" s="31">
        <v>0</v>
      </c>
      <c r="H746" s="31">
        <v>0</v>
      </c>
      <c r="I746" s="31" t="s">
        <v>109</v>
      </c>
      <c r="J746" s="5" t="s">
        <v>710</v>
      </c>
      <c r="K746" s="8"/>
    </row>
    <row r="747" spans="1:11" x14ac:dyDescent="0.2">
      <c r="A747" s="8">
        <v>746</v>
      </c>
      <c r="B747" s="8">
        <f t="shared" si="24"/>
        <v>2021</v>
      </c>
      <c r="C747" s="8">
        <f t="shared" si="25"/>
        <v>4</v>
      </c>
      <c r="D747" s="85">
        <v>44295</v>
      </c>
      <c r="E747" s="31">
        <v>0</v>
      </c>
      <c r="F747" s="31">
        <v>7000</v>
      </c>
      <c r="G747" s="31">
        <v>0</v>
      </c>
      <c r="H747" s="31">
        <v>0</v>
      </c>
      <c r="I747" s="31" t="s">
        <v>364</v>
      </c>
      <c r="J747" s="5" t="s">
        <v>711</v>
      </c>
      <c r="K747" s="8"/>
    </row>
    <row r="748" spans="1:11" x14ac:dyDescent="0.2">
      <c r="A748" s="8">
        <v>747</v>
      </c>
      <c r="B748" s="8">
        <f t="shared" si="24"/>
        <v>2021</v>
      </c>
      <c r="C748" s="8">
        <f t="shared" si="25"/>
        <v>4</v>
      </c>
      <c r="D748" s="85">
        <v>44296</v>
      </c>
      <c r="E748" s="31">
        <v>0</v>
      </c>
      <c r="F748" s="31">
        <v>91000</v>
      </c>
      <c r="G748" s="31">
        <v>0</v>
      </c>
      <c r="H748" s="31">
        <v>0</v>
      </c>
      <c r="I748" s="31" t="s">
        <v>83</v>
      </c>
      <c r="J748" s="5" t="s">
        <v>712</v>
      </c>
      <c r="K748" s="8">
        <v>417</v>
      </c>
    </row>
    <row r="749" spans="1:11" x14ac:dyDescent="0.2">
      <c r="A749" s="8">
        <v>748</v>
      </c>
      <c r="B749" s="8">
        <f t="shared" si="24"/>
        <v>2021</v>
      </c>
      <c r="C749" s="8">
        <f t="shared" si="25"/>
        <v>4</v>
      </c>
      <c r="D749" s="85">
        <v>44296</v>
      </c>
      <c r="E749" s="31">
        <v>28000</v>
      </c>
      <c r="F749" s="31">
        <v>0</v>
      </c>
      <c r="G749" s="31">
        <v>0</v>
      </c>
      <c r="H749" s="31">
        <v>19000</v>
      </c>
      <c r="I749" s="31" t="s">
        <v>109</v>
      </c>
      <c r="J749" s="5" t="s">
        <v>713</v>
      </c>
      <c r="K749" s="8"/>
    </row>
    <row r="750" spans="1:11" x14ac:dyDescent="0.2">
      <c r="A750" s="8">
        <v>749</v>
      </c>
      <c r="B750" s="8">
        <f t="shared" si="24"/>
        <v>2021</v>
      </c>
      <c r="C750" s="8">
        <f t="shared" si="25"/>
        <v>4</v>
      </c>
      <c r="D750" s="85">
        <v>44296</v>
      </c>
      <c r="E750" s="31">
        <v>190000</v>
      </c>
      <c r="F750" s="31">
        <v>0</v>
      </c>
      <c r="G750" s="31">
        <v>0</v>
      </c>
      <c r="H750" s="31">
        <v>140000</v>
      </c>
      <c r="I750" s="31" t="s">
        <v>109</v>
      </c>
      <c r="J750" s="5" t="s">
        <v>714</v>
      </c>
      <c r="K750" s="8"/>
    </row>
    <row r="751" spans="1:11" x14ac:dyDescent="0.2">
      <c r="A751" s="8">
        <v>750</v>
      </c>
      <c r="B751" s="8">
        <f t="shared" si="24"/>
        <v>2021</v>
      </c>
      <c r="C751" s="8">
        <f t="shared" si="25"/>
        <v>4</v>
      </c>
      <c r="D751" s="85">
        <v>44296</v>
      </c>
      <c r="E751" s="31">
        <v>25000</v>
      </c>
      <c r="F751" s="31">
        <v>0</v>
      </c>
      <c r="G751" s="31">
        <v>0</v>
      </c>
      <c r="H751" s="31">
        <v>15000</v>
      </c>
      <c r="I751" s="31" t="s">
        <v>109</v>
      </c>
      <c r="J751" s="5" t="s">
        <v>715</v>
      </c>
      <c r="K751" s="8"/>
    </row>
    <row r="752" spans="1:11" x14ac:dyDescent="0.2">
      <c r="A752" s="8">
        <v>751</v>
      </c>
      <c r="B752" s="8">
        <f t="shared" si="24"/>
        <v>2021</v>
      </c>
      <c r="C752" s="8">
        <f t="shared" si="25"/>
        <v>4</v>
      </c>
      <c r="D752" s="85">
        <v>44296</v>
      </c>
      <c r="E752" s="31">
        <v>180000</v>
      </c>
      <c r="F752" s="31">
        <v>0</v>
      </c>
      <c r="G752" s="31">
        <v>0</v>
      </c>
      <c r="H752" s="31">
        <v>0</v>
      </c>
      <c r="I752" s="31" t="s">
        <v>109</v>
      </c>
      <c r="J752" s="5" t="s">
        <v>716</v>
      </c>
      <c r="K752" s="8"/>
    </row>
    <row r="753" spans="1:17" x14ac:dyDescent="0.2">
      <c r="A753" s="8">
        <v>752</v>
      </c>
      <c r="B753" s="8">
        <f t="shared" si="24"/>
        <v>2021</v>
      </c>
      <c r="C753" s="8">
        <f t="shared" si="25"/>
        <v>4</v>
      </c>
      <c r="D753" s="85">
        <v>44296</v>
      </c>
      <c r="E753" s="31">
        <v>0</v>
      </c>
      <c r="F753" s="31">
        <v>0</v>
      </c>
      <c r="G753" s="31">
        <v>0</v>
      </c>
      <c r="H753" s="31">
        <v>140000</v>
      </c>
      <c r="I753" s="31" t="s">
        <v>74</v>
      </c>
      <c r="J753" s="5" t="s">
        <v>717</v>
      </c>
      <c r="K753" s="8"/>
    </row>
    <row r="754" spans="1:17" x14ac:dyDescent="0.2">
      <c r="A754" s="8">
        <v>753</v>
      </c>
      <c r="B754" s="8">
        <f t="shared" si="24"/>
        <v>2021</v>
      </c>
      <c r="C754" s="8">
        <f t="shared" si="25"/>
        <v>4</v>
      </c>
      <c r="D754" s="85">
        <v>44297</v>
      </c>
      <c r="E754" s="31">
        <v>0</v>
      </c>
      <c r="F754" s="31">
        <v>57000</v>
      </c>
      <c r="G754" s="31">
        <v>0</v>
      </c>
      <c r="H754" s="31">
        <v>0</v>
      </c>
      <c r="I754" s="31" t="s">
        <v>85</v>
      </c>
      <c r="J754" s="5" t="s">
        <v>718</v>
      </c>
      <c r="K754" s="8"/>
    </row>
    <row r="755" spans="1:17" x14ac:dyDescent="0.2">
      <c r="A755" s="8">
        <v>754</v>
      </c>
      <c r="B755" s="8">
        <f t="shared" si="24"/>
        <v>2021</v>
      </c>
      <c r="C755" s="8">
        <f t="shared" si="25"/>
        <v>4</v>
      </c>
      <c r="D755" s="85">
        <v>44297</v>
      </c>
      <c r="E755" s="31">
        <v>0</v>
      </c>
      <c r="F755" s="31">
        <v>50000</v>
      </c>
      <c r="G755" s="31">
        <v>0</v>
      </c>
      <c r="H755" s="31">
        <v>0</v>
      </c>
      <c r="I755" s="31" t="s">
        <v>85</v>
      </c>
      <c r="J755" s="5" t="s">
        <v>719</v>
      </c>
      <c r="K755" s="8"/>
    </row>
    <row r="756" spans="1:17" x14ac:dyDescent="0.2">
      <c r="A756" s="8">
        <v>755</v>
      </c>
      <c r="B756" s="8">
        <f t="shared" si="24"/>
        <v>2021</v>
      </c>
      <c r="C756" s="8">
        <f t="shared" si="25"/>
        <v>4</v>
      </c>
      <c r="D756" s="85">
        <v>44298</v>
      </c>
      <c r="E756" s="31"/>
      <c r="F756" s="31"/>
      <c r="G756" s="31"/>
      <c r="H756" s="31">
        <v>0</v>
      </c>
      <c r="I756" s="31" t="s">
        <v>85</v>
      </c>
      <c r="J756" s="5"/>
      <c r="K756" s="8"/>
      <c r="Q756">
        <v>300</v>
      </c>
    </row>
    <row r="757" spans="1:17" x14ac:dyDescent="0.2">
      <c r="A757" s="8">
        <v>756</v>
      </c>
      <c r="B757" s="8">
        <f t="shared" si="24"/>
        <v>2021</v>
      </c>
      <c r="C757" s="8">
        <f t="shared" si="25"/>
        <v>4</v>
      </c>
      <c r="D757" s="85">
        <v>44299</v>
      </c>
      <c r="E757" s="31">
        <v>0</v>
      </c>
      <c r="F757" s="31">
        <v>20000</v>
      </c>
      <c r="G757" s="31">
        <v>0</v>
      </c>
      <c r="H757" s="31">
        <v>0</v>
      </c>
      <c r="I757" s="31" t="s">
        <v>85</v>
      </c>
      <c r="J757" s="5" t="s">
        <v>720</v>
      </c>
      <c r="K757" s="8"/>
      <c r="Q757">
        <v>300</v>
      </c>
    </row>
    <row r="758" spans="1:17" x14ac:dyDescent="0.2">
      <c r="A758" s="8">
        <v>757</v>
      </c>
      <c r="B758" s="8">
        <f t="shared" si="24"/>
        <v>2021</v>
      </c>
      <c r="C758" s="8">
        <f t="shared" si="25"/>
        <v>4</v>
      </c>
      <c r="D758" s="85">
        <v>44299</v>
      </c>
      <c r="E758" s="31">
        <v>0</v>
      </c>
      <c r="F758" s="31">
        <v>20000</v>
      </c>
      <c r="G758" s="31">
        <v>0</v>
      </c>
      <c r="H758" s="31">
        <v>0</v>
      </c>
      <c r="I758" s="31" t="s">
        <v>85</v>
      </c>
      <c r="J758" s="5" t="s">
        <v>721</v>
      </c>
      <c r="K758" s="8"/>
      <c r="L758" s="1" t="s">
        <v>722</v>
      </c>
      <c r="M758" s="1"/>
      <c r="Q758">
        <v>200</v>
      </c>
    </row>
    <row r="759" spans="1:17" x14ac:dyDescent="0.2">
      <c r="A759" s="8">
        <v>758</v>
      </c>
      <c r="B759" s="8">
        <f t="shared" si="24"/>
        <v>2021</v>
      </c>
      <c r="C759" s="8">
        <f t="shared" si="25"/>
        <v>4</v>
      </c>
      <c r="D759" s="85">
        <v>44299</v>
      </c>
      <c r="E759" s="31">
        <v>0</v>
      </c>
      <c r="F759" s="31">
        <v>56000</v>
      </c>
      <c r="G759" s="31">
        <v>0</v>
      </c>
      <c r="H759" s="31">
        <v>0</v>
      </c>
      <c r="I759" s="31" t="s">
        <v>85</v>
      </c>
      <c r="J759" s="5" t="s">
        <v>723</v>
      </c>
      <c r="K759" s="8"/>
      <c r="L759" s="1"/>
      <c r="M759" s="1"/>
    </row>
    <row r="760" spans="1:17" x14ac:dyDescent="0.2">
      <c r="A760" s="8">
        <v>759</v>
      </c>
      <c r="B760" s="8">
        <f t="shared" si="24"/>
        <v>2021</v>
      </c>
      <c r="C760" s="8">
        <f t="shared" si="25"/>
        <v>4</v>
      </c>
      <c r="D760" s="85">
        <v>44299</v>
      </c>
      <c r="E760" s="31">
        <v>0</v>
      </c>
      <c r="F760" s="31">
        <v>6000</v>
      </c>
      <c r="G760" s="31">
        <v>0</v>
      </c>
      <c r="H760" s="31">
        <v>0</v>
      </c>
      <c r="I760" s="31" t="s">
        <v>85</v>
      </c>
      <c r="J760" s="5" t="s">
        <v>724</v>
      </c>
      <c r="K760" s="8"/>
      <c r="L760" s="1"/>
      <c r="M760" s="1"/>
    </row>
    <row r="761" spans="1:17" x14ac:dyDescent="0.2">
      <c r="A761" s="8">
        <v>760</v>
      </c>
      <c r="B761" s="8">
        <f t="shared" si="24"/>
        <v>2021</v>
      </c>
      <c r="C761" s="8">
        <f t="shared" si="25"/>
        <v>4</v>
      </c>
      <c r="D761" s="85">
        <v>44299</v>
      </c>
      <c r="E761" s="31">
        <v>0</v>
      </c>
      <c r="F761" s="31">
        <v>52000</v>
      </c>
      <c r="G761" s="31">
        <v>0</v>
      </c>
      <c r="H761" s="31">
        <v>0</v>
      </c>
      <c r="I761" s="31" t="s">
        <v>85</v>
      </c>
      <c r="J761" s="5" t="s">
        <v>725</v>
      </c>
      <c r="K761" s="8"/>
      <c r="L761" s="1"/>
      <c r="M761" s="1"/>
    </row>
    <row r="762" spans="1:17" x14ac:dyDescent="0.2">
      <c r="A762" s="8">
        <v>761</v>
      </c>
      <c r="B762" s="8">
        <f t="shared" si="24"/>
        <v>2021</v>
      </c>
      <c r="C762" s="8">
        <f t="shared" si="25"/>
        <v>4</v>
      </c>
      <c r="D762" s="85">
        <v>44299</v>
      </c>
      <c r="E762" s="31">
        <v>0</v>
      </c>
      <c r="F762" s="31">
        <v>82000</v>
      </c>
      <c r="G762" s="31">
        <v>0</v>
      </c>
      <c r="H762" s="31">
        <v>0</v>
      </c>
      <c r="I762" s="31" t="s">
        <v>85</v>
      </c>
      <c r="J762" s="5" t="s">
        <v>726</v>
      </c>
      <c r="K762" s="8"/>
      <c r="L762" s="1"/>
      <c r="M762" s="1"/>
    </row>
    <row r="763" spans="1:17" x14ac:dyDescent="0.2">
      <c r="A763" s="8">
        <v>762</v>
      </c>
      <c r="B763" s="8">
        <f t="shared" si="24"/>
        <v>2021</v>
      </c>
      <c r="C763" s="8">
        <f t="shared" si="25"/>
        <v>4</v>
      </c>
      <c r="D763" s="85">
        <v>44300</v>
      </c>
      <c r="E763" s="31">
        <v>0</v>
      </c>
      <c r="F763" s="31">
        <v>15000</v>
      </c>
      <c r="G763" s="31">
        <v>0</v>
      </c>
      <c r="H763" s="31">
        <v>0</v>
      </c>
      <c r="I763" s="31" t="s">
        <v>85</v>
      </c>
      <c r="J763" s="5" t="s">
        <v>287</v>
      </c>
      <c r="K763" s="8"/>
      <c r="L763" s="1"/>
      <c r="M763" s="1"/>
    </row>
    <row r="764" spans="1:17" x14ac:dyDescent="0.2">
      <c r="A764" s="8">
        <v>763</v>
      </c>
      <c r="B764" s="8">
        <f t="shared" si="24"/>
        <v>2021</v>
      </c>
      <c r="C764" s="8">
        <f t="shared" si="25"/>
        <v>4</v>
      </c>
      <c r="D764" s="85">
        <v>44301</v>
      </c>
      <c r="E764" s="31">
        <v>0</v>
      </c>
      <c r="F764" s="31">
        <v>600000</v>
      </c>
      <c r="G764" s="31">
        <v>0</v>
      </c>
      <c r="H764" s="31">
        <v>0</v>
      </c>
      <c r="I764" s="31" t="s">
        <v>571</v>
      </c>
      <c r="J764" s="5" t="s">
        <v>307</v>
      </c>
      <c r="K764" s="8"/>
      <c r="L764" s="1"/>
      <c r="M764" s="1"/>
    </row>
    <row r="765" spans="1:17" x14ac:dyDescent="0.2">
      <c r="A765" s="8">
        <v>764</v>
      </c>
      <c r="B765" s="8">
        <f t="shared" si="24"/>
        <v>2021</v>
      </c>
      <c r="C765" s="8">
        <f t="shared" si="25"/>
        <v>4</v>
      </c>
      <c r="D765" s="85">
        <v>44301</v>
      </c>
      <c r="E765" s="31">
        <v>0</v>
      </c>
      <c r="F765" s="31">
        <v>325000</v>
      </c>
      <c r="G765" s="31">
        <v>0</v>
      </c>
      <c r="H765" s="31">
        <v>0</v>
      </c>
      <c r="I765" s="31" t="s">
        <v>571</v>
      </c>
      <c r="J765" s="5" t="s">
        <v>335</v>
      </c>
      <c r="K765" s="8"/>
      <c r="L765" s="1"/>
      <c r="M765" s="1"/>
    </row>
    <row r="766" spans="1:17" x14ac:dyDescent="0.2">
      <c r="A766" s="8">
        <v>765</v>
      </c>
      <c r="B766" s="8">
        <f t="shared" si="24"/>
        <v>2021</v>
      </c>
      <c r="C766" s="8">
        <f t="shared" si="25"/>
        <v>4</v>
      </c>
      <c r="D766" s="85">
        <v>44301</v>
      </c>
      <c r="E766" s="31">
        <v>0</v>
      </c>
      <c r="F766" s="31">
        <v>100000</v>
      </c>
      <c r="G766" s="31">
        <v>0</v>
      </c>
      <c r="H766" s="31">
        <v>0</v>
      </c>
      <c r="I766" s="31" t="s">
        <v>571</v>
      </c>
      <c r="J766" s="5" t="s">
        <v>391</v>
      </c>
      <c r="K766" s="8"/>
      <c r="L766" s="1"/>
      <c r="M766" s="1"/>
    </row>
    <row r="767" spans="1:17" x14ac:dyDescent="0.2">
      <c r="A767" s="8">
        <v>766</v>
      </c>
      <c r="B767" s="8">
        <f t="shared" si="24"/>
        <v>2021</v>
      </c>
      <c r="C767" s="8">
        <f t="shared" si="25"/>
        <v>4</v>
      </c>
      <c r="D767" s="85">
        <v>44301</v>
      </c>
      <c r="E767" s="31">
        <v>0</v>
      </c>
      <c r="F767" s="31">
        <v>75000</v>
      </c>
      <c r="G767" s="31">
        <v>0</v>
      </c>
      <c r="H767" s="31">
        <v>0</v>
      </c>
      <c r="I767" s="31" t="s">
        <v>571</v>
      </c>
      <c r="J767" s="5" t="s">
        <v>572</v>
      </c>
      <c r="K767" s="8"/>
      <c r="L767" s="1"/>
      <c r="M767" s="1"/>
    </row>
    <row r="768" spans="1:17" x14ac:dyDescent="0.2">
      <c r="A768" s="8">
        <v>767</v>
      </c>
      <c r="B768" s="8">
        <f t="shared" si="24"/>
        <v>2021</v>
      </c>
      <c r="C768" s="8">
        <f t="shared" si="25"/>
        <v>4</v>
      </c>
      <c r="D768" s="85">
        <v>44301</v>
      </c>
      <c r="E768" s="31">
        <v>0</v>
      </c>
      <c r="F768" s="31">
        <v>100000</v>
      </c>
      <c r="G768" s="31">
        <v>0</v>
      </c>
      <c r="H768" s="31">
        <v>0</v>
      </c>
      <c r="I768" s="31" t="s">
        <v>571</v>
      </c>
      <c r="J768" s="5" t="s">
        <v>573</v>
      </c>
      <c r="K768" s="8"/>
      <c r="L768" s="1"/>
      <c r="M768" s="1"/>
    </row>
    <row r="769" spans="1:13" x14ac:dyDescent="0.2">
      <c r="A769" s="8">
        <v>768</v>
      </c>
      <c r="B769" s="8">
        <f t="shared" si="24"/>
        <v>2021</v>
      </c>
      <c r="C769" s="8">
        <f t="shared" si="25"/>
        <v>4</v>
      </c>
      <c r="D769" s="85">
        <v>44302</v>
      </c>
      <c r="E769" s="31">
        <v>0</v>
      </c>
      <c r="F769" s="31">
        <v>50000</v>
      </c>
      <c r="G769" s="31">
        <v>0</v>
      </c>
      <c r="H769" s="31">
        <v>0</v>
      </c>
      <c r="I769" s="31" t="s">
        <v>85</v>
      </c>
      <c r="J769" s="5" t="s">
        <v>727</v>
      </c>
      <c r="K769" s="8"/>
      <c r="L769" s="1"/>
      <c r="M769" s="1"/>
    </row>
    <row r="770" spans="1:13" x14ac:dyDescent="0.2">
      <c r="A770" s="8">
        <v>769</v>
      </c>
      <c r="B770" s="8">
        <f t="shared" si="24"/>
        <v>2021</v>
      </c>
      <c r="C770" s="8">
        <f t="shared" si="25"/>
        <v>4</v>
      </c>
      <c r="D770" s="85">
        <v>44302</v>
      </c>
      <c r="E770" s="31">
        <v>0</v>
      </c>
      <c r="F770" s="31">
        <v>90000</v>
      </c>
      <c r="G770" s="31">
        <v>0</v>
      </c>
      <c r="H770" s="31">
        <v>0</v>
      </c>
      <c r="I770" s="31" t="s">
        <v>83</v>
      </c>
      <c r="J770" s="5" t="s">
        <v>728</v>
      </c>
      <c r="K770" s="8">
        <v>287</v>
      </c>
      <c r="L770" s="1"/>
      <c r="M770" s="1"/>
    </row>
    <row r="771" spans="1:13" x14ac:dyDescent="0.2">
      <c r="A771" s="8">
        <v>770</v>
      </c>
      <c r="B771" s="8">
        <f t="shared" si="24"/>
        <v>2021</v>
      </c>
      <c r="C771" s="8">
        <f t="shared" si="25"/>
        <v>4</v>
      </c>
      <c r="D771" s="85">
        <v>44305</v>
      </c>
      <c r="E771" s="31">
        <v>0</v>
      </c>
      <c r="F771" s="31">
        <v>5000</v>
      </c>
      <c r="G771" s="31">
        <v>0</v>
      </c>
      <c r="H771" s="31">
        <v>0</v>
      </c>
      <c r="I771" s="31" t="s">
        <v>85</v>
      </c>
      <c r="J771" s="5" t="s">
        <v>729</v>
      </c>
      <c r="K771" s="8"/>
      <c r="L771" s="1"/>
      <c r="M771" s="1"/>
    </row>
    <row r="772" spans="1:13" x14ac:dyDescent="0.2">
      <c r="A772" s="8">
        <v>771</v>
      </c>
      <c r="B772" s="8">
        <f t="shared" si="24"/>
        <v>2021</v>
      </c>
      <c r="C772" s="8">
        <f t="shared" si="25"/>
        <v>4</v>
      </c>
      <c r="D772" s="85">
        <v>44306</v>
      </c>
      <c r="E772" s="31">
        <v>0</v>
      </c>
      <c r="F772" s="31"/>
      <c r="G772" s="31">
        <v>0</v>
      </c>
      <c r="H772" s="31">
        <v>0</v>
      </c>
      <c r="I772" s="31" t="s">
        <v>85</v>
      </c>
      <c r="J772" s="5"/>
      <c r="K772" s="8"/>
      <c r="L772" s="1"/>
      <c r="M772" s="1"/>
    </row>
    <row r="773" spans="1:13" x14ac:dyDescent="0.2">
      <c r="A773" s="8">
        <v>772</v>
      </c>
      <c r="B773" s="8">
        <f t="shared" si="24"/>
        <v>2021</v>
      </c>
      <c r="C773" s="8">
        <f t="shared" si="25"/>
        <v>4</v>
      </c>
      <c r="D773" s="85">
        <v>44307</v>
      </c>
      <c r="E773" s="31">
        <v>0</v>
      </c>
      <c r="F773" s="31">
        <v>22000</v>
      </c>
      <c r="G773" s="31">
        <v>0</v>
      </c>
      <c r="H773" s="31">
        <v>0</v>
      </c>
      <c r="I773" s="31" t="s">
        <v>85</v>
      </c>
      <c r="J773" s="5" t="s">
        <v>458</v>
      </c>
      <c r="K773" s="8"/>
      <c r="L773" s="1"/>
      <c r="M773" s="1"/>
    </row>
    <row r="774" spans="1:13" x14ac:dyDescent="0.2">
      <c r="A774" s="8">
        <v>773</v>
      </c>
      <c r="B774" s="8">
        <f t="shared" ref="B774:B837" si="26">YEAR(D774)</f>
        <v>2021</v>
      </c>
      <c r="C774" s="8">
        <f t="shared" ref="C774:C837" si="27">MONTH(D774)</f>
        <v>4</v>
      </c>
      <c r="D774" s="85">
        <v>44307</v>
      </c>
      <c r="E774" s="31">
        <v>0</v>
      </c>
      <c r="F774" s="31">
        <v>4000</v>
      </c>
      <c r="G774" s="31">
        <v>0</v>
      </c>
      <c r="H774" s="31">
        <v>0</v>
      </c>
      <c r="I774" s="31" t="s">
        <v>85</v>
      </c>
      <c r="J774" s="5" t="s">
        <v>730</v>
      </c>
      <c r="K774" s="8"/>
      <c r="L774" s="1"/>
      <c r="M774" s="1"/>
    </row>
    <row r="775" spans="1:13" x14ac:dyDescent="0.2">
      <c r="A775" s="8">
        <v>774</v>
      </c>
      <c r="B775" s="8">
        <f t="shared" si="26"/>
        <v>2021</v>
      </c>
      <c r="C775" s="8">
        <f t="shared" si="27"/>
        <v>4</v>
      </c>
      <c r="D775" s="85">
        <v>44308</v>
      </c>
      <c r="E775" s="31">
        <v>0</v>
      </c>
      <c r="F775" s="31">
        <v>200000</v>
      </c>
      <c r="G775" s="31">
        <v>0</v>
      </c>
      <c r="H775" s="31">
        <v>0</v>
      </c>
      <c r="I775" s="31" t="s">
        <v>85</v>
      </c>
      <c r="J775" s="5" t="s">
        <v>680</v>
      </c>
      <c r="K775" s="8"/>
      <c r="L775" s="1"/>
      <c r="M775" s="1"/>
    </row>
    <row r="776" spans="1:13" x14ac:dyDescent="0.2">
      <c r="A776" s="8">
        <v>775</v>
      </c>
      <c r="B776" s="8">
        <f t="shared" si="26"/>
        <v>2021</v>
      </c>
      <c r="C776" s="8">
        <f t="shared" si="27"/>
        <v>4</v>
      </c>
      <c r="D776" s="85">
        <v>44309</v>
      </c>
      <c r="E776" s="31">
        <v>0</v>
      </c>
      <c r="F776" s="31"/>
      <c r="G776" s="31">
        <v>0</v>
      </c>
      <c r="H776" s="31">
        <v>0</v>
      </c>
      <c r="I776" s="31"/>
      <c r="J776" s="5"/>
      <c r="K776" s="8"/>
      <c r="L776" s="1"/>
      <c r="M776" s="1"/>
    </row>
    <row r="777" spans="1:13" x14ac:dyDescent="0.2">
      <c r="A777" s="8">
        <v>776</v>
      </c>
      <c r="B777" s="8">
        <f t="shared" si="26"/>
        <v>2021</v>
      </c>
      <c r="C777" s="8">
        <f t="shared" si="27"/>
        <v>4</v>
      </c>
      <c r="D777" s="85">
        <v>44310</v>
      </c>
      <c r="E777" s="31">
        <v>0</v>
      </c>
      <c r="F777" s="31">
        <v>25000</v>
      </c>
      <c r="G777" s="31">
        <v>0</v>
      </c>
      <c r="H777" s="31">
        <v>0</v>
      </c>
      <c r="I777" s="31" t="s">
        <v>287</v>
      </c>
      <c r="J777" s="5" t="s">
        <v>731</v>
      </c>
      <c r="K777" s="8"/>
      <c r="L777" s="1"/>
      <c r="M777" s="1"/>
    </row>
    <row r="778" spans="1:13" x14ac:dyDescent="0.2">
      <c r="A778" s="8">
        <v>777</v>
      </c>
      <c r="B778" s="8">
        <f t="shared" si="26"/>
        <v>2021</v>
      </c>
      <c r="C778" s="8">
        <f t="shared" si="27"/>
        <v>4</v>
      </c>
      <c r="D778" s="85">
        <v>44311</v>
      </c>
      <c r="E778" s="31">
        <v>0</v>
      </c>
      <c r="F778" s="31">
        <v>30000</v>
      </c>
      <c r="G778" s="31">
        <v>0</v>
      </c>
      <c r="H778" s="31">
        <v>0</v>
      </c>
      <c r="I778" s="31" t="s">
        <v>300</v>
      </c>
      <c r="J778" s="5" t="s">
        <v>732</v>
      </c>
      <c r="K778" s="8"/>
      <c r="L778" s="1"/>
      <c r="M778" s="1"/>
    </row>
    <row r="779" spans="1:13" x14ac:dyDescent="0.2">
      <c r="A779" s="8">
        <v>778</v>
      </c>
      <c r="B779" s="8">
        <f t="shared" si="26"/>
        <v>2021</v>
      </c>
      <c r="C779" s="8">
        <f t="shared" si="27"/>
        <v>4</v>
      </c>
      <c r="D779" s="85">
        <v>44312</v>
      </c>
      <c r="E779" s="31">
        <v>0</v>
      </c>
      <c r="F779" s="31">
        <v>0</v>
      </c>
      <c r="G779" s="31">
        <v>0</v>
      </c>
      <c r="H779" s="31">
        <v>0</v>
      </c>
      <c r="I779" s="31" t="s">
        <v>85</v>
      </c>
      <c r="J779" s="5"/>
      <c r="K779" s="8"/>
      <c r="L779" s="1"/>
      <c r="M779" s="1"/>
    </row>
    <row r="780" spans="1:13" x14ac:dyDescent="0.2">
      <c r="A780" s="8">
        <v>779</v>
      </c>
      <c r="B780" s="8">
        <f t="shared" si="26"/>
        <v>2021</v>
      </c>
      <c r="C780" s="8">
        <f t="shared" si="27"/>
        <v>4</v>
      </c>
      <c r="D780" s="85">
        <v>44313</v>
      </c>
      <c r="E780" s="31">
        <v>0</v>
      </c>
      <c r="F780" s="31">
        <v>52000</v>
      </c>
      <c r="G780" s="31">
        <v>0</v>
      </c>
      <c r="H780" s="31">
        <v>0</v>
      </c>
      <c r="I780" s="31" t="s">
        <v>85</v>
      </c>
      <c r="J780" s="5" t="s">
        <v>733</v>
      </c>
      <c r="K780" s="8"/>
      <c r="L780" s="1"/>
      <c r="M780" s="1"/>
    </row>
    <row r="781" spans="1:13" x14ac:dyDescent="0.2">
      <c r="A781" s="8">
        <v>780</v>
      </c>
      <c r="B781" s="8">
        <f t="shared" si="26"/>
        <v>2021</v>
      </c>
      <c r="C781" s="8">
        <f t="shared" si="27"/>
        <v>4</v>
      </c>
      <c r="D781" s="85">
        <v>44313</v>
      </c>
      <c r="E781" s="31">
        <v>0</v>
      </c>
      <c r="F781" s="31">
        <v>100000</v>
      </c>
      <c r="G781" s="31">
        <v>0</v>
      </c>
      <c r="H781" s="31">
        <v>0</v>
      </c>
      <c r="I781" s="31" t="s">
        <v>85</v>
      </c>
      <c r="J781" s="5" t="s">
        <v>734</v>
      </c>
      <c r="K781" s="8"/>
      <c r="L781" s="1"/>
      <c r="M781" s="1"/>
    </row>
    <row r="782" spans="1:13" x14ac:dyDescent="0.2">
      <c r="A782" s="8">
        <v>781</v>
      </c>
      <c r="B782" s="8">
        <f t="shared" si="26"/>
        <v>2021</v>
      </c>
      <c r="C782" s="8">
        <f t="shared" si="27"/>
        <v>4</v>
      </c>
      <c r="D782" s="85">
        <v>44313</v>
      </c>
      <c r="E782" s="31">
        <v>0</v>
      </c>
      <c r="F782" s="31">
        <v>300000</v>
      </c>
      <c r="G782" s="31">
        <v>0</v>
      </c>
      <c r="H782" s="31">
        <v>0</v>
      </c>
      <c r="I782" s="31" t="s">
        <v>85</v>
      </c>
      <c r="J782" s="5" t="s">
        <v>735</v>
      </c>
      <c r="K782" s="8"/>
      <c r="L782" s="1"/>
      <c r="M782" s="1"/>
    </row>
    <row r="783" spans="1:13" x14ac:dyDescent="0.2">
      <c r="A783" s="8">
        <v>782</v>
      </c>
      <c r="B783" s="8">
        <f t="shared" si="26"/>
        <v>2021</v>
      </c>
      <c r="C783" s="8">
        <f t="shared" si="27"/>
        <v>4</v>
      </c>
      <c r="D783" s="85">
        <v>44313</v>
      </c>
      <c r="E783" s="31">
        <v>110000</v>
      </c>
      <c r="F783" s="31">
        <v>0</v>
      </c>
      <c r="G783" s="31">
        <v>0</v>
      </c>
      <c r="H783" s="31">
        <v>0</v>
      </c>
      <c r="I783" s="31" t="s">
        <v>109</v>
      </c>
      <c r="J783" s="5" t="s">
        <v>370</v>
      </c>
      <c r="K783" s="8"/>
      <c r="L783" s="1"/>
      <c r="M783" s="1"/>
    </row>
    <row r="784" spans="1:13" x14ac:dyDescent="0.2">
      <c r="A784" s="8">
        <v>783</v>
      </c>
      <c r="B784" s="8">
        <f t="shared" si="26"/>
        <v>2021</v>
      </c>
      <c r="C784" s="8">
        <f t="shared" si="27"/>
        <v>4</v>
      </c>
      <c r="D784" s="85">
        <v>44313</v>
      </c>
      <c r="E784" s="31">
        <v>0</v>
      </c>
      <c r="F784" s="31">
        <v>250000</v>
      </c>
      <c r="G784" s="31">
        <v>0</v>
      </c>
      <c r="H784" s="31">
        <v>0</v>
      </c>
      <c r="I784" s="31" t="s">
        <v>85</v>
      </c>
      <c r="J784" s="5" t="s">
        <v>736</v>
      </c>
      <c r="K784" s="8"/>
      <c r="L784" s="1"/>
      <c r="M784" s="1"/>
    </row>
    <row r="785" spans="1:14" x14ac:dyDescent="0.2">
      <c r="A785" s="8">
        <v>784</v>
      </c>
      <c r="B785" s="8">
        <f t="shared" si="26"/>
        <v>2021</v>
      </c>
      <c r="C785" s="8">
        <f t="shared" si="27"/>
        <v>4</v>
      </c>
      <c r="D785" s="85">
        <v>44313</v>
      </c>
      <c r="E785" s="31">
        <v>0</v>
      </c>
      <c r="F785" s="31">
        <v>0</v>
      </c>
      <c r="G785" s="31">
        <v>0</v>
      </c>
      <c r="H785" s="31">
        <v>100000</v>
      </c>
      <c r="I785" s="31" t="s">
        <v>737</v>
      </c>
      <c r="J785" s="5" t="s">
        <v>738</v>
      </c>
      <c r="K785" s="8"/>
      <c r="L785" s="1"/>
      <c r="M785" s="1"/>
    </row>
    <row r="786" spans="1:14" x14ac:dyDescent="0.2">
      <c r="A786" s="8">
        <v>785</v>
      </c>
      <c r="B786" s="8">
        <f t="shared" si="26"/>
        <v>2021</v>
      </c>
      <c r="C786" s="8">
        <f t="shared" si="27"/>
        <v>4</v>
      </c>
      <c r="D786" s="85">
        <v>44313</v>
      </c>
      <c r="E786" s="31">
        <v>91200</v>
      </c>
      <c r="F786" s="31">
        <v>0</v>
      </c>
      <c r="G786" s="31"/>
      <c r="H786" s="31">
        <v>0</v>
      </c>
      <c r="I786" s="31" t="s">
        <v>92</v>
      </c>
      <c r="J786" s="5" t="s">
        <v>739</v>
      </c>
      <c r="K786" s="8"/>
      <c r="N786"/>
    </row>
    <row r="787" spans="1:14" x14ac:dyDescent="0.2">
      <c r="A787" s="8">
        <v>786</v>
      </c>
      <c r="B787" s="8">
        <f t="shared" si="26"/>
        <v>2021</v>
      </c>
      <c r="C787" s="8">
        <f t="shared" si="27"/>
        <v>4</v>
      </c>
      <c r="D787" s="85">
        <v>44315</v>
      </c>
      <c r="E787" s="31">
        <v>0</v>
      </c>
      <c r="F787" s="31">
        <v>140000</v>
      </c>
      <c r="G787" s="31">
        <v>0</v>
      </c>
      <c r="H787" s="31">
        <v>0</v>
      </c>
      <c r="I787" s="31" t="s">
        <v>85</v>
      </c>
      <c r="J787" s="5" t="s">
        <v>740</v>
      </c>
      <c r="K787" s="8"/>
      <c r="L787" s="1"/>
      <c r="M787" s="1"/>
    </row>
    <row r="788" spans="1:14" x14ac:dyDescent="0.2">
      <c r="A788" s="8">
        <v>787</v>
      </c>
      <c r="B788" s="8">
        <f t="shared" si="26"/>
        <v>2021</v>
      </c>
      <c r="C788" s="8">
        <f t="shared" si="27"/>
        <v>4</v>
      </c>
      <c r="D788" s="93">
        <v>44316</v>
      </c>
      <c r="E788" s="35">
        <v>0</v>
      </c>
      <c r="F788" s="35">
        <v>430000</v>
      </c>
      <c r="G788" s="35">
        <v>0</v>
      </c>
      <c r="H788" s="35">
        <v>0</v>
      </c>
      <c r="I788" s="35" t="s">
        <v>549</v>
      </c>
      <c r="J788" s="97" t="s">
        <v>741</v>
      </c>
      <c r="K788" s="35"/>
      <c r="L788" s="1"/>
      <c r="M788" s="1"/>
    </row>
    <row r="789" spans="1:14" x14ac:dyDescent="0.2">
      <c r="A789" s="8">
        <v>788</v>
      </c>
      <c r="B789" s="8">
        <f t="shared" si="26"/>
        <v>2021</v>
      </c>
      <c r="C789" s="8">
        <f t="shared" si="27"/>
        <v>4</v>
      </c>
      <c r="D789" s="103">
        <v>44316</v>
      </c>
      <c r="E789" s="104">
        <v>0</v>
      </c>
      <c r="F789" s="104">
        <v>130000</v>
      </c>
      <c r="G789" s="104">
        <v>0</v>
      </c>
      <c r="H789" s="104">
        <v>0</v>
      </c>
      <c r="I789" s="104" t="s">
        <v>92</v>
      </c>
      <c r="J789" s="105" t="s">
        <v>742</v>
      </c>
      <c r="K789" s="8"/>
    </row>
    <row r="790" spans="1:14" x14ac:dyDescent="0.2">
      <c r="A790" s="8">
        <v>789</v>
      </c>
      <c r="B790" s="8">
        <f t="shared" si="26"/>
        <v>2021</v>
      </c>
      <c r="C790" s="8">
        <f t="shared" si="27"/>
        <v>4</v>
      </c>
      <c r="D790" s="85">
        <v>44316</v>
      </c>
      <c r="E790" s="31">
        <v>0</v>
      </c>
      <c r="F790" s="31">
        <v>50000</v>
      </c>
      <c r="G790" s="31">
        <v>0</v>
      </c>
      <c r="H790" s="31">
        <v>0</v>
      </c>
      <c r="I790" s="31" t="s">
        <v>85</v>
      </c>
      <c r="J790" s="5" t="s">
        <v>114</v>
      </c>
      <c r="K790" s="8"/>
      <c r="L790" s="1"/>
      <c r="M790" s="1"/>
    </row>
    <row r="791" spans="1:14" x14ac:dyDescent="0.2">
      <c r="A791" s="8">
        <v>790</v>
      </c>
      <c r="B791" s="8">
        <f t="shared" si="26"/>
        <v>2021</v>
      </c>
      <c r="C791" s="8">
        <f t="shared" si="27"/>
        <v>4</v>
      </c>
      <c r="D791" s="85">
        <v>44316</v>
      </c>
      <c r="E791" s="31">
        <v>0</v>
      </c>
      <c r="F791" s="31">
        <v>20000</v>
      </c>
      <c r="G791" s="31">
        <v>0</v>
      </c>
      <c r="H791" s="31">
        <v>0</v>
      </c>
      <c r="I791" s="31" t="s">
        <v>85</v>
      </c>
      <c r="J791" s="5" t="s">
        <v>743</v>
      </c>
      <c r="K791" s="8"/>
      <c r="L791" s="1"/>
      <c r="M791" s="1"/>
    </row>
    <row r="792" spans="1:14" x14ac:dyDescent="0.2">
      <c r="A792" s="8">
        <v>791</v>
      </c>
      <c r="B792" s="8">
        <f t="shared" si="26"/>
        <v>2021</v>
      </c>
      <c r="C792" s="8">
        <f t="shared" si="27"/>
        <v>4</v>
      </c>
      <c r="D792" s="85">
        <v>44316</v>
      </c>
      <c r="E792" s="31">
        <v>599000</v>
      </c>
      <c r="F792" s="31">
        <v>0</v>
      </c>
      <c r="G792" s="31">
        <v>0</v>
      </c>
      <c r="H792" s="31">
        <v>0</v>
      </c>
      <c r="I792" s="31" t="s">
        <v>704</v>
      </c>
      <c r="J792" s="5" t="s">
        <v>744</v>
      </c>
      <c r="K792" s="8"/>
      <c r="L792" s="1"/>
      <c r="M792" s="1"/>
    </row>
    <row r="793" spans="1:14" x14ac:dyDescent="0.2">
      <c r="A793" s="8">
        <v>792</v>
      </c>
      <c r="B793" s="8">
        <f t="shared" si="26"/>
        <v>2021</v>
      </c>
      <c r="C793" s="8">
        <f t="shared" si="27"/>
        <v>5</v>
      </c>
      <c r="D793" s="85">
        <v>44317</v>
      </c>
      <c r="E793" s="31">
        <v>0</v>
      </c>
      <c r="F793" s="31">
        <v>83000</v>
      </c>
      <c r="G793" s="31">
        <v>0</v>
      </c>
      <c r="H793" s="31">
        <v>0</v>
      </c>
      <c r="I793" s="31" t="s">
        <v>83</v>
      </c>
      <c r="J793" s="5" t="s">
        <v>745</v>
      </c>
      <c r="K793" s="8"/>
      <c r="L793" s="1"/>
      <c r="M793" s="1"/>
    </row>
    <row r="794" spans="1:14" x14ac:dyDescent="0.2">
      <c r="A794" s="8">
        <v>793</v>
      </c>
      <c r="B794" s="8">
        <f t="shared" si="26"/>
        <v>2021</v>
      </c>
      <c r="C794" s="8">
        <f t="shared" si="27"/>
        <v>5</v>
      </c>
      <c r="D794" s="85">
        <v>44317</v>
      </c>
      <c r="E794" s="31">
        <v>0</v>
      </c>
      <c r="F794" s="31">
        <v>121000</v>
      </c>
      <c r="G794" s="31">
        <v>0</v>
      </c>
      <c r="H794" s="31">
        <v>0</v>
      </c>
      <c r="I794" s="31" t="s">
        <v>85</v>
      </c>
      <c r="J794" s="5" t="s">
        <v>746</v>
      </c>
      <c r="K794" s="8"/>
      <c r="L794" s="1"/>
      <c r="M794" s="1"/>
    </row>
    <row r="795" spans="1:14" x14ac:dyDescent="0.2">
      <c r="A795" s="8">
        <v>794</v>
      </c>
      <c r="B795" s="8">
        <f t="shared" si="26"/>
        <v>2021</v>
      </c>
      <c r="C795" s="8">
        <f t="shared" si="27"/>
        <v>5</v>
      </c>
      <c r="D795" s="85">
        <v>44317</v>
      </c>
      <c r="E795" s="31">
        <v>0</v>
      </c>
      <c r="F795" s="31">
        <v>38000</v>
      </c>
      <c r="G795" s="31">
        <v>0</v>
      </c>
      <c r="H795" s="31">
        <v>0</v>
      </c>
      <c r="I795" s="31" t="s">
        <v>85</v>
      </c>
      <c r="J795" s="5" t="s">
        <v>621</v>
      </c>
      <c r="K795" s="8"/>
      <c r="L795" s="1"/>
      <c r="M795" s="1"/>
    </row>
    <row r="796" spans="1:14" x14ac:dyDescent="0.2">
      <c r="A796" s="8">
        <v>795</v>
      </c>
      <c r="B796" s="8">
        <f t="shared" si="26"/>
        <v>2021</v>
      </c>
      <c r="C796" s="8">
        <f t="shared" si="27"/>
        <v>5</v>
      </c>
      <c r="D796" s="85">
        <v>44317</v>
      </c>
      <c r="E796" s="31">
        <v>0</v>
      </c>
      <c r="F796" s="31">
        <v>65000</v>
      </c>
      <c r="G796" s="31">
        <v>0</v>
      </c>
      <c r="H796" s="31">
        <v>0</v>
      </c>
      <c r="I796" s="31" t="s">
        <v>85</v>
      </c>
      <c r="J796" s="5" t="s">
        <v>747</v>
      </c>
      <c r="K796" s="8"/>
      <c r="L796" s="1"/>
      <c r="M796" s="1"/>
    </row>
    <row r="797" spans="1:14" x14ac:dyDescent="0.2">
      <c r="A797" s="8">
        <v>796</v>
      </c>
      <c r="B797" s="8">
        <f t="shared" si="26"/>
        <v>2021</v>
      </c>
      <c r="C797" s="8">
        <f t="shared" si="27"/>
        <v>5</v>
      </c>
      <c r="D797" s="85">
        <v>44317</v>
      </c>
      <c r="E797" s="31">
        <v>0</v>
      </c>
      <c r="F797" s="31">
        <v>28800</v>
      </c>
      <c r="G797" s="31">
        <v>0</v>
      </c>
      <c r="H797" s="31">
        <v>0</v>
      </c>
      <c r="I797" s="31" t="s">
        <v>85</v>
      </c>
      <c r="J797" s="5" t="s">
        <v>748</v>
      </c>
      <c r="K797" s="8"/>
      <c r="L797" s="1"/>
      <c r="M797" s="1"/>
    </row>
    <row r="798" spans="1:14" x14ac:dyDescent="0.2">
      <c r="A798" s="8">
        <v>797</v>
      </c>
      <c r="B798" s="8">
        <f t="shared" si="26"/>
        <v>2021</v>
      </c>
      <c r="C798" s="8">
        <f t="shared" si="27"/>
        <v>5</v>
      </c>
      <c r="D798" s="85">
        <v>44318</v>
      </c>
      <c r="E798" s="31">
        <v>0</v>
      </c>
      <c r="F798" s="31">
        <v>600000</v>
      </c>
      <c r="G798" s="31">
        <v>0</v>
      </c>
      <c r="H798" s="31">
        <v>0</v>
      </c>
      <c r="I798" s="31" t="s">
        <v>201</v>
      </c>
      <c r="J798" s="5" t="s">
        <v>201</v>
      </c>
      <c r="K798" s="8"/>
      <c r="L798" s="1"/>
      <c r="M798" s="1"/>
    </row>
    <row r="799" spans="1:14" x14ac:dyDescent="0.2">
      <c r="A799" s="8">
        <v>798</v>
      </c>
      <c r="B799" s="8">
        <f t="shared" si="26"/>
        <v>2021</v>
      </c>
      <c r="C799" s="8">
        <f t="shared" si="27"/>
        <v>5</v>
      </c>
      <c r="D799" s="85">
        <v>44319</v>
      </c>
      <c r="E799" s="31">
        <v>0</v>
      </c>
      <c r="F799" s="31">
        <v>530000</v>
      </c>
      <c r="G799" s="31">
        <v>0</v>
      </c>
      <c r="H799" s="31">
        <v>0</v>
      </c>
      <c r="I799" s="31" t="s">
        <v>85</v>
      </c>
      <c r="J799" s="5" t="s">
        <v>749</v>
      </c>
      <c r="K799" s="8"/>
      <c r="L799" s="1"/>
      <c r="M799" s="1"/>
    </row>
    <row r="800" spans="1:14" x14ac:dyDescent="0.2">
      <c r="A800" s="8">
        <v>799</v>
      </c>
      <c r="B800" s="8">
        <f t="shared" si="26"/>
        <v>2021</v>
      </c>
      <c r="C800" s="8">
        <f t="shared" si="27"/>
        <v>5</v>
      </c>
      <c r="D800" s="85">
        <v>44320</v>
      </c>
      <c r="E800" s="31">
        <v>0</v>
      </c>
      <c r="F800" s="31">
        <v>350000</v>
      </c>
      <c r="G800" s="31">
        <v>0</v>
      </c>
      <c r="H800" s="31">
        <v>0</v>
      </c>
      <c r="I800" s="31" t="s">
        <v>85</v>
      </c>
      <c r="J800" s="5" t="s">
        <v>750</v>
      </c>
      <c r="K800" s="8"/>
      <c r="L800" s="1"/>
      <c r="M800" s="1"/>
    </row>
    <row r="801" spans="1:14" x14ac:dyDescent="0.2">
      <c r="A801" s="8">
        <v>800</v>
      </c>
      <c r="B801" s="8">
        <f t="shared" si="26"/>
        <v>2021</v>
      </c>
      <c r="C801" s="8">
        <f t="shared" si="27"/>
        <v>5</v>
      </c>
      <c r="D801" s="85">
        <v>44321</v>
      </c>
      <c r="E801" s="31">
        <v>0</v>
      </c>
      <c r="F801" s="31">
        <v>290000</v>
      </c>
      <c r="G801" s="31">
        <v>0</v>
      </c>
      <c r="H801" s="31">
        <v>0</v>
      </c>
      <c r="I801" s="31" t="s">
        <v>85</v>
      </c>
      <c r="J801" s="5" t="s">
        <v>751</v>
      </c>
      <c r="K801" s="8"/>
      <c r="L801" s="1"/>
      <c r="M801" s="1"/>
    </row>
    <row r="802" spans="1:14" x14ac:dyDescent="0.2">
      <c r="A802" s="8">
        <v>801</v>
      </c>
      <c r="B802" s="8">
        <f t="shared" si="26"/>
        <v>2021</v>
      </c>
      <c r="C802" s="8">
        <f t="shared" si="27"/>
        <v>5</v>
      </c>
      <c r="D802" s="85">
        <v>44324</v>
      </c>
      <c r="E802" s="31">
        <v>0</v>
      </c>
      <c r="F802" s="31">
        <v>30000</v>
      </c>
      <c r="G802" s="31">
        <v>0</v>
      </c>
      <c r="H802" s="31">
        <v>0</v>
      </c>
      <c r="I802" s="31" t="s">
        <v>85</v>
      </c>
      <c r="J802" s="5" t="s">
        <v>562</v>
      </c>
      <c r="K802" s="8"/>
      <c r="L802" s="1"/>
      <c r="M802" s="1"/>
    </row>
    <row r="803" spans="1:14" x14ac:dyDescent="0.2">
      <c r="A803" s="8">
        <v>802</v>
      </c>
      <c r="B803" s="8">
        <f t="shared" si="26"/>
        <v>2021</v>
      </c>
      <c r="C803" s="8">
        <f t="shared" si="27"/>
        <v>5</v>
      </c>
      <c r="D803" s="85">
        <v>44324</v>
      </c>
      <c r="E803" s="31">
        <v>0</v>
      </c>
      <c r="F803" s="31">
        <v>10000</v>
      </c>
      <c r="G803" s="31">
        <v>0</v>
      </c>
      <c r="H803" s="31">
        <v>0</v>
      </c>
      <c r="I803" s="31" t="s">
        <v>85</v>
      </c>
      <c r="J803" s="5" t="s">
        <v>635</v>
      </c>
      <c r="K803" s="8"/>
      <c r="L803" s="1"/>
      <c r="M803" s="1"/>
    </row>
    <row r="804" spans="1:14" x14ac:dyDescent="0.2">
      <c r="A804" s="8">
        <v>803</v>
      </c>
      <c r="B804" s="8">
        <f t="shared" si="26"/>
        <v>2021</v>
      </c>
      <c r="C804" s="8">
        <f t="shared" si="27"/>
        <v>5</v>
      </c>
      <c r="D804" s="85">
        <v>44325</v>
      </c>
      <c r="E804" s="31">
        <v>0</v>
      </c>
      <c r="F804" s="31">
        <v>10000</v>
      </c>
      <c r="G804" s="31">
        <v>0</v>
      </c>
      <c r="H804" s="31">
        <v>0</v>
      </c>
      <c r="I804" s="31" t="s">
        <v>85</v>
      </c>
      <c r="J804" s="5" t="s">
        <v>287</v>
      </c>
      <c r="K804" s="8"/>
      <c r="L804" s="1"/>
      <c r="M804" s="1"/>
    </row>
    <row r="805" spans="1:14" x14ac:dyDescent="0.2">
      <c r="A805" s="8">
        <v>804</v>
      </c>
      <c r="B805" s="8">
        <f t="shared" si="26"/>
        <v>2021</v>
      </c>
      <c r="C805" s="8">
        <f t="shared" si="27"/>
        <v>5</v>
      </c>
      <c r="D805" s="85">
        <v>44325</v>
      </c>
      <c r="E805" s="31">
        <v>0</v>
      </c>
      <c r="F805" s="31">
        <v>33000</v>
      </c>
      <c r="G805" s="31">
        <v>0</v>
      </c>
      <c r="H805" s="31">
        <v>0</v>
      </c>
      <c r="I805" s="31" t="s">
        <v>85</v>
      </c>
      <c r="J805" s="5" t="s">
        <v>752</v>
      </c>
      <c r="K805" s="8"/>
      <c r="L805" s="1"/>
      <c r="M805" s="1"/>
    </row>
    <row r="806" spans="1:14" x14ac:dyDescent="0.2">
      <c r="A806" s="8">
        <v>805</v>
      </c>
      <c r="B806" s="8">
        <f t="shared" si="26"/>
        <v>2021</v>
      </c>
      <c r="C806" s="8">
        <f t="shared" si="27"/>
        <v>5</v>
      </c>
      <c r="D806" s="85">
        <v>44327</v>
      </c>
      <c r="E806" s="31">
        <v>0</v>
      </c>
      <c r="F806" s="31">
        <v>100000</v>
      </c>
      <c r="G806" s="31">
        <v>0</v>
      </c>
      <c r="H806" s="31">
        <v>0</v>
      </c>
      <c r="I806" s="31" t="s">
        <v>364</v>
      </c>
      <c r="J806" s="5" t="s">
        <v>753</v>
      </c>
      <c r="K806" s="8"/>
      <c r="L806" s="1"/>
      <c r="M806" s="1"/>
    </row>
    <row r="807" spans="1:14" x14ac:dyDescent="0.2">
      <c r="A807" s="8">
        <v>806</v>
      </c>
      <c r="B807" s="8">
        <f t="shared" si="26"/>
        <v>2021</v>
      </c>
      <c r="C807" s="8">
        <f t="shared" si="27"/>
        <v>5</v>
      </c>
      <c r="D807" s="85">
        <v>44328</v>
      </c>
      <c r="E807" s="31">
        <v>0</v>
      </c>
      <c r="F807" s="31">
        <v>420000</v>
      </c>
      <c r="G807" s="31">
        <v>0</v>
      </c>
      <c r="H807" s="31">
        <v>0</v>
      </c>
      <c r="I807" s="188" t="s">
        <v>4137</v>
      </c>
      <c r="J807" s="5" t="s">
        <v>754</v>
      </c>
      <c r="K807" s="8"/>
      <c r="L807" s="1"/>
      <c r="M807" s="1"/>
    </row>
    <row r="808" spans="1:14" x14ac:dyDescent="0.2">
      <c r="A808" s="8">
        <v>807</v>
      </c>
      <c r="B808" s="8">
        <f t="shared" si="26"/>
        <v>2021</v>
      </c>
      <c r="C808" s="8">
        <f t="shared" si="27"/>
        <v>5</v>
      </c>
      <c r="D808" s="85">
        <v>44328</v>
      </c>
      <c r="E808" s="31">
        <v>0</v>
      </c>
      <c r="F808" s="31">
        <v>12000</v>
      </c>
      <c r="G808" s="31">
        <v>0</v>
      </c>
      <c r="H808" s="31">
        <v>0</v>
      </c>
      <c r="I808" s="31" t="s">
        <v>85</v>
      </c>
      <c r="J808" s="5" t="s">
        <v>755</v>
      </c>
      <c r="K808" s="8"/>
      <c r="L808" s="1"/>
      <c r="M808" s="1"/>
    </row>
    <row r="809" spans="1:14" x14ac:dyDescent="0.2">
      <c r="A809" s="8">
        <v>808</v>
      </c>
      <c r="B809" s="8">
        <f t="shared" si="26"/>
        <v>2021</v>
      </c>
      <c r="C809" s="8">
        <f t="shared" si="27"/>
        <v>5</v>
      </c>
      <c r="D809" s="85">
        <v>44328</v>
      </c>
      <c r="E809" s="31">
        <v>0</v>
      </c>
      <c r="F809" s="31">
        <v>65500</v>
      </c>
      <c r="G809" s="31">
        <v>0</v>
      </c>
      <c r="H809" s="31">
        <v>0</v>
      </c>
      <c r="I809" s="188" t="s">
        <v>4137</v>
      </c>
      <c r="J809" s="5" t="s">
        <v>756</v>
      </c>
      <c r="K809" s="8"/>
      <c r="L809" s="1"/>
      <c r="M809" s="1"/>
    </row>
    <row r="810" spans="1:14" x14ac:dyDescent="0.2">
      <c r="A810" s="8">
        <v>809</v>
      </c>
      <c r="B810" s="8">
        <f t="shared" si="26"/>
        <v>2021</v>
      </c>
      <c r="C810" s="8">
        <f t="shared" si="27"/>
        <v>5</v>
      </c>
      <c r="D810" s="85">
        <v>44328</v>
      </c>
      <c r="E810" s="31">
        <v>0</v>
      </c>
      <c r="F810" s="31">
        <v>14000</v>
      </c>
      <c r="G810" s="31">
        <v>0</v>
      </c>
      <c r="H810" s="31">
        <v>0</v>
      </c>
      <c r="I810" s="31" t="s">
        <v>85</v>
      </c>
      <c r="J810" s="5" t="s">
        <v>757</v>
      </c>
      <c r="K810" s="8"/>
      <c r="L810" s="1"/>
      <c r="M810" s="102" t="s">
        <v>758</v>
      </c>
      <c r="N810" s="1">
        <v>3300000</v>
      </c>
    </row>
    <row r="811" spans="1:14" x14ac:dyDescent="0.2">
      <c r="A811" s="8">
        <v>810</v>
      </c>
      <c r="B811" s="8">
        <f t="shared" si="26"/>
        <v>2021</v>
      </c>
      <c r="C811" s="8">
        <f t="shared" si="27"/>
        <v>5</v>
      </c>
      <c r="D811" s="85">
        <v>44328</v>
      </c>
      <c r="E811" s="31">
        <v>0</v>
      </c>
      <c r="F811" s="31">
        <v>50000</v>
      </c>
      <c r="G811" s="31">
        <v>0</v>
      </c>
      <c r="H811" s="31">
        <v>0</v>
      </c>
      <c r="I811" s="31" t="s">
        <v>85</v>
      </c>
      <c r="J811" s="5" t="s">
        <v>759</v>
      </c>
      <c r="K811" s="8"/>
      <c r="L811" s="1"/>
      <c r="M811" s="99"/>
      <c r="N811" s="48"/>
    </row>
    <row r="812" spans="1:14" x14ac:dyDescent="0.2">
      <c r="A812" s="8">
        <v>811</v>
      </c>
      <c r="B812" s="8">
        <f t="shared" si="26"/>
        <v>2021</v>
      </c>
      <c r="C812" s="8">
        <f t="shared" si="27"/>
        <v>5</v>
      </c>
      <c r="D812" s="85">
        <v>44329</v>
      </c>
      <c r="E812" s="31">
        <v>0</v>
      </c>
      <c r="F812" s="31">
        <v>625000</v>
      </c>
      <c r="G812" s="31">
        <v>0</v>
      </c>
      <c r="H812" s="31">
        <v>0</v>
      </c>
      <c r="I812" s="31" t="s">
        <v>85</v>
      </c>
      <c r="J812" s="5" t="s">
        <v>307</v>
      </c>
      <c r="K812" s="8"/>
      <c r="L812" s="1"/>
      <c r="M812" s="99">
        <v>84000</v>
      </c>
      <c r="N812" s="48" t="s">
        <v>760</v>
      </c>
    </row>
    <row r="813" spans="1:14" x14ac:dyDescent="0.2">
      <c r="A813" s="8">
        <v>812</v>
      </c>
      <c r="B813" s="8">
        <f t="shared" si="26"/>
        <v>2021</v>
      </c>
      <c r="C813" s="8">
        <f t="shared" si="27"/>
        <v>5</v>
      </c>
      <c r="D813" s="85">
        <v>44329</v>
      </c>
      <c r="E813" s="31">
        <v>0</v>
      </c>
      <c r="F813" s="31">
        <v>325000</v>
      </c>
      <c r="G813" s="31">
        <v>0</v>
      </c>
      <c r="H813" s="31">
        <v>0</v>
      </c>
      <c r="I813" s="31" t="s">
        <v>85</v>
      </c>
      <c r="J813" s="5" t="s">
        <v>335</v>
      </c>
      <c r="K813" s="8"/>
      <c r="L813" s="1"/>
      <c r="M813" s="99">
        <v>300000</v>
      </c>
      <c r="N813" s="48" t="s">
        <v>761</v>
      </c>
    </row>
    <row r="814" spans="1:14" x14ac:dyDescent="0.2">
      <c r="A814" s="8">
        <v>813</v>
      </c>
      <c r="B814" s="8">
        <f t="shared" si="26"/>
        <v>2021</v>
      </c>
      <c r="C814" s="8">
        <f t="shared" si="27"/>
        <v>5</v>
      </c>
      <c r="D814" s="85">
        <v>44329</v>
      </c>
      <c r="E814" s="31">
        <v>0</v>
      </c>
      <c r="F814" s="31">
        <v>100000</v>
      </c>
      <c r="G814" s="31">
        <v>0</v>
      </c>
      <c r="H814" s="31">
        <v>0</v>
      </c>
      <c r="I814" s="31" t="s">
        <v>85</v>
      </c>
      <c r="J814" s="5" t="s">
        <v>391</v>
      </c>
      <c r="K814" s="8"/>
      <c r="L814" s="1"/>
      <c r="M814" s="99">
        <v>290000</v>
      </c>
      <c r="N814" s="48" t="s">
        <v>762</v>
      </c>
    </row>
    <row r="815" spans="1:14" x14ac:dyDescent="0.2">
      <c r="A815" s="8">
        <v>814</v>
      </c>
      <c r="B815" s="8">
        <f t="shared" si="26"/>
        <v>2021</v>
      </c>
      <c r="C815" s="8">
        <f t="shared" si="27"/>
        <v>5</v>
      </c>
      <c r="D815" s="85">
        <v>44329</v>
      </c>
      <c r="E815" s="31">
        <v>0</v>
      </c>
      <c r="F815" s="31">
        <v>50000</v>
      </c>
      <c r="G815" s="31">
        <v>0</v>
      </c>
      <c r="H815" s="31">
        <v>0</v>
      </c>
      <c r="I815" s="31" t="s">
        <v>85</v>
      </c>
      <c r="J815" s="5" t="s">
        <v>572</v>
      </c>
      <c r="K815" s="8"/>
      <c r="L815" s="1"/>
      <c r="M815" s="99">
        <v>80000</v>
      </c>
      <c r="N815" s="48" t="s">
        <v>763</v>
      </c>
    </row>
    <row r="816" spans="1:14" x14ac:dyDescent="0.2">
      <c r="A816" s="8">
        <v>815</v>
      </c>
      <c r="B816" s="8">
        <f t="shared" si="26"/>
        <v>2021</v>
      </c>
      <c r="C816" s="8">
        <f t="shared" si="27"/>
        <v>5</v>
      </c>
      <c r="D816" s="85">
        <v>44329</v>
      </c>
      <c r="E816" s="31">
        <v>0</v>
      </c>
      <c r="F816" s="31">
        <v>100000</v>
      </c>
      <c r="G816" s="31">
        <v>0</v>
      </c>
      <c r="H816" s="31">
        <v>0</v>
      </c>
      <c r="I816" s="31" t="s">
        <v>85</v>
      </c>
      <c r="J816" s="5" t="s">
        <v>573</v>
      </c>
      <c r="K816" s="8"/>
      <c r="L816" s="1"/>
      <c r="M816" s="99">
        <v>20000</v>
      </c>
      <c r="N816" s="48" t="s">
        <v>764</v>
      </c>
    </row>
    <row r="817" spans="1:14" x14ac:dyDescent="0.2">
      <c r="A817" s="8">
        <v>816</v>
      </c>
      <c r="B817" s="8">
        <f t="shared" si="26"/>
        <v>2021</v>
      </c>
      <c r="C817" s="8">
        <f t="shared" si="27"/>
        <v>5</v>
      </c>
      <c r="D817" s="85">
        <v>44329</v>
      </c>
      <c r="E817" s="31">
        <v>0</v>
      </c>
      <c r="F817" s="31">
        <v>100000</v>
      </c>
      <c r="G817" s="31">
        <v>0</v>
      </c>
      <c r="H817" s="31">
        <v>0</v>
      </c>
      <c r="I817" s="31" t="s">
        <v>83</v>
      </c>
      <c r="J817" s="5" t="s">
        <v>765</v>
      </c>
      <c r="K817" s="8">
        <v>330</v>
      </c>
      <c r="L817" s="1"/>
      <c r="M817" s="99">
        <v>586800</v>
      </c>
      <c r="N817" s="48" t="s">
        <v>766</v>
      </c>
    </row>
    <row r="818" spans="1:14" x14ac:dyDescent="0.2">
      <c r="A818" s="8">
        <v>817</v>
      </c>
      <c r="B818" s="8">
        <f t="shared" si="26"/>
        <v>2021</v>
      </c>
      <c r="C818" s="8">
        <f t="shared" si="27"/>
        <v>5</v>
      </c>
      <c r="D818" s="85">
        <v>44329</v>
      </c>
      <c r="E818" s="31">
        <v>0</v>
      </c>
      <c r="F818" s="31">
        <v>40000</v>
      </c>
      <c r="G818" s="31">
        <v>0</v>
      </c>
      <c r="H818" s="31">
        <v>0</v>
      </c>
      <c r="I818" s="31" t="s">
        <v>85</v>
      </c>
      <c r="J818" s="5" t="s">
        <v>767</v>
      </c>
      <c r="K818" s="8"/>
      <c r="L818" s="1"/>
      <c r="M818" s="99">
        <v>592500</v>
      </c>
      <c r="N818" s="48" t="s">
        <v>768</v>
      </c>
    </row>
    <row r="819" spans="1:14" x14ac:dyDescent="0.2">
      <c r="A819" s="8">
        <v>818</v>
      </c>
      <c r="B819" s="8">
        <f t="shared" si="26"/>
        <v>2021</v>
      </c>
      <c r="C819" s="8">
        <f t="shared" si="27"/>
        <v>5</v>
      </c>
      <c r="D819" s="85">
        <v>44329</v>
      </c>
      <c r="E819" s="31">
        <v>0</v>
      </c>
      <c r="F819" s="31">
        <v>30000</v>
      </c>
      <c r="G819" s="31">
        <v>0</v>
      </c>
      <c r="H819" s="31">
        <v>0</v>
      </c>
      <c r="I819" s="31" t="s">
        <v>85</v>
      </c>
      <c r="J819" s="5" t="s">
        <v>683</v>
      </c>
      <c r="K819" s="8"/>
      <c r="L819" s="1"/>
      <c r="M819" s="99">
        <v>200000</v>
      </c>
      <c r="N819" s="48" t="s">
        <v>769</v>
      </c>
    </row>
    <row r="820" spans="1:14" x14ac:dyDescent="0.2">
      <c r="A820" s="8">
        <v>819</v>
      </c>
      <c r="B820" s="8">
        <f t="shared" si="26"/>
        <v>2021</v>
      </c>
      <c r="C820" s="8">
        <f t="shared" si="27"/>
        <v>5</v>
      </c>
      <c r="D820" s="85">
        <v>44329</v>
      </c>
      <c r="E820" s="31">
        <v>0</v>
      </c>
      <c r="F820" s="31">
        <v>36000</v>
      </c>
      <c r="G820" s="31">
        <v>0</v>
      </c>
      <c r="H820" s="31">
        <v>0</v>
      </c>
      <c r="I820" s="31" t="s">
        <v>85</v>
      </c>
      <c r="J820" s="5" t="s">
        <v>770</v>
      </c>
      <c r="K820" s="8"/>
      <c r="L820" s="1"/>
      <c r="M820" s="99">
        <v>400000</v>
      </c>
      <c r="N820" s="48" t="s">
        <v>769</v>
      </c>
    </row>
    <row r="821" spans="1:14" x14ac:dyDescent="0.2">
      <c r="A821" s="8">
        <v>820</v>
      </c>
      <c r="B821" s="8">
        <f t="shared" si="26"/>
        <v>2021</v>
      </c>
      <c r="C821" s="8">
        <f t="shared" si="27"/>
        <v>5</v>
      </c>
      <c r="D821" s="85">
        <v>44329</v>
      </c>
      <c r="E821" s="31">
        <v>0</v>
      </c>
      <c r="F821" s="31">
        <v>300000</v>
      </c>
      <c r="G821" s="31">
        <v>0</v>
      </c>
      <c r="H821" s="31">
        <v>0</v>
      </c>
      <c r="I821" s="31" t="s">
        <v>390</v>
      </c>
      <c r="J821" s="5" t="s">
        <v>611</v>
      </c>
      <c r="K821" s="8"/>
      <c r="L821" s="1"/>
      <c r="M821" s="99">
        <v>200000</v>
      </c>
      <c r="N821" s="48" t="s">
        <v>771</v>
      </c>
    </row>
    <row r="822" spans="1:14" x14ac:dyDescent="0.2">
      <c r="A822" s="8">
        <v>821</v>
      </c>
      <c r="B822" s="8">
        <f t="shared" si="26"/>
        <v>2021</v>
      </c>
      <c r="C822" s="8">
        <f t="shared" si="27"/>
        <v>5</v>
      </c>
      <c r="D822" s="85">
        <v>44330</v>
      </c>
      <c r="E822" s="31">
        <v>0</v>
      </c>
      <c r="F822" s="31">
        <v>367000</v>
      </c>
      <c r="G822" s="31">
        <v>0</v>
      </c>
      <c r="H822" s="31">
        <v>0</v>
      </c>
      <c r="I822" s="31" t="s">
        <v>85</v>
      </c>
      <c r="J822" s="5" t="s">
        <v>772</v>
      </c>
      <c r="K822" s="8"/>
      <c r="L822" s="1"/>
      <c r="M822" s="99">
        <v>180000</v>
      </c>
      <c r="N822" s="48" t="s">
        <v>773</v>
      </c>
    </row>
    <row r="823" spans="1:14" x14ac:dyDescent="0.2">
      <c r="A823" s="8">
        <v>822</v>
      </c>
      <c r="B823" s="8">
        <f t="shared" si="26"/>
        <v>2021</v>
      </c>
      <c r="C823" s="8">
        <f t="shared" si="27"/>
        <v>5</v>
      </c>
      <c r="D823" s="85">
        <v>44331</v>
      </c>
      <c r="E823" s="31">
        <v>0</v>
      </c>
      <c r="F823" s="31">
        <v>20000</v>
      </c>
      <c r="G823" s="31">
        <v>0</v>
      </c>
      <c r="H823" s="31">
        <v>0</v>
      </c>
      <c r="I823" s="31" t="s">
        <v>85</v>
      </c>
      <c r="J823" s="5" t="s">
        <v>774</v>
      </c>
      <c r="K823" s="8"/>
      <c r="L823" s="1"/>
      <c r="M823" s="99">
        <v>150000</v>
      </c>
      <c r="N823" s="48" t="s">
        <v>769</v>
      </c>
    </row>
    <row r="824" spans="1:14" x14ac:dyDescent="0.2">
      <c r="A824" s="8">
        <v>823</v>
      </c>
      <c r="B824" s="8">
        <f t="shared" si="26"/>
        <v>2021</v>
      </c>
      <c r="C824" s="8">
        <f t="shared" si="27"/>
        <v>5</v>
      </c>
      <c r="D824" s="85">
        <v>44332</v>
      </c>
      <c r="E824" s="31">
        <v>0</v>
      </c>
      <c r="F824" s="31">
        <v>30000</v>
      </c>
      <c r="G824" s="31">
        <v>0</v>
      </c>
      <c r="H824" s="31">
        <v>0</v>
      </c>
      <c r="I824" s="31" t="s">
        <v>85</v>
      </c>
      <c r="J824" s="5" t="s">
        <v>775</v>
      </c>
      <c r="K824" s="8"/>
      <c r="L824" s="1"/>
      <c r="M824" s="99">
        <v>216000</v>
      </c>
      <c r="N824" s="48" t="s">
        <v>769</v>
      </c>
    </row>
    <row r="825" spans="1:14" x14ac:dyDescent="0.2">
      <c r="A825" s="8">
        <v>824</v>
      </c>
      <c r="B825" s="8">
        <f t="shared" si="26"/>
        <v>2021</v>
      </c>
      <c r="C825" s="8">
        <f t="shared" si="27"/>
        <v>5</v>
      </c>
      <c r="D825" s="85">
        <v>44333</v>
      </c>
      <c r="E825" s="31">
        <v>0</v>
      </c>
      <c r="F825" s="31">
        <v>12000</v>
      </c>
      <c r="G825" s="31">
        <v>0</v>
      </c>
      <c r="H825" s="31">
        <v>0</v>
      </c>
      <c r="I825" s="31" t="s">
        <v>85</v>
      </c>
      <c r="J825" s="5" t="s">
        <v>776</v>
      </c>
      <c r="K825" s="8"/>
      <c r="L825" s="1"/>
      <c r="M825" s="98">
        <f>SUM(M811:M824)</f>
        <v>3299300</v>
      </c>
    </row>
    <row r="826" spans="1:14" x14ac:dyDescent="0.2">
      <c r="A826" s="8">
        <v>825</v>
      </c>
      <c r="B826" s="8">
        <f t="shared" si="26"/>
        <v>2021</v>
      </c>
      <c r="C826" s="8">
        <f t="shared" si="27"/>
        <v>5</v>
      </c>
      <c r="D826" s="85">
        <v>44335</v>
      </c>
      <c r="E826" s="31">
        <v>291000</v>
      </c>
      <c r="F826" s="31">
        <v>0</v>
      </c>
      <c r="G826" s="31">
        <v>0</v>
      </c>
      <c r="H826" s="31">
        <v>0</v>
      </c>
      <c r="I826" s="31" t="s">
        <v>109</v>
      </c>
      <c r="J826" s="5" t="s">
        <v>777</v>
      </c>
      <c r="K826" s="8"/>
      <c r="L826" s="1"/>
      <c r="M826" s="1"/>
    </row>
    <row r="827" spans="1:14" x14ac:dyDescent="0.2">
      <c r="A827" s="8">
        <v>826</v>
      </c>
      <c r="B827" s="8">
        <f t="shared" si="26"/>
        <v>2021</v>
      </c>
      <c r="C827" s="8">
        <f t="shared" si="27"/>
        <v>5</v>
      </c>
      <c r="D827" s="85">
        <v>44335</v>
      </c>
      <c r="E827" s="31">
        <v>0</v>
      </c>
      <c r="F827" s="31">
        <v>18000</v>
      </c>
      <c r="G827" s="31">
        <v>0</v>
      </c>
      <c r="H827" s="31">
        <v>0</v>
      </c>
      <c r="I827" s="31" t="s">
        <v>85</v>
      </c>
      <c r="J827" s="5" t="s">
        <v>778</v>
      </c>
      <c r="K827" s="8"/>
      <c r="L827" s="1"/>
      <c r="M827" s="1"/>
    </row>
    <row r="828" spans="1:14" x14ac:dyDescent="0.2">
      <c r="A828" s="8">
        <v>827</v>
      </c>
      <c r="B828" s="8">
        <f t="shared" si="26"/>
        <v>2021</v>
      </c>
      <c r="C828" s="8">
        <f t="shared" si="27"/>
        <v>5</v>
      </c>
      <c r="D828" s="85">
        <v>44342</v>
      </c>
      <c r="E828" s="31">
        <v>0</v>
      </c>
      <c r="F828" s="31">
        <v>150000</v>
      </c>
      <c r="G828" s="31">
        <v>0</v>
      </c>
      <c r="H828" s="31">
        <v>0</v>
      </c>
      <c r="I828" s="31" t="s">
        <v>85</v>
      </c>
      <c r="J828" s="5" t="s">
        <v>779</v>
      </c>
      <c r="K828" s="8"/>
      <c r="L828" s="1"/>
      <c r="M828" s="1"/>
    </row>
    <row r="829" spans="1:14" x14ac:dyDescent="0.2">
      <c r="A829" s="8">
        <v>828</v>
      </c>
      <c r="B829" s="8">
        <f t="shared" si="26"/>
        <v>2021</v>
      </c>
      <c r="C829" s="8">
        <f t="shared" si="27"/>
        <v>5</v>
      </c>
      <c r="D829" s="85">
        <v>44342</v>
      </c>
      <c r="E829" s="31">
        <v>0</v>
      </c>
      <c r="F829" s="31">
        <v>35000</v>
      </c>
      <c r="G829" s="31">
        <v>0</v>
      </c>
      <c r="H829" s="31">
        <v>0</v>
      </c>
      <c r="I829" s="31" t="s">
        <v>83</v>
      </c>
      <c r="J829" s="5" t="s">
        <v>83</v>
      </c>
      <c r="K829" s="8"/>
      <c r="L829" s="1"/>
      <c r="M829" s="1"/>
    </row>
    <row r="830" spans="1:14" x14ac:dyDescent="0.2">
      <c r="A830" s="8">
        <v>829</v>
      </c>
      <c r="B830" s="8">
        <f t="shared" si="26"/>
        <v>2021</v>
      </c>
      <c r="C830" s="8">
        <f t="shared" si="27"/>
        <v>5</v>
      </c>
      <c r="D830" s="85">
        <v>44342</v>
      </c>
      <c r="E830" s="31">
        <v>0</v>
      </c>
      <c r="F830" s="31">
        <v>10000</v>
      </c>
      <c r="G830" s="31">
        <v>0</v>
      </c>
      <c r="H830" s="31">
        <v>0</v>
      </c>
      <c r="I830" s="31" t="s">
        <v>85</v>
      </c>
      <c r="J830" s="5" t="s">
        <v>780</v>
      </c>
      <c r="K830" s="8"/>
      <c r="L830" s="1"/>
      <c r="M830" s="1"/>
    </row>
    <row r="831" spans="1:14" x14ac:dyDescent="0.2">
      <c r="A831" s="8">
        <v>830</v>
      </c>
      <c r="B831" s="8">
        <f t="shared" si="26"/>
        <v>2021</v>
      </c>
      <c r="C831" s="8">
        <f t="shared" si="27"/>
        <v>5</v>
      </c>
      <c r="D831" s="85">
        <v>44326</v>
      </c>
      <c r="E831" s="31">
        <v>0</v>
      </c>
      <c r="F831" s="31">
        <v>338000</v>
      </c>
      <c r="G831" s="31">
        <v>0</v>
      </c>
      <c r="H831" s="31">
        <v>0</v>
      </c>
      <c r="I831" s="31" t="s">
        <v>85</v>
      </c>
      <c r="J831" s="5" t="s">
        <v>781</v>
      </c>
      <c r="K831" s="8"/>
    </row>
    <row r="832" spans="1:14" x14ac:dyDescent="0.2">
      <c r="A832" s="8">
        <v>831</v>
      </c>
      <c r="B832" s="8">
        <f t="shared" si="26"/>
        <v>2021</v>
      </c>
      <c r="C832" s="8">
        <f t="shared" si="27"/>
        <v>5</v>
      </c>
      <c r="D832" s="85">
        <v>44342</v>
      </c>
      <c r="E832" s="31">
        <v>0</v>
      </c>
      <c r="F832" s="31">
        <v>50000</v>
      </c>
      <c r="G832" s="31">
        <v>0</v>
      </c>
      <c r="H832" s="31">
        <v>0</v>
      </c>
      <c r="I832" s="31" t="s">
        <v>85</v>
      </c>
      <c r="J832" s="5" t="s">
        <v>782</v>
      </c>
      <c r="K832" s="8"/>
    </row>
    <row r="833" spans="1:11" x14ac:dyDescent="0.2">
      <c r="A833" s="8">
        <v>832</v>
      </c>
      <c r="B833" s="8">
        <f t="shared" si="26"/>
        <v>2021</v>
      </c>
      <c r="C833" s="8">
        <f t="shared" si="27"/>
        <v>5</v>
      </c>
      <c r="D833" s="85">
        <v>44342</v>
      </c>
      <c r="E833" s="31">
        <v>0</v>
      </c>
      <c r="F833" s="31">
        <v>36500</v>
      </c>
      <c r="G833" s="31">
        <v>0</v>
      </c>
      <c r="H833" s="31">
        <v>0</v>
      </c>
      <c r="I833" s="31" t="s">
        <v>85</v>
      </c>
      <c r="J833" s="5" t="s">
        <v>783</v>
      </c>
      <c r="K833" s="8"/>
    </row>
    <row r="834" spans="1:11" x14ac:dyDescent="0.2">
      <c r="A834" s="8">
        <v>833</v>
      </c>
      <c r="B834" s="8">
        <f t="shared" si="26"/>
        <v>2021</v>
      </c>
      <c r="C834" s="8">
        <f t="shared" si="27"/>
        <v>5</v>
      </c>
      <c r="D834" s="85">
        <v>44343</v>
      </c>
      <c r="E834" s="31">
        <v>0</v>
      </c>
      <c r="F834" s="31">
        <v>100000</v>
      </c>
      <c r="G834" s="31">
        <v>0</v>
      </c>
      <c r="H834" s="31">
        <v>0</v>
      </c>
      <c r="I834" s="31" t="s">
        <v>85</v>
      </c>
      <c r="J834" s="5" t="s">
        <v>784</v>
      </c>
      <c r="K834" s="8"/>
    </row>
    <row r="835" spans="1:11" x14ac:dyDescent="0.2">
      <c r="A835" s="8">
        <v>834</v>
      </c>
      <c r="B835" s="8">
        <f t="shared" si="26"/>
        <v>2021</v>
      </c>
      <c r="C835" s="8">
        <f t="shared" si="27"/>
        <v>5</v>
      </c>
      <c r="D835" s="85">
        <v>44343</v>
      </c>
      <c r="E835" s="31">
        <v>0</v>
      </c>
      <c r="F835" s="31">
        <v>45000</v>
      </c>
      <c r="G835" s="31">
        <v>0</v>
      </c>
      <c r="H835" s="31">
        <v>0</v>
      </c>
      <c r="I835" s="31" t="s">
        <v>83</v>
      </c>
      <c r="J835" s="5" t="s">
        <v>785</v>
      </c>
      <c r="K835" s="8">
        <v>344</v>
      </c>
    </row>
    <row r="836" spans="1:11" x14ac:dyDescent="0.2">
      <c r="A836" s="8">
        <v>835</v>
      </c>
      <c r="B836" s="8">
        <f t="shared" si="26"/>
        <v>2021</v>
      </c>
      <c r="C836" s="8">
        <f t="shared" si="27"/>
        <v>5</v>
      </c>
      <c r="D836" s="85">
        <v>44343</v>
      </c>
      <c r="E836" s="31">
        <v>0</v>
      </c>
      <c r="F836" s="31">
        <v>12000</v>
      </c>
      <c r="G836" s="31">
        <v>0</v>
      </c>
      <c r="H836" s="31">
        <v>0</v>
      </c>
      <c r="I836" s="31" t="s">
        <v>85</v>
      </c>
      <c r="J836" s="5" t="s">
        <v>91</v>
      </c>
      <c r="K836" s="8"/>
    </row>
    <row r="837" spans="1:11" x14ac:dyDescent="0.2">
      <c r="A837" s="8">
        <v>836</v>
      </c>
      <c r="B837" s="8">
        <f t="shared" si="26"/>
        <v>2021</v>
      </c>
      <c r="C837" s="8">
        <f t="shared" si="27"/>
        <v>5</v>
      </c>
      <c r="D837" s="85">
        <v>44343</v>
      </c>
      <c r="E837" s="31">
        <v>350000</v>
      </c>
      <c r="F837" s="31">
        <v>0</v>
      </c>
      <c r="G837" s="31">
        <v>0</v>
      </c>
      <c r="H837" s="31">
        <v>0</v>
      </c>
      <c r="I837" s="31" t="s">
        <v>109</v>
      </c>
      <c r="J837" s="5" t="s">
        <v>786</v>
      </c>
      <c r="K837" s="8"/>
    </row>
    <row r="838" spans="1:11" x14ac:dyDescent="0.2">
      <c r="A838" s="8">
        <v>837</v>
      </c>
      <c r="B838" s="8">
        <f t="shared" ref="B838:B901" si="28">YEAR(D838)</f>
        <v>2021</v>
      </c>
      <c r="C838" s="8">
        <f t="shared" ref="C838:C901" si="29">MONTH(D838)</f>
        <v>5</v>
      </c>
      <c r="D838" s="85">
        <v>44346</v>
      </c>
      <c r="E838" s="31">
        <v>0</v>
      </c>
      <c r="F838" s="31">
        <v>60000</v>
      </c>
      <c r="G838" s="31">
        <v>0</v>
      </c>
      <c r="H838" s="31">
        <v>0</v>
      </c>
      <c r="I838" s="31" t="s">
        <v>85</v>
      </c>
      <c r="J838" s="5" t="s">
        <v>787</v>
      </c>
      <c r="K838" s="8"/>
    </row>
    <row r="839" spans="1:11" x14ac:dyDescent="0.2">
      <c r="A839" s="8">
        <v>838</v>
      </c>
      <c r="B839" s="8">
        <f t="shared" si="28"/>
        <v>2021</v>
      </c>
      <c r="C839" s="8">
        <f t="shared" si="29"/>
        <v>5</v>
      </c>
      <c r="D839" s="85">
        <v>44347</v>
      </c>
      <c r="E839" s="31">
        <v>0</v>
      </c>
      <c r="F839" s="31">
        <v>65000</v>
      </c>
      <c r="G839" s="31">
        <v>0</v>
      </c>
      <c r="H839" s="31">
        <v>0</v>
      </c>
      <c r="I839" s="188" t="s">
        <v>4137</v>
      </c>
      <c r="J839" s="5" t="s">
        <v>789</v>
      </c>
      <c r="K839" s="8"/>
    </row>
    <row r="840" spans="1:11" x14ac:dyDescent="0.2">
      <c r="A840" s="8">
        <v>839</v>
      </c>
      <c r="B840" s="8">
        <f t="shared" si="28"/>
        <v>2021</v>
      </c>
      <c r="C840" s="8">
        <f t="shared" si="29"/>
        <v>6</v>
      </c>
      <c r="D840" s="85">
        <v>44349</v>
      </c>
      <c r="E840" s="31">
        <v>0</v>
      </c>
      <c r="F840" s="31">
        <v>0</v>
      </c>
      <c r="G840" s="31">
        <v>0</v>
      </c>
      <c r="H840" s="31">
        <v>300000</v>
      </c>
      <c r="I840" s="31" t="s">
        <v>74</v>
      </c>
      <c r="J840" s="5" t="s">
        <v>790</v>
      </c>
      <c r="K840" s="8"/>
    </row>
    <row r="841" spans="1:11" x14ac:dyDescent="0.2">
      <c r="A841" s="8">
        <v>840</v>
      </c>
      <c r="B841" s="8">
        <f t="shared" si="28"/>
        <v>2021</v>
      </c>
      <c r="C841" s="8">
        <f t="shared" si="29"/>
        <v>6</v>
      </c>
      <c r="D841" s="85">
        <v>44349</v>
      </c>
      <c r="E841" s="31">
        <v>0</v>
      </c>
      <c r="F841" s="31">
        <v>90000</v>
      </c>
      <c r="G841" s="31">
        <v>0</v>
      </c>
      <c r="H841" s="31">
        <v>0</v>
      </c>
      <c r="I841" s="31" t="s">
        <v>791</v>
      </c>
      <c r="J841" s="5" t="s">
        <v>792</v>
      </c>
      <c r="K841" s="8"/>
    </row>
    <row r="842" spans="1:11" x14ac:dyDescent="0.2">
      <c r="A842" s="8">
        <v>841</v>
      </c>
      <c r="B842" s="8">
        <f t="shared" si="28"/>
        <v>2021</v>
      </c>
      <c r="C842" s="8">
        <f t="shared" si="29"/>
        <v>6</v>
      </c>
      <c r="D842" s="85">
        <v>44349</v>
      </c>
      <c r="E842" s="31">
        <v>0</v>
      </c>
      <c r="F842" s="31">
        <v>105000</v>
      </c>
      <c r="G842" s="31">
        <v>0</v>
      </c>
      <c r="H842" s="31">
        <v>0</v>
      </c>
      <c r="I842" s="31" t="s">
        <v>791</v>
      </c>
      <c r="J842" s="5" t="s">
        <v>793</v>
      </c>
      <c r="K842" s="8"/>
    </row>
    <row r="843" spans="1:11" x14ac:dyDescent="0.2">
      <c r="A843" s="8">
        <v>842</v>
      </c>
      <c r="B843" s="8">
        <f t="shared" si="28"/>
        <v>2021</v>
      </c>
      <c r="C843" s="8">
        <f t="shared" si="29"/>
        <v>6</v>
      </c>
      <c r="D843" s="85">
        <v>44349</v>
      </c>
      <c r="E843" s="31">
        <v>0</v>
      </c>
      <c r="F843" s="31">
        <v>7000</v>
      </c>
      <c r="G843" s="31">
        <v>0</v>
      </c>
      <c r="H843" s="31">
        <v>0</v>
      </c>
      <c r="I843" s="31" t="s">
        <v>300</v>
      </c>
      <c r="J843" s="5" t="s">
        <v>794</v>
      </c>
      <c r="K843" s="8"/>
    </row>
    <row r="844" spans="1:11" x14ac:dyDescent="0.2">
      <c r="A844" s="8">
        <v>843</v>
      </c>
      <c r="B844" s="8">
        <f t="shared" si="28"/>
        <v>2021</v>
      </c>
      <c r="C844" s="8">
        <f t="shared" si="29"/>
        <v>6</v>
      </c>
      <c r="D844" s="85">
        <v>44349</v>
      </c>
      <c r="E844" s="31">
        <v>0</v>
      </c>
      <c r="F844" s="31">
        <v>129000</v>
      </c>
      <c r="G844" s="31">
        <v>0</v>
      </c>
      <c r="H844" s="31">
        <v>0</v>
      </c>
      <c r="I844" s="31" t="s">
        <v>791</v>
      </c>
      <c r="J844" s="5" t="s">
        <v>795</v>
      </c>
      <c r="K844" s="8"/>
    </row>
    <row r="845" spans="1:11" x14ac:dyDescent="0.2">
      <c r="A845" s="8">
        <v>844</v>
      </c>
      <c r="B845" s="8">
        <f t="shared" si="28"/>
        <v>2021</v>
      </c>
      <c r="C845" s="8">
        <f t="shared" si="29"/>
        <v>6</v>
      </c>
      <c r="D845" s="85">
        <v>44353</v>
      </c>
      <c r="E845" s="31">
        <v>0</v>
      </c>
      <c r="F845" s="31">
        <v>63000</v>
      </c>
      <c r="G845" s="31">
        <v>0</v>
      </c>
      <c r="H845" s="31">
        <v>0</v>
      </c>
      <c r="I845" s="31" t="s">
        <v>83</v>
      </c>
      <c r="J845" s="5" t="s">
        <v>796</v>
      </c>
      <c r="K845" s="8">
        <v>270</v>
      </c>
    </row>
    <row r="846" spans="1:11" x14ac:dyDescent="0.2">
      <c r="A846" s="8">
        <v>845</v>
      </c>
      <c r="B846" s="8">
        <f t="shared" si="28"/>
        <v>2021</v>
      </c>
      <c r="C846" s="8">
        <f t="shared" si="29"/>
        <v>6</v>
      </c>
      <c r="D846" s="85">
        <v>44353</v>
      </c>
      <c r="E846" s="31">
        <v>0</v>
      </c>
      <c r="F846" s="31">
        <v>60000</v>
      </c>
      <c r="G846" s="31">
        <v>0</v>
      </c>
      <c r="H846" s="31">
        <v>0</v>
      </c>
      <c r="I846" s="31" t="s">
        <v>85</v>
      </c>
      <c r="J846" s="5" t="s">
        <v>797</v>
      </c>
      <c r="K846" s="8"/>
    </row>
    <row r="847" spans="1:11" x14ac:dyDescent="0.2">
      <c r="A847" s="8">
        <v>846</v>
      </c>
      <c r="B847" s="8">
        <f t="shared" si="28"/>
        <v>2021</v>
      </c>
      <c r="C847" s="8">
        <f t="shared" si="29"/>
        <v>6</v>
      </c>
      <c r="D847" s="85">
        <v>44355</v>
      </c>
      <c r="E847" s="31">
        <v>0</v>
      </c>
      <c r="F847" s="31">
        <v>30000</v>
      </c>
      <c r="G847" s="31">
        <v>0</v>
      </c>
      <c r="H847" s="31">
        <v>0</v>
      </c>
      <c r="I847" s="31" t="s">
        <v>99</v>
      </c>
      <c r="J847" s="5" t="s">
        <v>798</v>
      </c>
      <c r="K847" s="8"/>
    </row>
    <row r="848" spans="1:11" x14ac:dyDescent="0.2">
      <c r="A848" s="8">
        <v>847</v>
      </c>
      <c r="B848" s="8">
        <f t="shared" si="28"/>
        <v>2021</v>
      </c>
      <c r="C848" s="8">
        <f t="shared" si="29"/>
        <v>6</v>
      </c>
      <c r="D848" s="85">
        <v>44355</v>
      </c>
      <c r="E848" s="31">
        <v>0</v>
      </c>
      <c r="F848" s="31">
        <v>90000</v>
      </c>
      <c r="G848" s="31">
        <v>0</v>
      </c>
      <c r="H848" s="31">
        <v>0</v>
      </c>
      <c r="I848" s="31" t="s">
        <v>300</v>
      </c>
      <c r="J848" s="5" t="s">
        <v>690</v>
      </c>
      <c r="K848" s="8"/>
    </row>
    <row r="849" spans="1:11" x14ac:dyDescent="0.2">
      <c r="A849" s="8">
        <v>848</v>
      </c>
      <c r="B849" s="8">
        <f t="shared" si="28"/>
        <v>2021</v>
      </c>
      <c r="C849" s="8">
        <f t="shared" si="29"/>
        <v>6</v>
      </c>
      <c r="D849" s="85">
        <v>44355</v>
      </c>
      <c r="E849" s="31">
        <v>0</v>
      </c>
      <c r="F849" s="31">
        <v>50000</v>
      </c>
      <c r="G849" s="31">
        <v>0</v>
      </c>
      <c r="H849" s="31">
        <v>0</v>
      </c>
      <c r="I849" s="31" t="s">
        <v>85</v>
      </c>
      <c r="J849" s="5" t="s">
        <v>799</v>
      </c>
      <c r="K849" s="8"/>
    </row>
    <row r="850" spans="1:11" x14ac:dyDescent="0.2">
      <c r="A850" s="8">
        <v>849</v>
      </c>
      <c r="B850" s="8">
        <f t="shared" si="28"/>
        <v>2021</v>
      </c>
      <c r="C850" s="8">
        <f t="shared" si="29"/>
        <v>6</v>
      </c>
      <c r="D850" s="85">
        <v>44356</v>
      </c>
      <c r="E850" s="31">
        <v>0</v>
      </c>
      <c r="F850" s="31">
        <v>0</v>
      </c>
      <c r="G850" s="31">
        <v>0</v>
      </c>
      <c r="H850" s="31">
        <v>180000</v>
      </c>
      <c r="I850" s="31" t="s">
        <v>74</v>
      </c>
      <c r="J850" s="5" t="s">
        <v>800</v>
      </c>
      <c r="K850" s="8"/>
    </row>
    <row r="851" spans="1:11" x14ac:dyDescent="0.2">
      <c r="A851" s="8">
        <v>850</v>
      </c>
      <c r="B851" s="8">
        <f t="shared" si="28"/>
        <v>2021</v>
      </c>
      <c r="C851" s="8">
        <f t="shared" si="29"/>
        <v>6</v>
      </c>
      <c r="D851" s="85">
        <v>44356</v>
      </c>
      <c r="E851" s="31">
        <v>0</v>
      </c>
      <c r="F851" s="31">
        <v>0</v>
      </c>
      <c r="G851" s="31">
        <v>0</v>
      </c>
      <c r="H851" s="31">
        <v>45000</v>
      </c>
      <c r="I851" s="31" t="s">
        <v>85</v>
      </c>
      <c r="J851" s="5" t="s">
        <v>801</v>
      </c>
      <c r="K851" s="8"/>
    </row>
    <row r="852" spans="1:11" x14ac:dyDescent="0.2">
      <c r="A852" s="8">
        <v>851</v>
      </c>
      <c r="B852" s="8">
        <f t="shared" si="28"/>
        <v>2021</v>
      </c>
      <c r="C852" s="8">
        <f t="shared" si="29"/>
        <v>6</v>
      </c>
      <c r="D852" s="85">
        <v>44356</v>
      </c>
      <c r="E852" s="31">
        <v>0</v>
      </c>
      <c r="F852" s="31">
        <v>0</v>
      </c>
      <c r="G852" s="31">
        <v>0</v>
      </c>
      <c r="H852" s="31">
        <v>62000</v>
      </c>
      <c r="I852" s="31" t="s">
        <v>85</v>
      </c>
      <c r="J852" s="5" t="s">
        <v>802</v>
      </c>
      <c r="K852" s="8"/>
    </row>
    <row r="853" spans="1:11" x14ac:dyDescent="0.2">
      <c r="A853" s="8">
        <v>852</v>
      </c>
      <c r="B853" s="8">
        <f t="shared" si="28"/>
        <v>2021</v>
      </c>
      <c r="C853" s="8">
        <f t="shared" si="29"/>
        <v>6</v>
      </c>
      <c r="D853" s="85">
        <v>44356</v>
      </c>
      <c r="E853" s="31">
        <v>0</v>
      </c>
      <c r="F853" s="31">
        <v>50000</v>
      </c>
      <c r="G853" s="31">
        <v>0</v>
      </c>
      <c r="H853" s="31">
        <v>0</v>
      </c>
      <c r="I853" s="31" t="s">
        <v>300</v>
      </c>
      <c r="J853" s="5" t="s">
        <v>803</v>
      </c>
      <c r="K853" s="8"/>
    </row>
    <row r="854" spans="1:11" x14ac:dyDescent="0.2">
      <c r="A854" s="8">
        <v>853</v>
      </c>
      <c r="B854" s="8">
        <f t="shared" si="28"/>
        <v>2021</v>
      </c>
      <c r="C854" s="8">
        <f t="shared" si="29"/>
        <v>6</v>
      </c>
      <c r="D854" s="85">
        <v>44356</v>
      </c>
      <c r="E854" s="31">
        <v>0</v>
      </c>
      <c r="F854" s="31">
        <v>30000</v>
      </c>
      <c r="G854" s="31">
        <v>0</v>
      </c>
      <c r="H854" s="31">
        <v>0</v>
      </c>
      <c r="I854" s="31" t="s">
        <v>85</v>
      </c>
      <c r="J854" s="5" t="s">
        <v>799</v>
      </c>
      <c r="K854" s="8"/>
    </row>
    <row r="855" spans="1:11" x14ac:dyDescent="0.2">
      <c r="A855" s="8">
        <v>854</v>
      </c>
      <c r="B855" s="8">
        <f t="shared" si="28"/>
        <v>2021</v>
      </c>
      <c r="C855" s="8">
        <f t="shared" si="29"/>
        <v>6</v>
      </c>
      <c r="D855" s="85">
        <v>44356</v>
      </c>
      <c r="E855" s="31">
        <v>0</v>
      </c>
      <c r="F855" s="31">
        <v>300000</v>
      </c>
      <c r="G855" s="31">
        <v>0</v>
      </c>
      <c r="H855" s="31">
        <v>0</v>
      </c>
      <c r="I855" s="31" t="s">
        <v>85</v>
      </c>
      <c r="J855" s="5" t="s">
        <v>782</v>
      </c>
      <c r="K855" s="8"/>
    </row>
    <row r="856" spans="1:11" x14ac:dyDescent="0.2">
      <c r="A856" s="8">
        <v>855</v>
      </c>
      <c r="B856" s="8">
        <f t="shared" si="28"/>
        <v>2021</v>
      </c>
      <c r="C856" s="8">
        <f t="shared" si="29"/>
        <v>6</v>
      </c>
      <c r="D856" s="85">
        <v>44357</v>
      </c>
      <c r="E856" s="31">
        <v>0</v>
      </c>
      <c r="F856" s="31">
        <v>14000</v>
      </c>
      <c r="G856" s="31">
        <v>0</v>
      </c>
      <c r="H856" s="31">
        <v>0</v>
      </c>
      <c r="I856" s="31" t="s">
        <v>85</v>
      </c>
      <c r="J856" s="5" t="s">
        <v>244</v>
      </c>
      <c r="K856" s="8"/>
    </row>
    <row r="857" spans="1:11" x14ac:dyDescent="0.2">
      <c r="A857" s="8">
        <v>856</v>
      </c>
      <c r="B857" s="8">
        <f t="shared" si="28"/>
        <v>2021</v>
      </c>
      <c r="C857" s="8">
        <f t="shared" si="29"/>
        <v>6</v>
      </c>
      <c r="D857" s="85">
        <v>44357</v>
      </c>
      <c r="E857" s="31">
        <v>0</v>
      </c>
      <c r="F857" s="31">
        <v>5000</v>
      </c>
      <c r="G857" s="31">
        <v>0</v>
      </c>
      <c r="H857" s="31">
        <v>0</v>
      </c>
      <c r="I857" s="31" t="s">
        <v>300</v>
      </c>
      <c r="J857" s="5" t="s">
        <v>401</v>
      </c>
      <c r="K857" s="8"/>
    </row>
    <row r="858" spans="1:11" x14ac:dyDescent="0.2">
      <c r="A858" s="8">
        <v>857</v>
      </c>
      <c r="B858" s="8">
        <f t="shared" si="28"/>
        <v>2021</v>
      </c>
      <c r="C858" s="8">
        <f t="shared" si="29"/>
        <v>6</v>
      </c>
      <c r="D858" s="85">
        <v>44357</v>
      </c>
      <c r="E858" s="31">
        <v>0</v>
      </c>
      <c r="F858" s="31">
        <v>0</v>
      </c>
      <c r="G858" s="31">
        <v>0</v>
      </c>
      <c r="H858" s="31">
        <v>24000</v>
      </c>
      <c r="I858" s="31" t="s">
        <v>85</v>
      </c>
      <c r="J858" s="5" t="s">
        <v>804</v>
      </c>
      <c r="K858" s="8"/>
    </row>
    <row r="859" spans="1:11" x14ac:dyDescent="0.2">
      <c r="A859" s="8">
        <v>858</v>
      </c>
      <c r="B859" s="8">
        <f t="shared" si="28"/>
        <v>2021</v>
      </c>
      <c r="C859" s="8">
        <f t="shared" si="29"/>
        <v>6</v>
      </c>
      <c r="D859" s="85">
        <v>44358</v>
      </c>
      <c r="E859" s="31">
        <v>0</v>
      </c>
      <c r="F859" s="31">
        <v>300000</v>
      </c>
      <c r="G859" s="31">
        <v>0</v>
      </c>
      <c r="H859" s="31">
        <v>0</v>
      </c>
      <c r="I859" s="31" t="s">
        <v>390</v>
      </c>
      <c r="J859" s="5" t="s">
        <v>611</v>
      </c>
      <c r="K859" s="8"/>
    </row>
    <row r="860" spans="1:11" x14ac:dyDescent="0.2">
      <c r="A860" s="8">
        <v>859</v>
      </c>
      <c r="B860" s="8">
        <f t="shared" si="28"/>
        <v>2021</v>
      </c>
      <c r="C860" s="8">
        <f t="shared" si="29"/>
        <v>6</v>
      </c>
      <c r="D860" s="85">
        <v>44358</v>
      </c>
      <c r="E860" s="31">
        <v>0</v>
      </c>
      <c r="F860" s="31">
        <v>150000</v>
      </c>
      <c r="G860" s="31">
        <v>0</v>
      </c>
      <c r="H860" s="31">
        <v>0</v>
      </c>
      <c r="I860" s="31" t="s">
        <v>390</v>
      </c>
      <c r="J860" s="5" t="s">
        <v>779</v>
      </c>
      <c r="K860" s="8"/>
    </row>
    <row r="861" spans="1:11" x14ac:dyDescent="0.2">
      <c r="A861" s="8">
        <v>860</v>
      </c>
      <c r="B861" s="8">
        <f t="shared" si="28"/>
        <v>2021</v>
      </c>
      <c r="C861" s="8">
        <f t="shared" si="29"/>
        <v>6</v>
      </c>
      <c r="D861" s="85">
        <v>44358</v>
      </c>
      <c r="E861" s="31">
        <v>0</v>
      </c>
      <c r="F861" s="31">
        <v>60000</v>
      </c>
      <c r="G861" s="31">
        <v>0</v>
      </c>
      <c r="H861" s="31">
        <v>0</v>
      </c>
      <c r="I861" s="31" t="s">
        <v>85</v>
      </c>
      <c r="J861" s="5" t="s">
        <v>85</v>
      </c>
      <c r="K861" s="8"/>
    </row>
    <row r="862" spans="1:11" x14ac:dyDescent="0.2">
      <c r="A862" s="8">
        <v>861</v>
      </c>
      <c r="B862" s="8">
        <f t="shared" si="28"/>
        <v>2021</v>
      </c>
      <c r="C862" s="8">
        <f t="shared" si="29"/>
        <v>6</v>
      </c>
      <c r="D862" s="85">
        <v>44358</v>
      </c>
      <c r="E862" s="31">
        <v>300000</v>
      </c>
      <c r="F862" s="31">
        <v>0</v>
      </c>
      <c r="G862" s="31">
        <v>0</v>
      </c>
      <c r="H862" s="31">
        <v>0</v>
      </c>
      <c r="I862" s="31" t="s">
        <v>109</v>
      </c>
      <c r="J862" s="5" t="s">
        <v>805</v>
      </c>
      <c r="K862" s="8"/>
    </row>
    <row r="863" spans="1:11" x14ac:dyDescent="0.2">
      <c r="A863" s="8">
        <v>862</v>
      </c>
      <c r="B863" s="8">
        <f t="shared" si="28"/>
        <v>2021</v>
      </c>
      <c r="C863" s="8">
        <f t="shared" si="29"/>
        <v>6</v>
      </c>
      <c r="D863" s="85">
        <v>44358</v>
      </c>
      <c r="E863" s="31">
        <v>0</v>
      </c>
      <c r="F863" s="31">
        <v>625000</v>
      </c>
      <c r="G863" s="31">
        <v>0</v>
      </c>
      <c r="H863" s="31">
        <v>0</v>
      </c>
      <c r="I863" s="31" t="s">
        <v>571</v>
      </c>
      <c r="J863" s="5" t="s">
        <v>307</v>
      </c>
      <c r="K863" s="8"/>
    </row>
    <row r="864" spans="1:11" x14ac:dyDescent="0.2">
      <c r="A864" s="8">
        <v>863</v>
      </c>
      <c r="B864" s="8">
        <f t="shared" si="28"/>
        <v>2021</v>
      </c>
      <c r="C864" s="8">
        <f t="shared" si="29"/>
        <v>6</v>
      </c>
      <c r="D864" s="85">
        <v>44358</v>
      </c>
      <c r="E864" s="31">
        <v>0</v>
      </c>
      <c r="F864" s="31">
        <v>325000</v>
      </c>
      <c r="G864" s="31">
        <v>0</v>
      </c>
      <c r="H864" s="31">
        <v>0</v>
      </c>
      <c r="I864" s="31" t="s">
        <v>571</v>
      </c>
      <c r="J864" s="5" t="s">
        <v>335</v>
      </c>
      <c r="K864" s="8"/>
    </row>
    <row r="865" spans="1:14" x14ac:dyDescent="0.2">
      <c r="A865" s="8">
        <v>864</v>
      </c>
      <c r="B865" s="8">
        <f t="shared" si="28"/>
        <v>2021</v>
      </c>
      <c r="C865" s="8">
        <f t="shared" si="29"/>
        <v>6</v>
      </c>
      <c r="D865" s="85">
        <v>44358</v>
      </c>
      <c r="E865" s="31">
        <v>0</v>
      </c>
      <c r="F865" s="31">
        <v>100000</v>
      </c>
      <c r="G865" s="31">
        <v>0</v>
      </c>
      <c r="H865" s="31">
        <v>0</v>
      </c>
      <c r="I865" s="31" t="s">
        <v>571</v>
      </c>
      <c r="J865" s="5" t="s">
        <v>391</v>
      </c>
      <c r="K865" s="8"/>
    </row>
    <row r="866" spans="1:14" x14ac:dyDescent="0.2">
      <c r="A866" s="8">
        <v>865</v>
      </c>
      <c r="B866" s="8">
        <f t="shared" si="28"/>
        <v>2021</v>
      </c>
      <c r="C866" s="8">
        <f t="shared" si="29"/>
        <v>6</v>
      </c>
      <c r="D866" s="85">
        <v>44358</v>
      </c>
      <c r="E866" s="31">
        <v>0</v>
      </c>
      <c r="F866" s="31">
        <v>50000</v>
      </c>
      <c r="G866" s="31">
        <v>0</v>
      </c>
      <c r="H866" s="31">
        <v>0</v>
      </c>
      <c r="I866" s="31" t="s">
        <v>571</v>
      </c>
      <c r="J866" s="5" t="s">
        <v>572</v>
      </c>
      <c r="K866" s="8"/>
    </row>
    <row r="867" spans="1:14" x14ac:dyDescent="0.2">
      <c r="A867" s="8">
        <v>866</v>
      </c>
      <c r="B867" s="8">
        <f t="shared" si="28"/>
        <v>2021</v>
      </c>
      <c r="C867" s="8">
        <f t="shared" si="29"/>
        <v>6</v>
      </c>
      <c r="D867" s="85">
        <v>44358</v>
      </c>
      <c r="E867" s="31">
        <v>0</v>
      </c>
      <c r="F867" s="31">
        <v>100000</v>
      </c>
      <c r="G867" s="31">
        <v>0</v>
      </c>
      <c r="H867" s="31">
        <v>0</v>
      </c>
      <c r="I867" s="31" t="s">
        <v>571</v>
      </c>
      <c r="J867" s="5" t="s">
        <v>573</v>
      </c>
      <c r="K867" s="8"/>
    </row>
    <row r="868" spans="1:14" x14ac:dyDescent="0.2">
      <c r="A868" s="8">
        <v>867</v>
      </c>
      <c r="B868" s="8">
        <f t="shared" si="28"/>
        <v>2021</v>
      </c>
      <c r="C868" s="8">
        <f t="shared" si="29"/>
        <v>6</v>
      </c>
      <c r="D868" s="85">
        <v>44360</v>
      </c>
      <c r="E868" s="31">
        <v>0</v>
      </c>
      <c r="F868" s="31">
        <v>600000</v>
      </c>
      <c r="G868" s="31">
        <v>0</v>
      </c>
      <c r="H868" s="31">
        <v>0</v>
      </c>
      <c r="I868" s="31" t="s">
        <v>201</v>
      </c>
      <c r="J868" s="65" t="s">
        <v>806</v>
      </c>
      <c r="K868" s="8"/>
    </row>
    <row r="869" spans="1:14" x14ac:dyDescent="0.2">
      <c r="A869" s="8">
        <v>868</v>
      </c>
      <c r="B869" s="8">
        <f t="shared" si="28"/>
        <v>2021</v>
      </c>
      <c r="C869" s="8">
        <f t="shared" si="29"/>
        <v>6</v>
      </c>
      <c r="D869" s="85">
        <v>44365</v>
      </c>
      <c r="E869" s="31">
        <v>0</v>
      </c>
      <c r="F869" s="31">
        <v>738000</v>
      </c>
      <c r="G869" s="31">
        <v>0</v>
      </c>
      <c r="H869" s="31">
        <v>0</v>
      </c>
      <c r="I869" s="31" t="s">
        <v>99</v>
      </c>
      <c r="J869" s="5" t="s">
        <v>807</v>
      </c>
      <c r="K869" s="8"/>
    </row>
    <row r="870" spans="1:14" x14ac:dyDescent="0.2">
      <c r="A870" s="8">
        <v>869</v>
      </c>
      <c r="B870" s="8">
        <f t="shared" si="28"/>
        <v>2021</v>
      </c>
      <c r="C870" s="8">
        <f t="shared" si="29"/>
        <v>6</v>
      </c>
      <c r="D870" s="85">
        <v>44365</v>
      </c>
      <c r="E870" s="31">
        <v>0</v>
      </c>
      <c r="F870" s="31">
        <v>100000</v>
      </c>
      <c r="G870" s="31">
        <v>0</v>
      </c>
      <c r="H870" s="31">
        <v>0</v>
      </c>
      <c r="I870" s="31" t="s">
        <v>85</v>
      </c>
      <c r="J870" s="5" t="s">
        <v>808</v>
      </c>
      <c r="K870" s="8"/>
      <c r="M870">
        <v>3000000</v>
      </c>
    </row>
    <row r="871" spans="1:14" x14ac:dyDescent="0.2">
      <c r="A871" s="8">
        <v>870</v>
      </c>
      <c r="B871" s="8">
        <f t="shared" si="28"/>
        <v>2021</v>
      </c>
      <c r="C871" s="8">
        <f t="shared" si="29"/>
        <v>6</v>
      </c>
      <c r="D871" s="85">
        <v>44366</v>
      </c>
      <c r="E871" s="31">
        <v>0</v>
      </c>
      <c r="F871" s="31">
        <v>100000</v>
      </c>
      <c r="G871" s="31">
        <v>0</v>
      </c>
      <c r="H871" s="31">
        <v>0</v>
      </c>
      <c r="I871" s="31" t="s">
        <v>83</v>
      </c>
      <c r="J871" s="5" t="s">
        <v>809</v>
      </c>
      <c r="K871" s="8">
        <v>400</v>
      </c>
      <c r="M871">
        <v>-200000</v>
      </c>
      <c r="N871" s="66" t="s">
        <v>810</v>
      </c>
    </row>
    <row r="872" spans="1:14" x14ac:dyDescent="0.2">
      <c r="A872" s="8">
        <v>871</v>
      </c>
      <c r="B872" s="8">
        <f t="shared" si="28"/>
        <v>2021</v>
      </c>
      <c r="C872" s="8">
        <f t="shared" si="29"/>
        <v>6</v>
      </c>
      <c r="D872" s="85">
        <v>44366</v>
      </c>
      <c r="E872" s="31">
        <v>0</v>
      </c>
      <c r="F872" s="31">
        <v>24000</v>
      </c>
      <c r="G872" s="31">
        <v>0</v>
      </c>
      <c r="H872" s="31">
        <v>0</v>
      </c>
      <c r="I872" s="31" t="s">
        <v>85</v>
      </c>
      <c r="J872" s="5" t="s">
        <v>811</v>
      </c>
      <c r="K872" s="8"/>
      <c r="M872">
        <v>-300000</v>
      </c>
      <c r="N872" s="66" t="s">
        <v>812</v>
      </c>
    </row>
    <row r="873" spans="1:14" x14ac:dyDescent="0.2">
      <c r="A873" s="8">
        <v>872</v>
      </c>
      <c r="B873" s="8">
        <f t="shared" si="28"/>
        <v>2021</v>
      </c>
      <c r="C873" s="8">
        <f t="shared" si="29"/>
        <v>6</v>
      </c>
      <c r="D873" s="85">
        <v>44367</v>
      </c>
      <c r="E873" s="31">
        <v>0</v>
      </c>
      <c r="F873" s="31">
        <v>30000</v>
      </c>
      <c r="G873" s="31">
        <v>0</v>
      </c>
      <c r="H873" s="31">
        <v>0</v>
      </c>
      <c r="I873" s="31" t="s">
        <v>99</v>
      </c>
      <c r="J873" s="5" t="s">
        <v>813</v>
      </c>
      <c r="K873" s="8"/>
      <c r="M873">
        <v>-300000</v>
      </c>
      <c r="N873" s="66" t="s">
        <v>390</v>
      </c>
    </row>
    <row r="874" spans="1:14" x14ac:dyDescent="0.2">
      <c r="A874" s="8">
        <v>873</v>
      </c>
      <c r="B874" s="8">
        <f t="shared" si="28"/>
        <v>2021</v>
      </c>
      <c r="C874" s="8">
        <f t="shared" si="29"/>
        <v>6</v>
      </c>
      <c r="D874" s="85">
        <v>44367</v>
      </c>
      <c r="E874" s="31">
        <v>0</v>
      </c>
      <c r="F874" s="31">
        <v>30000</v>
      </c>
      <c r="G874" s="31">
        <v>0</v>
      </c>
      <c r="H874" s="31">
        <v>0</v>
      </c>
      <c r="I874" s="31" t="s">
        <v>300</v>
      </c>
      <c r="J874" s="5" t="s">
        <v>814</v>
      </c>
      <c r="K874" s="8"/>
      <c r="M874">
        <v>-592500</v>
      </c>
      <c r="N874" s="66" t="s">
        <v>307</v>
      </c>
    </row>
    <row r="875" spans="1:14" x14ac:dyDescent="0.2">
      <c r="A875" s="8">
        <v>874</v>
      </c>
      <c r="B875" s="8">
        <f t="shared" si="28"/>
        <v>2021</v>
      </c>
      <c r="C875" s="8">
        <f t="shared" si="29"/>
        <v>6</v>
      </c>
      <c r="D875" s="85">
        <v>44367</v>
      </c>
      <c r="E875" s="31">
        <v>0</v>
      </c>
      <c r="F875" s="31">
        <v>22000</v>
      </c>
      <c r="G875" s="31">
        <v>0</v>
      </c>
      <c r="H875" s="31">
        <v>0</v>
      </c>
      <c r="I875" s="31" t="s">
        <v>791</v>
      </c>
      <c r="J875" s="5" t="s">
        <v>815</v>
      </c>
      <c r="K875" s="8"/>
      <c r="M875">
        <v>-80000</v>
      </c>
      <c r="N875" s="66" t="s">
        <v>96</v>
      </c>
    </row>
    <row r="876" spans="1:14" x14ac:dyDescent="0.2">
      <c r="A876" s="8">
        <v>875</v>
      </c>
      <c r="B876" s="8">
        <f t="shared" si="28"/>
        <v>2021</v>
      </c>
      <c r="C876" s="8">
        <f t="shared" si="29"/>
        <v>6</v>
      </c>
      <c r="D876" s="85">
        <v>44367</v>
      </c>
      <c r="E876" s="31">
        <v>0</v>
      </c>
      <c r="F876" s="31">
        <v>10000</v>
      </c>
      <c r="G876" s="31">
        <v>0</v>
      </c>
      <c r="H876" s="31">
        <v>0</v>
      </c>
      <c r="I876" s="31" t="s">
        <v>300</v>
      </c>
      <c r="J876" s="5" t="s">
        <v>89</v>
      </c>
      <c r="K876" s="8"/>
      <c r="M876">
        <v>-738000</v>
      </c>
      <c r="N876" s="66" t="s">
        <v>816</v>
      </c>
    </row>
    <row r="877" spans="1:14" x14ac:dyDescent="0.2">
      <c r="A877" s="8">
        <v>876</v>
      </c>
      <c r="B877" s="8">
        <f t="shared" si="28"/>
        <v>2021</v>
      </c>
      <c r="C877" s="8">
        <f t="shared" si="29"/>
        <v>6</v>
      </c>
      <c r="D877" s="85">
        <v>44367</v>
      </c>
      <c r="E877" s="31">
        <v>0</v>
      </c>
      <c r="F877" s="31">
        <v>15000</v>
      </c>
      <c r="G877" s="31">
        <v>0</v>
      </c>
      <c r="H877" s="31">
        <v>0</v>
      </c>
      <c r="I877" s="31" t="s">
        <v>99</v>
      </c>
      <c r="J877" s="5" t="s">
        <v>817</v>
      </c>
      <c r="K877" s="8"/>
      <c r="M877" s="98">
        <v>-200000</v>
      </c>
      <c r="N877" s="66" t="s">
        <v>818</v>
      </c>
    </row>
    <row r="878" spans="1:14" x14ac:dyDescent="0.2">
      <c r="A878" s="8">
        <v>877</v>
      </c>
      <c r="B878" s="8">
        <f t="shared" si="28"/>
        <v>2021</v>
      </c>
      <c r="C878" s="8">
        <f t="shared" si="29"/>
        <v>6</v>
      </c>
      <c r="D878" s="85">
        <v>44368</v>
      </c>
      <c r="E878" s="31">
        <v>0</v>
      </c>
      <c r="F878" s="31">
        <v>10000</v>
      </c>
      <c r="G878" s="31">
        <v>0</v>
      </c>
      <c r="H878" s="31">
        <v>0</v>
      </c>
      <c r="I878" s="31" t="s">
        <v>300</v>
      </c>
      <c r="J878" s="5" t="s">
        <v>91</v>
      </c>
      <c r="K878" s="8"/>
      <c r="M878">
        <v>-454500</v>
      </c>
      <c r="N878" s="66" t="s">
        <v>769</v>
      </c>
    </row>
    <row r="879" spans="1:14" x14ac:dyDescent="0.2">
      <c r="A879" s="8">
        <v>878</v>
      </c>
      <c r="B879" s="8">
        <f t="shared" si="28"/>
        <v>2021</v>
      </c>
      <c r="C879" s="8">
        <f t="shared" si="29"/>
        <v>6</v>
      </c>
      <c r="D879" s="85">
        <v>44369</v>
      </c>
      <c r="E879" s="31">
        <v>0</v>
      </c>
      <c r="F879" s="31">
        <v>120000</v>
      </c>
      <c r="G879" s="31">
        <v>0</v>
      </c>
      <c r="H879" s="31">
        <v>0</v>
      </c>
      <c r="I879" s="31" t="s">
        <v>791</v>
      </c>
      <c r="J879" s="5" t="s">
        <v>819</v>
      </c>
      <c r="K879" s="8"/>
    </row>
    <row r="880" spans="1:14" x14ac:dyDescent="0.2">
      <c r="A880" s="8">
        <v>879</v>
      </c>
      <c r="B880" s="8">
        <f t="shared" si="28"/>
        <v>2021</v>
      </c>
      <c r="C880" s="8">
        <f t="shared" si="29"/>
        <v>6</v>
      </c>
      <c r="D880" s="85">
        <v>44369</v>
      </c>
      <c r="E880" s="31">
        <v>0</v>
      </c>
      <c r="F880" s="31">
        <v>50000</v>
      </c>
      <c r="G880" s="31">
        <v>0</v>
      </c>
      <c r="H880" s="31">
        <v>0</v>
      </c>
      <c r="I880" s="31" t="s">
        <v>99</v>
      </c>
      <c r="J880" s="5" t="s">
        <v>820</v>
      </c>
      <c r="K880" s="8"/>
      <c r="M880">
        <v>135000</v>
      </c>
    </row>
    <row r="881" spans="1:11" x14ac:dyDescent="0.2">
      <c r="A881" s="8">
        <v>880</v>
      </c>
      <c r="B881" s="8">
        <f t="shared" si="28"/>
        <v>2021</v>
      </c>
      <c r="C881" s="8">
        <f t="shared" si="29"/>
        <v>6</v>
      </c>
      <c r="D881" s="85">
        <v>44370</v>
      </c>
      <c r="E881" s="31">
        <v>0</v>
      </c>
      <c r="F881" s="31">
        <v>160000</v>
      </c>
      <c r="G881" s="31">
        <v>0</v>
      </c>
      <c r="H881" s="31">
        <v>0</v>
      </c>
      <c r="I881" s="31" t="s">
        <v>791</v>
      </c>
      <c r="J881" s="5" t="s">
        <v>821</v>
      </c>
      <c r="K881" s="8"/>
    </row>
    <row r="882" spans="1:11" x14ac:dyDescent="0.2">
      <c r="A882" s="8">
        <v>881</v>
      </c>
      <c r="B882" s="8">
        <f t="shared" si="28"/>
        <v>2021</v>
      </c>
      <c r="C882" s="8">
        <f t="shared" si="29"/>
        <v>6</v>
      </c>
      <c r="D882" s="85">
        <v>44370</v>
      </c>
      <c r="E882" s="31">
        <v>0</v>
      </c>
      <c r="F882" s="31">
        <v>20000</v>
      </c>
      <c r="G882" s="31">
        <v>0</v>
      </c>
      <c r="H882" s="31">
        <v>0</v>
      </c>
      <c r="I882" s="31" t="s">
        <v>85</v>
      </c>
      <c r="J882" s="5" t="s">
        <v>822</v>
      </c>
      <c r="K882" s="8"/>
    </row>
    <row r="883" spans="1:11" x14ac:dyDescent="0.2">
      <c r="A883" s="8">
        <v>882</v>
      </c>
      <c r="B883" s="8">
        <f t="shared" si="28"/>
        <v>2021</v>
      </c>
      <c r="C883" s="8">
        <f t="shared" si="29"/>
        <v>6</v>
      </c>
      <c r="D883" s="85">
        <v>44372</v>
      </c>
      <c r="E883" s="31">
        <v>0</v>
      </c>
      <c r="F883" s="31">
        <v>0</v>
      </c>
      <c r="G883" s="31">
        <v>0</v>
      </c>
      <c r="H883" s="31">
        <v>350000</v>
      </c>
      <c r="I883" s="31" t="s">
        <v>85</v>
      </c>
      <c r="J883" s="5" t="s">
        <v>823</v>
      </c>
      <c r="K883" s="8"/>
    </row>
    <row r="884" spans="1:11" x14ac:dyDescent="0.2">
      <c r="A884" s="8">
        <v>883</v>
      </c>
      <c r="B884" s="8">
        <f t="shared" si="28"/>
        <v>2021</v>
      </c>
      <c r="C884" s="8">
        <f t="shared" si="29"/>
        <v>6</v>
      </c>
      <c r="D884" s="85">
        <v>44372</v>
      </c>
      <c r="E884" s="31">
        <v>0</v>
      </c>
      <c r="F884" s="31">
        <v>15000</v>
      </c>
      <c r="G884" s="31">
        <v>0</v>
      </c>
      <c r="H884" s="31">
        <v>0</v>
      </c>
      <c r="I884" s="31" t="s">
        <v>300</v>
      </c>
      <c r="J884" s="5" t="s">
        <v>824</v>
      </c>
      <c r="K884" s="8"/>
    </row>
    <row r="885" spans="1:11" x14ac:dyDescent="0.2">
      <c r="A885" s="8">
        <v>884</v>
      </c>
      <c r="B885" s="8">
        <f t="shared" si="28"/>
        <v>2021</v>
      </c>
      <c r="C885" s="8">
        <f t="shared" si="29"/>
        <v>6</v>
      </c>
      <c r="D885" s="85">
        <v>44372</v>
      </c>
      <c r="E885" s="31">
        <v>0</v>
      </c>
      <c r="F885" s="31">
        <v>0</v>
      </c>
      <c r="G885" s="31">
        <v>0</v>
      </c>
      <c r="H885" s="31">
        <v>1500000</v>
      </c>
      <c r="I885" s="31" t="s">
        <v>74</v>
      </c>
      <c r="J885" s="5" t="s">
        <v>825</v>
      </c>
      <c r="K885" s="8"/>
    </row>
    <row r="886" spans="1:11" x14ac:dyDescent="0.2">
      <c r="A886" s="8">
        <v>885</v>
      </c>
      <c r="B886" s="8">
        <f t="shared" si="28"/>
        <v>2021</v>
      </c>
      <c r="C886" s="8">
        <f t="shared" si="29"/>
        <v>6</v>
      </c>
      <c r="D886" s="85">
        <v>44373</v>
      </c>
      <c r="E886" s="31">
        <v>0</v>
      </c>
      <c r="F886" s="31">
        <v>50000</v>
      </c>
      <c r="G886" s="31">
        <v>0</v>
      </c>
      <c r="H886" s="31">
        <v>0</v>
      </c>
      <c r="I886" s="31" t="s">
        <v>99</v>
      </c>
      <c r="J886" s="5" t="s">
        <v>826</v>
      </c>
      <c r="K886" s="8"/>
    </row>
    <row r="887" spans="1:11" x14ac:dyDescent="0.2">
      <c r="A887" s="8">
        <v>886</v>
      </c>
      <c r="B887" s="8">
        <f t="shared" si="28"/>
        <v>2021</v>
      </c>
      <c r="C887" s="8">
        <f t="shared" si="29"/>
        <v>6</v>
      </c>
      <c r="D887" s="85">
        <v>44373</v>
      </c>
      <c r="E887" s="31">
        <v>0</v>
      </c>
      <c r="F887" s="31">
        <v>15000</v>
      </c>
      <c r="G887" s="31">
        <v>0</v>
      </c>
      <c r="H887" s="31">
        <v>0</v>
      </c>
      <c r="I887" s="31" t="s">
        <v>300</v>
      </c>
      <c r="J887" s="5" t="s">
        <v>827</v>
      </c>
      <c r="K887" s="8"/>
    </row>
    <row r="888" spans="1:11" x14ac:dyDescent="0.2">
      <c r="A888" s="8">
        <v>887</v>
      </c>
      <c r="B888" s="8">
        <f t="shared" si="28"/>
        <v>2021</v>
      </c>
      <c r="C888" s="8">
        <f t="shared" si="29"/>
        <v>6</v>
      </c>
      <c r="D888" s="85">
        <v>44373</v>
      </c>
      <c r="E888" s="31">
        <v>0</v>
      </c>
      <c r="F888" s="32">
        <v>50000</v>
      </c>
      <c r="G888" s="31">
        <v>0</v>
      </c>
      <c r="H888" s="31">
        <v>0</v>
      </c>
      <c r="I888" s="31" t="s">
        <v>85</v>
      </c>
      <c r="J888" s="5" t="s">
        <v>828</v>
      </c>
      <c r="K888" s="8"/>
    </row>
    <row r="889" spans="1:11" x14ac:dyDescent="0.2">
      <c r="A889" s="8">
        <v>888</v>
      </c>
      <c r="B889" s="8">
        <f t="shared" si="28"/>
        <v>2021</v>
      </c>
      <c r="C889" s="8">
        <f t="shared" si="29"/>
        <v>6</v>
      </c>
      <c r="D889" s="85">
        <v>44373</v>
      </c>
      <c r="E889" s="31">
        <v>0</v>
      </c>
      <c r="F889" s="31">
        <v>0</v>
      </c>
      <c r="G889" s="31">
        <v>0</v>
      </c>
      <c r="H889" s="31">
        <v>50000</v>
      </c>
      <c r="I889" s="31" t="s">
        <v>85</v>
      </c>
      <c r="J889" s="5" t="s">
        <v>829</v>
      </c>
      <c r="K889" s="8"/>
    </row>
    <row r="890" spans="1:11" x14ac:dyDescent="0.2">
      <c r="A890" s="8">
        <v>889</v>
      </c>
      <c r="B890" s="8">
        <f t="shared" si="28"/>
        <v>2021</v>
      </c>
      <c r="C890" s="8">
        <f t="shared" si="29"/>
        <v>6</v>
      </c>
      <c r="D890" s="85">
        <v>44373</v>
      </c>
      <c r="E890" s="31">
        <v>0</v>
      </c>
      <c r="F890" s="31">
        <v>16000</v>
      </c>
      <c r="G890" s="31">
        <v>0</v>
      </c>
      <c r="H890" s="31">
        <v>0</v>
      </c>
      <c r="I890" s="31" t="s">
        <v>300</v>
      </c>
      <c r="J890" s="5" t="s">
        <v>830</v>
      </c>
      <c r="K890" s="8"/>
    </row>
    <row r="891" spans="1:11" x14ac:dyDescent="0.2">
      <c r="A891" s="8">
        <v>890</v>
      </c>
      <c r="B891" s="8">
        <f t="shared" si="28"/>
        <v>2021</v>
      </c>
      <c r="C891" s="8">
        <f t="shared" si="29"/>
        <v>6</v>
      </c>
      <c r="D891" s="85">
        <v>44374</v>
      </c>
      <c r="E891" s="31">
        <v>0</v>
      </c>
      <c r="F891" s="31">
        <v>50000</v>
      </c>
      <c r="G891" s="31">
        <v>0</v>
      </c>
      <c r="H891" s="31">
        <v>0</v>
      </c>
      <c r="I891" s="31" t="s">
        <v>99</v>
      </c>
      <c r="J891" s="5" t="s">
        <v>831</v>
      </c>
      <c r="K891" s="8"/>
    </row>
    <row r="892" spans="1:11" x14ac:dyDescent="0.2">
      <c r="A892" s="8">
        <v>891</v>
      </c>
      <c r="B892" s="8">
        <f t="shared" si="28"/>
        <v>2021</v>
      </c>
      <c r="C892" s="8">
        <f t="shared" si="29"/>
        <v>6</v>
      </c>
      <c r="D892" s="85">
        <v>44375</v>
      </c>
      <c r="E892" s="31">
        <v>0</v>
      </c>
      <c r="F892" s="31">
        <v>0</v>
      </c>
      <c r="G892" s="31">
        <v>0</v>
      </c>
      <c r="H892" s="31">
        <v>50000</v>
      </c>
      <c r="I892" s="31" t="s">
        <v>85</v>
      </c>
      <c r="J892" s="5" t="s">
        <v>832</v>
      </c>
      <c r="K892" s="8"/>
    </row>
    <row r="893" spans="1:11" x14ac:dyDescent="0.2">
      <c r="A893" s="8">
        <v>892</v>
      </c>
      <c r="B893" s="8">
        <f t="shared" si="28"/>
        <v>2021</v>
      </c>
      <c r="C893" s="8">
        <f t="shared" si="29"/>
        <v>6</v>
      </c>
      <c r="D893" s="85">
        <v>44375</v>
      </c>
      <c r="E893" s="31">
        <v>0</v>
      </c>
      <c r="F893" s="31">
        <v>14000</v>
      </c>
      <c r="G893" s="31">
        <v>0</v>
      </c>
      <c r="H893" s="31">
        <v>0</v>
      </c>
      <c r="I893" s="31" t="s">
        <v>300</v>
      </c>
      <c r="J893" s="5" t="s">
        <v>91</v>
      </c>
      <c r="K893" s="8"/>
    </row>
    <row r="894" spans="1:11" x14ac:dyDescent="0.2">
      <c r="A894" s="8">
        <v>893</v>
      </c>
      <c r="B894" s="8">
        <f t="shared" si="28"/>
        <v>2021</v>
      </c>
      <c r="C894" s="8">
        <f t="shared" si="29"/>
        <v>6</v>
      </c>
      <c r="D894" s="85">
        <v>44376</v>
      </c>
      <c r="E894" s="31">
        <v>0</v>
      </c>
      <c r="F894" s="31">
        <v>0</v>
      </c>
      <c r="G894" s="31">
        <v>0</v>
      </c>
      <c r="H894" s="31">
        <v>250000</v>
      </c>
      <c r="I894" s="31" t="s">
        <v>74</v>
      </c>
      <c r="J894" s="5" t="s">
        <v>833</v>
      </c>
      <c r="K894" s="8"/>
    </row>
    <row r="895" spans="1:11" x14ac:dyDescent="0.2">
      <c r="A895" s="8">
        <v>894</v>
      </c>
      <c r="B895" s="8">
        <f t="shared" si="28"/>
        <v>2021</v>
      </c>
      <c r="C895" s="8">
        <f t="shared" si="29"/>
        <v>6</v>
      </c>
      <c r="D895" s="85">
        <v>44376</v>
      </c>
      <c r="E895" s="31">
        <v>75000</v>
      </c>
      <c r="F895" s="31">
        <v>0</v>
      </c>
      <c r="G895" s="31">
        <v>0</v>
      </c>
      <c r="H895" s="31">
        <v>0</v>
      </c>
      <c r="I895" s="31" t="s">
        <v>109</v>
      </c>
      <c r="J895" s="5" t="s">
        <v>834</v>
      </c>
      <c r="K895" s="8"/>
    </row>
    <row r="896" spans="1:11" x14ac:dyDescent="0.2">
      <c r="A896" s="8">
        <v>895</v>
      </c>
      <c r="B896" s="8">
        <f t="shared" si="28"/>
        <v>2021</v>
      </c>
      <c r="C896" s="8">
        <f t="shared" si="29"/>
        <v>6</v>
      </c>
      <c r="D896" s="85">
        <v>44376</v>
      </c>
      <c r="E896" s="31">
        <v>500000</v>
      </c>
      <c r="F896" s="31">
        <v>0</v>
      </c>
      <c r="G896" s="31">
        <v>0</v>
      </c>
      <c r="H896" s="31">
        <v>0</v>
      </c>
      <c r="I896" s="31" t="s">
        <v>109</v>
      </c>
      <c r="J896" s="5" t="s">
        <v>835</v>
      </c>
      <c r="K896" s="8"/>
    </row>
    <row r="897" spans="1:11" x14ac:dyDescent="0.2">
      <c r="A897" s="8">
        <v>896</v>
      </c>
      <c r="B897" s="8">
        <f t="shared" si="28"/>
        <v>2021</v>
      </c>
      <c r="C897" s="8">
        <f t="shared" si="29"/>
        <v>6</v>
      </c>
      <c r="D897" s="85">
        <v>44376</v>
      </c>
      <c r="E897" s="31">
        <v>80000</v>
      </c>
      <c r="F897" s="31">
        <v>0</v>
      </c>
      <c r="G897" s="31">
        <v>0</v>
      </c>
      <c r="H897" s="31">
        <v>0</v>
      </c>
      <c r="I897" s="31" t="s">
        <v>109</v>
      </c>
      <c r="J897" s="5" t="s">
        <v>836</v>
      </c>
      <c r="K897" s="8"/>
    </row>
    <row r="898" spans="1:11" x14ac:dyDescent="0.2">
      <c r="A898" s="8">
        <v>897</v>
      </c>
      <c r="B898" s="8">
        <f t="shared" si="28"/>
        <v>2021</v>
      </c>
      <c r="C898" s="8">
        <f t="shared" si="29"/>
        <v>6</v>
      </c>
      <c r="D898" s="85">
        <v>44376</v>
      </c>
      <c r="E898" s="31">
        <v>0</v>
      </c>
      <c r="F898" s="31">
        <v>85000</v>
      </c>
      <c r="G898" s="31">
        <v>0</v>
      </c>
      <c r="H898" s="31">
        <v>0</v>
      </c>
      <c r="I898" s="31" t="s">
        <v>788</v>
      </c>
      <c r="J898" s="5" t="s">
        <v>837</v>
      </c>
      <c r="K898" s="8"/>
    </row>
    <row r="899" spans="1:11" x14ac:dyDescent="0.2">
      <c r="A899" s="8">
        <v>898</v>
      </c>
      <c r="B899" s="8">
        <f t="shared" si="28"/>
        <v>2021</v>
      </c>
      <c r="C899" s="8">
        <f t="shared" si="29"/>
        <v>6</v>
      </c>
      <c r="D899" s="85">
        <v>44376</v>
      </c>
      <c r="E899" s="31">
        <v>0</v>
      </c>
      <c r="F899" s="31">
        <v>100000</v>
      </c>
      <c r="G899" s="31">
        <v>0</v>
      </c>
      <c r="H899" s="31">
        <v>0</v>
      </c>
      <c r="I899" s="31" t="s">
        <v>737</v>
      </c>
      <c r="J899" s="5" t="s">
        <v>838</v>
      </c>
      <c r="K899" s="8"/>
    </row>
    <row r="900" spans="1:11" x14ac:dyDescent="0.2">
      <c r="A900" s="8">
        <v>899</v>
      </c>
      <c r="B900" s="8">
        <f t="shared" si="28"/>
        <v>2021</v>
      </c>
      <c r="C900" s="8">
        <f t="shared" si="29"/>
        <v>6</v>
      </c>
      <c r="D900" s="85">
        <v>44377</v>
      </c>
      <c r="E900" s="31">
        <v>0</v>
      </c>
      <c r="F900" s="31">
        <v>0</v>
      </c>
      <c r="G900" s="31">
        <v>0</v>
      </c>
      <c r="H900" s="31">
        <v>200000</v>
      </c>
      <c r="I900" s="31" t="s">
        <v>85</v>
      </c>
      <c r="J900" s="5" t="s">
        <v>839</v>
      </c>
      <c r="K900" s="8"/>
    </row>
    <row r="901" spans="1:11" x14ac:dyDescent="0.2">
      <c r="A901" s="8">
        <v>900</v>
      </c>
      <c r="B901" s="8">
        <f t="shared" si="28"/>
        <v>2021</v>
      </c>
      <c r="C901" s="8">
        <f t="shared" si="29"/>
        <v>6</v>
      </c>
      <c r="D901" s="85">
        <v>44377</v>
      </c>
      <c r="E901" s="31">
        <v>0</v>
      </c>
      <c r="F901" s="31">
        <v>10000</v>
      </c>
      <c r="G901" s="31">
        <v>0</v>
      </c>
      <c r="H901" s="31">
        <v>0</v>
      </c>
      <c r="I901" s="31" t="s">
        <v>300</v>
      </c>
      <c r="J901" s="5" t="s">
        <v>91</v>
      </c>
      <c r="K901" s="8"/>
    </row>
    <row r="902" spans="1:11" x14ac:dyDescent="0.2">
      <c r="A902" s="8">
        <v>901</v>
      </c>
      <c r="B902" s="8">
        <f t="shared" ref="B902:B965" si="30">YEAR(D902)</f>
        <v>2021</v>
      </c>
      <c r="C902" s="8">
        <f t="shared" ref="C902:C965" si="31">MONTH(D902)</f>
        <v>6</v>
      </c>
      <c r="D902" s="93">
        <v>44377</v>
      </c>
      <c r="E902" s="35"/>
      <c r="F902" s="35">
        <v>590000</v>
      </c>
      <c r="G902" s="35">
        <v>0</v>
      </c>
      <c r="H902" s="35">
        <v>0</v>
      </c>
      <c r="I902" s="35" t="s">
        <v>549</v>
      </c>
      <c r="J902" s="36" t="s">
        <v>840</v>
      </c>
      <c r="K902" s="56"/>
    </row>
    <row r="903" spans="1:11" x14ac:dyDescent="0.2">
      <c r="A903" s="8">
        <v>902</v>
      </c>
      <c r="B903" s="8">
        <f t="shared" si="30"/>
        <v>2021</v>
      </c>
      <c r="C903" s="8">
        <f t="shared" si="31"/>
        <v>7</v>
      </c>
      <c r="D903" s="85">
        <v>44378</v>
      </c>
      <c r="E903" s="31">
        <v>0</v>
      </c>
      <c r="F903" s="31">
        <v>20000</v>
      </c>
      <c r="G903" s="31">
        <v>0</v>
      </c>
      <c r="H903" s="31">
        <v>0</v>
      </c>
      <c r="I903" s="31" t="s">
        <v>85</v>
      </c>
      <c r="J903" s="5" t="s">
        <v>300</v>
      </c>
      <c r="K903" s="8"/>
    </row>
    <row r="904" spans="1:11" x14ac:dyDescent="0.2">
      <c r="A904" s="8">
        <v>903</v>
      </c>
      <c r="B904" s="8">
        <f t="shared" si="30"/>
        <v>2021</v>
      </c>
      <c r="C904" s="8">
        <f t="shared" si="31"/>
        <v>7</v>
      </c>
      <c r="D904" s="85">
        <v>44379</v>
      </c>
      <c r="E904" s="31">
        <v>99000</v>
      </c>
      <c r="F904" s="31">
        <v>0</v>
      </c>
      <c r="G904" s="31">
        <v>0</v>
      </c>
      <c r="H904" s="31">
        <v>0</v>
      </c>
      <c r="I904" s="31" t="s">
        <v>83</v>
      </c>
      <c r="J904" s="5" t="s">
        <v>841</v>
      </c>
      <c r="K904" s="8">
        <v>377</v>
      </c>
    </row>
    <row r="905" spans="1:11" x14ac:dyDescent="0.2">
      <c r="A905" s="8">
        <v>904</v>
      </c>
      <c r="B905" s="8">
        <f t="shared" si="30"/>
        <v>2021</v>
      </c>
      <c r="C905" s="8">
        <f t="shared" si="31"/>
        <v>7</v>
      </c>
      <c r="D905" s="85">
        <v>44379</v>
      </c>
      <c r="E905" s="31">
        <v>0</v>
      </c>
      <c r="F905" s="31">
        <v>30000</v>
      </c>
      <c r="G905" s="31">
        <v>0</v>
      </c>
      <c r="H905" s="31">
        <v>0</v>
      </c>
      <c r="I905" s="31" t="s">
        <v>85</v>
      </c>
      <c r="J905" s="5" t="s">
        <v>842</v>
      </c>
      <c r="K905" s="8"/>
    </row>
    <row r="906" spans="1:11" x14ac:dyDescent="0.2">
      <c r="A906" s="8">
        <v>905</v>
      </c>
      <c r="B906" s="8">
        <f t="shared" si="30"/>
        <v>2021</v>
      </c>
      <c r="C906" s="8">
        <f t="shared" si="31"/>
        <v>7</v>
      </c>
      <c r="D906" s="85">
        <v>44380</v>
      </c>
      <c r="E906" s="31">
        <v>0</v>
      </c>
      <c r="F906" s="31">
        <v>25000</v>
      </c>
      <c r="G906" s="31">
        <v>0</v>
      </c>
      <c r="H906" s="31">
        <v>0</v>
      </c>
      <c r="I906" s="31" t="s">
        <v>99</v>
      </c>
      <c r="J906" s="5" t="s">
        <v>843</v>
      </c>
      <c r="K906" s="8"/>
    </row>
    <row r="907" spans="1:11" x14ac:dyDescent="0.2">
      <c r="A907" s="8">
        <v>906</v>
      </c>
      <c r="B907" s="8">
        <f t="shared" si="30"/>
        <v>2021</v>
      </c>
      <c r="C907" s="8">
        <f t="shared" si="31"/>
        <v>7</v>
      </c>
      <c r="D907" s="85">
        <v>44380</v>
      </c>
      <c r="E907" s="31">
        <v>0</v>
      </c>
      <c r="F907" s="31">
        <v>0</v>
      </c>
      <c r="G907" s="31">
        <v>0</v>
      </c>
      <c r="H907" s="31">
        <v>60000</v>
      </c>
      <c r="I907" s="31" t="s">
        <v>85</v>
      </c>
      <c r="J907" s="5" t="s">
        <v>844</v>
      </c>
      <c r="K907" s="8"/>
    </row>
    <row r="908" spans="1:11" x14ac:dyDescent="0.2">
      <c r="A908" s="8">
        <v>907</v>
      </c>
      <c r="B908" s="8">
        <f t="shared" si="30"/>
        <v>2021</v>
      </c>
      <c r="C908" s="8">
        <f t="shared" si="31"/>
        <v>7</v>
      </c>
      <c r="D908" s="85">
        <v>44381</v>
      </c>
      <c r="E908" s="31">
        <v>0</v>
      </c>
      <c r="F908" s="31">
        <v>15000</v>
      </c>
      <c r="G908" s="31">
        <v>0</v>
      </c>
      <c r="H908" s="31">
        <v>0</v>
      </c>
      <c r="I908" s="31" t="s">
        <v>300</v>
      </c>
      <c r="J908" s="5" t="s">
        <v>593</v>
      </c>
      <c r="K908" s="8"/>
    </row>
    <row r="909" spans="1:11" x14ac:dyDescent="0.2">
      <c r="A909" s="8">
        <v>908</v>
      </c>
      <c r="B909" s="8">
        <f t="shared" si="30"/>
        <v>2021</v>
      </c>
      <c r="C909" s="8">
        <f t="shared" si="31"/>
        <v>7</v>
      </c>
      <c r="D909" s="85">
        <v>44382</v>
      </c>
      <c r="E909" s="31">
        <v>0</v>
      </c>
      <c r="F909" s="31">
        <v>80000</v>
      </c>
      <c r="G909" s="31">
        <v>0</v>
      </c>
      <c r="H909" s="31">
        <v>0</v>
      </c>
      <c r="I909" s="31" t="s">
        <v>99</v>
      </c>
      <c r="J909" s="5" t="s">
        <v>681</v>
      </c>
      <c r="K909" s="8"/>
    </row>
    <row r="910" spans="1:11" x14ac:dyDescent="0.2">
      <c r="A910" s="8">
        <v>909</v>
      </c>
      <c r="B910" s="8">
        <f t="shared" si="30"/>
        <v>2021</v>
      </c>
      <c r="C910" s="8">
        <f t="shared" si="31"/>
        <v>7</v>
      </c>
      <c r="D910" s="85">
        <v>44383</v>
      </c>
      <c r="E910" s="31">
        <v>100000</v>
      </c>
      <c r="F910" s="31">
        <v>0</v>
      </c>
      <c r="G910" s="31">
        <v>0</v>
      </c>
      <c r="H910" s="31">
        <v>0</v>
      </c>
      <c r="I910" s="31" t="s">
        <v>85</v>
      </c>
      <c r="J910" s="5" t="s">
        <v>845</v>
      </c>
      <c r="K910" s="8"/>
    </row>
    <row r="911" spans="1:11" x14ac:dyDescent="0.2">
      <c r="A911" s="8">
        <v>910</v>
      </c>
      <c r="B911" s="8">
        <f t="shared" si="30"/>
        <v>2021</v>
      </c>
      <c r="C911" s="8">
        <f t="shared" si="31"/>
        <v>7</v>
      </c>
      <c r="D911" s="85">
        <v>44383</v>
      </c>
      <c r="E911" s="31">
        <v>0</v>
      </c>
      <c r="F911" s="32">
        <v>0</v>
      </c>
      <c r="G911" s="31">
        <v>0</v>
      </c>
      <c r="H911" s="31">
        <v>740000</v>
      </c>
      <c r="I911" s="31" t="s">
        <v>85</v>
      </c>
      <c r="J911" s="5" t="s">
        <v>846</v>
      </c>
      <c r="K911" s="8"/>
    </row>
    <row r="912" spans="1:11" x14ac:dyDescent="0.2">
      <c r="A912" s="8">
        <v>911</v>
      </c>
      <c r="B912" s="8">
        <f t="shared" si="30"/>
        <v>2021</v>
      </c>
      <c r="C912" s="8">
        <f t="shared" si="31"/>
        <v>7</v>
      </c>
      <c r="D912" s="85">
        <v>44384</v>
      </c>
      <c r="E912" s="31">
        <v>0</v>
      </c>
      <c r="F912" s="31">
        <v>0</v>
      </c>
      <c r="G912" s="31">
        <v>0</v>
      </c>
      <c r="H912" s="31">
        <v>350000</v>
      </c>
      <c r="I912" s="31" t="s">
        <v>85</v>
      </c>
      <c r="J912" s="5" t="s">
        <v>847</v>
      </c>
      <c r="K912" s="8"/>
    </row>
    <row r="913" spans="1:11" x14ac:dyDescent="0.2">
      <c r="A913" s="8">
        <v>912</v>
      </c>
      <c r="B913" s="8">
        <f t="shared" si="30"/>
        <v>2021</v>
      </c>
      <c r="C913" s="8">
        <f t="shared" si="31"/>
        <v>7</v>
      </c>
      <c r="D913" s="85">
        <v>44384</v>
      </c>
      <c r="E913" s="31">
        <v>0</v>
      </c>
      <c r="F913" s="31">
        <v>14000</v>
      </c>
      <c r="G913" s="31">
        <v>0</v>
      </c>
      <c r="H913" s="31">
        <v>0</v>
      </c>
      <c r="I913" s="31" t="s">
        <v>85</v>
      </c>
      <c r="J913" s="5" t="s">
        <v>848</v>
      </c>
      <c r="K913" s="8"/>
    </row>
    <row r="914" spans="1:11" x14ac:dyDescent="0.2">
      <c r="A914" s="8">
        <v>913</v>
      </c>
      <c r="B914" s="8">
        <f t="shared" si="30"/>
        <v>2021</v>
      </c>
      <c r="C914" s="8">
        <f t="shared" si="31"/>
        <v>7</v>
      </c>
      <c r="D914" s="85">
        <v>44385</v>
      </c>
      <c r="E914" s="31">
        <v>0</v>
      </c>
      <c r="F914" s="31">
        <v>0</v>
      </c>
      <c r="G914" s="31">
        <v>0</v>
      </c>
      <c r="H914" s="31">
        <v>48000</v>
      </c>
      <c r="I914" s="31" t="s">
        <v>85</v>
      </c>
      <c r="J914" s="5" t="s">
        <v>849</v>
      </c>
      <c r="K914" s="8"/>
    </row>
    <row r="915" spans="1:11" x14ac:dyDescent="0.2">
      <c r="A915" s="8">
        <v>914</v>
      </c>
      <c r="B915" s="8">
        <f t="shared" si="30"/>
        <v>2021</v>
      </c>
      <c r="C915" s="8">
        <f t="shared" si="31"/>
        <v>7</v>
      </c>
      <c r="D915" s="85">
        <v>44385</v>
      </c>
      <c r="E915" s="31">
        <v>0</v>
      </c>
      <c r="F915" s="31">
        <v>15000</v>
      </c>
      <c r="G915" s="31">
        <v>0</v>
      </c>
      <c r="H915" s="31">
        <v>0</v>
      </c>
      <c r="I915" s="31" t="s">
        <v>300</v>
      </c>
      <c r="J915" s="5" t="s">
        <v>850</v>
      </c>
      <c r="K915" s="8"/>
    </row>
    <row r="916" spans="1:11" x14ac:dyDescent="0.2">
      <c r="A916" s="8">
        <v>915</v>
      </c>
      <c r="B916" s="8">
        <f t="shared" si="30"/>
        <v>2021</v>
      </c>
      <c r="C916" s="8">
        <f t="shared" si="31"/>
        <v>7</v>
      </c>
      <c r="D916" s="103">
        <v>44385</v>
      </c>
      <c r="E916" s="106">
        <v>0</v>
      </c>
      <c r="F916" s="104">
        <v>92000</v>
      </c>
      <c r="G916" s="104">
        <v>0</v>
      </c>
      <c r="H916" s="104">
        <v>0</v>
      </c>
      <c r="I916" s="104" t="s">
        <v>85</v>
      </c>
      <c r="J916" s="105" t="s">
        <v>851</v>
      </c>
      <c r="K916" s="8"/>
    </row>
    <row r="917" spans="1:11" x14ac:dyDescent="0.2">
      <c r="A917" s="8">
        <v>916</v>
      </c>
      <c r="B917" s="8">
        <f t="shared" si="30"/>
        <v>2021</v>
      </c>
      <c r="C917" s="8">
        <f t="shared" si="31"/>
        <v>7</v>
      </c>
      <c r="D917" s="85">
        <v>44386</v>
      </c>
      <c r="E917" s="31">
        <v>0</v>
      </c>
      <c r="F917" s="31">
        <v>10000</v>
      </c>
      <c r="G917" s="31">
        <v>0</v>
      </c>
      <c r="H917" s="31">
        <v>0</v>
      </c>
      <c r="I917" s="31" t="s">
        <v>85</v>
      </c>
      <c r="J917" s="5" t="s">
        <v>852</v>
      </c>
      <c r="K917" s="8"/>
    </row>
    <row r="918" spans="1:11" x14ac:dyDescent="0.2">
      <c r="A918" s="8">
        <v>917</v>
      </c>
      <c r="B918" s="8">
        <f t="shared" si="30"/>
        <v>2021</v>
      </c>
      <c r="C918" s="8">
        <f t="shared" si="31"/>
        <v>7</v>
      </c>
      <c r="D918" s="85">
        <v>44387</v>
      </c>
      <c r="E918" s="31">
        <v>0</v>
      </c>
      <c r="F918" s="31">
        <v>50000</v>
      </c>
      <c r="G918" s="31">
        <v>0</v>
      </c>
      <c r="H918" s="31">
        <v>0</v>
      </c>
      <c r="I918" s="31" t="s">
        <v>99</v>
      </c>
      <c r="J918" s="5" t="s">
        <v>853</v>
      </c>
      <c r="K918" s="8"/>
    </row>
    <row r="919" spans="1:11" x14ac:dyDescent="0.2">
      <c r="A919" s="8">
        <v>918</v>
      </c>
      <c r="B919" s="8">
        <f t="shared" si="30"/>
        <v>2021</v>
      </c>
      <c r="C919" s="8">
        <f t="shared" si="31"/>
        <v>7</v>
      </c>
      <c r="D919" s="85">
        <v>44388</v>
      </c>
      <c r="E919" s="31">
        <v>0</v>
      </c>
      <c r="F919" s="31">
        <v>600000</v>
      </c>
      <c r="G919" s="31">
        <v>0</v>
      </c>
      <c r="H919" s="31">
        <v>0</v>
      </c>
      <c r="I919" s="31" t="s">
        <v>201</v>
      </c>
      <c r="J919" s="5" t="s">
        <v>854</v>
      </c>
      <c r="K919" s="8"/>
    </row>
    <row r="920" spans="1:11" x14ac:dyDescent="0.2">
      <c r="A920" s="8">
        <v>919</v>
      </c>
      <c r="B920" s="8">
        <f t="shared" si="30"/>
        <v>2021</v>
      </c>
      <c r="C920" s="8">
        <f t="shared" si="31"/>
        <v>7</v>
      </c>
      <c r="D920" s="85">
        <v>44388</v>
      </c>
      <c r="E920" s="31">
        <v>0</v>
      </c>
      <c r="F920" s="31">
        <v>100000</v>
      </c>
      <c r="G920" s="31">
        <v>0</v>
      </c>
      <c r="H920" s="31">
        <v>0</v>
      </c>
      <c r="I920" s="31" t="s">
        <v>83</v>
      </c>
      <c r="J920" s="5" t="s">
        <v>855</v>
      </c>
      <c r="K920" s="8">
        <v>369</v>
      </c>
    </row>
    <row r="921" spans="1:11" x14ac:dyDescent="0.2">
      <c r="A921" s="8">
        <v>920</v>
      </c>
      <c r="B921" s="8">
        <f t="shared" si="30"/>
        <v>2021</v>
      </c>
      <c r="C921" s="8">
        <f t="shared" si="31"/>
        <v>7</v>
      </c>
      <c r="D921" s="85">
        <v>44388</v>
      </c>
      <c r="E921" s="31">
        <v>0</v>
      </c>
      <c r="F921" s="31">
        <v>20000</v>
      </c>
      <c r="G921" s="31">
        <v>0</v>
      </c>
      <c r="H921" s="31">
        <v>0</v>
      </c>
      <c r="I921" s="31" t="s">
        <v>300</v>
      </c>
      <c r="J921" s="5" t="s">
        <v>856</v>
      </c>
      <c r="K921" s="8"/>
    </row>
    <row r="922" spans="1:11" x14ac:dyDescent="0.2">
      <c r="A922" s="8">
        <v>921</v>
      </c>
      <c r="B922" s="8">
        <f t="shared" si="30"/>
        <v>2021</v>
      </c>
      <c r="C922" s="8">
        <f t="shared" si="31"/>
        <v>7</v>
      </c>
      <c r="D922" s="85">
        <v>44389</v>
      </c>
      <c r="E922" s="31">
        <v>0</v>
      </c>
      <c r="F922" s="31">
        <v>0</v>
      </c>
      <c r="G922" s="31">
        <v>0</v>
      </c>
      <c r="H922" s="31">
        <v>100000</v>
      </c>
      <c r="I922" s="31" t="s">
        <v>85</v>
      </c>
      <c r="J922" s="5" t="s">
        <v>857</v>
      </c>
      <c r="K922" s="8"/>
    </row>
    <row r="923" spans="1:11" x14ac:dyDescent="0.2">
      <c r="A923" s="8">
        <v>922</v>
      </c>
      <c r="B923" s="8">
        <f t="shared" si="30"/>
        <v>2021</v>
      </c>
      <c r="C923" s="8">
        <f t="shared" si="31"/>
        <v>7</v>
      </c>
      <c r="D923" s="85">
        <v>44389</v>
      </c>
      <c r="E923" s="31">
        <v>0</v>
      </c>
      <c r="F923" s="31">
        <v>10000</v>
      </c>
      <c r="G923" s="31">
        <v>0</v>
      </c>
      <c r="H923" s="31">
        <v>0</v>
      </c>
      <c r="I923" s="31" t="s">
        <v>300</v>
      </c>
      <c r="J923" s="5" t="s">
        <v>858</v>
      </c>
      <c r="K923" s="8"/>
    </row>
    <row r="924" spans="1:11" x14ac:dyDescent="0.2">
      <c r="A924" s="8">
        <v>923</v>
      </c>
      <c r="B924" s="8">
        <f t="shared" si="30"/>
        <v>2021</v>
      </c>
      <c r="C924" s="8">
        <f t="shared" si="31"/>
        <v>7</v>
      </c>
      <c r="D924" s="85">
        <v>44390</v>
      </c>
      <c r="E924" s="31">
        <v>0</v>
      </c>
      <c r="F924" s="31">
        <v>625000</v>
      </c>
      <c r="G924" s="31">
        <v>0</v>
      </c>
      <c r="H924" s="31">
        <v>0</v>
      </c>
      <c r="I924" s="31" t="s">
        <v>571</v>
      </c>
      <c r="J924" s="5" t="s">
        <v>307</v>
      </c>
      <c r="K924" s="8"/>
    </row>
    <row r="925" spans="1:11" x14ac:dyDescent="0.2">
      <c r="A925" s="8">
        <v>924</v>
      </c>
      <c r="B925" s="8">
        <f t="shared" si="30"/>
        <v>2021</v>
      </c>
      <c r="C925" s="8">
        <f t="shared" si="31"/>
        <v>7</v>
      </c>
      <c r="D925" s="85">
        <v>44390</v>
      </c>
      <c r="E925" s="31">
        <v>0</v>
      </c>
      <c r="F925" s="31">
        <v>325000</v>
      </c>
      <c r="G925" s="31">
        <v>0</v>
      </c>
      <c r="H925" s="31">
        <v>0</v>
      </c>
      <c r="I925" s="31" t="s">
        <v>571</v>
      </c>
      <c r="J925" s="5" t="s">
        <v>335</v>
      </c>
      <c r="K925" s="8"/>
    </row>
    <row r="926" spans="1:11" x14ac:dyDescent="0.2">
      <c r="A926" s="8">
        <v>925</v>
      </c>
      <c r="B926" s="8">
        <f t="shared" si="30"/>
        <v>2021</v>
      </c>
      <c r="C926" s="8">
        <f t="shared" si="31"/>
        <v>7</v>
      </c>
      <c r="D926" s="85">
        <v>44390</v>
      </c>
      <c r="E926" s="31">
        <v>0</v>
      </c>
      <c r="F926" s="31">
        <v>100000</v>
      </c>
      <c r="G926" s="31">
        <v>0</v>
      </c>
      <c r="H926" s="31">
        <v>0</v>
      </c>
      <c r="I926" s="31" t="s">
        <v>571</v>
      </c>
      <c r="J926" s="5" t="s">
        <v>391</v>
      </c>
      <c r="K926" s="8"/>
    </row>
    <row r="927" spans="1:11" x14ac:dyDescent="0.2">
      <c r="A927" s="8">
        <v>926</v>
      </c>
      <c r="B927" s="8">
        <f t="shared" si="30"/>
        <v>2021</v>
      </c>
      <c r="C927" s="8">
        <f t="shared" si="31"/>
        <v>7</v>
      </c>
      <c r="D927" s="85">
        <v>44390</v>
      </c>
      <c r="E927" s="31">
        <v>0</v>
      </c>
      <c r="F927" s="31">
        <v>50000</v>
      </c>
      <c r="G927" s="31">
        <v>0</v>
      </c>
      <c r="H927" s="31">
        <v>0</v>
      </c>
      <c r="I927" s="31" t="s">
        <v>571</v>
      </c>
      <c r="J927" s="5" t="s">
        <v>572</v>
      </c>
      <c r="K927" s="8"/>
    </row>
    <row r="928" spans="1:11" x14ac:dyDescent="0.2">
      <c r="A928" s="8">
        <v>927</v>
      </c>
      <c r="B928" s="8">
        <f t="shared" si="30"/>
        <v>2021</v>
      </c>
      <c r="C928" s="8">
        <f t="shared" si="31"/>
        <v>7</v>
      </c>
      <c r="D928" s="85">
        <v>44390</v>
      </c>
      <c r="E928" s="31">
        <v>0</v>
      </c>
      <c r="F928" s="31">
        <v>100000</v>
      </c>
      <c r="G928" s="31">
        <v>0</v>
      </c>
      <c r="H928" s="31">
        <v>0</v>
      </c>
      <c r="I928" s="31" t="s">
        <v>571</v>
      </c>
      <c r="J928" s="5" t="s">
        <v>573</v>
      </c>
      <c r="K928" s="8"/>
    </row>
    <row r="929" spans="1:11" x14ac:dyDescent="0.2">
      <c r="A929" s="8">
        <v>928</v>
      </c>
      <c r="B929" s="8">
        <f t="shared" si="30"/>
        <v>2021</v>
      </c>
      <c r="C929" s="8">
        <f t="shared" si="31"/>
        <v>7</v>
      </c>
      <c r="D929" s="85">
        <v>44391</v>
      </c>
      <c r="E929" s="31">
        <v>0</v>
      </c>
      <c r="F929" s="31">
        <v>45000</v>
      </c>
      <c r="G929" s="31">
        <v>0</v>
      </c>
      <c r="H929" s="31">
        <v>0</v>
      </c>
      <c r="I929" s="31" t="s">
        <v>85</v>
      </c>
      <c r="J929" s="5" t="s">
        <v>859</v>
      </c>
      <c r="K929" s="8"/>
    </row>
    <row r="930" spans="1:11" x14ac:dyDescent="0.2">
      <c r="A930" s="8">
        <v>929</v>
      </c>
      <c r="B930" s="8">
        <f t="shared" si="30"/>
        <v>2021</v>
      </c>
      <c r="C930" s="8">
        <f t="shared" si="31"/>
        <v>7</v>
      </c>
      <c r="D930" s="103">
        <v>44391</v>
      </c>
      <c r="E930" s="104">
        <v>0</v>
      </c>
      <c r="F930" s="104">
        <v>158000</v>
      </c>
      <c r="G930" s="104">
        <v>0</v>
      </c>
      <c r="H930" s="104">
        <v>0</v>
      </c>
      <c r="I930" s="104" t="s">
        <v>92</v>
      </c>
      <c r="J930" s="105" t="s">
        <v>860</v>
      </c>
      <c r="K930" s="8"/>
    </row>
    <row r="931" spans="1:11" x14ac:dyDescent="0.2">
      <c r="A931" s="8">
        <v>930</v>
      </c>
      <c r="B931" s="8">
        <f t="shared" si="30"/>
        <v>2021</v>
      </c>
      <c r="C931" s="8">
        <f t="shared" si="31"/>
        <v>7</v>
      </c>
      <c r="D931" s="85">
        <v>44392</v>
      </c>
      <c r="E931" s="31">
        <v>0</v>
      </c>
      <c r="F931" s="31">
        <v>300000</v>
      </c>
      <c r="G931" s="31">
        <v>0</v>
      </c>
      <c r="H931" s="31">
        <v>0</v>
      </c>
      <c r="I931" s="31" t="s">
        <v>390</v>
      </c>
      <c r="J931" s="5" t="s">
        <v>611</v>
      </c>
      <c r="K931" s="8"/>
    </row>
    <row r="932" spans="1:11" x14ac:dyDescent="0.2">
      <c r="A932" s="8">
        <v>931</v>
      </c>
      <c r="B932" s="8">
        <f t="shared" si="30"/>
        <v>2021</v>
      </c>
      <c r="C932" s="8">
        <f t="shared" si="31"/>
        <v>7</v>
      </c>
      <c r="D932" s="85">
        <v>44392</v>
      </c>
      <c r="E932" s="31">
        <v>0</v>
      </c>
      <c r="F932" s="31">
        <v>150000</v>
      </c>
      <c r="G932" s="31">
        <v>0</v>
      </c>
      <c r="H932" s="31">
        <v>0</v>
      </c>
      <c r="I932" s="31" t="s">
        <v>390</v>
      </c>
      <c r="J932" s="5" t="s">
        <v>779</v>
      </c>
      <c r="K932" s="8"/>
    </row>
    <row r="933" spans="1:11" x14ac:dyDescent="0.2">
      <c r="A933" s="8">
        <v>932</v>
      </c>
      <c r="B933" s="8">
        <f t="shared" si="30"/>
        <v>2021</v>
      </c>
      <c r="C933" s="8">
        <f t="shared" si="31"/>
        <v>7</v>
      </c>
      <c r="D933" s="85">
        <v>44393</v>
      </c>
      <c r="E933" s="31">
        <v>0</v>
      </c>
      <c r="F933" s="31">
        <v>0</v>
      </c>
      <c r="G933" s="31">
        <v>0</v>
      </c>
      <c r="H933" s="31">
        <v>50000</v>
      </c>
      <c r="I933" s="31" t="s">
        <v>85</v>
      </c>
      <c r="J933" s="5" t="s">
        <v>861</v>
      </c>
      <c r="K933" s="8"/>
    </row>
    <row r="934" spans="1:11" x14ac:dyDescent="0.2">
      <c r="A934" s="8">
        <v>933</v>
      </c>
      <c r="B934" s="8">
        <f t="shared" si="30"/>
        <v>2021</v>
      </c>
      <c r="C934" s="8">
        <f t="shared" si="31"/>
        <v>7</v>
      </c>
      <c r="D934" s="85">
        <v>44393</v>
      </c>
      <c r="E934" s="31">
        <v>0</v>
      </c>
      <c r="F934" s="31">
        <v>0</v>
      </c>
      <c r="G934" s="31">
        <v>0</v>
      </c>
      <c r="H934" s="31">
        <v>30000</v>
      </c>
      <c r="I934" s="31" t="s">
        <v>85</v>
      </c>
      <c r="J934" s="5" t="s">
        <v>862</v>
      </c>
      <c r="K934" s="8"/>
    </row>
    <row r="935" spans="1:11" x14ac:dyDescent="0.2">
      <c r="A935" s="8">
        <v>934</v>
      </c>
      <c r="B935" s="8">
        <f t="shared" si="30"/>
        <v>2021</v>
      </c>
      <c r="C935" s="8">
        <f t="shared" si="31"/>
        <v>7</v>
      </c>
      <c r="D935" s="85">
        <v>44394</v>
      </c>
      <c r="E935" s="31">
        <v>0</v>
      </c>
      <c r="F935" s="31">
        <v>50000</v>
      </c>
      <c r="G935" s="31">
        <v>0</v>
      </c>
      <c r="H935" s="31">
        <v>0</v>
      </c>
      <c r="I935" s="31" t="s">
        <v>99</v>
      </c>
      <c r="J935" s="5" t="s">
        <v>863</v>
      </c>
      <c r="K935" s="8"/>
    </row>
    <row r="936" spans="1:11" x14ac:dyDescent="0.2">
      <c r="A936" s="8">
        <v>935</v>
      </c>
      <c r="B936" s="8">
        <f t="shared" si="30"/>
        <v>2021</v>
      </c>
      <c r="C936" s="8">
        <f t="shared" si="31"/>
        <v>7</v>
      </c>
      <c r="D936" s="85">
        <v>44395</v>
      </c>
      <c r="E936" s="31">
        <v>0</v>
      </c>
      <c r="F936" s="31">
        <v>10000</v>
      </c>
      <c r="G936" s="31">
        <v>0</v>
      </c>
      <c r="H936" s="31">
        <v>0</v>
      </c>
      <c r="I936" s="31" t="s">
        <v>300</v>
      </c>
      <c r="J936" s="5" t="s">
        <v>864</v>
      </c>
      <c r="K936" s="8"/>
    </row>
    <row r="937" spans="1:11" x14ac:dyDescent="0.2">
      <c r="A937" s="8">
        <v>936</v>
      </c>
      <c r="B937" s="8">
        <f t="shared" si="30"/>
        <v>2021</v>
      </c>
      <c r="C937" s="8">
        <f t="shared" si="31"/>
        <v>7</v>
      </c>
      <c r="D937" s="85">
        <v>44395</v>
      </c>
      <c r="E937" s="31">
        <v>0</v>
      </c>
      <c r="F937" s="31">
        <v>5000</v>
      </c>
      <c r="G937" s="31">
        <v>0</v>
      </c>
      <c r="H937" s="31">
        <v>0</v>
      </c>
      <c r="I937" s="31" t="s">
        <v>85</v>
      </c>
      <c r="J937" s="5" t="s">
        <v>145</v>
      </c>
      <c r="K937" s="8"/>
    </row>
    <row r="938" spans="1:11" x14ac:dyDescent="0.2">
      <c r="A938" s="8">
        <v>937</v>
      </c>
      <c r="B938" s="8">
        <f t="shared" si="30"/>
        <v>2021</v>
      </c>
      <c r="C938" s="8">
        <f t="shared" si="31"/>
        <v>7</v>
      </c>
      <c r="D938" s="85">
        <v>44395</v>
      </c>
      <c r="E938" s="31">
        <v>0</v>
      </c>
      <c r="F938" s="31">
        <v>10000</v>
      </c>
      <c r="G938" s="31">
        <v>0</v>
      </c>
      <c r="H938" s="31">
        <v>0</v>
      </c>
      <c r="I938" s="31" t="s">
        <v>85</v>
      </c>
      <c r="J938" s="5" t="s">
        <v>865</v>
      </c>
      <c r="K938" s="8"/>
    </row>
    <row r="939" spans="1:11" x14ac:dyDescent="0.2">
      <c r="A939" s="8">
        <v>938</v>
      </c>
      <c r="B939" s="8">
        <f t="shared" si="30"/>
        <v>2021</v>
      </c>
      <c r="C939" s="8">
        <f t="shared" si="31"/>
        <v>7</v>
      </c>
      <c r="D939" s="85">
        <v>44396</v>
      </c>
      <c r="E939" s="31">
        <v>75100</v>
      </c>
      <c r="F939" s="31">
        <v>0</v>
      </c>
      <c r="G939" s="31">
        <v>0</v>
      </c>
      <c r="H939" s="31">
        <v>0</v>
      </c>
      <c r="I939" s="31" t="s">
        <v>109</v>
      </c>
      <c r="J939" s="5" t="s">
        <v>866</v>
      </c>
      <c r="K939" s="8"/>
    </row>
    <row r="940" spans="1:11" x14ac:dyDescent="0.2">
      <c r="A940" s="8">
        <v>939</v>
      </c>
      <c r="B940" s="8">
        <f t="shared" si="30"/>
        <v>2021</v>
      </c>
      <c r="C940" s="8">
        <f t="shared" si="31"/>
        <v>7</v>
      </c>
      <c r="D940" s="85">
        <v>44396</v>
      </c>
      <c r="E940" s="31">
        <v>0</v>
      </c>
      <c r="F940" s="31">
        <v>17000</v>
      </c>
      <c r="G940" s="31">
        <v>0</v>
      </c>
      <c r="H940" s="31">
        <v>0</v>
      </c>
      <c r="I940" s="31" t="s">
        <v>300</v>
      </c>
      <c r="J940" s="5" t="s">
        <v>605</v>
      </c>
      <c r="K940" s="8"/>
    </row>
    <row r="941" spans="1:11" x14ac:dyDescent="0.2">
      <c r="A941" s="8">
        <v>940</v>
      </c>
      <c r="B941" s="8">
        <f t="shared" si="30"/>
        <v>2021</v>
      </c>
      <c r="C941" s="8">
        <f t="shared" si="31"/>
        <v>7</v>
      </c>
      <c r="D941" s="85">
        <v>44396</v>
      </c>
      <c r="E941" s="31">
        <v>0</v>
      </c>
      <c r="F941" s="31">
        <v>80000</v>
      </c>
      <c r="G941" s="31">
        <v>0</v>
      </c>
      <c r="H941" s="31">
        <v>0</v>
      </c>
      <c r="I941" s="31" t="s">
        <v>791</v>
      </c>
      <c r="J941" s="5" t="s">
        <v>867</v>
      </c>
      <c r="K941" s="8"/>
    </row>
    <row r="942" spans="1:11" x14ac:dyDescent="0.2">
      <c r="A942" s="8">
        <v>941</v>
      </c>
      <c r="B942" s="8">
        <f t="shared" si="30"/>
        <v>2021</v>
      </c>
      <c r="C942" s="8">
        <f t="shared" si="31"/>
        <v>7</v>
      </c>
      <c r="D942" s="85">
        <v>44397</v>
      </c>
      <c r="E942" s="31">
        <v>0</v>
      </c>
      <c r="F942" s="31">
        <v>0</v>
      </c>
      <c r="G942" s="31">
        <v>0</v>
      </c>
      <c r="H942" s="31">
        <v>500000</v>
      </c>
      <c r="I942" s="31" t="s">
        <v>74</v>
      </c>
      <c r="J942" s="5" t="s">
        <v>868</v>
      </c>
      <c r="K942" s="8"/>
    </row>
    <row r="943" spans="1:11" x14ac:dyDescent="0.2">
      <c r="A943" s="8">
        <v>942</v>
      </c>
      <c r="B943" s="8">
        <f t="shared" si="30"/>
        <v>2021</v>
      </c>
      <c r="C943" s="8">
        <f t="shared" si="31"/>
        <v>7</v>
      </c>
      <c r="D943" s="85">
        <v>44398</v>
      </c>
      <c r="E943" s="31">
        <v>0</v>
      </c>
      <c r="F943" s="31">
        <v>90000</v>
      </c>
      <c r="G943" s="31">
        <v>0</v>
      </c>
      <c r="H943" s="31">
        <v>0</v>
      </c>
      <c r="I943" s="31" t="s">
        <v>83</v>
      </c>
      <c r="J943" s="5" t="s">
        <v>869</v>
      </c>
      <c r="K943" s="8"/>
    </row>
    <row r="944" spans="1:11" x14ac:dyDescent="0.2">
      <c r="A944" s="8">
        <v>943</v>
      </c>
      <c r="B944" s="8">
        <f t="shared" si="30"/>
        <v>2021</v>
      </c>
      <c r="C944" s="8">
        <f t="shared" si="31"/>
        <v>7</v>
      </c>
      <c r="D944" s="85">
        <v>44398</v>
      </c>
      <c r="E944" s="31">
        <v>0</v>
      </c>
      <c r="F944" s="31">
        <v>0</v>
      </c>
      <c r="G944" s="31">
        <v>0</v>
      </c>
      <c r="H944" s="31">
        <v>160000</v>
      </c>
      <c r="I944" s="31" t="s">
        <v>74</v>
      </c>
      <c r="J944" s="5" t="s">
        <v>870</v>
      </c>
      <c r="K944" s="8"/>
    </row>
    <row r="945" spans="1:11" x14ac:dyDescent="0.2">
      <c r="A945" s="8">
        <v>944</v>
      </c>
      <c r="B945" s="8">
        <f t="shared" si="30"/>
        <v>2021</v>
      </c>
      <c r="C945" s="8">
        <f t="shared" si="31"/>
        <v>7</v>
      </c>
      <c r="D945" s="85">
        <v>44400</v>
      </c>
      <c r="E945" s="31">
        <v>0</v>
      </c>
      <c r="F945" s="31">
        <v>1000000</v>
      </c>
      <c r="G945" s="31">
        <v>0</v>
      </c>
      <c r="H945" s="31">
        <v>0</v>
      </c>
      <c r="I945" s="31" t="s">
        <v>85</v>
      </c>
      <c r="J945" s="5" t="s">
        <v>871</v>
      </c>
      <c r="K945" s="8"/>
    </row>
    <row r="946" spans="1:11" x14ac:dyDescent="0.2">
      <c r="A946" s="8">
        <v>945</v>
      </c>
      <c r="B946" s="8">
        <f t="shared" si="30"/>
        <v>2021</v>
      </c>
      <c r="C946" s="8">
        <f t="shared" si="31"/>
        <v>7</v>
      </c>
      <c r="D946" s="85">
        <v>44401</v>
      </c>
      <c r="E946" s="31">
        <v>0</v>
      </c>
      <c r="F946" s="31">
        <v>56000</v>
      </c>
      <c r="G946" s="31">
        <v>0</v>
      </c>
      <c r="H946" s="31">
        <v>0</v>
      </c>
      <c r="I946" s="31" t="s">
        <v>99</v>
      </c>
      <c r="J946" s="5" t="s">
        <v>872</v>
      </c>
      <c r="K946" s="8"/>
    </row>
    <row r="947" spans="1:11" x14ac:dyDescent="0.2">
      <c r="A947" s="8">
        <v>946</v>
      </c>
      <c r="B947" s="8">
        <f t="shared" si="30"/>
        <v>2021</v>
      </c>
      <c r="C947" s="8">
        <f t="shared" si="31"/>
        <v>7</v>
      </c>
      <c r="D947" s="85">
        <v>44401</v>
      </c>
      <c r="E947" s="31">
        <v>0</v>
      </c>
      <c r="F947" s="31">
        <v>300000</v>
      </c>
      <c r="G947" s="31">
        <v>0</v>
      </c>
      <c r="H947" s="31">
        <v>0</v>
      </c>
      <c r="I947" s="31" t="s">
        <v>85</v>
      </c>
      <c r="J947" s="5" t="s">
        <v>873</v>
      </c>
      <c r="K947" s="8"/>
    </row>
    <row r="948" spans="1:11" x14ac:dyDescent="0.2">
      <c r="A948" s="8">
        <v>947</v>
      </c>
      <c r="B948" s="8">
        <f t="shared" si="30"/>
        <v>2021</v>
      </c>
      <c r="C948" s="8">
        <f t="shared" si="31"/>
        <v>7</v>
      </c>
      <c r="D948" s="85">
        <v>44401</v>
      </c>
      <c r="E948" s="31">
        <v>0</v>
      </c>
      <c r="F948" s="31">
        <v>28000</v>
      </c>
      <c r="G948" s="31">
        <v>0</v>
      </c>
      <c r="H948" s="31">
        <v>0</v>
      </c>
      <c r="I948" s="31" t="s">
        <v>85</v>
      </c>
      <c r="J948" s="5" t="s">
        <v>874</v>
      </c>
      <c r="K948" s="8"/>
    </row>
    <row r="949" spans="1:11" x14ac:dyDescent="0.2">
      <c r="A949" s="8">
        <v>948</v>
      </c>
      <c r="B949" s="8">
        <f t="shared" si="30"/>
        <v>2021</v>
      </c>
      <c r="C949" s="8">
        <f t="shared" si="31"/>
        <v>7</v>
      </c>
      <c r="D949" s="85">
        <v>44401</v>
      </c>
      <c r="E949" s="31">
        <v>0</v>
      </c>
      <c r="F949" s="31">
        <v>30000</v>
      </c>
      <c r="G949" s="31">
        <v>0</v>
      </c>
      <c r="H949" s="31">
        <v>0</v>
      </c>
      <c r="I949" s="31" t="s">
        <v>300</v>
      </c>
      <c r="J949" s="5" t="s">
        <v>875</v>
      </c>
      <c r="K949" s="8"/>
    </row>
    <row r="950" spans="1:11" x14ac:dyDescent="0.2">
      <c r="A950" s="8">
        <v>949</v>
      </c>
      <c r="B950" s="8">
        <f t="shared" si="30"/>
        <v>2021</v>
      </c>
      <c r="C950" s="8">
        <f t="shared" si="31"/>
        <v>7</v>
      </c>
      <c r="D950" s="85">
        <v>44402</v>
      </c>
      <c r="E950" s="31">
        <v>0</v>
      </c>
      <c r="F950" s="31">
        <v>150000</v>
      </c>
      <c r="G950" s="31">
        <v>0</v>
      </c>
      <c r="H950" s="31">
        <v>0</v>
      </c>
      <c r="I950" s="31" t="s">
        <v>85</v>
      </c>
      <c r="J950" s="5" t="s">
        <v>876</v>
      </c>
      <c r="K950" s="8"/>
    </row>
    <row r="951" spans="1:11" x14ac:dyDescent="0.2">
      <c r="A951" s="8">
        <v>950</v>
      </c>
      <c r="B951" s="8">
        <f t="shared" si="30"/>
        <v>2021</v>
      </c>
      <c r="C951" s="8">
        <f t="shared" si="31"/>
        <v>7</v>
      </c>
      <c r="D951" s="85">
        <v>44402</v>
      </c>
      <c r="E951" s="31">
        <v>0</v>
      </c>
      <c r="F951" s="31">
        <v>60000</v>
      </c>
      <c r="G951" s="31">
        <v>0</v>
      </c>
      <c r="H951" s="31">
        <v>0</v>
      </c>
      <c r="I951" s="31" t="s">
        <v>83</v>
      </c>
      <c r="J951" s="5" t="s">
        <v>877</v>
      </c>
      <c r="K951" s="8"/>
    </row>
    <row r="952" spans="1:11" x14ac:dyDescent="0.2">
      <c r="A952" s="8">
        <v>951</v>
      </c>
      <c r="B952" s="8">
        <f t="shared" si="30"/>
        <v>2021</v>
      </c>
      <c r="C952" s="8">
        <f t="shared" si="31"/>
        <v>7</v>
      </c>
      <c r="D952" s="85">
        <v>44403</v>
      </c>
      <c r="E952" s="7">
        <v>75000</v>
      </c>
      <c r="F952" s="31">
        <v>0</v>
      </c>
      <c r="G952" s="31">
        <v>0</v>
      </c>
      <c r="H952" s="31">
        <v>0</v>
      </c>
      <c r="I952" s="31" t="s">
        <v>109</v>
      </c>
      <c r="J952" s="5" t="s">
        <v>878</v>
      </c>
      <c r="K952" s="8"/>
    </row>
    <row r="953" spans="1:11" x14ac:dyDescent="0.2">
      <c r="A953" s="8">
        <v>952</v>
      </c>
      <c r="B953" s="8">
        <f t="shared" si="30"/>
        <v>2021</v>
      </c>
      <c r="C953" s="8">
        <f t="shared" si="31"/>
        <v>7</v>
      </c>
      <c r="D953" s="85">
        <v>44405</v>
      </c>
      <c r="E953" s="31">
        <v>0</v>
      </c>
      <c r="F953" s="31">
        <v>0</v>
      </c>
      <c r="G953" s="31">
        <v>0</v>
      </c>
      <c r="H953" s="31">
        <v>559000</v>
      </c>
      <c r="I953" s="31" t="s">
        <v>74</v>
      </c>
      <c r="J953" s="5" t="s">
        <v>879</v>
      </c>
      <c r="K953" s="8"/>
    </row>
    <row r="954" spans="1:11" x14ac:dyDescent="0.2">
      <c r="A954" s="8">
        <v>953</v>
      </c>
      <c r="B954" s="8">
        <f t="shared" si="30"/>
        <v>2021</v>
      </c>
      <c r="C954" s="8">
        <f t="shared" si="31"/>
        <v>7</v>
      </c>
      <c r="D954" s="85">
        <v>44407</v>
      </c>
      <c r="E954" s="31">
        <v>214000</v>
      </c>
      <c r="F954" s="31">
        <v>0</v>
      </c>
      <c r="G954" s="31">
        <v>0</v>
      </c>
      <c r="H954" s="31">
        <v>0</v>
      </c>
      <c r="I954" s="31" t="s">
        <v>109</v>
      </c>
      <c r="J954" s="5" t="s">
        <v>866</v>
      </c>
      <c r="K954" s="8"/>
    </row>
    <row r="955" spans="1:11" x14ac:dyDescent="0.2">
      <c r="A955" s="8">
        <v>954</v>
      </c>
      <c r="B955" s="8">
        <f t="shared" si="30"/>
        <v>2021</v>
      </c>
      <c r="C955" s="8">
        <f t="shared" si="31"/>
        <v>7</v>
      </c>
      <c r="D955" s="85">
        <v>44407</v>
      </c>
      <c r="E955" s="31">
        <v>0</v>
      </c>
      <c r="F955" s="31">
        <v>0</v>
      </c>
      <c r="G955" s="31">
        <v>0</v>
      </c>
      <c r="H955" s="31">
        <v>470000</v>
      </c>
      <c r="I955" s="31" t="s">
        <v>74</v>
      </c>
      <c r="J955" s="5" t="s">
        <v>880</v>
      </c>
      <c r="K955" s="8"/>
    </row>
    <row r="956" spans="1:11" x14ac:dyDescent="0.2">
      <c r="A956" s="8">
        <v>955</v>
      </c>
      <c r="B956" s="8">
        <f t="shared" si="30"/>
        <v>2021</v>
      </c>
      <c r="C956" s="8">
        <f t="shared" si="31"/>
        <v>7</v>
      </c>
      <c r="D956" s="85">
        <v>44408</v>
      </c>
      <c r="E956" s="31">
        <v>0</v>
      </c>
      <c r="F956" s="31">
        <v>0</v>
      </c>
      <c r="G956" s="31">
        <v>0</v>
      </c>
      <c r="H956" s="31">
        <v>550000</v>
      </c>
      <c r="I956" s="31" t="s">
        <v>74</v>
      </c>
      <c r="J956" s="5" t="s">
        <v>881</v>
      </c>
      <c r="K956" s="8"/>
    </row>
    <row r="957" spans="1:11" x14ac:dyDescent="0.2">
      <c r="A957" s="8">
        <v>956</v>
      </c>
      <c r="B957" s="8">
        <f t="shared" si="30"/>
        <v>2021</v>
      </c>
      <c r="C957" s="8">
        <f t="shared" si="31"/>
        <v>7</v>
      </c>
      <c r="D957" s="85">
        <v>44408</v>
      </c>
      <c r="E957" s="31">
        <v>865000</v>
      </c>
      <c r="F957" s="31">
        <v>0</v>
      </c>
      <c r="G957" s="31">
        <v>0</v>
      </c>
      <c r="H957" s="31">
        <v>0</v>
      </c>
      <c r="I957" s="31" t="s">
        <v>109</v>
      </c>
      <c r="J957" s="5" t="s">
        <v>882</v>
      </c>
      <c r="K957" s="8"/>
    </row>
    <row r="958" spans="1:11" x14ac:dyDescent="0.2">
      <c r="A958" s="8">
        <v>957</v>
      </c>
      <c r="B958" s="8">
        <f t="shared" si="30"/>
        <v>2021</v>
      </c>
      <c r="C958" s="8">
        <f t="shared" si="31"/>
        <v>7</v>
      </c>
      <c r="D958" s="85">
        <v>44408</v>
      </c>
      <c r="E958" s="31">
        <v>0</v>
      </c>
      <c r="F958" s="31">
        <v>156000</v>
      </c>
      <c r="G958" s="31">
        <v>0</v>
      </c>
      <c r="H958" s="31">
        <v>0</v>
      </c>
      <c r="I958" s="188" t="s">
        <v>4137</v>
      </c>
      <c r="J958" s="5" t="s">
        <v>883</v>
      </c>
      <c r="K958" s="8"/>
    </row>
    <row r="959" spans="1:11" x14ac:dyDescent="0.2">
      <c r="A959" s="8">
        <v>958</v>
      </c>
      <c r="B959" s="8">
        <f t="shared" si="30"/>
        <v>2021</v>
      </c>
      <c r="C959" s="8">
        <f t="shared" si="31"/>
        <v>7</v>
      </c>
      <c r="D959" s="85">
        <v>44392</v>
      </c>
      <c r="E959" s="31">
        <v>1343000</v>
      </c>
      <c r="F959" s="31">
        <v>0</v>
      </c>
      <c r="G959" s="31">
        <v>0</v>
      </c>
      <c r="H959" s="31">
        <v>0</v>
      </c>
      <c r="I959" s="31" t="s">
        <v>109</v>
      </c>
      <c r="J959" s="5" t="s">
        <v>884</v>
      </c>
      <c r="K959" s="8"/>
    </row>
    <row r="960" spans="1:11" x14ac:dyDescent="0.2">
      <c r="A960" s="8">
        <v>959</v>
      </c>
      <c r="B960" s="8">
        <f t="shared" si="30"/>
        <v>2021</v>
      </c>
      <c r="C960" s="8">
        <f t="shared" si="31"/>
        <v>7</v>
      </c>
      <c r="D960" s="85">
        <v>44407</v>
      </c>
      <c r="E960" s="31">
        <v>0</v>
      </c>
      <c r="F960" s="31">
        <v>60000</v>
      </c>
      <c r="G960" s="31">
        <v>0</v>
      </c>
      <c r="H960" s="31">
        <v>0</v>
      </c>
      <c r="I960" s="31" t="s">
        <v>99</v>
      </c>
      <c r="J960" s="5" t="s">
        <v>885</v>
      </c>
      <c r="K960" s="8"/>
    </row>
    <row r="961" spans="1:11" x14ac:dyDescent="0.2">
      <c r="A961" s="8">
        <v>960</v>
      </c>
      <c r="B961" s="8">
        <f t="shared" si="30"/>
        <v>2021</v>
      </c>
      <c r="C961" s="8">
        <f t="shared" si="31"/>
        <v>7</v>
      </c>
      <c r="D961" s="93">
        <v>44408</v>
      </c>
      <c r="E961" s="35">
        <v>0</v>
      </c>
      <c r="F961" s="35">
        <v>1048000</v>
      </c>
      <c r="G961" s="35">
        <v>0</v>
      </c>
      <c r="H961" s="35">
        <v>0</v>
      </c>
      <c r="I961" s="35" t="s">
        <v>549</v>
      </c>
      <c r="J961" s="36" t="s">
        <v>886</v>
      </c>
      <c r="K961" s="56"/>
    </row>
    <row r="962" spans="1:11" x14ac:dyDescent="0.2">
      <c r="A962" s="8">
        <v>961</v>
      </c>
      <c r="B962" s="8">
        <f t="shared" si="30"/>
        <v>2021</v>
      </c>
      <c r="C962" s="8">
        <f t="shared" si="31"/>
        <v>7</v>
      </c>
      <c r="D962" s="85">
        <v>44408</v>
      </c>
      <c r="E962" s="31">
        <v>0</v>
      </c>
      <c r="F962" s="31">
        <v>100000</v>
      </c>
      <c r="G962" s="31">
        <v>0</v>
      </c>
      <c r="H962" s="31">
        <v>0</v>
      </c>
      <c r="I962" s="31" t="s">
        <v>737</v>
      </c>
      <c r="J962" s="5" t="s">
        <v>784</v>
      </c>
      <c r="K962" s="8"/>
    </row>
    <row r="963" spans="1:11" x14ac:dyDescent="0.2">
      <c r="A963" s="8">
        <v>962</v>
      </c>
      <c r="B963" s="8">
        <f t="shared" si="30"/>
        <v>2021</v>
      </c>
      <c r="C963" s="8">
        <f t="shared" si="31"/>
        <v>7</v>
      </c>
      <c r="D963" s="85">
        <v>44408</v>
      </c>
      <c r="E963" s="31">
        <v>0</v>
      </c>
      <c r="F963" s="31">
        <v>0</v>
      </c>
      <c r="G963" s="31">
        <v>0</v>
      </c>
      <c r="H963" s="31">
        <v>100000</v>
      </c>
      <c r="I963" s="31" t="s">
        <v>85</v>
      </c>
      <c r="J963" s="5" t="s">
        <v>887</v>
      </c>
      <c r="K963" s="8"/>
    </row>
    <row r="964" spans="1:11" x14ac:dyDescent="0.2">
      <c r="A964" s="8">
        <v>963</v>
      </c>
      <c r="B964" s="8">
        <f t="shared" si="30"/>
        <v>2021</v>
      </c>
      <c r="C964" s="8">
        <f t="shared" si="31"/>
        <v>8</v>
      </c>
      <c r="D964" s="85">
        <v>44409</v>
      </c>
      <c r="E964" s="31">
        <v>0</v>
      </c>
      <c r="F964" s="31">
        <v>77000</v>
      </c>
      <c r="G964" s="31">
        <v>0</v>
      </c>
      <c r="H964" s="31">
        <v>0</v>
      </c>
      <c r="I964" s="31" t="s">
        <v>83</v>
      </c>
      <c r="J964" s="5" t="s">
        <v>888</v>
      </c>
      <c r="K964" s="8"/>
    </row>
    <row r="965" spans="1:11" x14ac:dyDescent="0.2">
      <c r="A965" s="8">
        <v>964</v>
      </c>
      <c r="B965" s="8">
        <f t="shared" si="30"/>
        <v>2021</v>
      </c>
      <c r="C965" s="8">
        <f t="shared" si="31"/>
        <v>8</v>
      </c>
      <c r="D965" s="85">
        <v>44409</v>
      </c>
      <c r="E965" s="31">
        <v>0</v>
      </c>
      <c r="F965" s="31">
        <v>600000</v>
      </c>
      <c r="G965" s="31">
        <v>0</v>
      </c>
      <c r="H965" s="31">
        <v>0</v>
      </c>
      <c r="I965" s="31" t="s">
        <v>201</v>
      </c>
      <c r="J965" s="5" t="s">
        <v>889</v>
      </c>
      <c r="K965" s="8"/>
    </row>
    <row r="966" spans="1:11" x14ac:dyDescent="0.2">
      <c r="A966" s="8">
        <v>965</v>
      </c>
      <c r="B966" s="8">
        <f t="shared" ref="B966:B1029" si="32">YEAR(D966)</f>
        <v>2021</v>
      </c>
      <c r="C966" s="8">
        <f t="shared" ref="C966:C1029" si="33">MONTH(D966)</f>
        <v>8</v>
      </c>
      <c r="D966" s="85">
        <v>44411</v>
      </c>
      <c r="E966" s="31">
        <v>0</v>
      </c>
      <c r="F966" s="31">
        <v>203000</v>
      </c>
      <c r="G966" s="31">
        <v>0</v>
      </c>
      <c r="H966" s="31">
        <v>0</v>
      </c>
      <c r="I966" s="31" t="s">
        <v>85</v>
      </c>
      <c r="J966" s="5" t="s">
        <v>890</v>
      </c>
      <c r="K966" s="8"/>
    </row>
    <row r="967" spans="1:11" x14ac:dyDescent="0.2">
      <c r="A967" s="8">
        <v>966</v>
      </c>
      <c r="B967" s="8">
        <f t="shared" si="32"/>
        <v>2021</v>
      </c>
      <c r="C967" s="8">
        <f t="shared" si="33"/>
        <v>8</v>
      </c>
      <c r="D967" s="85">
        <v>44412</v>
      </c>
      <c r="E967" s="31">
        <v>50000</v>
      </c>
      <c r="F967" s="31">
        <v>50000</v>
      </c>
      <c r="G967" s="31">
        <v>0</v>
      </c>
      <c r="H967" s="31">
        <v>0</v>
      </c>
      <c r="I967" s="31" t="s">
        <v>109</v>
      </c>
      <c r="J967" s="5" t="s">
        <v>891</v>
      </c>
      <c r="K967" s="8"/>
    </row>
    <row r="968" spans="1:11" x14ac:dyDescent="0.2">
      <c r="A968" s="8">
        <v>967</v>
      </c>
      <c r="B968" s="8">
        <f t="shared" si="32"/>
        <v>2021</v>
      </c>
      <c r="C968" s="8">
        <f t="shared" si="33"/>
        <v>8</v>
      </c>
      <c r="D968" s="85">
        <v>44412</v>
      </c>
      <c r="E968" s="31">
        <v>25000</v>
      </c>
      <c r="F968" s="31">
        <v>25000</v>
      </c>
      <c r="G968" s="31">
        <v>0</v>
      </c>
      <c r="H968" s="31">
        <v>0</v>
      </c>
      <c r="I968" s="31" t="s">
        <v>109</v>
      </c>
      <c r="J968" s="5" t="s">
        <v>892</v>
      </c>
      <c r="K968" s="8"/>
    </row>
    <row r="969" spans="1:11" x14ac:dyDescent="0.2">
      <c r="A969" s="8">
        <v>968</v>
      </c>
      <c r="B969" s="8">
        <f t="shared" si="32"/>
        <v>2021</v>
      </c>
      <c r="C969" s="8">
        <f t="shared" si="33"/>
        <v>8</v>
      </c>
      <c r="D969" s="85">
        <v>44412</v>
      </c>
      <c r="E969" s="31">
        <v>230000</v>
      </c>
      <c r="F969" s="31">
        <v>230000</v>
      </c>
      <c r="G969" s="31">
        <v>0</v>
      </c>
      <c r="H969" s="31">
        <v>0</v>
      </c>
      <c r="I969" s="31" t="s">
        <v>109</v>
      </c>
      <c r="J969" s="5" t="s">
        <v>893</v>
      </c>
      <c r="K969" s="8"/>
    </row>
    <row r="970" spans="1:11" x14ac:dyDescent="0.2">
      <c r="A970" s="8">
        <v>969</v>
      </c>
      <c r="B970" s="8">
        <f t="shared" si="32"/>
        <v>2021</v>
      </c>
      <c r="C970" s="8">
        <f t="shared" si="33"/>
        <v>8</v>
      </c>
      <c r="D970" s="85">
        <v>44412</v>
      </c>
      <c r="E970" s="31">
        <v>0</v>
      </c>
      <c r="F970" s="31">
        <v>50000</v>
      </c>
      <c r="G970" s="31">
        <v>0</v>
      </c>
      <c r="H970" s="31">
        <v>0</v>
      </c>
      <c r="I970" s="31" t="s">
        <v>300</v>
      </c>
      <c r="J970" s="5" t="s">
        <v>894</v>
      </c>
      <c r="K970" s="8"/>
    </row>
    <row r="971" spans="1:11" x14ac:dyDescent="0.2">
      <c r="A971" s="8">
        <v>970</v>
      </c>
      <c r="B971" s="8">
        <f t="shared" si="32"/>
        <v>2021</v>
      </c>
      <c r="C971" s="8">
        <f t="shared" si="33"/>
        <v>8</v>
      </c>
      <c r="D971" s="85">
        <v>44413</v>
      </c>
      <c r="E971" s="31">
        <v>0</v>
      </c>
      <c r="F971" s="31">
        <v>20000</v>
      </c>
      <c r="G971" s="31">
        <v>0</v>
      </c>
      <c r="H971" s="31">
        <v>0</v>
      </c>
      <c r="I971" s="31" t="s">
        <v>300</v>
      </c>
      <c r="J971" s="5" t="s">
        <v>895</v>
      </c>
      <c r="K971" s="8"/>
    </row>
    <row r="972" spans="1:11" x14ac:dyDescent="0.2">
      <c r="A972" s="8">
        <v>971</v>
      </c>
      <c r="B972" s="8">
        <f t="shared" si="32"/>
        <v>2021</v>
      </c>
      <c r="C972" s="8">
        <f t="shared" si="33"/>
        <v>8</v>
      </c>
      <c r="D972" s="85">
        <v>44414</v>
      </c>
      <c r="E972" s="31">
        <v>0</v>
      </c>
      <c r="F972" s="31">
        <v>30000</v>
      </c>
      <c r="G972" s="31">
        <v>0</v>
      </c>
      <c r="H972" s="31">
        <v>0</v>
      </c>
      <c r="I972" s="31" t="s">
        <v>99</v>
      </c>
      <c r="J972" s="5" t="s">
        <v>896</v>
      </c>
      <c r="K972" s="8"/>
    </row>
    <row r="973" spans="1:11" x14ac:dyDescent="0.2">
      <c r="A973" s="8">
        <v>972</v>
      </c>
      <c r="B973" s="8">
        <f t="shared" si="32"/>
        <v>2021</v>
      </c>
      <c r="C973" s="8">
        <f t="shared" si="33"/>
        <v>8</v>
      </c>
      <c r="D973" s="85">
        <v>44415</v>
      </c>
      <c r="E973" s="31">
        <v>0</v>
      </c>
      <c r="F973" s="31">
        <v>32000</v>
      </c>
      <c r="G973" s="31">
        <v>0</v>
      </c>
      <c r="H973" s="31">
        <v>0</v>
      </c>
      <c r="I973" s="31" t="s">
        <v>791</v>
      </c>
      <c r="J973" s="5" t="s">
        <v>897</v>
      </c>
      <c r="K973" s="8"/>
    </row>
    <row r="974" spans="1:11" x14ac:dyDescent="0.2">
      <c r="A974" s="8">
        <v>973</v>
      </c>
      <c r="B974" s="8">
        <f t="shared" si="32"/>
        <v>2021</v>
      </c>
      <c r="C974" s="8">
        <f t="shared" si="33"/>
        <v>8</v>
      </c>
      <c r="D974" s="85">
        <v>44416</v>
      </c>
      <c r="E974" s="31">
        <v>0</v>
      </c>
      <c r="F974" s="31">
        <v>95000</v>
      </c>
      <c r="G974" s="31">
        <v>0</v>
      </c>
      <c r="H974" s="31">
        <v>0</v>
      </c>
      <c r="I974" s="31" t="s">
        <v>83</v>
      </c>
      <c r="J974" s="5" t="s">
        <v>898</v>
      </c>
      <c r="K974" s="8"/>
    </row>
    <row r="975" spans="1:11" x14ac:dyDescent="0.2">
      <c r="A975" s="8">
        <v>974</v>
      </c>
      <c r="B975" s="8">
        <f t="shared" si="32"/>
        <v>2021</v>
      </c>
      <c r="C975" s="8">
        <f t="shared" si="33"/>
        <v>8</v>
      </c>
      <c r="D975" s="85">
        <v>44417</v>
      </c>
      <c r="E975" s="31">
        <v>0</v>
      </c>
      <c r="F975" s="31">
        <v>50000</v>
      </c>
      <c r="G975" s="31">
        <v>0</v>
      </c>
      <c r="H975" s="31">
        <v>0</v>
      </c>
      <c r="I975" s="31" t="s">
        <v>99</v>
      </c>
      <c r="J975" s="5" t="s">
        <v>899</v>
      </c>
      <c r="K975" s="8"/>
    </row>
    <row r="976" spans="1:11" x14ac:dyDescent="0.2">
      <c r="A976" s="8">
        <v>975</v>
      </c>
      <c r="B976" s="8">
        <f t="shared" si="32"/>
        <v>2021</v>
      </c>
      <c r="C976" s="8">
        <f t="shared" si="33"/>
        <v>8</v>
      </c>
      <c r="D976" s="85">
        <v>44417</v>
      </c>
      <c r="E976" s="31">
        <v>0</v>
      </c>
      <c r="F976" s="31">
        <v>1000000</v>
      </c>
      <c r="G976" s="31">
        <v>0</v>
      </c>
      <c r="H976" s="31">
        <v>0</v>
      </c>
      <c r="I976" s="31" t="s">
        <v>85</v>
      </c>
      <c r="J976" s="5" t="s">
        <v>900</v>
      </c>
      <c r="K976" s="8"/>
    </row>
    <row r="977" spans="1:11" x14ac:dyDescent="0.2">
      <c r="A977" s="8">
        <v>976</v>
      </c>
      <c r="B977" s="8">
        <f t="shared" si="32"/>
        <v>2021</v>
      </c>
      <c r="C977" s="8">
        <f t="shared" si="33"/>
        <v>8</v>
      </c>
      <c r="D977" s="85">
        <v>44417</v>
      </c>
      <c r="E977" s="31">
        <v>0</v>
      </c>
      <c r="F977" s="31">
        <v>80000</v>
      </c>
      <c r="G977" s="31">
        <v>0</v>
      </c>
      <c r="H977" s="31">
        <v>0</v>
      </c>
      <c r="I977" s="31" t="s">
        <v>85</v>
      </c>
      <c r="J977" s="5" t="s">
        <v>901</v>
      </c>
      <c r="K977" s="8"/>
    </row>
    <row r="978" spans="1:11" x14ac:dyDescent="0.2">
      <c r="A978" s="8">
        <v>977</v>
      </c>
      <c r="B978" s="8">
        <f t="shared" si="32"/>
        <v>2021</v>
      </c>
      <c r="C978" s="8">
        <f t="shared" si="33"/>
        <v>8</v>
      </c>
      <c r="D978" s="85">
        <v>44417</v>
      </c>
      <c r="E978" s="31">
        <v>0</v>
      </c>
      <c r="F978" s="31">
        <v>0</v>
      </c>
      <c r="G978" s="31">
        <v>0</v>
      </c>
      <c r="H978" s="31">
        <v>131000</v>
      </c>
      <c r="I978" s="31" t="s">
        <v>74</v>
      </c>
      <c r="J978" s="5" t="s">
        <v>902</v>
      </c>
      <c r="K978" s="8"/>
    </row>
    <row r="979" spans="1:11" x14ac:dyDescent="0.2">
      <c r="A979" s="8">
        <v>978</v>
      </c>
      <c r="B979" s="8">
        <f t="shared" si="32"/>
        <v>2021</v>
      </c>
      <c r="C979" s="8">
        <f t="shared" si="33"/>
        <v>8</v>
      </c>
      <c r="D979" s="85">
        <v>44417</v>
      </c>
      <c r="E979" s="31">
        <v>0</v>
      </c>
      <c r="F979" s="31">
        <v>14000</v>
      </c>
      <c r="G979" s="31">
        <v>0</v>
      </c>
      <c r="H979" s="31">
        <v>0</v>
      </c>
      <c r="I979" s="31" t="s">
        <v>85</v>
      </c>
      <c r="J979" s="5" t="s">
        <v>848</v>
      </c>
      <c r="K979" s="8"/>
    </row>
    <row r="980" spans="1:11" x14ac:dyDescent="0.2">
      <c r="A980" s="8">
        <v>979</v>
      </c>
      <c r="B980" s="8">
        <f t="shared" si="32"/>
        <v>2021</v>
      </c>
      <c r="C980" s="8">
        <f t="shared" si="33"/>
        <v>8</v>
      </c>
      <c r="D980" s="85">
        <v>44418</v>
      </c>
      <c r="E980" s="31">
        <v>0</v>
      </c>
      <c r="F980" s="31"/>
      <c r="G980" s="31">
        <v>0</v>
      </c>
      <c r="H980" s="31">
        <v>0</v>
      </c>
      <c r="I980" s="31"/>
      <c r="J980" s="5"/>
      <c r="K980" s="8"/>
    </row>
    <row r="981" spans="1:11" x14ac:dyDescent="0.2">
      <c r="A981" s="8">
        <v>980</v>
      </c>
      <c r="B981" s="8">
        <f t="shared" si="32"/>
        <v>2021</v>
      </c>
      <c r="C981" s="8">
        <f t="shared" si="33"/>
        <v>8</v>
      </c>
      <c r="D981" s="85">
        <v>44419</v>
      </c>
      <c r="E981" s="31">
        <v>0</v>
      </c>
      <c r="F981" s="31">
        <v>30000</v>
      </c>
      <c r="G981" s="31">
        <v>0</v>
      </c>
      <c r="H981" s="31">
        <v>0</v>
      </c>
      <c r="I981" s="31" t="s">
        <v>85</v>
      </c>
      <c r="J981" s="5" t="s">
        <v>903</v>
      </c>
      <c r="K981" s="8"/>
    </row>
    <row r="982" spans="1:11" x14ac:dyDescent="0.2">
      <c r="A982" s="8">
        <v>981</v>
      </c>
      <c r="B982" s="8">
        <f t="shared" si="32"/>
        <v>2021</v>
      </c>
      <c r="C982" s="8">
        <f t="shared" si="33"/>
        <v>8</v>
      </c>
      <c r="D982" s="85">
        <v>44420</v>
      </c>
      <c r="E982" s="31">
        <v>0</v>
      </c>
      <c r="F982" s="31">
        <v>20000</v>
      </c>
      <c r="G982" s="31">
        <v>0</v>
      </c>
      <c r="H982" s="31">
        <v>0</v>
      </c>
      <c r="I982" s="31" t="s">
        <v>85</v>
      </c>
      <c r="J982" s="5" t="s">
        <v>904</v>
      </c>
      <c r="K982" s="8"/>
    </row>
    <row r="983" spans="1:11" x14ac:dyDescent="0.2">
      <c r="A983" s="8">
        <v>982</v>
      </c>
      <c r="B983" s="8">
        <f t="shared" si="32"/>
        <v>2021</v>
      </c>
      <c r="C983" s="8">
        <f t="shared" si="33"/>
        <v>8</v>
      </c>
      <c r="D983" s="85">
        <v>44421</v>
      </c>
      <c r="E983" s="31">
        <v>0</v>
      </c>
      <c r="F983" s="31">
        <v>12000</v>
      </c>
      <c r="G983" s="31">
        <v>0</v>
      </c>
      <c r="H983" s="31">
        <v>0</v>
      </c>
      <c r="I983" s="31" t="s">
        <v>300</v>
      </c>
      <c r="J983" s="5" t="s">
        <v>116</v>
      </c>
      <c r="K983" s="8"/>
    </row>
    <row r="984" spans="1:11" x14ac:dyDescent="0.2">
      <c r="A984" s="8">
        <v>983</v>
      </c>
      <c r="B984" s="8">
        <f t="shared" si="32"/>
        <v>2021</v>
      </c>
      <c r="C984" s="8">
        <f t="shared" si="33"/>
        <v>8</v>
      </c>
      <c r="D984" s="85">
        <v>44421</v>
      </c>
      <c r="E984" s="31">
        <v>0</v>
      </c>
      <c r="F984" s="31">
        <v>50000</v>
      </c>
      <c r="G984" s="31">
        <v>0</v>
      </c>
      <c r="H984" s="31">
        <v>0</v>
      </c>
      <c r="I984" s="31" t="s">
        <v>99</v>
      </c>
      <c r="J984" s="5" t="s">
        <v>905</v>
      </c>
      <c r="K984" s="8"/>
    </row>
    <row r="985" spans="1:11" x14ac:dyDescent="0.2">
      <c r="A985" s="8">
        <v>984</v>
      </c>
      <c r="B985" s="8">
        <f t="shared" si="32"/>
        <v>2021</v>
      </c>
      <c r="C985" s="8">
        <f t="shared" si="33"/>
        <v>8</v>
      </c>
      <c r="D985" s="85">
        <v>44422</v>
      </c>
      <c r="E985" s="31">
        <v>256000</v>
      </c>
      <c r="F985" s="31">
        <v>0</v>
      </c>
      <c r="G985" s="31">
        <v>0</v>
      </c>
      <c r="H985" s="31">
        <v>0</v>
      </c>
      <c r="I985" s="31" t="s">
        <v>109</v>
      </c>
      <c r="J985" s="5" t="s">
        <v>906</v>
      </c>
      <c r="K985" s="8"/>
    </row>
    <row r="986" spans="1:11" x14ac:dyDescent="0.2">
      <c r="A986" s="8">
        <v>985</v>
      </c>
      <c r="B986" s="8">
        <f t="shared" si="32"/>
        <v>2021</v>
      </c>
      <c r="C986" s="8">
        <f t="shared" si="33"/>
        <v>8</v>
      </c>
      <c r="D986" s="85">
        <v>44423</v>
      </c>
      <c r="E986" s="31">
        <v>0</v>
      </c>
      <c r="F986" s="31">
        <v>625000</v>
      </c>
      <c r="G986" s="31">
        <v>0</v>
      </c>
      <c r="H986" s="31">
        <v>0</v>
      </c>
      <c r="I986" s="31" t="s">
        <v>571</v>
      </c>
      <c r="J986" s="5" t="s">
        <v>307</v>
      </c>
      <c r="K986" s="8"/>
    </row>
    <row r="987" spans="1:11" x14ac:dyDescent="0.2">
      <c r="A987" s="8">
        <v>986</v>
      </c>
      <c r="B987" s="8">
        <f t="shared" si="32"/>
        <v>2021</v>
      </c>
      <c r="C987" s="8">
        <f t="shared" si="33"/>
        <v>8</v>
      </c>
      <c r="D987" s="85">
        <v>44423</v>
      </c>
      <c r="E987" s="31">
        <v>0</v>
      </c>
      <c r="F987" s="31">
        <v>350000</v>
      </c>
      <c r="G987" s="31">
        <v>0</v>
      </c>
      <c r="H987" s="31">
        <v>0</v>
      </c>
      <c r="I987" s="31" t="s">
        <v>571</v>
      </c>
      <c r="J987" s="5" t="s">
        <v>335</v>
      </c>
      <c r="K987" s="8"/>
    </row>
    <row r="988" spans="1:11" x14ac:dyDescent="0.2">
      <c r="A988" s="8">
        <v>987</v>
      </c>
      <c r="B988" s="8">
        <f t="shared" si="32"/>
        <v>2021</v>
      </c>
      <c r="C988" s="8">
        <f t="shared" si="33"/>
        <v>8</v>
      </c>
      <c r="D988" s="85">
        <v>44423</v>
      </c>
      <c r="E988" s="31">
        <v>0</v>
      </c>
      <c r="F988" s="31">
        <v>115000</v>
      </c>
      <c r="G988" s="31">
        <v>0</v>
      </c>
      <c r="H988" s="31">
        <v>0</v>
      </c>
      <c r="I988" s="31" t="s">
        <v>571</v>
      </c>
      <c r="J988" s="5" t="s">
        <v>391</v>
      </c>
      <c r="K988" s="8"/>
    </row>
    <row r="989" spans="1:11" x14ac:dyDescent="0.2">
      <c r="A989" s="8">
        <v>988</v>
      </c>
      <c r="B989" s="8">
        <f t="shared" si="32"/>
        <v>2021</v>
      </c>
      <c r="C989" s="8">
        <f t="shared" si="33"/>
        <v>8</v>
      </c>
      <c r="D989" s="85">
        <v>44423</v>
      </c>
      <c r="E989" s="31">
        <v>0</v>
      </c>
      <c r="F989" s="31">
        <v>50000</v>
      </c>
      <c r="G989" s="31">
        <v>0</v>
      </c>
      <c r="H989" s="31">
        <v>0</v>
      </c>
      <c r="I989" s="31" t="s">
        <v>571</v>
      </c>
      <c r="J989" s="5" t="s">
        <v>572</v>
      </c>
      <c r="K989" s="8"/>
    </row>
    <row r="990" spans="1:11" x14ac:dyDescent="0.2">
      <c r="A990" s="8">
        <v>989</v>
      </c>
      <c r="B990" s="8">
        <f t="shared" si="32"/>
        <v>2021</v>
      </c>
      <c r="C990" s="8">
        <f t="shared" si="33"/>
        <v>8</v>
      </c>
      <c r="D990" s="85">
        <v>44423</v>
      </c>
      <c r="E990" s="31">
        <v>0</v>
      </c>
      <c r="F990" s="31">
        <v>300000</v>
      </c>
      <c r="G990" s="31">
        <v>0</v>
      </c>
      <c r="H990" s="31">
        <v>0</v>
      </c>
      <c r="I990" s="31" t="s">
        <v>571</v>
      </c>
      <c r="J990" s="5" t="s">
        <v>907</v>
      </c>
      <c r="K990" s="8"/>
    </row>
    <row r="991" spans="1:11" x14ac:dyDescent="0.2">
      <c r="A991" s="8">
        <v>990</v>
      </c>
      <c r="B991" s="8">
        <f t="shared" si="32"/>
        <v>2021</v>
      </c>
      <c r="C991" s="8">
        <f t="shared" si="33"/>
        <v>8</v>
      </c>
      <c r="D991" s="85">
        <v>44423</v>
      </c>
      <c r="E991" s="31">
        <v>0</v>
      </c>
      <c r="F991" s="31">
        <v>150000</v>
      </c>
      <c r="G991" s="31">
        <v>0</v>
      </c>
      <c r="H991" s="31">
        <v>0</v>
      </c>
      <c r="I991" s="31" t="s">
        <v>571</v>
      </c>
      <c r="J991" s="5" t="s">
        <v>908</v>
      </c>
      <c r="K991" s="8"/>
    </row>
    <row r="992" spans="1:11" x14ac:dyDescent="0.2">
      <c r="A992" s="8">
        <v>991</v>
      </c>
      <c r="B992" s="8">
        <f t="shared" si="32"/>
        <v>2021</v>
      </c>
      <c r="C992" s="8">
        <f t="shared" si="33"/>
        <v>8</v>
      </c>
      <c r="D992" s="85">
        <v>44423</v>
      </c>
      <c r="E992" s="31">
        <v>0</v>
      </c>
      <c r="F992" s="31">
        <v>30000</v>
      </c>
      <c r="G992" s="31">
        <v>0</v>
      </c>
      <c r="H992" s="31">
        <v>0</v>
      </c>
      <c r="I992" s="31" t="s">
        <v>99</v>
      </c>
      <c r="J992" s="5" t="s">
        <v>909</v>
      </c>
      <c r="K992" s="8"/>
    </row>
    <row r="993" spans="1:11" x14ac:dyDescent="0.2">
      <c r="A993" s="8">
        <v>992</v>
      </c>
      <c r="B993" s="8">
        <f t="shared" si="32"/>
        <v>2021</v>
      </c>
      <c r="C993" s="8">
        <f t="shared" si="33"/>
        <v>8</v>
      </c>
      <c r="D993" s="85">
        <v>44423</v>
      </c>
      <c r="E993" s="31">
        <v>0</v>
      </c>
      <c r="F993" s="31">
        <v>45000</v>
      </c>
      <c r="G993" s="31">
        <v>0</v>
      </c>
      <c r="H993" s="31">
        <v>0</v>
      </c>
      <c r="I993" s="31" t="s">
        <v>92</v>
      </c>
      <c r="J993" s="5" t="s">
        <v>910</v>
      </c>
      <c r="K993" s="8"/>
    </row>
    <row r="994" spans="1:11" x14ac:dyDescent="0.2">
      <c r="A994" s="8">
        <v>993</v>
      </c>
      <c r="B994" s="8">
        <f t="shared" si="32"/>
        <v>2021</v>
      </c>
      <c r="C994" s="8">
        <f t="shared" si="33"/>
        <v>8</v>
      </c>
      <c r="D994" s="85">
        <v>44424</v>
      </c>
      <c r="E994" s="31">
        <v>0</v>
      </c>
      <c r="F994" s="31">
        <v>300000</v>
      </c>
      <c r="G994" s="31">
        <v>0</v>
      </c>
      <c r="H994" s="31">
        <v>0</v>
      </c>
      <c r="I994" s="31" t="s">
        <v>390</v>
      </c>
      <c r="J994" s="5" t="s">
        <v>611</v>
      </c>
      <c r="K994" s="8"/>
    </row>
    <row r="995" spans="1:11" x14ac:dyDescent="0.2">
      <c r="A995" s="8">
        <v>994</v>
      </c>
      <c r="B995" s="8">
        <f t="shared" si="32"/>
        <v>2021</v>
      </c>
      <c r="C995" s="8">
        <f t="shared" si="33"/>
        <v>8</v>
      </c>
      <c r="D995" s="85">
        <v>44424</v>
      </c>
      <c r="E995" s="31">
        <v>0</v>
      </c>
      <c r="F995" s="31">
        <v>50000</v>
      </c>
      <c r="G995" s="31">
        <v>0</v>
      </c>
      <c r="H995" s="31">
        <v>0</v>
      </c>
      <c r="I995" s="31" t="s">
        <v>99</v>
      </c>
      <c r="J995" s="5" t="s">
        <v>911</v>
      </c>
      <c r="K995" s="8"/>
    </row>
    <row r="996" spans="1:11" x14ac:dyDescent="0.2">
      <c r="A996" s="8">
        <v>995</v>
      </c>
      <c r="B996" s="8">
        <f t="shared" si="32"/>
        <v>2021</v>
      </c>
      <c r="C996" s="8">
        <f t="shared" si="33"/>
        <v>8</v>
      </c>
      <c r="D996" s="85">
        <v>44424</v>
      </c>
      <c r="E996" s="31">
        <v>0</v>
      </c>
      <c r="F996" s="31">
        <v>27000</v>
      </c>
      <c r="G996" s="31">
        <v>0</v>
      </c>
      <c r="H996" s="31">
        <v>0</v>
      </c>
      <c r="I996" s="31" t="s">
        <v>99</v>
      </c>
      <c r="J996" s="5" t="s">
        <v>912</v>
      </c>
      <c r="K996" s="8"/>
    </row>
    <row r="997" spans="1:11" x14ac:dyDescent="0.2">
      <c r="A997" s="8">
        <v>996</v>
      </c>
      <c r="B997" s="8">
        <f t="shared" si="32"/>
        <v>2021</v>
      </c>
      <c r="C997" s="8">
        <f t="shared" si="33"/>
        <v>8</v>
      </c>
      <c r="D997" s="85">
        <v>44424</v>
      </c>
      <c r="E997" s="31">
        <v>0</v>
      </c>
      <c r="F997" s="31">
        <v>18000</v>
      </c>
      <c r="G997" s="31">
        <v>0</v>
      </c>
      <c r="H997" s="31">
        <v>0</v>
      </c>
      <c r="I997" s="31" t="s">
        <v>99</v>
      </c>
      <c r="J997" s="5" t="s">
        <v>913</v>
      </c>
      <c r="K997" s="8"/>
    </row>
    <row r="998" spans="1:11" x14ac:dyDescent="0.2">
      <c r="A998" s="8">
        <v>997</v>
      </c>
      <c r="B998" s="8">
        <f t="shared" si="32"/>
        <v>2021</v>
      </c>
      <c r="C998" s="8">
        <f t="shared" si="33"/>
        <v>8</v>
      </c>
      <c r="D998" s="85">
        <v>44424</v>
      </c>
      <c r="E998" s="31">
        <v>0</v>
      </c>
      <c r="F998" s="31">
        <v>22000</v>
      </c>
      <c r="G998" s="31">
        <v>0</v>
      </c>
      <c r="H998" s="31">
        <v>0</v>
      </c>
      <c r="I998" s="31" t="s">
        <v>300</v>
      </c>
      <c r="J998" s="5" t="s">
        <v>914</v>
      </c>
      <c r="K998" s="8"/>
    </row>
    <row r="999" spans="1:11" x14ac:dyDescent="0.2">
      <c r="A999" s="8">
        <v>998</v>
      </c>
      <c r="B999" s="8">
        <f t="shared" si="32"/>
        <v>2021</v>
      </c>
      <c r="C999" s="8">
        <f t="shared" si="33"/>
        <v>8</v>
      </c>
      <c r="D999" s="85">
        <v>44425</v>
      </c>
      <c r="E999" s="31">
        <v>0</v>
      </c>
      <c r="F999" s="31">
        <v>0</v>
      </c>
      <c r="G999" s="31">
        <v>0</v>
      </c>
      <c r="H999" s="31">
        <v>0</v>
      </c>
      <c r="I999" s="31"/>
      <c r="J999" s="5"/>
      <c r="K999" s="8"/>
    </row>
    <row r="1000" spans="1:11" x14ac:dyDescent="0.2">
      <c r="A1000" s="8">
        <v>999</v>
      </c>
      <c r="B1000" s="8">
        <f t="shared" si="32"/>
        <v>2021</v>
      </c>
      <c r="C1000" s="8">
        <f t="shared" si="33"/>
        <v>8</v>
      </c>
      <c r="D1000" s="85">
        <v>44426</v>
      </c>
      <c r="E1000" s="31">
        <v>0</v>
      </c>
      <c r="F1000" s="31">
        <v>924000</v>
      </c>
      <c r="G1000" s="31">
        <v>0</v>
      </c>
      <c r="H1000" s="31">
        <v>0</v>
      </c>
      <c r="I1000" s="31" t="s">
        <v>85</v>
      </c>
      <c r="J1000" s="5" t="s">
        <v>915</v>
      </c>
      <c r="K1000" s="8"/>
    </row>
    <row r="1001" spans="1:11" x14ac:dyDescent="0.2">
      <c r="A1001" s="8">
        <v>1000</v>
      </c>
      <c r="B1001" s="8">
        <f t="shared" si="32"/>
        <v>2021</v>
      </c>
      <c r="C1001" s="8">
        <f t="shared" si="33"/>
        <v>8</v>
      </c>
      <c r="D1001" s="85">
        <v>44426</v>
      </c>
      <c r="E1001" s="31">
        <v>0</v>
      </c>
      <c r="F1001" s="31">
        <v>68000</v>
      </c>
      <c r="G1001" s="31">
        <v>0</v>
      </c>
      <c r="H1001" s="31">
        <v>0</v>
      </c>
      <c r="I1001" s="31" t="s">
        <v>83</v>
      </c>
      <c r="J1001" s="5" t="s">
        <v>916</v>
      </c>
      <c r="K1001" s="8"/>
    </row>
    <row r="1002" spans="1:11" x14ac:dyDescent="0.2">
      <c r="A1002" s="8">
        <v>1001</v>
      </c>
      <c r="B1002" s="8">
        <f t="shared" si="32"/>
        <v>2021</v>
      </c>
      <c r="C1002" s="8">
        <f t="shared" si="33"/>
        <v>8</v>
      </c>
      <c r="D1002" s="85">
        <v>44426</v>
      </c>
      <c r="E1002" s="31">
        <v>0</v>
      </c>
      <c r="F1002" s="31">
        <v>22000</v>
      </c>
      <c r="G1002" s="31">
        <v>0</v>
      </c>
      <c r="H1002" s="31">
        <v>0</v>
      </c>
      <c r="I1002" s="31" t="s">
        <v>85</v>
      </c>
      <c r="J1002" s="5" t="s">
        <v>917</v>
      </c>
      <c r="K1002" s="8"/>
    </row>
    <row r="1003" spans="1:11" x14ac:dyDescent="0.2">
      <c r="A1003" s="8">
        <v>1002</v>
      </c>
      <c r="B1003" s="8">
        <f t="shared" si="32"/>
        <v>2021</v>
      </c>
      <c r="C1003" s="8">
        <f t="shared" si="33"/>
        <v>8</v>
      </c>
      <c r="D1003" s="85">
        <v>44426</v>
      </c>
      <c r="E1003" s="31">
        <v>0</v>
      </c>
      <c r="F1003" s="31">
        <v>15000</v>
      </c>
      <c r="G1003" s="31">
        <v>0</v>
      </c>
      <c r="H1003" s="31">
        <v>0</v>
      </c>
      <c r="I1003" s="31" t="s">
        <v>85</v>
      </c>
      <c r="J1003" s="5" t="s">
        <v>918</v>
      </c>
      <c r="K1003" s="8"/>
    </row>
    <row r="1004" spans="1:11" x14ac:dyDescent="0.2">
      <c r="A1004" s="8">
        <v>1003</v>
      </c>
      <c r="B1004" s="8">
        <f t="shared" si="32"/>
        <v>2021</v>
      </c>
      <c r="C1004" s="8">
        <f t="shared" si="33"/>
        <v>8</v>
      </c>
      <c r="D1004" s="85">
        <v>44426</v>
      </c>
      <c r="E1004" s="31">
        <v>0</v>
      </c>
      <c r="F1004" s="31">
        <v>15000</v>
      </c>
      <c r="G1004" s="31">
        <v>0</v>
      </c>
      <c r="H1004" s="31">
        <v>0</v>
      </c>
      <c r="I1004" s="31" t="s">
        <v>85</v>
      </c>
      <c r="J1004" s="5" t="s">
        <v>919</v>
      </c>
      <c r="K1004" s="8"/>
    </row>
    <row r="1005" spans="1:11" x14ac:dyDescent="0.2">
      <c r="A1005" s="8">
        <v>1004</v>
      </c>
      <c r="B1005" s="8">
        <f t="shared" si="32"/>
        <v>2021</v>
      </c>
      <c r="C1005" s="8">
        <f t="shared" si="33"/>
        <v>8</v>
      </c>
      <c r="D1005" s="85">
        <v>44426</v>
      </c>
      <c r="E1005" s="31">
        <v>6000000</v>
      </c>
      <c r="F1005" s="31">
        <v>0</v>
      </c>
      <c r="G1005" s="31">
        <v>0</v>
      </c>
      <c r="H1005" s="31">
        <v>0</v>
      </c>
      <c r="I1005" s="31" t="s">
        <v>109</v>
      </c>
      <c r="J1005" s="5" t="s">
        <v>920</v>
      </c>
      <c r="K1005" s="8"/>
    </row>
    <row r="1006" spans="1:11" x14ac:dyDescent="0.2">
      <c r="A1006" s="8">
        <v>1005</v>
      </c>
      <c r="B1006" s="8">
        <f t="shared" si="32"/>
        <v>2021</v>
      </c>
      <c r="C1006" s="8">
        <f t="shared" si="33"/>
        <v>8</v>
      </c>
      <c r="D1006" s="85">
        <v>44426</v>
      </c>
      <c r="E1006" s="31">
        <v>380000</v>
      </c>
      <c r="F1006" s="31">
        <v>0</v>
      </c>
      <c r="G1006" s="31">
        <v>0</v>
      </c>
      <c r="H1006" s="31">
        <v>0</v>
      </c>
      <c r="I1006" s="31" t="s">
        <v>109</v>
      </c>
      <c r="J1006" s="5" t="s">
        <v>921</v>
      </c>
      <c r="K1006" s="8"/>
    </row>
    <row r="1007" spans="1:11" x14ac:dyDescent="0.2">
      <c r="A1007" s="8">
        <v>1006</v>
      </c>
      <c r="B1007" s="8">
        <f t="shared" si="32"/>
        <v>2021</v>
      </c>
      <c r="C1007" s="8">
        <f t="shared" si="33"/>
        <v>8</v>
      </c>
      <c r="D1007" s="85">
        <v>44426</v>
      </c>
      <c r="E1007" s="31">
        <v>150000</v>
      </c>
      <c r="F1007" s="31">
        <v>150000</v>
      </c>
      <c r="G1007" s="31">
        <v>0</v>
      </c>
      <c r="H1007" s="31">
        <v>0</v>
      </c>
      <c r="I1007" s="31" t="s">
        <v>109</v>
      </c>
      <c r="J1007" s="5" t="s">
        <v>779</v>
      </c>
      <c r="K1007" s="8"/>
    </row>
    <row r="1008" spans="1:11" x14ac:dyDescent="0.2">
      <c r="A1008" s="8">
        <v>1007</v>
      </c>
      <c r="B1008" s="8">
        <f t="shared" si="32"/>
        <v>2021</v>
      </c>
      <c r="C1008" s="8">
        <f t="shared" si="33"/>
        <v>8</v>
      </c>
      <c r="D1008" s="85">
        <v>44427</v>
      </c>
      <c r="E1008" s="31">
        <v>0</v>
      </c>
      <c r="F1008" s="31">
        <v>0</v>
      </c>
      <c r="G1008" s="31">
        <v>0</v>
      </c>
      <c r="H1008" s="31">
        <v>467000</v>
      </c>
      <c r="I1008" s="31" t="s">
        <v>74</v>
      </c>
      <c r="J1008" s="5" t="s">
        <v>922</v>
      </c>
      <c r="K1008" s="8"/>
    </row>
    <row r="1009" spans="1:11" x14ac:dyDescent="0.2">
      <c r="A1009" s="8">
        <v>1008</v>
      </c>
      <c r="B1009" s="8">
        <f t="shared" si="32"/>
        <v>2021</v>
      </c>
      <c r="C1009" s="8">
        <f t="shared" si="33"/>
        <v>8</v>
      </c>
      <c r="D1009" s="85">
        <v>44427</v>
      </c>
      <c r="E1009" s="31">
        <v>0</v>
      </c>
      <c r="F1009" s="31">
        <v>24000</v>
      </c>
      <c r="G1009" s="31">
        <v>0</v>
      </c>
      <c r="H1009" s="31">
        <v>0</v>
      </c>
      <c r="I1009" s="31" t="s">
        <v>300</v>
      </c>
      <c r="J1009" s="5" t="s">
        <v>923</v>
      </c>
      <c r="K1009" s="8"/>
    </row>
    <row r="1010" spans="1:11" x14ac:dyDescent="0.2">
      <c r="A1010" s="8">
        <v>1009</v>
      </c>
      <c r="B1010" s="8">
        <f t="shared" si="32"/>
        <v>2021</v>
      </c>
      <c r="C1010" s="8">
        <f t="shared" si="33"/>
        <v>8</v>
      </c>
      <c r="D1010" s="85">
        <v>44427</v>
      </c>
      <c r="E1010" s="31">
        <v>0</v>
      </c>
      <c r="F1010" s="31">
        <v>40000</v>
      </c>
      <c r="G1010" s="31">
        <v>0</v>
      </c>
      <c r="H1010" s="31">
        <v>0</v>
      </c>
      <c r="I1010" s="31" t="s">
        <v>85</v>
      </c>
      <c r="J1010" s="5" t="s">
        <v>924</v>
      </c>
      <c r="K1010" s="8"/>
    </row>
    <row r="1011" spans="1:11" x14ac:dyDescent="0.2">
      <c r="A1011" s="8">
        <v>1010</v>
      </c>
      <c r="B1011" s="8">
        <f t="shared" si="32"/>
        <v>2021</v>
      </c>
      <c r="C1011" s="8">
        <f t="shared" si="33"/>
        <v>8</v>
      </c>
      <c r="D1011" s="85">
        <v>44427</v>
      </c>
      <c r="E1011" s="31">
        <v>0</v>
      </c>
      <c r="F1011" s="31">
        <v>0</v>
      </c>
      <c r="G1011" s="31">
        <v>0</v>
      </c>
      <c r="H1011" s="31">
        <v>294000</v>
      </c>
      <c r="I1011" s="31" t="s">
        <v>74</v>
      </c>
      <c r="J1011" s="5" t="s">
        <v>925</v>
      </c>
      <c r="K1011" s="8"/>
    </row>
    <row r="1012" spans="1:11" x14ac:dyDescent="0.2">
      <c r="A1012" s="8">
        <v>1011</v>
      </c>
      <c r="B1012" s="8">
        <f t="shared" si="32"/>
        <v>2021</v>
      </c>
      <c r="C1012" s="8">
        <f t="shared" si="33"/>
        <v>8</v>
      </c>
      <c r="D1012" s="85">
        <v>44428</v>
      </c>
      <c r="E1012" s="31"/>
      <c r="F1012" s="31">
        <v>12000</v>
      </c>
      <c r="G1012" s="31">
        <v>0</v>
      </c>
      <c r="H1012" s="31">
        <v>0</v>
      </c>
      <c r="I1012" s="31" t="s">
        <v>300</v>
      </c>
      <c r="J1012" s="5" t="s">
        <v>116</v>
      </c>
      <c r="K1012" s="8"/>
    </row>
    <row r="1013" spans="1:11" x14ac:dyDescent="0.2">
      <c r="A1013" s="8">
        <v>1012</v>
      </c>
      <c r="B1013" s="8">
        <f t="shared" si="32"/>
        <v>2021</v>
      </c>
      <c r="C1013" s="8">
        <f t="shared" si="33"/>
        <v>8</v>
      </c>
      <c r="D1013" s="85">
        <v>44428</v>
      </c>
      <c r="E1013" s="31">
        <v>30000</v>
      </c>
      <c r="F1013" s="31">
        <v>0</v>
      </c>
      <c r="G1013" s="31">
        <v>0</v>
      </c>
      <c r="H1013" s="31">
        <v>0</v>
      </c>
      <c r="I1013" s="31" t="s">
        <v>109</v>
      </c>
      <c r="J1013" s="5" t="s">
        <v>926</v>
      </c>
      <c r="K1013" s="8"/>
    </row>
    <row r="1014" spans="1:11" x14ac:dyDescent="0.2">
      <c r="A1014" s="8">
        <v>1013</v>
      </c>
      <c r="B1014" s="8">
        <f t="shared" si="32"/>
        <v>2021</v>
      </c>
      <c r="C1014" s="8">
        <f t="shared" si="33"/>
        <v>8</v>
      </c>
      <c r="D1014" s="85">
        <v>44428</v>
      </c>
      <c r="E1014" s="31">
        <v>50000</v>
      </c>
      <c r="F1014" s="31">
        <v>0</v>
      </c>
      <c r="G1014" s="31">
        <v>0</v>
      </c>
      <c r="H1014" s="31">
        <v>0</v>
      </c>
      <c r="I1014" s="31" t="s">
        <v>109</v>
      </c>
      <c r="J1014" s="5" t="s">
        <v>927</v>
      </c>
      <c r="K1014" s="8"/>
    </row>
    <row r="1015" spans="1:11" x14ac:dyDescent="0.2">
      <c r="A1015" s="8">
        <v>1014</v>
      </c>
      <c r="B1015" s="8">
        <f t="shared" si="32"/>
        <v>2021</v>
      </c>
      <c r="C1015" s="8">
        <f t="shared" si="33"/>
        <v>8</v>
      </c>
      <c r="D1015" s="85">
        <v>44428</v>
      </c>
      <c r="E1015" s="31">
        <v>30000</v>
      </c>
      <c r="F1015" s="31">
        <v>0</v>
      </c>
      <c r="G1015" s="31">
        <v>0</v>
      </c>
      <c r="H1015" s="31">
        <v>0</v>
      </c>
      <c r="I1015" s="31" t="s">
        <v>109</v>
      </c>
      <c r="J1015" s="5" t="s">
        <v>928</v>
      </c>
      <c r="K1015" s="8"/>
    </row>
    <row r="1016" spans="1:11" x14ac:dyDescent="0.2">
      <c r="A1016" s="8">
        <v>1015</v>
      </c>
      <c r="B1016" s="8">
        <f t="shared" si="32"/>
        <v>2021</v>
      </c>
      <c r="C1016" s="8">
        <f t="shared" si="33"/>
        <v>8</v>
      </c>
      <c r="D1016" s="85">
        <v>44429</v>
      </c>
      <c r="E1016" s="31">
        <v>0</v>
      </c>
      <c r="F1016" s="31">
        <v>60000</v>
      </c>
      <c r="G1016" s="31">
        <v>0</v>
      </c>
      <c r="H1016" s="31">
        <v>0</v>
      </c>
      <c r="I1016" s="31" t="s">
        <v>99</v>
      </c>
      <c r="J1016" s="5" t="s">
        <v>929</v>
      </c>
      <c r="K1016" s="8"/>
    </row>
    <row r="1017" spans="1:11" x14ac:dyDescent="0.2">
      <c r="A1017" s="8">
        <v>1016</v>
      </c>
      <c r="B1017" s="8">
        <f t="shared" si="32"/>
        <v>2021</v>
      </c>
      <c r="C1017" s="8">
        <f t="shared" si="33"/>
        <v>8</v>
      </c>
      <c r="D1017" s="85">
        <v>44429</v>
      </c>
      <c r="E1017" s="31">
        <v>0</v>
      </c>
      <c r="F1017" s="31">
        <v>15000</v>
      </c>
      <c r="G1017" s="31">
        <v>0</v>
      </c>
      <c r="H1017" s="31">
        <v>0</v>
      </c>
      <c r="I1017" s="31" t="s">
        <v>300</v>
      </c>
      <c r="J1017" s="5" t="s">
        <v>930</v>
      </c>
      <c r="K1017" s="8"/>
    </row>
    <row r="1018" spans="1:11" x14ac:dyDescent="0.2">
      <c r="A1018" s="8">
        <v>1017</v>
      </c>
      <c r="B1018" s="8">
        <f t="shared" si="32"/>
        <v>2021</v>
      </c>
      <c r="C1018" s="8">
        <f t="shared" si="33"/>
        <v>8</v>
      </c>
      <c r="D1018" s="85">
        <v>44429</v>
      </c>
      <c r="E1018" s="31">
        <v>0</v>
      </c>
      <c r="F1018" s="31">
        <v>48000</v>
      </c>
      <c r="G1018" s="31">
        <v>0</v>
      </c>
      <c r="H1018" s="31">
        <v>0</v>
      </c>
      <c r="I1018" s="31" t="s">
        <v>85</v>
      </c>
      <c r="J1018" s="5" t="s">
        <v>931</v>
      </c>
      <c r="K1018" s="8"/>
    </row>
    <row r="1019" spans="1:11" x14ac:dyDescent="0.2">
      <c r="A1019" s="8">
        <v>1018</v>
      </c>
      <c r="B1019" s="8">
        <f t="shared" si="32"/>
        <v>2021</v>
      </c>
      <c r="C1019" s="8">
        <f t="shared" si="33"/>
        <v>8</v>
      </c>
      <c r="D1019" s="85">
        <v>44430</v>
      </c>
      <c r="E1019" s="31">
        <v>90000</v>
      </c>
      <c r="F1019" s="31">
        <v>0</v>
      </c>
      <c r="G1019" s="31">
        <v>0</v>
      </c>
      <c r="H1019" s="31">
        <v>0</v>
      </c>
      <c r="I1019" s="31" t="s">
        <v>109</v>
      </c>
      <c r="J1019" s="5" t="s">
        <v>932</v>
      </c>
      <c r="K1019" s="8"/>
    </row>
    <row r="1020" spans="1:11" x14ac:dyDescent="0.2">
      <c r="A1020" s="8">
        <v>1019</v>
      </c>
      <c r="B1020" s="8">
        <f t="shared" si="32"/>
        <v>2021</v>
      </c>
      <c r="C1020" s="8">
        <f t="shared" si="33"/>
        <v>8</v>
      </c>
      <c r="D1020" s="85">
        <v>44431</v>
      </c>
      <c r="E1020" s="31">
        <v>0</v>
      </c>
      <c r="F1020" s="31">
        <v>16000</v>
      </c>
      <c r="G1020" s="31">
        <v>0</v>
      </c>
      <c r="H1020" s="31">
        <v>0</v>
      </c>
      <c r="I1020" s="31" t="s">
        <v>300</v>
      </c>
      <c r="J1020" s="5" t="s">
        <v>116</v>
      </c>
      <c r="K1020" s="8"/>
    </row>
    <row r="1021" spans="1:11" x14ac:dyDescent="0.2">
      <c r="A1021" s="8">
        <v>1020</v>
      </c>
      <c r="B1021" s="8">
        <f t="shared" si="32"/>
        <v>2021</v>
      </c>
      <c r="C1021" s="8">
        <f t="shared" si="33"/>
        <v>8</v>
      </c>
      <c r="D1021" s="85">
        <v>44432</v>
      </c>
      <c r="E1021" s="31">
        <v>0</v>
      </c>
      <c r="F1021" s="31">
        <v>10000</v>
      </c>
      <c r="G1021" s="31">
        <v>0</v>
      </c>
      <c r="H1021" s="31">
        <v>0</v>
      </c>
      <c r="I1021" s="31" t="s">
        <v>300</v>
      </c>
      <c r="J1021" s="5" t="s">
        <v>624</v>
      </c>
      <c r="K1021" s="8"/>
    </row>
    <row r="1022" spans="1:11" x14ac:dyDescent="0.2">
      <c r="A1022" s="8">
        <v>1021</v>
      </c>
      <c r="B1022" s="8">
        <f t="shared" si="32"/>
        <v>2021</v>
      </c>
      <c r="C1022" s="8">
        <f t="shared" si="33"/>
        <v>8</v>
      </c>
      <c r="D1022" s="85">
        <v>44432</v>
      </c>
      <c r="E1022" s="31">
        <v>0</v>
      </c>
      <c r="F1022" s="31">
        <v>12000</v>
      </c>
      <c r="G1022" s="31">
        <v>0</v>
      </c>
      <c r="H1022" s="31">
        <v>0</v>
      </c>
      <c r="I1022" s="31" t="s">
        <v>149</v>
      </c>
      <c r="J1022" s="5" t="s">
        <v>149</v>
      </c>
      <c r="K1022" s="8"/>
    </row>
    <row r="1023" spans="1:11" x14ac:dyDescent="0.2">
      <c r="A1023" s="8">
        <v>1022</v>
      </c>
      <c r="B1023" s="8">
        <f t="shared" si="32"/>
        <v>2021</v>
      </c>
      <c r="C1023" s="8">
        <f t="shared" si="33"/>
        <v>8</v>
      </c>
      <c r="D1023" s="85">
        <v>44432</v>
      </c>
      <c r="E1023" s="31">
        <v>0</v>
      </c>
      <c r="F1023" s="31">
        <v>6800</v>
      </c>
      <c r="G1023" s="31">
        <v>0</v>
      </c>
      <c r="H1023" s="31">
        <v>0</v>
      </c>
      <c r="I1023" s="31" t="s">
        <v>85</v>
      </c>
      <c r="J1023" s="5" t="s">
        <v>933</v>
      </c>
      <c r="K1023" s="8"/>
    </row>
    <row r="1024" spans="1:11" x14ac:dyDescent="0.2">
      <c r="A1024" s="8">
        <v>1023</v>
      </c>
      <c r="B1024" s="8">
        <f t="shared" si="32"/>
        <v>2021</v>
      </c>
      <c r="C1024" s="8">
        <f t="shared" si="33"/>
        <v>8</v>
      </c>
      <c r="D1024" s="85">
        <v>44433</v>
      </c>
      <c r="E1024" s="31">
        <v>0</v>
      </c>
      <c r="F1024" s="31">
        <v>45000</v>
      </c>
      <c r="G1024" s="31">
        <v>0</v>
      </c>
      <c r="H1024" s="31">
        <v>0</v>
      </c>
      <c r="I1024" s="31" t="s">
        <v>99</v>
      </c>
      <c r="J1024" s="5" t="s">
        <v>934</v>
      </c>
      <c r="K1024" s="8"/>
    </row>
    <row r="1025" spans="1:11" x14ac:dyDescent="0.2">
      <c r="A1025" s="8">
        <v>1024</v>
      </c>
      <c r="B1025" s="8">
        <f t="shared" si="32"/>
        <v>2021</v>
      </c>
      <c r="C1025" s="8">
        <f t="shared" si="33"/>
        <v>8</v>
      </c>
      <c r="D1025" s="85">
        <v>44433</v>
      </c>
      <c r="E1025" s="31">
        <v>0</v>
      </c>
      <c r="F1025" s="31">
        <v>0</v>
      </c>
      <c r="G1025" s="31">
        <v>0</v>
      </c>
      <c r="H1025" s="31">
        <v>190000</v>
      </c>
      <c r="I1025" s="31" t="s">
        <v>74</v>
      </c>
      <c r="J1025" s="5" t="s">
        <v>935</v>
      </c>
      <c r="K1025" s="8"/>
    </row>
    <row r="1026" spans="1:11" x14ac:dyDescent="0.2">
      <c r="A1026" s="8">
        <v>1025</v>
      </c>
      <c r="B1026" s="8">
        <f t="shared" si="32"/>
        <v>2021</v>
      </c>
      <c r="C1026" s="8">
        <f t="shared" si="33"/>
        <v>8</v>
      </c>
      <c r="D1026" s="85">
        <v>44433</v>
      </c>
      <c r="E1026" s="31">
        <v>0</v>
      </c>
      <c r="F1026" s="31">
        <v>0</v>
      </c>
      <c r="G1026" s="31">
        <v>0</v>
      </c>
      <c r="H1026" s="31">
        <v>35000</v>
      </c>
      <c r="I1026" s="31" t="s">
        <v>74</v>
      </c>
      <c r="J1026" s="5" t="s">
        <v>936</v>
      </c>
      <c r="K1026" s="8"/>
    </row>
    <row r="1027" spans="1:11" x14ac:dyDescent="0.2">
      <c r="A1027" s="8">
        <v>1026</v>
      </c>
      <c r="B1027" s="8">
        <f t="shared" si="32"/>
        <v>2021</v>
      </c>
      <c r="C1027" s="8">
        <f t="shared" si="33"/>
        <v>8</v>
      </c>
      <c r="D1027" s="85">
        <v>44433</v>
      </c>
      <c r="E1027" s="31">
        <v>3000000</v>
      </c>
      <c r="F1027" s="31">
        <v>0</v>
      </c>
      <c r="G1027" s="31">
        <v>0</v>
      </c>
      <c r="H1027" s="31">
        <v>0</v>
      </c>
      <c r="I1027" s="31" t="s">
        <v>109</v>
      </c>
      <c r="J1027" s="5" t="s">
        <v>937</v>
      </c>
      <c r="K1027" s="8"/>
    </row>
    <row r="1028" spans="1:11" x14ac:dyDescent="0.2">
      <c r="A1028" s="8">
        <v>1027</v>
      </c>
      <c r="B1028" s="8">
        <f t="shared" si="32"/>
        <v>2021</v>
      </c>
      <c r="C1028" s="8">
        <f t="shared" si="33"/>
        <v>8</v>
      </c>
      <c r="D1028" s="85">
        <v>44435</v>
      </c>
      <c r="E1028" s="31">
        <v>0</v>
      </c>
      <c r="F1028" s="31">
        <v>100000</v>
      </c>
      <c r="G1028" s="31">
        <v>0</v>
      </c>
      <c r="H1028" s="31">
        <v>0</v>
      </c>
      <c r="I1028" s="31" t="s">
        <v>109</v>
      </c>
      <c r="J1028" s="5" t="s">
        <v>938</v>
      </c>
      <c r="K1028" s="8"/>
    </row>
    <row r="1029" spans="1:11" x14ac:dyDescent="0.2">
      <c r="A1029" s="8">
        <v>1028</v>
      </c>
      <c r="B1029" s="8">
        <f t="shared" si="32"/>
        <v>2021</v>
      </c>
      <c r="C1029" s="8">
        <f t="shared" si="33"/>
        <v>8</v>
      </c>
      <c r="D1029" s="85">
        <v>44435</v>
      </c>
      <c r="E1029" s="31">
        <v>0</v>
      </c>
      <c r="F1029" s="31">
        <v>10000</v>
      </c>
      <c r="G1029" s="31">
        <v>0</v>
      </c>
      <c r="H1029" s="31">
        <v>0</v>
      </c>
      <c r="I1029" s="31" t="s">
        <v>300</v>
      </c>
      <c r="J1029" s="5" t="s">
        <v>300</v>
      </c>
      <c r="K1029" s="8"/>
    </row>
    <row r="1030" spans="1:11" x14ac:dyDescent="0.2">
      <c r="A1030" s="8">
        <v>1029</v>
      </c>
      <c r="B1030" s="8">
        <f t="shared" ref="B1030:B1093" si="34">YEAR(D1030)</f>
        <v>2021</v>
      </c>
      <c r="C1030" s="8">
        <f t="shared" ref="C1030:C1093" si="35">MONTH(D1030)</f>
        <v>8</v>
      </c>
      <c r="D1030" s="85">
        <v>44436</v>
      </c>
      <c r="E1030" s="31">
        <v>950000</v>
      </c>
      <c r="F1030" s="31">
        <v>0</v>
      </c>
      <c r="G1030" s="31">
        <v>0</v>
      </c>
      <c r="H1030" s="31">
        <v>0</v>
      </c>
      <c r="I1030" s="31" t="s">
        <v>109</v>
      </c>
      <c r="J1030" s="5" t="s">
        <v>939</v>
      </c>
      <c r="K1030" s="8"/>
    </row>
    <row r="1031" spans="1:11" x14ac:dyDescent="0.2">
      <c r="A1031" s="8">
        <v>1030</v>
      </c>
      <c r="B1031" s="8">
        <f t="shared" si="34"/>
        <v>2021</v>
      </c>
      <c r="C1031" s="8">
        <f t="shared" si="35"/>
        <v>8</v>
      </c>
      <c r="D1031" s="85">
        <v>44436</v>
      </c>
      <c r="E1031" s="31">
        <v>0</v>
      </c>
      <c r="F1031" s="31">
        <v>0</v>
      </c>
      <c r="G1031" s="31">
        <v>0</v>
      </c>
      <c r="H1031" s="31">
        <v>150000</v>
      </c>
      <c r="I1031" s="31" t="s">
        <v>940</v>
      </c>
      <c r="J1031" s="5" t="s">
        <v>941</v>
      </c>
      <c r="K1031" s="8"/>
    </row>
    <row r="1032" spans="1:11" x14ac:dyDescent="0.2">
      <c r="A1032" s="8">
        <v>1031</v>
      </c>
      <c r="B1032" s="8">
        <f t="shared" si="34"/>
        <v>2021</v>
      </c>
      <c r="C1032" s="8">
        <f t="shared" si="35"/>
        <v>8</v>
      </c>
      <c r="D1032" s="85">
        <v>44436</v>
      </c>
      <c r="E1032" s="31">
        <v>0</v>
      </c>
      <c r="F1032" s="31">
        <v>0</v>
      </c>
      <c r="G1032" s="31">
        <v>0</v>
      </c>
      <c r="H1032" s="31">
        <v>30000</v>
      </c>
      <c r="I1032" s="31" t="s">
        <v>940</v>
      </c>
      <c r="J1032" s="5" t="s">
        <v>942</v>
      </c>
      <c r="K1032" s="8"/>
    </row>
    <row r="1033" spans="1:11" x14ac:dyDescent="0.2">
      <c r="A1033" s="8">
        <v>1032</v>
      </c>
      <c r="B1033" s="8">
        <f t="shared" si="34"/>
        <v>2021</v>
      </c>
      <c r="C1033" s="8">
        <f t="shared" si="35"/>
        <v>8</v>
      </c>
      <c r="D1033" s="85">
        <v>44436</v>
      </c>
      <c r="E1033" s="31">
        <v>0</v>
      </c>
      <c r="F1033" s="31">
        <v>0</v>
      </c>
      <c r="G1033" s="31">
        <v>0</v>
      </c>
      <c r="H1033" s="31">
        <v>8000</v>
      </c>
      <c r="I1033" s="31" t="s">
        <v>940</v>
      </c>
      <c r="J1033" s="5" t="s">
        <v>943</v>
      </c>
      <c r="K1033" s="8"/>
    </row>
    <row r="1034" spans="1:11" x14ac:dyDescent="0.2">
      <c r="A1034" s="8">
        <v>1033</v>
      </c>
      <c r="B1034" s="8">
        <f t="shared" si="34"/>
        <v>2021</v>
      </c>
      <c r="C1034" s="8">
        <f t="shared" si="35"/>
        <v>8</v>
      </c>
      <c r="D1034" s="85">
        <v>44436</v>
      </c>
      <c r="E1034" s="31">
        <v>0</v>
      </c>
      <c r="F1034" s="31">
        <v>0</v>
      </c>
      <c r="G1034" s="31">
        <v>0</v>
      </c>
      <c r="H1034" s="31">
        <v>10000</v>
      </c>
      <c r="I1034" s="31" t="s">
        <v>940</v>
      </c>
      <c r="J1034" s="5" t="s">
        <v>944</v>
      </c>
      <c r="K1034" s="8"/>
    </row>
    <row r="1035" spans="1:11" x14ac:dyDescent="0.2">
      <c r="A1035" s="8">
        <v>1034</v>
      </c>
      <c r="B1035" s="8">
        <f t="shared" si="34"/>
        <v>2021</v>
      </c>
      <c r="C1035" s="8">
        <f t="shared" si="35"/>
        <v>8</v>
      </c>
      <c r="D1035" s="85">
        <v>44437</v>
      </c>
      <c r="E1035" s="31">
        <v>0</v>
      </c>
      <c r="F1035" s="31">
        <v>50000</v>
      </c>
      <c r="G1035" s="31">
        <v>0</v>
      </c>
      <c r="H1035" s="31">
        <v>0</v>
      </c>
      <c r="I1035" s="31" t="s">
        <v>99</v>
      </c>
      <c r="J1035" s="5" t="s">
        <v>945</v>
      </c>
      <c r="K1035" s="8"/>
    </row>
    <row r="1036" spans="1:11" x14ac:dyDescent="0.2">
      <c r="A1036" s="8">
        <v>1035</v>
      </c>
      <c r="B1036" s="8">
        <f t="shared" si="34"/>
        <v>2021</v>
      </c>
      <c r="C1036" s="8">
        <f t="shared" si="35"/>
        <v>8</v>
      </c>
      <c r="D1036" s="85">
        <v>44437</v>
      </c>
      <c r="E1036" s="31">
        <v>0</v>
      </c>
      <c r="F1036" s="31">
        <v>20000</v>
      </c>
      <c r="G1036" s="31">
        <v>0</v>
      </c>
      <c r="H1036" s="31">
        <v>0</v>
      </c>
      <c r="I1036" s="31" t="s">
        <v>300</v>
      </c>
      <c r="J1036" s="5" t="s">
        <v>946</v>
      </c>
      <c r="K1036" s="8"/>
    </row>
    <row r="1037" spans="1:11" x14ac:dyDescent="0.2">
      <c r="A1037" s="8">
        <v>1036</v>
      </c>
      <c r="B1037" s="8">
        <f t="shared" si="34"/>
        <v>2021</v>
      </c>
      <c r="C1037" s="8">
        <f t="shared" si="35"/>
        <v>8</v>
      </c>
      <c r="D1037" s="85">
        <v>44437</v>
      </c>
      <c r="E1037" s="31">
        <v>0</v>
      </c>
      <c r="F1037" s="31">
        <v>70000</v>
      </c>
      <c r="G1037" s="31">
        <v>0</v>
      </c>
      <c r="H1037" s="31">
        <v>0</v>
      </c>
      <c r="I1037" s="31" t="s">
        <v>99</v>
      </c>
      <c r="J1037" s="5" t="s">
        <v>947</v>
      </c>
      <c r="K1037" s="8"/>
    </row>
    <row r="1038" spans="1:11" x14ac:dyDescent="0.2">
      <c r="A1038" s="8">
        <v>1037</v>
      </c>
      <c r="B1038" s="8">
        <f t="shared" si="34"/>
        <v>2021</v>
      </c>
      <c r="C1038" s="8">
        <f t="shared" si="35"/>
        <v>8</v>
      </c>
      <c r="D1038" s="85">
        <v>44437</v>
      </c>
      <c r="E1038" s="31">
        <v>0</v>
      </c>
      <c r="F1038" s="31">
        <v>20000</v>
      </c>
      <c r="G1038" s="31">
        <v>0</v>
      </c>
      <c r="H1038" s="31">
        <v>0</v>
      </c>
      <c r="I1038" s="31" t="s">
        <v>99</v>
      </c>
      <c r="J1038" s="5" t="s">
        <v>948</v>
      </c>
      <c r="K1038" s="8"/>
    </row>
    <row r="1039" spans="1:11" x14ac:dyDescent="0.2">
      <c r="A1039" s="8">
        <v>1038</v>
      </c>
      <c r="B1039" s="8">
        <f t="shared" si="34"/>
        <v>2021</v>
      </c>
      <c r="C1039" s="8">
        <f t="shared" si="35"/>
        <v>8</v>
      </c>
      <c r="D1039" s="85">
        <v>44438</v>
      </c>
      <c r="E1039" s="31">
        <v>0</v>
      </c>
      <c r="F1039" s="31">
        <v>0</v>
      </c>
      <c r="G1039" s="31">
        <v>0</v>
      </c>
      <c r="H1039" s="31">
        <v>377000</v>
      </c>
      <c r="I1039" s="31" t="s">
        <v>74</v>
      </c>
      <c r="J1039" s="5" t="s">
        <v>949</v>
      </c>
      <c r="K1039" s="8"/>
    </row>
    <row r="1040" spans="1:11" x14ac:dyDescent="0.2">
      <c r="A1040" s="8">
        <v>1039</v>
      </c>
      <c r="B1040" s="8">
        <f t="shared" si="34"/>
        <v>2021</v>
      </c>
      <c r="C1040" s="8">
        <f t="shared" si="35"/>
        <v>8</v>
      </c>
      <c r="D1040" s="85">
        <v>44438</v>
      </c>
      <c r="E1040" s="31">
        <v>0</v>
      </c>
      <c r="F1040" s="31">
        <v>0</v>
      </c>
      <c r="G1040" s="31">
        <v>0</v>
      </c>
      <c r="H1040" s="31">
        <v>251000</v>
      </c>
      <c r="I1040" s="31" t="s">
        <v>74</v>
      </c>
      <c r="J1040" s="5" t="s">
        <v>950</v>
      </c>
      <c r="K1040" s="8"/>
    </row>
    <row r="1041" spans="1:11" x14ac:dyDescent="0.2">
      <c r="A1041" s="8">
        <v>1040</v>
      </c>
      <c r="B1041" s="8">
        <f t="shared" si="34"/>
        <v>2021</v>
      </c>
      <c r="C1041" s="8">
        <f t="shared" si="35"/>
        <v>8</v>
      </c>
      <c r="D1041" s="85">
        <v>44438</v>
      </c>
      <c r="E1041" s="31">
        <v>0</v>
      </c>
      <c r="F1041" s="31">
        <v>0</v>
      </c>
      <c r="G1041" s="31">
        <v>0</v>
      </c>
      <c r="H1041" s="31">
        <v>11000</v>
      </c>
      <c r="I1041" s="31" t="s">
        <v>74</v>
      </c>
      <c r="J1041" s="5" t="s">
        <v>951</v>
      </c>
      <c r="K1041" s="8"/>
    </row>
    <row r="1042" spans="1:11" x14ac:dyDescent="0.2">
      <c r="A1042" s="8">
        <v>1041</v>
      </c>
      <c r="B1042" s="8">
        <f t="shared" si="34"/>
        <v>2021</v>
      </c>
      <c r="C1042" s="8">
        <f t="shared" si="35"/>
        <v>8</v>
      </c>
      <c r="D1042" s="85">
        <v>44438</v>
      </c>
      <c r="E1042" s="31">
        <v>0</v>
      </c>
      <c r="F1042" s="31">
        <v>0</v>
      </c>
      <c r="G1042" s="31">
        <v>0</v>
      </c>
      <c r="H1042" s="31">
        <v>714000</v>
      </c>
      <c r="I1042" s="31" t="s">
        <v>74</v>
      </c>
      <c r="J1042" s="5" t="s">
        <v>952</v>
      </c>
      <c r="K1042" s="8"/>
    </row>
    <row r="1043" spans="1:11" x14ac:dyDescent="0.2">
      <c r="A1043" s="8">
        <v>1042</v>
      </c>
      <c r="B1043" s="8">
        <f t="shared" si="34"/>
        <v>2021</v>
      </c>
      <c r="C1043" s="8">
        <f t="shared" si="35"/>
        <v>8</v>
      </c>
      <c r="D1043" s="85">
        <v>44438</v>
      </c>
      <c r="E1043" s="31">
        <v>0</v>
      </c>
      <c r="F1043" s="31">
        <v>0</v>
      </c>
      <c r="G1043" s="31">
        <v>0</v>
      </c>
      <c r="H1043" s="31">
        <v>25000</v>
      </c>
      <c r="I1043" s="31" t="s">
        <v>74</v>
      </c>
      <c r="J1043" s="5" t="s">
        <v>953</v>
      </c>
      <c r="K1043" s="8"/>
    </row>
    <row r="1044" spans="1:11" x14ac:dyDescent="0.2">
      <c r="A1044" s="8">
        <v>1043</v>
      </c>
      <c r="B1044" s="8">
        <f t="shared" si="34"/>
        <v>2021</v>
      </c>
      <c r="C1044" s="8">
        <f t="shared" si="35"/>
        <v>8</v>
      </c>
      <c r="D1044" s="93">
        <v>44438</v>
      </c>
      <c r="E1044" s="35">
        <v>0</v>
      </c>
      <c r="F1044" s="35">
        <v>329000</v>
      </c>
      <c r="G1044" s="35">
        <v>0</v>
      </c>
      <c r="H1044" s="35">
        <v>0</v>
      </c>
      <c r="I1044" s="35" t="s">
        <v>549</v>
      </c>
      <c r="J1044" s="36" t="s">
        <v>954</v>
      </c>
      <c r="K1044" s="8"/>
    </row>
    <row r="1045" spans="1:11" x14ac:dyDescent="0.2">
      <c r="A1045" s="8">
        <v>1044</v>
      </c>
      <c r="B1045" s="8">
        <f t="shared" si="34"/>
        <v>2021</v>
      </c>
      <c r="C1045" s="8">
        <f t="shared" si="35"/>
        <v>8</v>
      </c>
      <c r="D1045" s="85">
        <v>44438</v>
      </c>
      <c r="E1045" s="31">
        <v>0</v>
      </c>
      <c r="F1045" s="31">
        <v>48000</v>
      </c>
      <c r="G1045" s="31">
        <v>0</v>
      </c>
      <c r="H1045" s="31">
        <v>0</v>
      </c>
      <c r="I1045" s="31" t="s">
        <v>85</v>
      </c>
      <c r="J1045" s="5" t="s">
        <v>955</v>
      </c>
      <c r="K1045" s="8"/>
    </row>
    <row r="1046" spans="1:11" x14ac:dyDescent="0.2">
      <c r="A1046" s="8">
        <v>1045</v>
      </c>
      <c r="B1046" s="8">
        <f t="shared" si="34"/>
        <v>2021</v>
      </c>
      <c r="C1046" s="8">
        <f t="shared" si="35"/>
        <v>8</v>
      </c>
      <c r="D1046" s="85">
        <v>44438</v>
      </c>
      <c r="E1046" s="31">
        <v>0</v>
      </c>
      <c r="F1046" s="31">
        <v>100000</v>
      </c>
      <c r="G1046" s="31">
        <v>0</v>
      </c>
      <c r="H1046" s="31">
        <v>0</v>
      </c>
      <c r="I1046" s="31" t="s">
        <v>737</v>
      </c>
      <c r="J1046" s="5" t="s">
        <v>956</v>
      </c>
      <c r="K1046" s="8"/>
    </row>
    <row r="1047" spans="1:11" x14ac:dyDescent="0.2">
      <c r="A1047" s="8">
        <v>1046</v>
      </c>
      <c r="B1047" s="8">
        <f t="shared" si="34"/>
        <v>2021</v>
      </c>
      <c r="C1047" s="8">
        <f t="shared" si="35"/>
        <v>8</v>
      </c>
      <c r="D1047" s="85">
        <v>44439</v>
      </c>
      <c r="E1047" s="31">
        <v>70000</v>
      </c>
      <c r="F1047" s="31">
        <v>0</v>
      </c>
      <c r="G1047" s="31">
        <v>0</v>
      </c>
      <c r="H1047" s="31">
        <v>0</v>
      </c>
      <c r="I1047" s="31" t="s">
        <v>109</v>
      </c>
      <c r="J1047" s="5" t="s">
        <v>957</v>
      </c>
      <c r="K1047" s="8"/>
    </row>
    <row r="1048" spans="1:11" x14ac:dyDescent="0.2">
      <c r="A1048" s="8">
        <v>1047</v>
      </c>
      <c r="B1048" s="8">
        <f t="shared" si="34"/>
        <v>2021</v>
      </c>
      <c r="C1048" s="8">
        <f t="shared" si="35"/>
        <v>8</v>
      </c>
      <c r="D1048" s="85">
        <v>44439</v>
      </c>
      <c r="E1048" s="31">
        <v>0</v>
      </c>
      <c r="F1048" s="31">
        <v>8000</v>
      </c>
      <c r="G1048" s="31">
        <v>0</v>
      </c>
      <c r="H1048" s="31">
        <v>0</v>
      </c>
      <c r="I1048" s="31" t="s">
        <v>300</v>
      </c>
      <c r="J1048" s="5" t="s">
        <v>91</v>
      </c>
      <c r="K1048" s="8"/>
    </row>
    <row r="1049" spans="1:11" x14ac:dyDescent="0.2">
      <c r="A1049" s="8">
        <v>1048</v>
      </c>
      <c r="B1049" s="8">
        <f t="shared" si="34"/>
        <v>2021</v>
      </c>
      <c r="C1049" s="8">
        <f t="shared" si="35"/>
        <v>9</v>
      </c>
      <c r="D1049" s="85">
        <v>44440</v>
      </c>
      <c r="E1049" s="31">
        <v>242300</v>
      </c>
      <c r="F1049" s="31">
        <v>0</v>
      </c>
      <c r="G1049" s="31">
        <v>0</v>
      </c>
      <c r="H1049" s="31">
        <v>0</v>
      </c>
      <c r="I1049" s="31" t="s">
        <v>704</v>
      </c>
      <c r="J1049" s="5" t="s">
        <v>958</v>
      </c>
      <c r="K1049" s="8"/>
    </row>
    <row r="1050" spans="1:11" x14ac:dyDescent="0.2">
      <c r="A1050" s="8">
        <v>1049</v>
      </c>
      <c r="B1050" s="8">
        <f t="shared" si="34"/>
        <v>2021</v>
      </c>
      <c r="C1050" s="8">
        <f t="shared" si="35"/>
        <v>9</v>
      </c>
      <c r="D1050" s="85">
        <v>44440</v>
      </c>
      <c r="E1050" s="31">
        <v>0</v>
      </c>
      <c r="F1050" s="31">
        <v>0</v>
      </c>
      <c r="G1050" s="35"/>
      <c r="H1050" s="31">
        <v>0</v>
      </c>
      <c r="I1050" s="31" t="s">
        <v>92</v>
      </c>
      <c r="J1050" s="5" t="s">
        <v>959</v>
      </c>
      <c r="K1050" s="8"/>
    </row>
    <row r="1051" spans="1:11" x14ac:dyDescent="0.2">
      <c r="A1051" s="8">
        <v>1050</v>
      </c>
      <c r="B1051" s="8">
        <f t="shared" si="34"/>
        <v>2021</v>
      </c>
      <c r="C1051" s="8">
        <f t="shared" si="35"/>
        <v>9</v>
      </c>
      <c r="D1051" s="85">
        <v>44441</v>
      </c>
      <c r="E1051" s="31">
        <v>0</v>
      </c>
      <c r="F1051" s="31">
        <v>0</v>
      </c>
      <c r="G1051" s="31">
        <v>0</v>
      </c>
      <c r="H1051" s="31">
        <v>632000</v>
      </c>
      <c r="I1051" s="31" t="s">
        <v>74</v>
      </c>
      <c r="J1051" s="5" t="s">
        <v>960</v>
      </c>
      <c r="K1051" s="8"/>
    </row>
    <row r="1052" spans="1:11" x14ac:dyDescent="0.2">
      <c r="A1052" s="8">
        <v>1051</v>
      </c>
      <c r="B1052" s="8">
        <f t="shared" si="34"/>
        <v>2021</v>
      </c>
      <c r="C1052" s="8">
        <f t="shared" si="35"/>
        <v>9</v>
      </c>
      <c r="D1052" s="85">
        <v>44443</v>
      </c>
      <c r="E1052" s="31">
        <v>0</v>
      </c>
      <c r="F1052" s="31">
        <v>0</v>
      </c>
      <c r="G1052" s="31">
        <v>0</v>
      </c>
      <c r="H1052" s="31">
        <v>277000</v>
      </c>
      <c r="I1052" s="31" t="s">
        <v>74</v>
      </c>
      <c r="J1052" s="5" t="s">
        <v>961</v>
      </c>
      <c r="K1052" s="8"/>
    </row>
    <row r="1053" spans="1:11" x14ac:dyDescent="0.2">
      <c r="A1053" s="8">
        <v>1052</v>
      </c>
      <c r="B1053" s="8">
        <f t="shared" si="34"/>
        <v>2021</v>
      </c>
      <c r="C1053" s="8">
        <f t="shared" si="35"/>
        <v>9</v>
      </c>
      <c r="D1053" s="85">
        <v>44443</v>
      </c>
      <c r="E1053" s="31">
        <v>0</v>
      </c>
      <c r="F1053" s="31">
        <v>45000</v>
      </c>
      <c r="G1053" s="31">
        <v>0</v>
      </c>
      <c r="H1053" s="31">
        <v>0</v>
      </c>
      <c r="I1053" s="31" t="s">
        <v>300</v>
      </c>
      <c r="J1053" s="5" t="s">
        <v>962</v>
      </c>
      <c r="K1053" s="8"/>
    </row>
    <row r="1054" spans="1:11" x14ac:dyDescent="0.2">
      <c r="A1054" s="8">
        <v>1053</v>
      </c>
      <c r="B1054" s="8">
        <f t="shared" si="34"/>
        <v>2021</v>
      </c>
      <c r="C1054" s="8">
        <f t="shared" si="35"/>
        <v>9</v>
      </c>
      <c r="D1054" s="85">
        <v>44442</v>
      </c>
      <c r="E1054" s="31">
        <v>0</v>
      </c>
      <c r="F1054" s="31">
        <v>26000</v>
      </c>
      <c r="G1054" s="31">
        <v>0</v>
      </c>
      <c r="H1054" s="31">
        <v>0</v>
      </c>
      <c r="I1054" s="31" t="s">
        <v>99</v>
      </c>
      <c r="J1054" s="5" t="s">
        <v>963</v>
      </c>
      <c r="K1054" s="8"/>
    </row>
    <row r="1055" spans="1:11" x14ac:dyDescent="0.2">
      <c r="A1055" s="8">
        <v>1054</v>
      </c>
      <c r="B1055" s="8">
        <f t="shared" si="34"/>
        <v>2021</v>
      </c>
      <c r="C1055" s="8">
        <f t="shared" si="35"/>
        <v>9</v>
      </c>
      <c r="D1055" s="85">
        <v>44444</v>
      </c>
      <c r="E1055" s="31">
        <v>0</v>
      </c>
      <c r="F1055" s="31">
        <v>50000</v>
      </c>
      <c r="G1055" s="31">
        <v>0</v>
      </c>
      <c r="H1055" s="31">
        <v>0</v>
      </c>
      <c r="I1055" s="31" t="s">
        <v>99</v>
      </c>
      <c r="J1055" s="5" t="s">
        <v>964</v>
      </c>
      <c r="K1055" s="8"/>
    </row>
    <row r="1056" spans="1:11" x14ac:dyDescent="0.2">
      <c r="A1056" s="8">
        <v>1055</v>
      </c>
      <c r="B1056" s="8">
        <f t="shared" si="34"/>
        <v>2021</v>
      </c>
      <c r="C1056" s="8">
        <f t="shared" si="35"/>
        <v>9</v>
      </c>
      <c r="D1056" s="85">
        <v>44444</v>
      </c>
      <c r="E1056" s="31">
        <v>0</v>
      </c>
      <c r="F1056" s="31">
        <v>600000</v>
      </c>
      <c r="G1056" s="31">
        <v>0</v>
      </c>
      <c r="H1056" s="31">
        <v>0</v>
      </c>
      <c r="I1056" s="31" t="s">
        <v>201</v>
      </c>
      <c r="J1056" s="5" t="s">
        <v>965</v>
      </c>
      <c r="K1056" s="8"/>
    </row>
    <row r="1057" spans="1:14" x14ac:dyDescent="0.2">
      <c r="A1057" s="8">
        <v>1056</v>
      </c>
      <c r="B1057" s="8">
        <f t="shared" si="34"/>
        <v>2021</v>
      </c>
      <c r="C1057" s="8">
        <f t="shared" si="35"/>
        <v>9</v>
      </c>
      <c r="D1057" s="85">
        <v>44444</v>
      </c>
      <c r="E1057" s="31">
        <v>0</v>
      </c>
      <c r="F1057" s="31">
        <v>130000</v>
      </c>
      <c r="G1057" s="31">
        <v>0</v>
      </c>
      <c r="H1057" s="31">
        <v>0</v>
      </c>
      <c r="I1057" s="31" t="s">
        <v>99</v>
      </c>
      <c r="J1057" s="5" t="s">
        <v>966</v>
      </c>
      <c r="K1057" s="8"/>
    </row>
    <row r="1058" spans="1:14" x14ac:dyDescent="0.2">
      <c r="A1058" s="8">
        <v>1057</v>
      </c>
      <c r="B1058" s="8">
        <f t="shared" si="34"/>
        <v>2021</v>
      </c>
      <c r="C1058" s="8">
        <f t="shared" si="35"/>
        <v>9</v>
      </c>
      <c r="D1058" s="85">
        <v>44445</v>
      </c>
      <c r="E1058" s="31">
        <v>0</v>
      </c>
      <c r="F1058" s="31">
        <v>30000</v>
      </c>
      <c r="G1058" s="31">
        <v>0</v>
      </c>
      <c r="H1058" s="31">
        <v>0</v>
      </c>
      <c r="I1058" s="31" t="s">
        <v>85</v>
      </c>
      <c r="J1058" s="5" t="s">
        <v>967</v>
      </c>
      <c r="K1058" s="8"/>
    </row>
    <row r="1059" spans="1:14" x14ac:dyDescent="0.2">
      <c r="A1059" s="8">
        <v>1058</v>
      </c>
      <c r="B1059" s="8">
        <f t="shared" si="34"/>
        <v>2021</v>
      </c>
      <c r="C1059" s="8">
        <f t="shared" si="35"/>
        <v>9</v>
      </c>
      <c r="D1059" s="85">
        <v>44446</v>
      </c>
      <c r="E1059" s="31">
        <v>0</v>
      </c>
      <c r="F1059" s="31">
        <v>30000</v>
      </c>
      <c r="G1059" s="31">
        <v>0</v>
      </c>
      <c r="H1059" s="31">
        <v>0</v>
      </c>
      <c r="I1059" s="31" t="s">
        <v>85</v>
      </c>
      <c r="J1059" s="5" t="s">
        <v>968</v>
      </c>
      <c r="K1059" s="8"/>
    </row>
    <row r="1060" spans="1:14" x14ac:dyDescent="0.2">
      <c r="A1060" s="8">
        <v>1059</v>
      </c>
      <c r="B1060" s="8">
        <f t="shared" si="34"/>
        <v>2021</v>
      </c>
      <c r="C1060" s="8">
        <f t="shared" si="35"/>
        <v>9</v>
      </c>
      <c r="D1060" s="85">
        <v>44446</v>
      </c>
      <c r="E1060" s="31">
        <v>2270000</v>
      </c>
      <c r="F1060" s="31">
        <v>0</v>
      </c>
      <c r="G1060" s="31">
        <v>0</v>
      </c>
      <c r="H1060" s="31">
        <v>1815000</v>
      </c>
      <c r="I1060" s="31" t="s">
        <v>74</v>
      </c>
      <c r="J1060" s="5" t="s">
        <v>969</v>
      </c>
      <c r="K1060" s="8"/>
    </row>
    <row r="1061" spans="1:14" x14ac:dyDescent="0.2">
      <c r="A1061" s="8">
        <v>1060</v>
      </c>
      <c r="B1061" s="8">
        <f t="shared" si="34"/>
        <v>2021</v>
      </c>
      <c r="C1061" s="8">
        <f t="shared" si="35"/>
        <v>9</v>
      </c>
      <c r="D1061" s="85">
        <v>44446</v>
      </c>
      <c r="E1061" s="31">
        <v>180000</v>
      </c>
      <c r="F1061" s="31">
        <v>0</v>
      </c>
      <c r="G1061" s="31">
        <v>0</v>
      </c>
      <c r="H1061" s="31">
        <v>0</v>
      </c>
      <c r="I1061" s="31" t="s">
        <v>74</v>
      </c>
      <c r="J1061" s="5" t="s">
        <v>970</v>
      </c>
      <c r="K1061" s="8"/>
      <c r="M1061">
        <v>-3300000</v>
      </c>
      <c r="N1061" s="66" t="s">
        <v>971</v>
      </c>
    </row>
    <row r="1062" spans="1:14" x14ac:dyDescent="0.2">
      <c r="A1062" s="8">
        <v>1061</v>
      </c>
      <c r="B1062" s="8">
        <f t="shared" si="34"/>
        <v>2021</v>
      </c>
      <c r="C1062" s="8">
        <f t="shared" si="35"/>
        <v>9</v>
      </c>
      <c r="D1062" s="85">
        <v>44440</v>
      </c>
      <c r="E1062" s="31">
        <v>180000</v>
      </c>
      <c r="F1062" s="31">
        <v>0</v>
      </c>
      <c r="G1062" s="31">
        <v>0</v>
      </c>
      <c r="H1062" s="31">
        <v>0</v>
      </c>
      <c r="I1062" s="31" t="s">
        <v>109</v>
      </c>
      <c r="J1062" s="5" t="s">
        <v>972</v>
      </c>
      <c r="K1062" s="8"/>
      <c r="M1062">
        <v>300000</v>
      </c>
      <c r="N1062" s="66" t="s">
        <v>973</v>
      </c>
    </row>
    <row r="1063" spans="1:14" x14ac:dyDescent="0.2">
      <c r="A1063" s="8">
        <v>1062</v>
      </c>
      <c r="B1063" s="8">
        <f t="shared" si="34"/>
        <v>2021</v>
      </c>
      <c r="C1063" s="8">
        <f t="shared" si="35"/>
        <v>9</v>
      </c>
      <c r="D1063" s="85">
        <v>44448</v>
      </c>
      <c r="E1063" s="31">
        <v>1000000</v>
      </c>
      <c r="F1063" s="31">
        <v>0</v>
      </c>
      <c r="G1063" s="31">
        <v>0</v>
      </c>
      <c r="H1063" s="31">
        <v>0</v>
      </c>
      <c r="I1063" s="31" t="s">
        <v>974</v>
      </c>
      <c r="J1063" s="5" t="s">
        <v>975</v>
      </c>
      <c r="K1063" s="8"/>
      <c r="M1063">
        <v>300000</v>
      </c>
      <c r="N1063" s="66" t="s">
        <v>976</v>
      </c>
    </row>
    <row r="1064" spans="1:14" x14ac:dyDescent="0.2">
      <c r="A1064" s="8">
        <v>1063</v>
      </c>
      <c r="B1064" s="8">
        <f t="shared" si="34"/>
        <v>2021</v>
      </c>
      <c r="C1064" s="8">
        <f t="shared" si="35"/>
        <v>9</v>
      </c>
      <c r="D1064" s="85">
        <v>44448</v>
      </c>
      <c r="E1064" s="31">
        <v>0</v>
      </c>
      <c r="F1064" s="31">
        <v>152800</v>
      </c>
      <c r="G1064" s="31">
        <v>0</v>
      </c>
      <c r="H1064" s="31">
        <v>0</v>
      </c>
      <c r="I1064" s="31" t="s">
        <v>99</v>
      </c>
      <c r="J1064" s="5" t="s">
        <v>977</v>
      </c>
      <c r="K1064" s="8"/>
      <c r="M1064">
        <v>300000</v>
      </c>
      <c r="N1064" s="66" t="s">
        <v>978</v>
      </c>
    </row>
    <row r="1065" spans="1:14" x14ac:dyDescent="0.2">
      <c r="A1065" s="8">
        <v>1064</v>
      </c>
      <c r="B1065" s="8">
        <f t="shared" si="34"/>
        <v>2021</v>
      </c>
      <c r="C1065" s="8">
        <f t="shared" si="35"/>
        <v>9</v>
      </c>
      <c r="D1065" s="85">
        <v>44449</v>
      </c>
      <c r="E1065" s="31">
        <v>0</v>
      </c>
      <c r="F1065" s="31">
        <v>110000</v>
      </c>
      <c r="G1065" s="31">
        <v>0</v>
      </c>
      <c r="H1065" s="31">
        <v>0</v>
      </c>
      <c r="I1065" s="31" t="s">
        <v>83</v>
      </c>
      <c r="J1065" s="5" t="s">
        <v>979</v>
      </c>
      <c r="K1065" s="8"/>
      <c r="M1065">
        <v>100000</v>
      </c>
      <c r="N1065" s="66" t="s">
        <v>980</v>
      </c>
    </row>
    <row r="1066" spans="1:14" x14ac:dyDescent="0.2">
      <c r="A1066" s="8">
        <v>1065</v>
      </c>
      <c r="B1066" s="8">
        <f t="shared" si="34"/>
        <v>2021</v>
      </c>
      <c r="C1066" s="8">
        <f t="shared" si="35"/>
        <v>9</v>
      </c>
      <c r="D1066" s="85">
        <v>44450</v>
      </c>
      <c r="E1066" s="31">
        <v>0</v>
      </c>
      <c r="F1066" s="31">
        <v>20000</v>
      </c>
      <c r="G1066" s="31">
        <v>0</v>
      </c>
      <c r="H1066" s="31">
        <v>0</v>
      </c>
      <c r="I1066" s="31" t="s">
        <v>99</v>
      </c>
      <c r="J1066" s="5" t="s">
        <v>981</v>
      </c>
      <c r="K1066" s="8"/>
      <c r="M1066">
        <v>50000</v>
      </c>
      <c r="N1066" s="66" t="s">
        <v>982</v>
      </c>
    </row>
    <row r="1067" spans="1:14" x14ac:dyDescent="0.2">
      <c r="A1067" s="8">
        <v>1066</v>
      </c>
      <c r="B1067" s="8">
        <f t="shared" si="34"/>
        <v>2021</v>
      </c>
      <c r="C1067" s="8">
        <f t="shared" si="35"/>
        <v>9</v>
      </c>
      <c r="D1067" s="85">
        <v>44450</v>
      </c>
      <c r="E1067" s="31">
        <v>0</v>
      </c>
      <c r="F1067" s="31">
        <v>50000</v>
      </c>
      <c r="G1067" s="31">
        <v>0</v>
      </c>
      <c r="H1067" s="31">
        <v>0</v>
      </c>
      <c r="I1067" s="31" t="s">
        <v>99</v>
      </c>
      <c r="J1067" s="5" t="s">
        <v>983</v>
      </c>
      <c r="K1067" s="8"/>
      <c r="M1067">
        <v>50000</v>
      </c>
      <c r="N1067" s="66" t="s">
        <v>984</v>
      </c>
    </row>
    <row r="1068" spans="1:14" x14ac:dyDescent="0.2">
      <c r="A1068" s="8">
        <v>1067</v>
      </c>
      <c r="B1068" s="8">
        <f t="shared" si="34"/>
        <v>2021</v>
      </c>
      <c r="C1068" s="8">
        <f t="shared" si="35"/>
        <v>9</v>
      </c>
      <c r="D1068" s="85">
        <v>44451</v>
      </c>
      <c r="E1068" s="31">
        <v>0</v>
      </c>
      <c r="F1068" s="31">
        <v>50000</v>
      </c>
      <c r="G1068" s="31">
        <v>0</v>
      </c>
      <c r="H1068" s="31">
        <v>0</v>
      </c>
      <c r="I1068" s="31" t="s">
        <v>83</v>
      </c>
      <c r="J1068" s="5" t="s">
        <v>985</v>
      </c>
      <c r="K1068" s="8"/>
      <c r="M1068">
        <v>80000</v>
      </c>
      <c r="N1068" s="66" t="s">
        <v>986</v>
      </c>
    </row>
    <row r="1069" spans="1:14" x14ac:dyDescent="0.2">
      <c r="A1069" s="8">
        <v>1068</v>
      </c>
      <c r="B1069" s="8">
        <f t="shared" si="34"/>
        <v>2021</v>
      </c>
      <c r="C1069" s="8">
        <f t="shared" si="35"/>
        <v>9</v>
      </c>
      <c r="D1069" s="85">
        <v>44451</v>
      </c>
      <c r="E1069" s="31">
        <v>0</v>
      </c>
      <c r="F1069" s="31">
        <v>25000</v>
      </c>
      <c r="G1069" s="31">
        <v>0</v>
      </c>
      <c r="H1069" s="31">
        <v>0</v>
      </c>
      <c r="I1069" s="31" t="s">
        <v>99</v>
      </c>
      <c r="J1069" s="5" t="s">
        <v>987</v>
      </c>
      <c r="K1069" s="8"/>
      <c r="M1069">
        <v>30000</v>
      </c>
      <c r="N1069" s="66" t="s">
        <v>988</v>
      </c>
    </row>
    <row r="1070" spans="1:14" x14ac:dyDescent="0.2">
      <c r="A1070" s="8">
        <v>1069</v>
      </c>
      <c r="B1070" s="8">
        <f t="shared" si="34"/>
        <v>2021</v>
      </c>
      <c r="C1070" s="8">
        <f t="shared" si="35"/>
        <v>9</v>
      </c>
      <c r="D1070" s="85">
        <v>44451</v>
      </c>
      <c r="E1070" s="31">
        <v>80000</v>
      </c>
      <c r="F1070" s="31">
        <v>0</v>
      </c>
      <c r="G1070" s="31">
        <v>0</v>
      </c>
      <c r="H1070" s="31">
        <v>0</v>
      </c>
      <c r="I1070" s="31" t="s">
        <v>109</v>
      </c>
      <c r="J1070" s="5" t="s">
        <v>989</v>
      </c>
      <c r="K1070" s="8"/>
      <c r="M1070">
        <v>50000</v>
      </c>
      <c r="N1070" s="66" t="s">
        <v>990</v>
      </c>
    </row>
    <row r="1071" spans="1:14" x14ac:dyDescent="0.2">
      <c r="A1071" s="8">
        <v>1070</v>
      </c>
      <c r="B1071" s="8">
        <f t="shared" si="34"/>
        <v>2021</v>
      </c>
      <c r="C1071" s="8">
        <f t="shared" si="35"/>
        <v>9</v>
      </c>
      <c r="D1071" s="85">
        <v>44451</v>
      </c>
      <c r="E1071" s="31">
        <v>0</v>
      </c>
      <c r="F1071" s="31">
        <v>20000</v>
      </c>
      <c r="G1071" s="31">
        <v>0</v>
      </c>
      <c r="H1071" s="31">
        <v>0</v>
      </c>
      <c r="I1071" s="31" t="s">
        <v>85</v>
      </c>
      <c r="J1071" s="5" t="s">
        <v>991</v>
      </c>
      <c r="K1071" s="8"/>
      <c r="M1071">
        <v>587000</v>
      </c>
      <c r="N1071" s="66" t="s">
        <v>992</v>
      </c>
    </row>
    <row r="1072" spans="1:14" x14ac:dyDescent="0.2">
      <c r="A1072" s="8">
        <v>1071</v>
      </c>
      <c r="B1072" s="8">
        <f t="shared" si="34"/>
        <v>2021</v>
      </c>
      <c r="C1072" s="8">
        <f t="shared" si="35"/>
        <v>9</v>
      </c>
      <c r="D1072" s="85">
        <v>44452</v>
      </c>
      <c r="E1072" s="31">
        <v>0</v>
      </c>
      <c r="F1072" s="31">
        <v>250000</v>
      </c>
      <c r="G1072" s="31">
        <v>0</v>
      </c>
      <c r="H1072" s="31">
        <v>0</v>
      </c>
      <c r="I1072" s="31" t="s">
        <v>99</v>
      </c>
      <c r="J1072" s="5" t="s">
        <v>993</v>
      </c>
      <c r="K1072" s="8"/>
      <c r="M1072">
        <v>250000</v>
      </c>
      <c r="N1072" s="66" t="s">
        <v>994</v>
      </c>
    </row>
    <row r="1073" spans="1:14" x14ac:dyDescent="0.2">
      <c r="A1073" s="8">
        <v>1072</v>
      </c>
      <c r="B1073" s="8">
        <f t="shared" si="34"/>
        <v>2021</v>
      </c>
      <c r="C1073" s="8">
        <f t="shared" si="35"/>
        <v>9</v>
      </c>
      <c r="D1073" s="85">
        <v>44453</v>
      </c>
      <c r="E1073" s="31">
        <v>0</v>
      </c>
      <c r="F1073" s="31">
        <v>1015000</v>
      </c>
      <c r="G1073" s="31">
        <v>0</v>
      </c>
      <c r="H1073" s="31">
        <v>0</v>
      </c>
      <c r="I1073" s="31" t="s">
        <v>571</v>
      </c>
      <c r="J1073" s="5" t="s">
        <v>307</v>
      </c>
      <c r="K1073" s="8"/>
      <c r="M1073">
        <v>80000</v>
      </c>
      <c r="N1073" s="66" t="s">
        <v>430</v>
      </c>
    </row>
    <row r="1074" spans="1:14" x14ac:dyDescent="0.2">
      <c r="A1074" s="8">
        <v>1073</v>
      </c>
      <c r="B1074" s="8">
        <f t="shared" si="34"/>
        <v>2021</v>
      </c>
      <c r="C1074" s="8">
        <f t="shared" si="35"/>
        <v>9</v>
      </c>
      <c r="D1074" s="85">
        <v>44453</v>
      </c>
      <c r="E1074" s="31">
        <v>0</v>
      </c>
      <c r="F1074" s="31">
        <v>350000</v>
      </c>
      <c r="G1074" s="31">
        <v>0</v>
      </c>
      <c r="H1074" s="31">
        <v>0</v>
      </c>
      <c r="I1074" s="31" t="s">
        <v>571</v>
      </c>
      <c r="J1074" s="5" t="s">
        <v>335</v>
      </c>
      <c r="K1074" s="8"/>
      <c r="M1074">
        <v>100000</v>
      </c>
      <c r="N1074" s="66" t="s">
        <v>102</v>
      </c>
    </row>
    <row r="1075" spans="1:14" x14ac:dyDescent="0.2">
      <c r="A1075" s="8">
        <v>1074</v>
      </c>
      <c r="B1075" s="8">
        <f t="shared" si="34"/>
        <v>2021</v>
      </c>
      <c r="C1075" s="8">
        <f t="shared" si="35"/>
        <v>9</v>
      </c>
      <c r="D1075" s="85">
        <v>44453</v>
      </c>
      <c r="E1075" s="31">
        <v>0</v>
      </c>
      <c r="F1075" s="31">
        <v>115000</v>
      </c>
      <c r="G1075" s="31">
        <v>0</v>
      </c>
      <c r="H1075" s="31">
        <v>0</v>
      </c>
      <c r="I1075" s="31" t="s">
        <v>571</v>
      </c>
      <c r="J1075" s="5" t="s">
        <v>391</v>
      </c>
      <c r="K1075" s="8"/>
      <c r="M1075">
        <v>500000</v>
      </c>
      <c r="N1075" s="66" t="s">
        <v>995</v>
      </c>
    </row>
    <row r="1076" spans="1:14" x14ac:dyDescent="0.2">
      <c r="A1076" s="8">
        <v>1075</v>
      </c>
      <c r="B1076" s="8">
        <f t="shared" si="34"/>
        <v>2021</v>
      </c>
      <c r="C1076" s="8">
        <f t="shared" si="35"/>
        <v>9</v>
      </c>
      <c r="D1076" s="85">
        <v>44453</v>
      </c>
      <c r="E1076" s="31">
        <v>0</v>
      </c>
      <c r="F1076" s="31">
        <v>50000</v>
      </c>
      <c r="G1076" s="31">
        <v>0</v>
      </c>
      <c r="H1076" s="31">
        <v>0</v>
      </c>
      <c r="I1076" s="31" t="s">
        <v>571</v>
      </c>
      <c r="J1076" s="5" t="s">
        <v>572</v>
      </c>
      <c r="K1076" s="8"/>
      <c r="M1076">
        <v>200000</v>
      </c>
      <c r="N1076" s="66" t="s">
        <v>995</v>
      </c>
    </row>
    <row r="1077" spans="1:14" x14ac:dyDescent="0.2">
      <c r="A1077" s="8">
        <v>1076</v>
      </c>
      <c r="B1077" s="8">
        <f t="shared" si="34"/>
        <v>2021</v>
      </c>
      <c r="C1077" s="8">
        <f t="shared" si="35"/>
        <v>9</v>
      </c>
      <c r="D1077" s="85">
        <v>44453</v>
      </c>
      <c r="E1077" s="31">
        <v>0</v>
      </c>
      <c r="F1077" s="31">
        <v>300000</v>
      </c>
      <c r="G1077" s="31">
        <v>0</v>
      </c>
      <c r="H1077" s="31">
        <v>0</v>
      </c>
      <c r="I1077" s="31" t="s">
        <v>571</v>
      </c>
      <c r="J1077" s="5" t="s">
        <v>573</v>
      </c>
      <c r="K1077" s="8"/>
      <c r="M1077">
        <v>300000</v>
      </c>
      <c r="N1077" s="66" t="s">
        <v>996</v>
      </c>
    </row>
    <row r="1078" spans="1:14" x14ac:dyDescent="0.2">
      <c r="A1078" s="8">
        <v>1077</v>
      </c>
      <c r="B1078" s="8">
        <f t="shared" si="34"/>
        <v>2021</v>
      </c>
      <c r="C1078" s="8">
        <f t="shared" si="35"/>
        <v>9</v>
      </c>
      <c r="D1078" s="85">
        <v>44454</v>
      </c>
      <c r="E1078" s="31">
        <v>0</v>
      </c>
      <c r="F1078" s="31">
        <v>12000</v>
      </c>
      <c r="G1078" s="31">
        <v>0</v>
      </c>
      <c r="H1078" s="31">
        <v>0</v>
      </c>
      <c r="I1078" s="31" t="s">
        <v>300</v>
      </c>
      <c r="J1078" s="5" t="s">
        <v>997</v>
      </c>
      <c r="K1078" s="8"/>
    </row>
    <row r="1079" spans="1:14" x14ac:dyDescent="0.2">
      <c r="A1079" s="8">
        <v>1078</v>
      </c>
      <c r="B1079" s="8">
        <f t="shared" si="34"/>
        <v>2021</v>
      </c>
      <c r="C1079" s="8">
        <f t="shared" si="35"/>
        <v>9</v>
      </c>
      <c r="D1079" s="85">
        <v>44454</v>
      </c>
      <c r="E1079" s="31">
        <v>0</v>
      </c>
      <c r="F1079" s="31">
        <v>50000</v>
      </c>
      <c r="G1079" s="31">
        <v>0</v>
      </c>
      <c r="H1079" s="31">
        <v>0</v>
      </c>
      <c r="I1079" s="31" t="s">
        <v>99</v>
      </c>
      <c r="J1079" s="5" t="s">
        <v>998</v>
      </c>
      <c r="K1079" s="8"/>
      <c r="M1079">
        <f>SUM(M1061:M1078)</f>
        <v>-23000</v>
      </c>
    </row>
    <row r="1080" spans="1:14" x14ac:dyDescent="0.2">
      <c r="A1080" s="8">
        <v>1079</v>
      </c>
      <c r="B1080" s="8">
        <f t="shared" si="34"/>
        <v>2021</v>
      </c>
      <c r="C1080" s="8">
        <f t="shared" si="35"/>
        <v>9</v>
      </c>
      <c r="D1080" s="85">
        <v>44454</v>
      </c>
      <c r="E1080" s="31">
        <v>0</v>
      </c>
      <c r="F1080" s="31">
        <v>80000</v>
      </c>
      <c r="G1080" s="31">
        <v>0</v>
      </c>
      <c r="H1080" s="31">
        <v>0</v>
      </c>
      <c r="I1080" s="31" t="s">
        <v>99</v>
      </c>
      <c r="J1080" s="5" t="s">
        <v>999</v>
      </c>
      <c r="K1080" s="8"/>
    </row>
    <row r="1081" spans="1:14" x14ac:dyDescent="0.2">
      <c r="A1081" s="8">
        <v>1080</v>
      </c>
      <c r="B1081" s="8">
        <f t="shared" si="34"/>
        <v>2021</v>
      </c>
      <c r="C1081" s="8">
        <f t="shared" si="35"/>
        <v>9</v>
      </c>
      <c r="D1081" s="85">
        <v>44454</v>
      </c>
      <c r="E1081" s="31">
        <v>0</v>
      </c>
      <c r="F1081" s="31">
        <v>300000</v>
      </c>
      <c r="G1081" s="31">
        <v>0</v>
      </c>
      <c r="H1081" s="31">
        <v>0</v>
      </c>
      <c r="I1081" s="31" t="s">
        <v>390</v>
      </c>
      <c r="J1081" s="5" t="s">
        <v>1000</v>
      </c>
      <c r="K1081" s="8"/>
    </row>
    <row r="1082" spans="1:14" x14ac:dyDescent="0.2">
      <c r="A1082" s="8">
        <v>1081</v>
      </c>
      <c r="B1082" s="8">
        <f t="shared" si="34"/>
        <v>2021</v>
      </c>
      <c r="C1082" s="8">
        <f t="shared" si="35"/>
        <v>9</v>
      </c>
      <c r="D1082" s="85">
        <v>44455</v>
      </c>
      <c r="E1082" s="31"/>
      <c r="F1082" s="31"/>
      <c r="G1082" s="31"/>
      <c r="H1082" s="31"/>
      <c r="I1082" s="31"/>
      <c r="J1082" s="5"/>
      <c r="K1082" s="8"/>
    </row>
    <row r="1083" spans="1:14" x14ac:dyDescent="0.2">
      <c r="A1083" s="8">
        <v>1082</v>
      </c>
      <c r="B1083" s="8">
        <f t="shared" si="34"/>
        <v>2021</v>
      </c>
      <c r="C1083" s="8">
        <f t="shared" si="35"/>
        <v>9</v>
      </c>
      <c r="D1083" s="85">
        <v>44456</v>
      </c>
      <c r="E1083" s="31"/>
      <c r="F1083" s="31"/>
      <c r="G1083" s="31"/>
      <c r="H1083" s="31"/>
      <c r="I1083" s="31"/>
      <c r="J1083" s="5"/>
      <c r="K1083" s="8"/>
    </row>
    <row r="1084" spans="1:14" x14ac:dyDescent="0.2">
      <c r="A1084" s="8">
        <v>1083</v>
      </c>
      <c r="B1084" s="8">
        <f t="shared" si="34"/>
        <v>2021</v>
      </c>
      <c r="C1084" s="8">
        <f t="shared" si="35"/>
        <v>9</v>
      </c>
      <c r="D1084" s="85">
        <v>44457</v>
      </c>
      <c r="E1084" s="31">
        <v>0</v>
      </c>
      <c r="F1084" s="31">
        <v>50000</v>
      </c>
      <c r="G1084" s="31">
        <v>0</v>
      </c>
      <c r="H1084" s="31">
        <v>0</v>
      </c>
      <c r="I1084" s="31" t="s">
        <v>99</v>
      </c>
      <c r="J1084" s="5" t="s">
        <v>1001</v>
      </c>
      <c r="K1084" s="8"/>
    </row>
    <row r="1085" spans="1:14" x14ac:dyDescent="0.2">
      <c r="A1085" s="8">
        <v>1084</v>
      </c>
      <c r="B1085" s="8">
        <f t="shared" si="34"/>
        <v>2021</v>
      </c>
      <c r="C1085" s="8">
        <f t="shared" si="35"/>
        <v>9</v>
      </c>
      <c r="D1085" s="85">
        <v>44457</v>
      </c>
      <c r="E1085" s="31">
        <v>0</v>
      </c>
      <c r="F1085" s="31">
        <v>90000</v>
      </c>
      <c r="G1085" s="31">
        <v>0</v>
      </c>
      <c r="H1085" s="31">
        <v>0</v>
      </c>
      <c r="I1085" s="31" t="s">
        <v>83</v>
      </c>
      <c r="J1085" s="5" t="s">
        <v>1002</v>
      </c>
      <c r="K1085" s="8"/>
    </row>
    <row r="1086" spans="1:14" x14ac:dyDescent="0.2">
      <c r="A1086" s="8">
        <v>1085</v>
      </c>
      <c r="B1086" s="8">
        <f t="shared" si="34"/>
        <v>2021</v>
      </c>
      <c r="C1086" s="8">
        <f t="shared" si="35"/>
        <v>9</v>
      </c>
      <c r="D1086" s="85">
        <v>44459</v>
      </c>
      <c r="E1086" s="31">
        <v>0</v>
      </c>
      <c r="F1086" s="31">
        <v>1000000</v>
      </c>
      <c r="G1086" s="31">
        <v>0</v>
      </c>
      <c r="H1086" s="31">
        <v>0</v>
      </c>
      <c r="I1086" s="31" t="s">
        <v>61</v>
      </c>
      <c r="J1086" s="5" t="s">
        <v>1003</v>
      </c>
      <c r="K1086" s="8"/>
    </row>
    <row r="1087" spans="1:14" x14ac:dyDescent="0.2">
      <c r="A1087" s="8">
        <v>1086</v>
      </c>
      <c r="B1087" s="8">
        <f t="shared" si="34"/>
        <v>2021</v>
      </c>
      <c r="C1087" s="8">
        <f t="shared" si="35"/>
        <v>9</v>
      </c>
      <c r="D1087" s="85">
        <v>44458</v>
      </c>
      <c r="E1087" s="31">
        <v>0</v>
      </c>
      <c r="F1087" s="31">
        <v>90000</v>
      </c>
      <c r="G1087" s="31">
        <v>0</v>
      </c>
      <c r="H1087" s="31">
        <v>0</v>
      </c>
      <c r="I1087" s="31" t="s">
        <v>99</v>
      </c>
      <c r="J1087" s="5" t="s">
        <v>1004</v>
      </c>
      <c r="K1087" s="8"/>
    </row>
    <row r="1088" spans="1:14" x14ac:dyDescent="0.2">
      <c r="A1088" s="8">
        <v>1087</v>
      </c>
      <c r="B1088" s="8">
        <f t="shared" si="34"/>
        <v>2021</v>
      </c>
      <c r="C1088" s="8">
        <f t="shared" si="35"/>
        <v>9</v>
      </c>
      <c r="D1088" s="85">
        <v>44460</v>
      </c>
      <c r="E1088" s="31">
        <v>0</v>
      </c>
      <c r="F1088" s="31">
        <v>10000</v>
      </c>
      <c r="G1088" s="31">
        <v>0</v>
      </c>
      <c r="H1088" s="31">
        <v>0</v>
      </c>
      <c r="I1088" s="31" t="s">
        <v>85</v>
      </c>
      <c r="J1088" s="5" t="s">
        <v>650</v>
      </c>
      <c r="K1088" s="8" t="s">
        <v>769</v>
      </c>
    </row>
    <row r="1089" spans="1:11" x14ac:dyDescent="0.2">
      <c r="A1089" s="8">
        <v>1088</v>
      </c>
      <c r="B1089" s="8">
        <f t="shared" si="34"/>
        <v>2021</v>
      </c>
      <c r="C1089" s="8">
        <f t="shared" si="35"/>
        <v>9</v>
      </c>
      <c r="D1089" s="85">
        <v>44461</v>
      </c>
      <c r="E1089" s="31">
        <v>0</v>
      </c>
      <c r="F1089" s="31">
        <v>20000</v>
      </c>
      <c r="G1089" s="31">
        <v>0</v>
      </c>
      <c r="H1089" s="31">
        <v>0</v>
      </c>
      <c r="I1089" s="31" t="s">
        <v>300</v>
      </c>
      <c r="J1089" s="5" t="s">
        <v>794</v>
      </c>
      <c r="K1089" s="8" t="s">
        <v>769</v>
      </c>
    </row>
    <row r="1090" spans="1:11" x14ac:dyDescent="0.2">
      <c r="A1090" s="8">
        <v>1089</v>
      </c>
      <c r="B1090" s="8">
        <f t="shared" si="34"/>
        <v>2021</v>
      </c>
      <c r="C1090" s="8">
        <f t="shared" si="35"/>
        <v>9</v>
      </c>
      <c r="D1090" s="85">
        <v>44461</v>
      </c>
      <c r="E1090" s="31">
        <v>0</v>
      </c>
      <c r="F1090" s="31">
        <v>20000</v>
      </c>
      <c r="G1090" s="31">
        <v>0</v>
      </c>
      <c r="H1090" s="31">
        <v>0</v>
      </c>
      <c r="I1090" s="31" t="s">
        <v>300</v>
      </c>
      <c r="J1090" s="5" t="s">
        <v>605</v>
      </c>
      <c r="K1090" s="8" t="s">
        <v>769</v>
      </c>
    </row>
    <row r="1091" spans="1:11" x14ac:dyDescent="0.2">
      <c r="A1091" s="8">
        <v>1090</v>
      </c>
      <c r="B1091" s="8">
        <f t="shared" si="34"/>
        <v>2021</v>
      </c>
      <c r="C1091" s="8">
        <f t="shared" si="35"/>
        <v>9</v>
      </c>
      <c r="D1091" s="85">
        <v>44461</v>
      </c>
      <c r="E1091" s="31">
        <v>0</v>
      </c>
      <c r="F1091" s="31">
        <v>20000</v>
      </c>
      <c r="G1091" s="31">
        <v>0</v>
      </c>
      <c r="H1091" s="31">
        <v>0</v>
      </c>
      <c r="I1091" s="31" t="s">
        <v>85</v>
      </c>
      <c r="J1091" s="5" t="s">
        <v>1005</v>
      </c>
      <c r="K1091" s="8" t="s">
        <v>769</v>
      </c>
    </row>
    <row r="1092" spans="1:11" x14ac:dyDescent="0.2">
      <c r="A1092" s="8">
        <v>1091</v>
      </c>
      <c r="B1092" s="8">
        <f t="shared" si="34"/>
        <v>2021</v>
      </c>
      <c r="C1092" s="8">
        <f t="shared" si="35"/>
        <v>9</v>
      </c>
      <c r="D1092" s="85">
        <v>44462</v>
      </c>
      <c r="E1092" s="31">
        <v>0</v>
      </c>
      <c r="F1092" s="31">
        <v>0</v>
      </c>
      <c r="G1092" s="35"/>
      <c r="H1092" s="31">
        <v>0</v>
      </c>
      <c r="I1092" s="31" t="s">
        <v>92</v>
      </c>
      <c r="J1092" s="5" t="s">
        <v>1006</v>
      </c>
      <c r="K1092" s="8" t="s">
        <v>769</v>
      </c>
    </row>
    <row r="1093" spans="1:11" x14ac:dyDescent="0.2">
      <c r="A1093" s="8">
        <v>1092</v>
      </c>
      <c r="B1093" s="8">
        <f t="shared" si="34"/>
        <v>2021</v>
      </c>
      <c r="C1093" s="8">
        <f t="shared" si="35"/>
        <v>9</v>
      </c>
      <c r="D1093" s="85">
        <v>44462</v>
      </c>
      <c r="E1093" s="31">
        <v>0</v>
      </c>
      <c r="F1093" s="31">
        <v>30000</v>
      </c>
      <c r="G1093" s="31">
        <v>0</v>
      </c>
      <c r="H1093" s="31">
        <v>0</v>
      </c>
      <c r="I1093" s="31" t="s">
        <v>1007</v>
      </c>
      <c r="J1093" s="5" t="s">
        <v>1008</v>
      </c>
      <c r="K1093" s="8" t="s">
        <v>769</v>
      </c>
    </row>
    <row r="1094" spans="1:11" x14ac:dyDescent="0.2">
      <c r="A1094" s="8">
        <v>1093</v>
      </c>
      <c r="B1094" s="8">
        <f t="shared" ref="B1094:B1157" si="36">YEAR(D1094)</f>
        <v>2021</v>
      </c>
      <c r="C1094" s="8">
        <f t="shared" ref="C1094:C1157" si="37">MONTH(D1094)</f>
        <v>9</v>
      </c>
      <c r="D1094" s="85">
        <v>44463</v>
      </c>
      <c r="E1094" s="31">
        <v>0</v>
      </c>
      <c r="F1094" s="31">
        <v>25000</v>
      </c>
      <c r="G1094" s="31">
        <v>0</v>
      </c>
      <c r="H1094" s="31">
        <v>0</v>
      </c>
      <c r="I1094" s="31" t="s">
        <v>300</v>
      </c>
      <c r="J1094" s="5" t="s">
        <v>934</v>
      </c>
      <c r="K1094" s="8" t="s">
        <v>769</v>
      </c>
    </row>
    <row r="1095" spans="1:11" x14ac:dyDescent="0.2">
      <c r="A1095" s="8">
        <v>1094</v>
      </c>
      <c r="B1095" s="8">
        <f t="shared" si="36"/>
        <v>2021</v>
      </c>
      <c r="C1095" s="8">
        <f t="shared" si="37"/>
        <v>9</v>
      </c>
      <c r="D1095" s="85">
        <v>44463</v>
      </c>
      <c r="E1095" s="31">
        <v>0</v>
      </c>
      <c r="F1095" s="31">
        <v>57000</v>
      </c>
      <c r="G1095" s="31">
        <v>0</v>
      </c>
      <c r="H1095" s="31">
        <v>0</v>
      </c>
      <c r="I1095" s="31" t="s">
        <v>99</v>
      </c>
      <c r="J1095" s="5" t="s">
        <v>1009</v>
      </c>
      <c r="K1095" s="8" t="s">
        <v>769</v>
      </c>
    </row>
    <row r="1096" spans="1:11" x14ac:dyDescent="0.2">
      <c r="A1096" s="8">
        <v>1095</v>
      </c>
      <c r="B1096" s="8">
        <f t="shared" si="36"/>
        <v>2021</v>
      </c>
      <c r="C1096" s="8">
        <f t="shared" si="37"/>
        <v>9</v>
      </c>
      <c r="D1096" s="85">
        <v>44464</v>
      </c>
      <c r="E1096" s="31">
        <v>0</v>
      </c>
      <c r="F1096" s="31">
        <v>0</v>
      </c>
      <c r="G1096" s="31">
        <v>0</v>
      </c>
      <c r="H1096" s="31">
        <v>0</v>
      </c>
      <c r="I1096" s="31" t="s">
        <v>85</v>
      </c>
      <c r="J1096" s="5"/>
      <c r="K1096" s="8"/>
    </row>
    <row r="1097" spans="1:11" x14ac:dyDescent="0.2">
      <c r="A1097" s="8">
        <v>1096</v>
      </c>
      <c r="B1097" s="8">
        <f t="shared" si="36"/>
        <v>2021</v>
      </c>
      <c r="C1097" s="8">
        <f t="shared" si="37"/>
        <v>9</v>
      </c>
      <c r="D1097" s="85">
        <v>44465</v>
      </c>
      <c r="E1097" s="31">
        <v>0</v>
      </c>
      <c r="F1097" s="31">
        <v>118000</v>
      </c>
      <c r="G1097" s="31">
        <v>0</v>
      </c>
      <c r="H1097" s="31">
        <v>0</v>
      </c>
      <c r="I1097" s="31" t="s">
        <v>83</v>
      </c>
      <c r="J1097" s="5"/>
      <c r="K1097" s="8" t="s">
        <v>769</v>
      </c>
    </row>
    <row r="1098" spans="1:11" x14ac:dyDescent="0.2">
      <c r="A1098" s="8">
        <v>1097</v>
      </c>
      <c r="B1098" s="8">
        <f t="shared" si="36"/>
        <v>2021</v>
      </c>
      <c r="C1098" s="8">
        <f t="shared" si="37"/>
        <v>9</v>
      </c>
      <c r="D1098" s="85">
        <v>44465</v>
      </c>
      <c r="E1098" s="31">
        <v>0</v>
      </c>
      <c r="F1098" s="31">
        <v>35000</v>
      </c>
      <c r="G1098" s="31">
        <v>0</v>
      </c>
      <c r="H1098" s="31">
        <v>0</v>
      </c>
      <c r="I1098" s="31" t="s">
        <v>300</v>
      </c>
      <c r="J1098" s="5" t="s">
        <v>1010</v>
      </c>
      <c r="K1098" s="8" t="s">
        <v>769</v>
      </c>
    </row>
    <row r="1099" spans="1:11" x14ac:dyDescent="0.2">
      <c r="A1099" s="8">
        <v>1098</v>
      </c>
      <c r="B1099" s="8">
        <f t="shared" si="36"/>
        <v>2021</v>
      </c>
      <c r="C1099" s="8">
        <f t="shared" si="37"/>
        <v>9</v>
      </c>
      <c r="D1099" s="85">
        <v>44465</v>
      </c>
      <c r="E1099" s="31">
        <v>0</v>
      </c>
      <c r="F1099" s="31">
        <v>23000</v>
      </c>
      <c r="G1099" s="31">
        <v>0</v>
      </c>
      <c r="H1099" s="31">
        <v>0</v>
      </c>
      <c r="I1099" s="31" t="s">
        <v>300</v>
      </c>
      <c r="J1099" s="5" t="s">
        <v>1011</v>
      </c>
      <c r="K1099" s="8" t="s">
        <v>769</v>
      </c>
    </row>
    <row r="1100" spans="1:11" x14ac:dyDescent="0.2">
      <c r="A1100" s="8">
        <v>1099</v>
      </c>
      <c r="B1100" s="8">
        <f t="shared" si="36"/>
        <v>2021</v>
      </c>
      <c r="C1100" s="8">
        <f t="shared" si="37"/>
        <v>9</v>
      </c>
      <c r="D1100" s="85">
        <v>44466</v>
      </c>
      <c r="E1100" s="31">
        <v>633000</v>
      </c>
      <c r="F1100" s="31">
        <v>0</v>
      </c>
      <c r="G1100" s="31">
        <v>0</v>
      </c>
      <c r="H1100" s="31">
        <v>0</v>
      </c>
      <c r="I1100" s="31" t="s">
        <v>109</v>
      </c>
      <c r="J1100" s="5" t="s">
        <v>1012</v>
      </c>
      <c r="K1100" s="8" t="s">
        <v>769</v>
      </c>
    </row>
    <row r="1101" spans="1:11" x14ac:dyDescent="0.2">
      <c r="A1101" s="8">
        <v>1100</v>
      </c>
      <c r="B1101" s="8">
        <f t="shared" si="36"/>
        <v>2021</v>
      </c>
      <c r="C1101" s="8">
        <f t="shared" si="37"/>
        <v>9</v>
      </c>
      <c r="D1101" s="85">
        <v>44467</v>
      </c>
      <c r="E1101" s="31"/>
      <c r="F1101" s="31"/>
      <c r="G1101" s="31"/>
      <c r="H1101" s="31"/>
      <c r="I1101" s="31"/>
      <c r="J1101" s="5"/>
      <c r="K1101" s="8"/>
    </row>
    <row r="1102" spans="1:11" x14ac:dyDescent="0.2">
      <c r="A1102" s="8">
        <v>1101</v>
      </c>
      <c r="B1102" s="8">
        <f t="shared" si="36"/>
        <v>2021</v>
      </c>
      <c r="C1102" s="8">
        <f t="shared" si="37"/>
        <v>9</v>
      </c>
      <c r="D1102" s="85">
        <v>44468</v>
      </c>
      <c r="E1102" s="31">
        <v>0</v>
      </c>
      <c r="F1102" s="31">
        <v>130000</v>
      </c>
      <c r="G1102" s="31">
        <v>0</v>
      </c>
      <c r="H1102" s="31">
        <v>0</v>
      </c>
      <c r="I1102" s="31" t="s">
        <v>300</v>
      </c>
      <c r="J1102" s="5" t="s">
        <v>445</v>
      </c>
      <c r="K1102" s="8" t="s">
        <v>769</v>
      </c>
    </row>
    <row r="1103" spans="1:11" x14ac:dyDescent="0.2">
      <c r="A1103" s="8">
        <v>1102</v>
      </c>
      <c r="B1103" s="8">
        <f t="shared" si="36"/>
        <v>2021</v>
      </c>
      <c r="C1103" s="8">
        <f t="shared" si="37"/>
        <v>9</v>
      </c>
      <c r="D1103" s="85">
        <v>44468</v>
      </c>
      <c r="E1103" s="31">
        <v>0</v>
      </c>
      <c r="F1103" s="31">
        <v>20000</v>
      </c>
      <c r="G1103" s="31">
        <v>0</v>
      </c>
      <c r="H1103" s="31">
        <v>0</v>
      </c>
      <c r="I1103" s="31" t="s">
        <v>300</v>
      </c>
      <c r="J1103" s="5" t="s">
        <v>1013</v>
      </c>
      <c r="K1103" s="8" t="s">
        <v>769</v>
      </c>
    </row>
    <row r="1104" spans="1:11" x14ac:dyDescent="0.2">
      <c r="A1104" s="8">
        <v>1103</v>
      </c>
      <c r="B1104" s="8">
        <f t="shared" si="36"/>
        <v>2021</v>
      </c>
      <c r="C1104" s="8">
        <f t="shared" si="37"/>
        <v>9</v>
      </c>
      <c r="D1104" s="85">
        <v>44468</v>
      </c>
      <c r="E1104" s="31">
        <v>0</v>
      </c>
      <c r="F1104" s="31">
        <v>20000</v>
      </c>
      <c r="G1104" s="31">
        <v>0</v>
      </c>
      <c r="H1104" s="31">
        <v>0</v>
      </c>
      <c r="I1104" s="31" t="s">
        <v>85</v>
      </c>
      <c r="J1104" s="5" t="s">
        <v>1014</v>
      </c>
      <c r="K1104" s="8" t="s">
        <v>769</v>
      </c>
    </row>
    <row r="1105" spans="1:14" x14ac:dyDescent="0.2">
      <c r="A1105" s="8">
        <v>1104</v>
      </c>
      <c r="B1105" s="8">
        <f t="shared" si="36"/>
        <v>2021</v>
      </c>
      <c r="C1105" s="8">
        <f t="shared" si="37"/>
        <v>9</v>
      </c>
      <c r="D1105" s="85">
        <v>44469</v>
      </c>
      <c r="E1105" s="31">
        <v>0</v>
      </c>
      <c r="F1105" s="31">
        <v>95000</v>
      </c>
      <c r="G1105" s="31">
        <v>0</v>
      </c>
      <c r="H1105" s="31">
        <v>0</v>
      </c>
      <c r="I1105" s="31" t="s">
        <v>85</v>
      </c>
      <c r="J1105" s="5" t="s">
        <v>1015</v>
      </c>
      <c r="K1105" s="8" t="s">
        <v>1016</v>
      </c>
    </row>
    <row r="1106" spans="1:14" x14ac:dyDescent="0.2">
      <c r="A1106" s="8">
        <v>1105</v>
      </c>
      <c r="B1106" s="8">
        <f t="shared" si="36"/>
        <v>2021</v>
      </c>
      <c r="C1106" s="8">
        <f t="shared" si="37"/>
        <v>9</v>
      </c>
      <c r="D1106" s="85">
        <v>44469</v>
      </c>
      <c r="E1106" s="31">
        <v>0</v>
      </c>
      <c r="F1106" s="31">
        <v>100000</v>
      </c>
      <c r="G1106" s="31">
        <v>0</v>
      </c>
      <c r="H1106" s="31">
        <v>0</v>
      </c>
      <c r="I1106" s="31" t="s">
        <v>737</v>
      </c>
      <c r="J1106" s="5" t="s">
        <v>1017</v>
      </c>
      <c r="K1106" s="8" t="s">
        <v>1018</v>
      </c>
    </row>
    <row r="1107" spans="1:14" x14ac:dyDescent="0.2">
      <c r="A1107" s="8">
        <v>1106</v>
      </c>
      <c r="B1107" s="8">
        <f t="shared" si="36"/>
        <v>2021</v>
      </c>
      <c r="C1107" s="8">
        <f t="shared" si="37"/>
        <v>10</v>
      </c>
      <c r="D1107" s="85">
        <v>44470</v>
      </c>
      <c r="E1107" s="31">
        <v>0</v>
      </c>
      <c r="F1107" s="31">
        <v>50000</v>
      </c>
      <c r="G1107" s="31">
        <v>0</v>
      </c>
      <c r="H1107" s="31">
        <v>0</v>
      </c>
      <c r="I1107" s="31" t="s">
        <v>83</v>
      </c>
      <c r="J1107" s="5" t="s">
        <v>1019</v>
      </c>
      <c r="K1107" s="8" t="s">
        <v>769</v>
      </c>
    </row>
    <row r="1108" spans="1:14" x14ac:dyDescent="0.2">
      <c r="A1108" s="8">
        <v>1107</v>
      </c>
      <c r="B1108" s="8">
        <f t="shared" si="36"/>
        <v>2021</v>
      </c>
      <c r="C1108" s="8">
        <f t="shared" si="37"/>
        <v>10</v>
      </c>
      <c r="D1108" s="85">
        <v>44472</v>
      </c>
      <c r="E1108" s="31">
        <v>0</v>
      </c>
      <c r="F1108" s="31">
        <v>50000</v>
      </c>
      <c r="G1108" s="31">
        <v>0</v>
      </c>
      <c r="H1108" s="31">
        <v>0</v>
      </c>
      <c r="I1108" s="31" t="s">
        <v>300</v>
      </c>
      <c r="J1108" s="5" t="s">
        <v>1020</v>
      </c>
      <c r="K1108" s="8" t="s">
        <v>769</v>
      </c>
    </row>
    <row r="1109" spans="1:14" x14ac:dyDescent="0.2">
      <c r="A1109" s="8">
        <v>1108</v>
      </c>
      <c r="B1109" s="8">
        <f t="shared" si="36"/>
        <v>2021</v>
      </c>
      <c r="C1109" s="8">
        <f t="shared" si="37"/>
        <v>10</v>
      </c>
      <c r="D1109" s="85">
        <v>44472</v>
      </c>
      <c r="E1109" s="31">
        <v>0</v>
      </c>
      <c r="F1109" s="31">
        <v>20000</v>
      </c>
      <c r="G1109" s="31">
        <v>0</v>
      </c>
      <c r="H1109" s="31">
        <v>0</v>
      </c>
      <c r="I1109" s="31" t="s">
        <v>99</v>
      </c>
      <c r="J1109" s="5" t="s">
        <v>1021</v>
      </c>
      <c r="K1109" s="8" t="s">
        <v>769</v>
      </c>
    </row>
    <row r="1110" spans="1:14" x14ac:dyDescent="0.2">
      <c r="A1110" s="8">
        <v>1109</v>
      </c>
      <c r="B1110" s="8">
        <f t="shared" si="36"/>
        <v>2021</v>
      </c>
      <c r="C1110" s="8">
        <f t="shared" si="37"/>
        <v>10</v>
      </c>
      <c r="D1110" s="85">
        <v>44473</v>
      </c>
      <c r="E1110" s="31">
        <v>0</v>
      </c>
      <c r="F1110" s="31">
        <v>104000</v>
      </c>
      <c r="G1110" s="31">
        <v>0</v>
      </c>
      <c r="H1110" s="31">
        <v>0</v>
      </c>
      <c r="I1110" s="31" t="s">
        <v>323</v>
      </c>
      <c r="J1110" s="5" t="s">
        <v>1022</v>
      </c>
      <c r="K1110" s="8" t="s">
        <v>1023</v>
      </c>
    </row>
    <row r="1111" spans="1:14" x14ac:dyDescent="0.2">
      <c r="A1111" s="8">
        <v>1110</v>
      </c>
      <c r="B1111" s="8">
        <f t="shared" si="36"/>
        <v>2021</v>
      </c>
      <c r="C1111" s="8">
        <f t="shared" si="37"/>
        <v>10</v>
      </c>
      <c r="D1111" s="85">
        <v>44474</v>
      </c>
      <c r="E1111" s="31">
        <v>0</v>
      </c>
      <c r="F1111" s="31">
        <v>48000</v>
      </c>
      <c r="G1111" s="31">
        <v>0</v>
      </c>
      <c r="H1111" s="31">
        <v>0</v>
      </c>
      <c r="I1111" s="31" t="s">
        <v>300</v>
      </c>
      <c r="J1111" s="5" t="s">
        <v>934</v>
      </c>
      <c r="K1111" s="8" t="s">
        <v>769</v>
      </c>
    </row>
    <row r="1112" spans="1:14" x14ac:dyDescent="0.2">
      <c r="A1112" s="8">
        <v>1111</v>
      </c>
      <c r="B1112" s="8">
        <f t="shared" si="36"/>
        <v>2021</v>
      </c>
      <c r="C1112" s="8">
        <f t="shared" si="37"/>
        <v>10</v>
      </c>
      <c r="D1112" s="85">
        <v>44474</v>
      </c>
      <c r="E1112" s="31">
        <v>0</v>
      </c>
      <c r="F1112" s="31">
        <v>0</v>
      </c>
      <c r="G1112" s="31">
        <v>0</v>
      </c>
      <c r="H1112" s="31">
        <v>130000</v>
      </c>
      <c r="I1112" s="31" t="s">
        <v>74</v>
      </c>
      <c r="J1112" s="5" t="s">
        <v>1024</v>
      </c>
      <c r="K1112" s="8" t="s">
        <v>769</v>
      </c>
    </row>
    <row r="1113" spans="1:14" x14ac:dyDescent="0.2">
      <c r="A1113" s="8">
        <v>1112</v>
      </c>
      <c r="B1113" s="8">
        <f t="shared" si="36"/>
        <v>2021</v>
      </c>
      <c r="C1113" s="8">
        <f t="shared" si="37"/>
        <v>10</v>
      </c>
      <c r="D1113" s="85">
        <v>44474</v>
      </c>
      <c r="E1113" s="31">
        <v>0</v>
      </c>
      <c r="F1113" s="31">
        <v>0</v>
      </c>
      <c r="G1113" s="31">
        <v>0</v>
      </c>
      <c r="H1113" s="31">
        <v>29000</v>
      </c>
      <c r="I1113" s="31" t="s">
        <v>74</v>
      </c>
      <c r="J1113" s="5" t="s">
        <v>1025</v>
      </c>
      <c r="K1113" s="8" t="s">
        <v>769</v>
      </c>
    </row>
    <row r="1114" spans="1:14" x14ac:dyDescent="0.2">
      <c r="A1114" s="8">
        <v>1113</v>
      </c>
      <c r="B1114" s="8">
        <f t="shared" si="36"/>
        <v>2021</v>
      </c>
      <c r="C1114" s="8">
        <f t="shared" si="37"/>
        <v>10</v>
      </c>
      <c r="D1114" s="85">
        <v>44474</v>
      </c>
      <c r="E1114" s="31">
        <v>0</v>
      </c>
      <c r="F1114" s="31">
        <v>0</v>
      </c>
      <c r="G1114" s="31">
        <v>0</v>
      </c>
      <c r="H1114" s="31">
        <v>240000</v>
      </c>
      <c r="I1114" s="31" t="s">
        <v>74</v>
      </c>
      <c r="J1114" s="5" t="s">
        <v>1026</v>
      </c>
      <c r="K1114" s="8" t="s">
        <v>769</v>
      </c>
    </row>
    <row r="1115" spans="1:14" x14ac:dyDescent="0.2">
      <c r="A1115" s="8">
        <v>1114</v>
      </c>
      <c r="B1115" s="8">
        <f t="shared" si="36"/>
        <v>2021</v>
      </c>
      <c r="C1115" s="8">
        <f t="shared" si="37"/>
        <v>10</v>
      </c>
      <c r="D1115" s="85">
        <v>44474</v>
      </c>
      <c r="E1115" s="31">
        <v>0</v>
      </c>
      <c r="F1115" s="31">
        <v>0</v>
      </c>
      <c r="G1115" s="31">
        <v>0</v>
      </c>
      <c r="H1115" s="31">
        <v>186000</v>
      </c>
      <c r="I1115" s="31" t="s">
        <v>74</v>
      </c>
      <c r="J1115" s="5" t="s">
        <v>1027</v>
      </c>
      <c r="K1115" s="8" t="s">
        <v>1016</v>
      </c>
    </row>
    <row r="1116" spans="1:14" x14ac:dyDescent="0.2">
      <c r="A1116" s="8">
        <v>1115</v>
      </c>
      <c r="B1116" s="8">
        <f t="shared" si="36"/>
        <v>2021</v>
      </c>
      <c r="C1116" s="8">
        <f t="shared" si="37"/>
        <v>10</v>
      </c>
      <c r="D1116" s="85">
        <v>44475</v>
      </c>
      <c r="E1116" s="31">
        <v>0</v>
      </c>
      <c r="F1116" s="31">
        <v>50000</v>
      </c>
      <c r="G1116" s="31">
        <v>0</v>
      </c>
      <c r="H1116" s="31">
        <v>0</v>
      </c>
      <c r="I1116" s="31" t="s">
        <v>300</v>
      </c>
      <c r="J1116" s="5" t="s">
        <v>1028</v>
      </c>
      <c r="K1116" s="8" t="s">
        <v>769</v>
      </c>
    </row>
    <row r="1117" spans="1:14" x14ac:dyDescent="0.2">
      <c r="A1117" s="8">
        <v>1116</v>
      </c>
      <c r="B1117" s="8">
        <f t="shared" si="36"/>
        <v>2021</v>
      </c>
      <c r="C1117" s="8">
        <f t="shared" si="37"/>
        <v>10</v>
      </c>
      <c r="D1117" s="85">
        <v>44475</v>
      </c>
      <c r="E1117" s="31">
        <v>0</v>
      </c>
      <c r="F1117" s="31">
        <v>90000</v>
      </c>
      <c r="G1117" s="31">
        <v>0</v>
      </c>
      <c r="H1117" s="31">
        <v>0</v>
      </c>
      <c r="I1117" s="31" t="s">
        <v>99</v>
      </c>
      <c r="J1117" s="5" t="s">
        <v>1029</v>
      </c>
      <c r="K1117" s="8" t="s">
        <v>769</v>
      </c>
      <c r="M1117" s="31">
        <v>300000</v>
      </c>
      <c r="N1117" s="66" t="s">
        <v>1030</v>
      </c>
    </row>
    <row r="1118" spans="1:14" x14ac:dyDescent="0.2">
      <c r="A1118" s="8">
        <v>1117</v>
      </c>
      <c r="B1118" s="8">
        <f t="shared" si="36"/>
        <v>2021</v>
      </c>
      <c r="C1118" s="8">
        <f t="shared" si="37"/>
        <v>10</v>
      </c>
      <c r="D1118" s="85">
        <v>44476</v>
      </c>
      <c r="E1118" s="31">
        <v>520000</v>
      </c>
      <c r="F1118" s="31">
        <v>0</v>
      </c>
      <c r="G1118" s="31">
        <v>0</v>
      </c>
      <c r="H1118" s="31">
        <v>0</v>
      </c>
      <c r="I1118" s="31" t="s">
        <v>109</v>
      </c>
      <c r="J1118" s="5" t="s">
        <v>1031</v>
      </c>
      <c r="K1118" s="8" t="s">
        <v>769</v>
      </c>
      <c r="M1118" s="31">
        <v>80000</v>
      </c>
      <c r="N1118" s="66" t="s">
        <v>1032</v>
      </c>
    </row>
    <row r="1119" spans="1:14" x14ac:dyDescent="0.2">
      <c r="A1119" s="8">
        <v>1118</v>
      </c>
      <c r="B1119" s="8">
        <f t="shared" si="36"/>
        <v>2021</v>
      </c>
      <c r="C1119" s="8">
        <f t="shared" si="37"/>
        <v>10</v>
      </c>
      <c r="D1119" s="85">
        <v>44476</v>
      </c>
      <c r="E1119" s="31">
        <v>0</v>
      </c>
      <c r="F1119" s="31">
        <v>0</v>
      </c>
      <c r="G1119" s="31">
        <v>0</v>
      </c>
      <c r="H1119" s="31">
        <v>354800</v>
      </c>
      <c r="I1119" s="31" t="s">
        <v>74</v>
      </c>
      <c r="J1119" s="5" t="s">
        <v>420</v>
      </c>
      <c r="K1119" s="8" t="s">
        <v>769</v>
      </c>
      <c r="M1119" s="31">
        <v>100000</v>
      </c>
      <c r="N1119" s="66" t="s">
        <v>1033</v>
      </c>
    </row>
    <row r="1120" spans="1:14" x14ac:dyDescent="0.2">
      <c r="A1120" s="8">
        <v>1119</v>
      </c>
      <c r="B1120" s="8">
        <f t="shared" si="36"/>
        <v>2021</v>
      </c>
      <c r="C1120" s="8">
        <f t="shared" si="37"/>
        <v>10</v>
      </c>
      <c r="D1120" s="85">
        <v>44476</v>
      </c>
      <c r="E1120" s="31">
        <v>0</v>
      </c>
      <c r="F1120" s="31">
        <v>0</v>
      </c>
      <c r="G1120" s="31">
        <v>0</v>
      </c>
      <c r="H1120" s="31">
        <v>783000</v>
      </c>
      <c r="I1120" s="31" t="s">
        <v>74</v>
      </c>
      <c r="J1120" s="5" t="s">
        <v>1034</v>
      </c>
      <c r="K1120" s="8" t="s">
        <v>769</v>
      </c>
      <c r="M1120" s="31">
        <v>100000</v>
      </c>
      <c r="N1120" s="66" t="s">
        <v>1035</v>
      </c>
    </row>
    <row r="1121" spans="1:14" x14ac:dyDescent="0.2">
      <c r="A1121" s="8">
        <v>1120</v>
      </c>
      <c r="B1121" s="8">
        <f t="shared" si="36"/>
        <v>2021</v>
      </c>
      <c r="C1121" s="8">
        <f t="shared" si="37"/>
        <v>10</v>
      </c>
      <c r="D1121" s="85">
        <v>44473</v>
      </c>
      <c r="E1121" s="31">
        <v>100000</v>
      </c>
      <c r="F1121" s="31">
        <v>0</v>
      </c>
      <c r="G1121" s="31">
        <v>0</v>
      </c>
      <c r="H1121" s="31">
        <v>0</v>
      </c>
      <c r="I1121" s="31" t="s">
        <v>109</v>
      </c>
      <c r="J1121" s="5" t="s">
        <v>1036</v>
      </c>
      <c r="K1121" s="8" t="s">
        <v>1016</v>
      </c>
      <c r="M1121" s="31">
        <v>100000</v>
      </c>
      <c r="N1121" s="66" t="s">
        <v>1037</v>
      </c>
    </row>
    <row r="1122" spans="1:14" x14ac:dyDescent="0.2">
      <c r="A1122" s="8">
        <v>1121</v>
      </c>
      <c r="B1122" s="8">
        <f t="shared" si="36"/>
        <v>2021</v>
      </c>
      <c r="C1122" s="8">
        <f t="shared" si="37"/>
        <v>10</v>
      </c>
      <c r="D1122" s="85">
        <v>44473</v>
      </c>
      <c r="E1122" s="31">
        <v>0</v>
      </c>
      <c r="F1122" s="31">
        <v>0</v>
      </c>
      <c r="G1122" s="31">
        <v>2000000</v>
      </c>
      <c r="H1122" s="31">
        <v>0</v>
      </c>
      <c r="I1122" s="31" t="s">
        <v>92</v>
      </c>
      <c r="J1122" s="5" t="s">
        <v>1038</v>
      </c>
      <c r="K1122" s="8" t="s">
        <v>769</v>
      </c>
      <c r="M1122" s="31">
        <v>150000</v>
      </c>
      <c r="N1122" s="66" t="s">
        <v>1039</v>
      </c>
    </row>
    <row r="1123" spans="1:14" x14ac:dyDescent="0.2">
      <c r="A1123" s="8">
        <v>1122</v>
      </c>
      <c r="B1123" s="8">
        <f t="shared" si="36"/>
        <v>2021</v>
      </c>
      <c r="C1123" s="8">
        <f t="shared" si="37"/>
        <v>10</v>
      </c>
      <c r="D1123" s="85">
        <v>44473</v>
      </c>
      <c r="E1123" s="31">
        <v>0</v>
      </c>
      <c r="F1123" s="31">
        <v>0</v>
      </c>
      <c r="G1123" s="31">
        <v>0</v>
      </c>
      <c r="H1123" s="31">
        <v>500000</v>
      </c>
      <c r="I1123" s="31" t="s">
        <v>74</v>
      </c>
      <c r="J1123" s="5" t="s">
        <v>1040</v>
      </c>
      <c r="K1123" s="8" t="s">
        <v>769</v>
      </c>
      <c r="M1123" s="31">
        <v>60000</v>
      </c>
      <c r="N1123" s="66" t="s">
        <v>1041</v>
      </c>
    </row>
    <row r="1124" spans="1:14" x14ac:dyDescent="0.2">
      <c r="A1124" s="8">
        <v>1123</v>
      </c>
      <c r="B1124" s="8">
        <f t="shared" si="36"/>
        <v>2021</v>
      </c>
      <c r="C1124" s="8">
        <f t="shared" si="37"/>
        <v>10</v>
      </c>
      <c r="D1124" s="85">
        <v>44473</v>
      </c>
      <c r="E1124" s="31">
        <v>0</v>
      </c>
      <c r="F1124" s="31">
        <v>200000</v>
      </c>
      <c r="G1124" s="31">
        <v>0</v>
      </c>
      <c r="H1124" s="31">
        <v>0</v>
      </c>
      <c r="I1124" s="31" t="s">
        <v>74</v>
      </c>
      <c r="J1124" s="5" t="s">
        <v>1042</v>
      </c>
      <c r="K1124" s="8" t="s">
        <v>1023</v>
      </c>
      <c r="M1124" s="31">
        <v>50000</v>
      </c>
      <c r="N1124" s="66" t="s">
        <v>1043</v>
      </c>
    </row>
    <row r="1125" spans="1:14" x14ac:dyDescent="0.2">
      <c r="A1125" s="8">
        <v>1124</v>
      </c>
      <c r="B1125" s="8">
        <f t="shared" si="36"/>
        <v>2021</v>
      </c>
      <c r="C1125" s="8">
        <f t="shared" si="37"/>
        <v>10</v>
      </c>
      <c r="D1125" s="85">
        <v>44473</v>
      </c>
      <c r="E1125" s="31">
        <v>0</v>
      </c>
      <c r="F1125" s="31">
        <v>0</v>
      </c>
      <c r="G1125" s="31">
        <v>0</v>
      </c>
      <c r="H1125" s="31">
        <v>170000</v>
      </c>
      <c r="I1125" s="31" t="s">
        <v>74</v>
      </c>
      <c r="J1125" s="5" t="s">
        <v>1044</v>
      </c>
      <c r="K1125" s="8" t="s">
        <v>769</v>
      </c>
      <c r="M1125" s="31">
        <v>100000</v>
      </c>
      <c r="N1125" s="66" t="s">
        <v>1045</v>
      </c>
    </row>
    <row r="1126" spans="1:14" x14ac:dyDescent="0.2">
      <c r="A1126" s="8">
        <v>1125</v>
      </c>
      <c r="B1126" s="8">
        <f t="shared" si="36"/>
        <v>2021</v>
      </c>
      <c r="C1126" s="8">
        <f t="shared" si="37"/>
        <v>10</v>
      </c>
      <c r="D1126" s="85">
        <v>44478</v>
      </c>
      <c r="E1126" s="31">
        <v>0</v>
      </c>
      <c r="F1126" s="31">
        <v>80000</v>
      </c>
      <c r="G1126" s="31">
        <v>0</v>
      </c>
      <c r="H1126" s="31">
        <v>0</v>
      </c>
      <c r="I1126" s="31" t="s">
        <v>85</v>
      </c>
      <c r="J1126" s="5" t="s">
        <v>1046</v>
      </c>
      <c r="K1126" s="8" t="s">
        <v>769</v>
      </c>
      <c r="M1126" s="31">
        <v>150000</v>
      </c>
      <c r="N1126" s="66" t="s">
        <v>1047</v>
      </c>
    </row>
    <row r="1127" spans="1:14" x14ac:dyDescent="0.2">
      <c r="A1127" s="8">
        <v>1126</v>
      </c>
      <c r="B1127" s="8">
        <f t="shared" si="36"/>
        <v>2021</v>
      </c>
      <c r="C1127" s="8">
        <f t="shared" si="37"/>
        <v>10</v>
      </c>
      <c r="D1127" s="85">
        <v>44478</v>
      </c>
      <c r="E1127" s="31">
        <v>0</v>
      </c>
      <c r="F1127" s="31">
        <v>30000</v>
      </c>
      <c r="G1127" s="31">
        <v>0</v>
      </c>
      <c r="H1127" s="31">
        <v>0</v>
      </c>
      <c r="I1127" s="31" t="s">
        <v>85</v>
      </c>
      <c r="J1127" s="5" t="s">
        <v>1046</v>
      </c>
      <c r="K1127" s="8" t="s">
        <v>769</v>
      </c>
      <c r="M1127" s="31">
        <v>200000</v>
      </c>
      <c r="N1127" s="66" t="s">
        <v>1048</v>
      </c>
    </row>
    <row r="1128" spans="1:14" x14ac:dyDescent="0.2">
      <c r="A1128" s="8">
        <v>1127</v>
      </c>
      <c r="B1128" s="8">
        <f t="shared" si="36"/>
        <v>2021</v>
      </c>
      <c r="C1128" s="8">
        <f t="shared" si="37"/>
        <v>10</v>
      </c>
      <c r="D1128" s="85">
        <v>44478</v>
      </c>
      <c r="E1128" s="31">
        <v>0</v>
      </c>
      <c r="F1128" s="31">
        <v>15000</v>
      </c>
      <c r="G1128" s="31">
        <v>0</v>
      </c>
      <c r="H1128" s="31">
        <v>0</v>
      </c>
      <c r="I1128" s="31" t="s">
        <v>85</v>
      </c>
      <c r="J1128" s="5" t="s">
        <v>672</v>
      </c>
      <c r="K1128" s="8" t="s">
        <v>769</v>
      </c>
      <c r="M1128" s="31">
        <v>60000</v>
      </c>
      <c r="N1128" s="66" t="s">
        <v>1049</v>
      </c>
    </row>
    <row r="1129" spans="1:14" x14ac:dyDescent="0.2">
      <c r="A1129" s="8">
        <v>1128</v>
      </c>
      <c r="B1129" s="8">
        <f t="shared" si="36"/>
        <v>2021</v>
      </c>
      <c r="C1129" s="8">
        <f t="shared" si="37"/>
        <v>10</v>
      </c>
      <c r="D1129" s="85">
        <v>44479</v>
      </c>
      <c r="E1129" s="31">
        <v>0</v>
      </c>
      <c r="F1129" s="31">
        <v>600000</v>
      </c>
      <c r="G1129" s="31">
        <v>0</v>
      </c>
      <c r="H1129" s="31">
        <v>0</v>
      </c>
      <c r="I1129" s="31" t="s">
        <v>201</v>
      </c>
      <c r="J1129" s="5" t="s">
        <v>1050</v>
      </c>
      <c r="K1129" s="8" t="s">
        <v>769</v>
      </c>
      <c r="M1129" s="31">
        <v>100000</v>
      </c>
      <c r="N1129" s="66" t="s">
        <v>1051</v>
      </c>
    </row>
    <row r="1130" spans="1:14" x14ac:dyDescent="0.2">
      <c r="A1130" s="8">
        <v>1129</v>
      </c>
      <c r="B1130" s="8">
        <f t="shared" si="36"/>
        <v>2021</v>
      </c>
      <c r="C1130" s="8">
        <f t="shared" si="37"/>
        <v>10</v>
      </c>
      <c r="D1130" s="85">
        <v>44479</v>
      </c>
      <c r="E1130" s="31">
        <v>0</v>
      </c>
      <c r="F1130" s="31">
        <v>20000</v>
      </c>
      <c r="G1130" s="31">
        <v>0</v>
      </c>
      <c r="H1130" s="31">
        <v>0</v>
      </c>
      <c r="I1130" s="31" t="s">
        <v>99</v>
      </c>
      <c r="J1130" s="5" t="s">
        <v>1052</v>
      </c>
      <c r="K1130" s="8" t="s">
        <v>769</v>
      </c>
      <c r="M1130" s="113">
        <v>20000</v>
      </c>
      <c r="N1130" s="66" t="s">
        <v>1053</v>
      </c>
    </row>
    <row r="1131" spans="1:14" x14ac:dyDescent="0.2">
      <c r="A1131" s="8">
        <v>1130</v>
      </c>
      <c r="B1131" s="8">
        <f t="shared" si="36"/>
        <v>2021</v>
      </c>
      <c r="C1131" s="8">
        <f t="shared" si="37"/>
        <v>10</v>
      </c>
      <c r="D1131" s="85">
        <v>44480</v>
      </c>
      <c r="E1131" s="31">
        <v>200000</v>
      </c>
      <c r="F1131" s="31">
        <v>0</v>
      </c>
      <c r="G1131" s="31">
        <v>0</v>
      </c>
      <c r="H1131" s="31">
        <v>0</v>
      </c>
      <c r="I1131" s="31" t="s">
        <v>109</v>
      </c>
      <c r="J1131" s="5" t="s">
        <v>1054</v>
      </c>
      <c r="K1131" s="8" t="s">
        <v>1016</v>
      </c>
      <c r="M1131" s="31">
        <v>300000</v>
      </c>
      <c r="N1131" s="66" t="s">
        <v>1055</v>
      </c>
    </row>
    <row r="1132" spans="1:14" x14ac:dyDescent="0.2">
      <c r="A1132" s="8">
        <v>1131</v>
      </c>
      <c r="B1132" s="8">
        <f t="shared" si="36"/>
        <v>2021</v>
      </c>
      <c r="C1132" s="8">
        <f t="shared" si="37"/>
        <v>10</v>
      </c>
      <c r="D1132" s="85">
        <v>44481</v>
      </c>
      <c r="E1132" s="31">
        <v>0</v>
      </c>
      <c r="F1132" s="31">
        <v>50000</v>
      </c>
      <c r="G1132" s="31">
        <v>0</v>
      </c>
      <c r="H1132" s="31">
        <v>0</v>
      </c>
      <c r="I1132" s="31" t="s">
        <v>300</v>
      </c>
      <c r="J1132" s="5" t="s">
        <v>458</v>
      </c>
      <c r="K1132" s="8" t="s">
        <v>769</v>
      </c>
      <c r="M1132" s="31">
        <v>300000</v>
      </c>
      <c r="N1132" s="66" t="s">
        <v>1056</v>
      </c>
    </row>
    <row r="1133" spans="1:14" x14ac:dyDescent="0.2">
      <c r="A1133" s="8">
        <v>1132</v>
      </c>
      <c r="B1133" s="8">
        <f t="shared" si="36"/>
        <v>2021</v>
      </c>
      <c r="C1133" s="8">
        <f t="shared" si="37"/>
        <v>10</v>
      </c>
      <c r="D1133" s="85">
        <v>44481</v>
      </c>
      <c r="E1133" s="31">
        <v>0</v>
      </c>
      <c r="F1133" s="31">
        <v>100000</v>
      </c>
      <c r="G1133" s="31">
        <v>0</v>
      </c>
      <c r="H1133" s="31">
        <v>0</v>
      </c>
      <c r="I1133" s="31" t="s">
        <v>74</v>
      </c>
      <c r="J1133" s="5" t="s">
        <v>1057</v>
      </c>
      <c r="K1133" s="8" t="s">
        <v>769</v>
      </c>
      <c r="M1133" s="113">
        <v>65000</v>
      </c>
      <c r="N1133" s="66" t="s">
        <v>1058</v>
      </c>
    </row>
    <row r="1134" spans="1:14" x14ac:dyDescent="0.2">
      <c r="A1134" s="8">
        <v>1133</v>
      </c>
      <c r="B1134" s="8">
        <f t="shared" si="36"/>
        <v>2021</v>
      </c>
      <c r="C1134" s="8">
        <f t="shared" si="37"/>
        <v>10</v>
      </c>
      <c r="D1134" s="85">
        <v>44482</v>
      </c>
      <c r="E1134" s="31">
        <v>0</v>
      </c>
      <c r="F1134" s="31">
        <v>0</v>
      </c>
      <c r="G1134" s="31">
        <v>0</v>
      </c>
      <c r="H1134" s="31">
        <v>390000</v>
      </c>
      <c r="I1134" s="31" t="s">
        <v>74</v>
      </c>
      <c r="J1134" s="5" t="s">
        <v>1059</v>
      </c>
      <c r="K1134" s="8" t="s">
        <v>769</v>
      </c>
      <c r="M1134" s="113">
        <v>50000</v>
      </c>
      <c r="N1134" s="66" t="s">
        <v>102</v>
      </c>
    </row>
    <row r="1135" spans="1:14" x14ac:dyDescent="0.2">
      <c r="A1135" s="8">
        <v>1134</v>
      </c>
      <c r="B1135" s="8">
        <f t="shared" si="36"/>
        <v>2021</v>
      </c>
      <c r="C1135" s="8">
        <f t="shared" si="37"/>
        <v>10</v>
      </c>
      <c r="D1135" s="85">
        <v>44482</v>
      </c>
      <c r="E1135" s="31">
        <v>0</v>
      </c>
      <c r="F1135" s="31">
        <v>10000</v>
      </c>
      <c r="G1135" s="31">
        <v>0</v>
      </c>
      <c r="H1135" s="31">
        <v>0</v>
      </c>
      <c r="I1135" s="31" t="s">
        <v>300</v>
      </c>
      <c r="J1135" s="5" t="s">
        <v>690</v>
      </c>
      <c r="K1135" s="8" t="s">
        <v>769</v>
      </c>
      <c r="M1135" s="113">
        <v>100000</v>
      </c>
      <c r="N1135" s="66" t="s">
        <v>1060</v>
      </c>
    </row>
    <row r="1136" spans="1:14" x14ac:dyDescent="0.2">
      <c r="A1136" s="8">
        <v>1135</v>
      </c>
      <c r="B1136" s="8">
        <f t="shared" si="36"/>
        <v>2021</v>
      </c>
      <c r="C1136" s="8">
        <f t="shared" si="37"/>
        <v>10</v>
      </c>
      <c r="D1136" s="85">
        <v>44483</v>
      </c>
      <c r="E1136" s="31">
        <v>2000000</v>
      </c>
      <c r="F1136" s="31">
        <v>0</v>
      </c>
      <c r="G1136" s="31">
        <v>0</v>
      </c>
      <c r="H1136" s="31">
        <v>1620000</v>
      </c>
      <c r="I1136" s="31" t="s">
        <v>74</v>
      </c>
      <c r="J1136" s="5" t="s">
        <v>1061</v>
      </c>
      <c r="K1136" s="8" t="s">
        <v>769</v>
      </c>
      <c r="M1136" s="113">
        <v>50000</v>
      </c>
      <c r="N1136" s="66" t="s">
        <v>1062</v>
      </c>
    </row>
    <row r="1137" spans="1:14" x14ac:dyDescent="0.2">
      <c r="A1137" s="8">
        <v>1136</v>
      </c>
      <c r="B1137" s="8">
        <f t="shared" si="36"/>
        <v>2021</v>
      </c>
      <c r="C1137" s="8">
        <f t="shared" si="37"/>
        <v>10</v>
      </c>
      <c r="D1137" s="85">
        <v>44483</v>
      </c>
      <c r="E1137" s="31">
        <v>0</v>
      </c>
      <c r="F1137" s="31">
        <v>350000</v>
      </c>
      <c r="G1137" s="31">
        <v>0</v>
      </c>
      <c r="H1137" s="31">
        <v>0</v>
      </c>
      <c r="I1137" s="31" t="s">
        <v>1063</v>
      </c>
      <c r="J1137" s="5" t="s">
        <v>1064</v>
      </c>
      <c r="K1137" s="8" t="s">
        <v>769</v>
      </c>
    </row>
    <row r="1138" spans="1:14" x14ac:dyDescent="0.2">
      <c r="A1138" s="8">
        <v>1137</v>
      </c>
      <c r="B1138" s="8">
        <f t="shared" si="36"/>
        <v>2021</v>
      </c>
      <c r="C1138" s="8">
        <f t="shared" si="37"/>
        <v>10</v>
      </c>
      <c r="D1138" s="85">
        <v>44483</v>
      </c>
      <c r="E1138" s="31">
        <v>0</v>
      </c>
      <c r="F1138" s="31">
        <v>10000</v>
      </c>
      <c r="G1138" s="31">
        <v>0</v>
      </c>
      <c r="H1138" s="31">
        <v>0</v>
      </c>
      <c r="I1138" s="31" t="s">
        <v>149</v>
      </c>
      <c r="J1138" s="5" t="s">
        <v>149</v>
      </c>
      <c r="K1138" s="8"/>
      <c r="M1138" s="31">
        <f>SUM(M1117:M1137)</f>
        <v>2435000</v>
      </c>
    </row>
    <row r="1139" spans="1:14" x14ac:dyDescent="0.2">
      <c r="A1139" s="8">
        <v>1138</v>
      </c>
      <c r="B1139" s="8">
        <f t="shared" si="36"/>
        <v>2021</v>
      </c>
      <c r="C1139" s="8">
        <f t="shared" si="37"/>
        <v>10</v>
      </c>
      <c r="D1139" s="85">
        <v>44484</v>
      </c>
      <c r="E1139" s="31">
        <v>0</v>
      </c>
      <c r="F1139" s="31">
        <v>0</v>
      </c>
      <c r="G1139" s="31">
        <v>0</v>
      </c>
      <c r="H1139" s="31">
        <v>150000</v>
      </c>
      <c r="I1139" s="31" t="s">
        <v>74</v>
      </c>
      <c r="J1139" s="5" t="s">
        <v>1065</v>
      </c>
      <c r="K1139" s="8" t="s">
        <v>769</v>
      </c>
      <c r="M1139" s="31">
        <f>2500000-M1138</f>
        <v>65000</v>
      </c>
      <c r="N1139" s="66" t="s">
        <v>1066</v>
      </c>
    </row>
    <row r="1140" spans="1:14" x14ac:dyDescent="0.2">
      <c r="A1140" s="8">
        <v>1139</v>
      </c>
      <c r="B1140" s="8">
        <f t="shared" si="36"/>
        <v>2021</v>
      </c>
      <c r="C1140" s="8">
        <f t="shared" si="37"/>
        <v>10</v>
      </c>
      <c r="D1140" s="85">
        <v>44484</v>
      </c>
      <c r="E1140" s="31">
        <v>0</v>
      </c>
      <c r="F1140" s="31">
        <v>0</v>
      </c>
      <c r="G1140" s="31">
        <v>0</v>
      </c>
      <c r="H1140" s="31">
        <v>0</v>
      </c>
      <c r="I1140" s="31" t="s">
        <v>92</v>
      </c>
      <c r="J1140" s="5" t="s">
        <v>1067</v>
      </c>
      <c r="K1140" s="8"/>
    </row>
    <row r="1141" spans="1:14" x14ac:dyDescent="0.2">
      <c r="A1141" s="8">
        <v>1140</v>
      </c>
      <c r="B1141" s="8">
        <f t="shared" si="36"/>
        <v>2021</v>
      </c>
      <c r="C1141" s="8">
        <f t="shared" si="37"/>
        <v>10</v>
      </c>
      <c r="D1141" s="85">
        <v>44484</v>
      </c>
      <c r="E1141" s="31">
        <v>0</v>
      </c>
      <c r="F1141" s="31">
        <v>150000</v>
      </c>
      <c r="G1141" s="31">
        <v>0</v>
      </c>
      <c r="H1141" s="31">
        <v>0</v>
      </c>
      <c r="I1141" s="31" t="s">
        <v>92</v>
      </c>
      <c r="J1141" s="5" t="s">
        <v>1068</v>
      </c>
      <c r="K1141" s="8" t="s">
        <v>769</v>
      </c>
    </row>
    <row r="1142" spans="1:14" x14ac:dyDescent="0.2">
      <c r="A1142" s="8">
        <v>1141</v>
      </c>
      <c r="B1142" s="8">
        <f t="shared" si="36"/>
        <v>2021</v>
      </c>
      <c r="C1142" s="8">
        <f t="shared" si="37"/>
        <v>10</v>
      </c>
      <c r="D1142" s="85">
        <v>44484</v>
      </c>
      <c r="E1142" s="31">
        <v>0</v>
      </c>
      <c r="F1142" s="31">
        <v>300000</v>
      </c>
      <c r="G1142" s="31">
        <v>0</v>
      </c>
      <c r="H1142" s="31">
        <v>0</v>
      </c>
      <c r="I1142" s="31" t="s">
        <v>390</v>
      </c>
      <c r="J1142" s="5" t="s">
        <v>1069</v>
      </c>
      <c r="K1142" s="8" t="s">
        <v>769</v>
      </c>
    </row>
    <row r="1143" spans="1:14" x14ac:dyDescent="0.2">
      <c r="A1143" s="8">
        <v>1142</v>
      </c>
      <c r="B1143" s="8">
        <f t="shared" si="36"/>
        <v>2021</v>
      </c>
      <c r="C1143" s="8">
        <f t="shared" si="37"/>
        <v>10</v>
      </c>
      <c r="D1143" s="85">
        <v>44484</v>
      </c>
      <c r="E1143" s="31">
        <v>0</v>
      </c>
      <c r="F1143" s="31">
        <v>150000</v>
      </c>
      <c r="G1143" s="31">
        <v>0</v>
      </c>
      <c r="H1143" s="31">
        <v>0</v>
      </c>
      <c r="I1143" s="31" t="s">
        <v>390</v>
      </c>
      <c r="J1143" s="5" t="s">
        <v>779</v>
      </c>
      <c r="K1143" s="8" t="s">
        <v>769</v>
      </c>
    </row>
    <row r="1144" spans="1:14" x14ac:dyDescent="0.2">
      <c r="A1144" s="8">
        <v>1143</v>
      </c>
      <c r="B1144" s="8">
        <f t="shared" si="36"/>
        <v>2021</v>
      </c>
      <c r="C1144" s="8">
        <f t="shared" si="37"/>
        <v>10</v>
      </c>
      <c r="D1144" s="85">
        <v>44484</v>
      </c>
      <c r="E1144" s="31">
        <v>0</v>
      </c>
      <c r="F1144" s="31">
        <v>200000</v>
      </c>
      <c r="G1144" s="31">
        <v>0</v>
      </c>
      <c r="H1144" s="31">
        <v>0</v>
      </c>
      <c r="I1144" s="31" t="s">
        <v>571</v>
      </c>
      <c r="J1144" s="5" t="s">
        <v>1070</v>
      </c>
      <c r="K1144" s="8" t="s">
        <v>769</v>
      </c>
    </row>
    <row r="1145" spans="1:14" x14ac:dyDescent="0.2">
      <c r="A1145" s="8">
        <v>1144</v>
      </c>
      <c r="B1145" s="8">
        <f t="shared" si="36"/>
        <v>2021</v>
      </c>
      <c r="C1145" s="8">
        <f t="shared" si="37"/>
        <v>10</v>
      </c>
      <c r="D1145" s="85">
        <v>44484</v>
      </c>
      <c r="E1145" s="31">
        <v>0</v>
      </c>
      <c r="F1145" s="31">
        <v>1250000</v>
      </c>
      <c r="G1145" s="31">
        <v>0</v>
      </c>
      <c r="H1145" s="31">
        <v>0</v>
      </c>
      <c r="I1145" s="31" t="s">
        <v>571</v>
      </c>
      <c r="J1145" s="5" t="s">
        <v>307</v>
      </c>
      <c r="K1145" s="8" t="s">
        <v>769</v>
      </c>
    </row>
    <row r="1146" spans="1:14" x14ac:dyDescent="0.2">
      <c r="A1146" s="8">
        <v>1145</v>
      </c>
      <c r="B1146" s="8">
        <f t="shared" si="36"/>
        <v>2021</v>
      </c>
      <c r="C1146" s="8">
        <f t="shared" si="37"/>
        <v>10</v>
      </c>
      <c r="D1146" s="85">
        <v>44484</v>
      </c>
      <c r="E1146" s="31">
        <v>0</v>
      </c>
      <c r="F1146" s="31">
        <v>240000</v>
      </c>
      <c r="G1146" s="31">
        <v>0</v>
      </c>
      <c r="H1146" s="31">
        <v>0</v>
      </c>
      <c r="I1146" s="31" t="s">
        <v>571</v>
      </c>
      <c r="J1146" s="5" t="s">
        <v>335</v>
      </c>
      <c r="K1146" s="8" t="s">
        <v>769</v>
      </c>
    </row>
    <row r="1147" spans="1:14" x14ac:dyDescent="0.2">
      <c r="A1147" s="8">
        <v>1146</v>
      </c>
      <c r="B1147" s="8">
        <f t="shared" si="36"/>
        <v>2021</v>
      </c>
      <c r="C1147" s="8">
        <f t="shared" si="37"/>
        <v>10</v>
      </c>
      <c r="D1147" s="85">
        <v>44484</v>
      </c>
      <c r="E1147" s="31">
        <v>0</v>
      </c>
      <c r="F1147" s="31">
        <v>16000</v>
      </c>
      <c r="G1147" s="31">
        <v>0</v>
      </c>
      <c r="H1147" s="31">
        <v>0</v>
      </c>
      <c r="I1147" s="31" t="s">
        <v>149</v>
      </c>
      <c r="J1147" s="5" t="s">
        <v>149</v>
      </c>
      <c r="K1147" s="8" t="s">
        <v>769</v>
      </c>
    </row>
    <row r="1148" spans="1:14" x14ac:dyDescent="0.2">
      <c r="A1148" s="8">
        <v>1147</v>
      </c>
      <c r="B1148" s="8">
        <f t="shared" si="36"/>
        <v>2021</v>
      </c>
      <c r="C1148" s="8">
        <f t="shared" si="37"/>
        <v>10</v>
      </c>
      <c r="D1148" s="85">
        <v>44484</v>
      </c>
      <c r="E1148" s="31">
        <v>0</v>
      </c>
      <c r="F1148" s="31">
        <v>9000</v>
      </c>
      <c r="G1148" s="31">
        <v>0</v>
      </c>
      <c r="H1148" s="31">
        <v>0</v>
      </c>
      <c r="I1148" s="31" t="s">
        <v>300</v>
      </c>
      <c r="J1148" s="5" t="s">
        <v>91</v>
      </c>
      <c r="K1148" s="8" t="s">
        <v>769</v>
      </c>
    </row>
    <row r="1149" spans="1:14" x14ac:dyDescent="0.2">
      <c r="A1149" s="8">
        <v>1148</v>
      </c>
      <c r="B1149" s="8">
        <f t="shared" si="36"/>
        <v>2021</v>
      </c>
      <c r="C1149" s="8">
        <f t="shared" si="37"/>
        <v>10</v>
      </c>
      <c r="D1149" s="85">
        <v>44484</v>
      </c>
      <c r="E1149" s="31">
        <v>0</v>
      </c>
      <c r="F1149" s="31">
        <v>0</v>
      </c>
      <c r="G1149" s="31">
        <v>0</v>
      </c>
      <c r="H1149" s="31">
        <v>21600</v>
      </c>
      <c r="I1149" s="31" t="s">
        <v>85</v>
      </c>
      <c r="J1149" s="5" t="s">
        <v>1071</v>
      </c>
      <c r="K1149" s="8" t="s">
        <v>769</v>
      </c>
    </row>
    <row r="1150" spans="1:14" x14ac:dyDescent="0.2">
      <c r="A1150" s="8">
        <v>1149</v>
      </c>
      <c r="B1150" s="8">
        <f t="shared" si="36"/>
        <v>2021</v>
      </c>
      <c r="C1150" s="8">
        <f t="shared" si="37"/>
        <v>10</v>
      </c>
      <c r="D1150" s="85">
        <v>44485</v>
      </c>
      <c r="E1150" s="31">
        <v>0</v>
      </c>
      <c r="F1150" s="31">
        <v>80000</v>
      </c>
      <c r="G1150" s="31">
        <v>0</v>
      </c>
      <c r="H1150" s="31">
        <v>0</v>
      </c>
      <c r="I1150" s="31" t="s">
        <v>300</v>
      </c>
      <c r="J1150" s="5" t="s">
        <v>1072</v>
      </c>
      <c r="K1150" s="8" t="s">
        <v>769</v>
      </c>
    </row>
    <row r="1151" spans="1:14" x14ac:dyDescent="0.2">
      <c r="A1151" s="8">
        <v>1150</v>
      </c>
      <c r="B1151" s="8">
        <f t="shared" si="36"/>
        <v>2021</v>
      </c>
      <c r="C1151" s="8">
        <f t="shared" si="37"/>
        <v>10</v>
      </c>
      <c r="D1151" s="85">
        <v>44486</v>
      </c>
      <c r="E1151" s="31">
        <v>0</v>
      </c>
      <c r="F1151" s="31">
        <v>7500</v>
      </c>
      <c r="G1151" s="31">
        <v>0</v>
      </c>
      <c r="H1151" s="31">
        <v>0</v>
      </c>
      <c r="I1151" s="31" t="s">
        <v>300</v>
      </c>
      <c r="J1151" s="5" t="s">
        <v>89</v>
      </c>
      <c r="K1151" s="8" t="s">
        <v>769</v>
      </c>
    </row>
    <row r="1152" spans="1:14" x14ac:dyDescent="0.2">
      <c r="A1152" s="8">
        <v>1151</v>
      </c>
      <c r="B1152" s="8">
        <f t="shared" si="36"/>
        <v>2021</v>
      </c>
      <c r="C1152" s="8">
        <f t="shared" si="37"/>
        <v>10</v>
      </c>
      <c r="D1152" s="85">
        <v>44486</v>
      </c>
      <c r="E1152" s="31">
        <v>0</v>
      </c>
      <c r="F1152" s="31">
        <v>100000</v>
      </c>
      <c r="G1152" s="31">
        <v>0</v>
      </c>
      <c r="H1152" s="31">
        <v>0</v>
      </c>
      <c r="I1152" s="31" t="s">
        <v>83</v>
      </c>
      <c r="J1152" s="5" t="s">
        <v>1073</v>
      </c>
      <c r="K1152" s="8" t="s">
        <v>769</v>
      </c>
    </row>
    <row r="1153" spans="1:11" x14ac:dyDescent="0.2">
      <c r="A1153" s="8">
        <v>1152</v>
      </c>
      <c r="B1153" s="8">
        <f t="shared" si="36"/>
        <v>2021</v>
      </c>
      <c r="C1153" s="8">
        <f t="shared" si="37"/>
        <v>10</v>
      </c>
      <c r="D1153" s="85">
        <v>44486</v>
      </c>
      <c r="E1153" s="31">
        <v>0</v>
      </c>
      <c r="F1153" s="31">
        <v>45000</v>
      </c>
      <c r="G1153" s="31">
        <v>0</v>
      </c>
      <c r="H1153" s="31">
        <v>0</v>
      </c>
      <c r="I1153" s="31" t="s">
        <v>99</v>
      </c>
      <c r="J1153" s="5" t="s">
        <v>1074</v>
      </c>
      <c r="K1153" s="8" t="s">
        <v>769</v>
      </c>
    </row>
    <row r="1154" spans="1:11" x14ac:dyDescent="0.2">
      <c r="A1154" s="8">
        <v>1153</v>
      </c>
      <c r="B1154" s="8">
        <f t="shared" si="36"/>
        <v>2021</v>
      </c>
      <c r="C1154" s="8">
        <f t="shared" si="37"/>
        <v>10</v>
      </c>
      <c r="D1154" s="85">
        <v>44486</v>
      </c>
      <c r="E1154" s="31">
        <v>0</v>
      </c>
      <c r="F1154" s="31">
        <v>96000</v>
      </c>
      <c r="G1154" s="31">
        <v>0</v>
      </c>
      <c r="H1154" s="31">
        <v>0</v>
      </c>
      <c r="I1154" s="31" t="s">
        <v>99</v>
      </c>
      <c r="J1154" s="5" t="s">
        <v>1075</v>
      </c>
      <c r="K1154" s="8" t="s">
        <v>769</v>
      </c>
    </row>
    <row r="1155" spans="1:11" x14ac:dyDescent="0.2">
      <c r="A1155" s="8">
        <v>1154</v>
      </c>
      <c r="B1155" s="8">
        <f t="shared" si="36"/>
        <v>2021</v>
      </c>
      <c r="C1155" s="8">
        <f t="shared" si="37"/>
        <v>10</v>
      </c>
      <c r="D1155" s="85">
        <v>44487</v>
      </c>
      <c r="E1155" s="31">
        <v>0</v>
      </c>
      <c r="F1155" s="31">
        <v>50000</v>
      </c>
      <c r="G1155" s="31">
        <v>0</v>
      </c>
      <c r="H1155" s="31">
        <v>0</v>
      </c>
      <c r="I1155" s="31" t="s">
        <v>99</v>
      </c>
      <c r="J1155" s="5" t="s">
        <v>1076</v>
      </c>
      <c r="K1155" s="8" t="s">
        <v>769</v>
      </c>
    </row>
    <row r="1156" spans="1:11" x14ac:dyDescent="0.2">
      <c r="A1156" s="8">
        <v>1155</v>
      </c>
      <c r="B1156" s="8">
        <f t="shared" si="36"/>
        <v>2021</v>
      </c>
      <c r="C1156" s="8">
        <f t="shared" si="37"/>
        <v>10</v>
      </c>
      <c r="D1156" s="85">
        <v>44488</v>
      </c>
      <c r="E1156" s="31">
        <v>0</v>
      </c>
      <c r="F1156" s="31">
        <v>89000</v>
      </c>
      <c r="G1156" s="31">
        <v>0</v>
      </c>
      <c r="H1156" s="31">
        <v>0</v>
      </c>
      <c r="I1156" s="31" t="s">
        <v>85</v>
      </c>
      <c r="J1156" s="5" t="s">
        <v>1077</v>
      </c>
      <c r="K1156" s="8" t="s">
        <v>1018</v>
      </c>
    </row>
    <row r="1157" spans="1:11" x14ac:dyDescent="0.2">
      <c r="A1157" s="8">
        <v>1156</v>
      </c>
      <c r="B1157" s="8">
        <f t="shared" si="36"/>
        <v>2021</v>
      </c>
      <c r="C1157" s="8">
        <f t="shared" si="37"/>
        <v>10</v>
      </c>
      <c r="D1157" s="85">
        <v>44488</v>
      </c>
      <c r="E1157" s="31">
        <v>0</v>
      </c>
      <c r="F1157" s="31">
        <v>7200</v>
      </c>
      <c r="G1157" s="31">
        <v>0</v>
      </c>
      <c r="H1157" s="31">
        <v>0</v>
      </c>
      <c r="I1157" s="31" t="s">
        <v>85</v>
      </c>
      <c r="J1157" s="5" t="s">
        <v>1078</v>
      </c>
      <c r="K1157" s="8" t="s">
        <v>1018</v>
      </c>
    </row>
    <row r="1158" spans="1:11" x14ac:dyDescent="0.2">
      <c r="A1158" s="8">
        <v>1157</v>
      </c>
      <c r="B1158" s="8">
        <f t="shared" ref="B1158:B1221" si="38">YEAR(D1158)</f>
        <v>2021</v>
      </c>
      <c r="C1158" s="8">
        <f t="shared" ref="C1158:C1221" si="39">MONTH(D1158)</f>
        <v>10</v>
      </c>
      <c r="D1158" s="85">
        <v>44489</v>
      </c>
      <c r="E1158" s="31">
        <v>0</v>
      </c>
      <c r="F1158" s="31">
        <v>50000</v>
      </c>
      <c r="G1158" s="31">
        <v>0</v>
      </c>
      <c r="H1158" s="31">
        <v>0</v>
      </c>
      <c r="I1158" s="31" t="s">
        <v>300</v>
      </c>
      <c r="J1158" s="5" t="s">
        <v>1079</v>
      </c>
      <c r="K1158" s="8"/>
    </row>
    <row r="1159" spans="1:11" x14ac:dyDescent="0.2">
      <c r="A1159" s="8">
        <v>1158</v>
      </c>
      <c r="B1159" s="8">
        <f t="shared" si="38"/>
        <v>2021</v>
      </c>
      <c r="C1159" s="8">
        <f t="shared" si="39"/>
        <v>10</v>
      </c>
      <c r="D1159" s="85">
        <v>44490</v>
      </c>
      <c r="E1159" s="31">
        <v>0</v>
      </c>
      <c r="F1159" s="31">
        <v>0</v>
      </c>
      <c r="G1159" s="31">
        <v>0</v>
      </c>
      <c r="H1159" s="31">
        <v>105000</v>
      </c>
      <c r="I1159" s="31" t="s">
        <v>74</v>
      </c>
      <c r="J1159" s="5" t="s">
        <v>1080</v>
      </c>
      <c r="K1159" s="8"/>
    </row>
    <row r="1160" spans="1:11" x14ac:dyDescent="0.2">
      <c r="A1160" s="8">
        <v>1159</v>
      </c>
      <c r="B1160" s="8">
        <f t="shared" si="38"/>
        <v>2021</v>
      </c>
      <c r="C1160" s="8">
        <f t="shared" si="39"/>
        <v>10</v>
      </c>
      <c r="D1160" s="85">
        <v>44490</v>
      </c>
      <c r="E1160" s="31">
        <v>0</v>
      </c>
      <c r="F1160" s="31">
        <v>10000</v>
      </c>
      <c r="G1160" s="31">
        <v>0</v>
      </c>
      <c r="H1160" s="31">
        <v>0</v>
      </c>
      <c r="I1160" s="31" t="s">
        <v>300</v>
      </c>
      <c r="J1160" s="5" t="s">
        <v>116</v>
      </c>
      <c r="K1160" s="8"/>
    </row>
    <row r="1161" spans="1:11" x14ac:dyDescent="0.2">
      <c r="A1161" s="8">
        <v>1160</v>
      </c>
      <c r="B1161" s="8">
        <f t="shared" si="38"/>
        <v>2021</v>
      </c>
      <c r="C1161" s="8">
        <f t="shared" si="39"/>
        <v>10</v>
      </c>
      <c r="D1161" s="85">
        <v>44490</v>
      </c>
      <c r="E1161" s="31">
        <v>0</v>
      </c>
      <c r="F1161" s="31">
        <v>50000</v>
      </c>
      <c r="G1161" s="31">
        <v>0</v>
      </c>
      <c r="H1161" s="31">
        <v>0</v>
      </c>
      <c r="I1161" s="31" t="s">
        <v>300</v>
      </c>
      <c r="J1161" s="5" t="s">
        <v>1081</v>
      </c>
      <c r="K1161" s="8"/>
    </row>
    <row r="1162" spans="1:11" x14ac:dyDescent="0.2">
      <c r="A1162" s="8">
        <v>1161</v>
      </c>
      <c r="B1162" s="8">
        <f t="shared" si="38"/>
        <v>2021</v>
      </c>
      <c r="C1162" s="8">
        <f t="shared" si="39"/>
        <v>10</v>
      </c>
      <c r="D1162" s="85">
        <v>44491</v>
      </c>
      <c r="E1162" s="31">
        <v>0</v>
      </c>
      <c r="F1162" s="31">
        <v>10000</v>
      </c>
      <c r="G1162" s="31">
        <v>0</v>
      </c>
      <c r="H1162" s="31">
        <v>0</v>
      </c>
      <c r="I1162" s="31" t="s">
        <v>85</v>
      </c>
      <c r="J1162" s="5" t="s">
        <v>36</v>
      </c>
      <c r="K1162" s="8"/>
    </row>
    <row r="1163" spans="1:11" x14ac:dyDescent="0.2">
      <c r="A1163" s="8">
        <v>1162</v>
      </c>
      <c r="B1163" s="8">
        <f t="shared" si="38"/>
        <v>2021</v>
      </c>
      <c r="C1163" s="8">
        <f t="shared" si="39"/>
        <v>10</v>
      </c>
      <c r="D1163" s="85">
        <v>44491</v>
      </c>
      <c r="E1163" s="31">
        <v>0</v>
      </c>
      <c r="F1163" s="31">
        <v>50000</v>
      </c>
      <c r="G1163" s="31">
        <v>0</v>
      </c>
      <c r="H1163" s="31">
        <v>0</v>
      </c>
      <c r="I1163" s="31" t="s">
        <v>85</v>
      </c>
      <c r="J1163" s="5" t="s">
        <v>1082</v>
      </c>
      <c r="K1163" s="8"/>
    </row>
    <row r="1164" spans="1:11" x14ac:dyDescent="0.2">
      <c r="A1164" s="8">
        <v>1163</v>
      </c>
      <c r="B1164" s="8">
        <f t="shared" si="38"/>
        <v>2021</v>
      </c>
      <c r="C1164" s="8">
        <f t="shared" si="39"/>
        <v>10</v>
      </c>
      <c r="D1164" s="85">
        <v>44492</v>
      </c>
      <c r="E1164" s="31">
        <v>0</v>
      </c>
      <c r="F1164" s="31">
        <v>0</v>
      </c>
      <c r="G1164" s="31">
        <v>0</v>
      </c>
      <c r="H1164" s="31">
        <v>800000</v>
      </c>
      <c r="I1164" s="31" t="s">
        <v>73</v>
      </c>
      <c r="J1164" s="5" t="s">
        <v>1083</v>
      </c>
      <c r="K1164" s="8"/>
    </row>
    <row r="1165" spans="1:11" x14ac:dyDescent="0.2">
      <c r="A1165" s="8">
        <v>1164</v>
      </c>
      <c r="B1165" s="8">
        <f t="shared" si="38"/>
        <v>2021</v>
      </c>
      <c r="C1165" s="8">
        <f t="shared" si="39"/>
        <v>10</v>
      </c>
      <c r="D1165" s="85">
        <v>44493</v>
      </c>
      <c r="E1165" s="31">
        <v>0</v>
      </c>
      <c r="F1165" s="31">
        <v>0</v>
      </c>
      <c r="G1165" s="31">
        <v>0</v>
      </c>
      <c r="H1165" s="31">
        <v>53000</v>
      </c>
      <c r="I1165" s="31" t="s">
        <v>85</v>
      </c>
      <c r="J1165" s="5" t="s">
        <v>1084</v>
      </c>
      <c r="K1165" s="8"/>
    </row>
    <row r="1166" spans="1:11" x14ac:dyDescent="0.2">
      <c r="A1166" s="8">
        <v>1165</v>
      </c>
      <c r="B1166" s="8">
        <f t="shared" si="38"/>
        <v>2021</v>
      </c>
      <c r="C1166" s="8">
        <f t="shared" si="39"/>
        <v>10</v>
      </c>
      <c r="D1166" s="85">
        <v>44493</v>
      </c>
      <c r="E1166" s="31">
        <v>0</v>
      </c>
      <c r="F1166" s="31">
        <v>12000</v>
      </c>
      <c r="G1166" s="31">
        <v>0</v>
      </c>
      <c r="H1166" s="31">
        <v>0</v>
      </c>
      <c r="I1166" s="31" t="s">
        <v>300</v>
      </c>
      <c r="J1166" s="5" t="s">
        <v>1085</v>
      </c>
      <c r="K1166" s="8"/>
    </row>
    <row r="1167" spans="1:11" x14ac:dyDescent="0.2">
      <c r="A1167" s="8">
        <v>1166</v>
      </c>
      <c r="B1167" s="8">
        <f t="shared" si="38"/>
        <v>2021</v>
      </c>
      <c r="C1167" s="8">
        <f t="shared" si="39"/>
        <v>10</v>
      </c>
      <c r="D1167" s="85">
        <v>44494</v>
      </c>
      <c r="E1167" s="31">
        <v>0</v>
      </c>
      <c r="F1167" s="31">
        <v>91000</v>
      </c>
      <c r="G1167" s="31">
        <v>0</v>
      </c>
      <c r="H1167" s="31">
        <v>0</v>
      </c>
      <c r="I1167" s="31" t="s">
        <v>299</v>
      </c>
      <c r="J1167" s="5" t="s">
        <v>299</v>
      </c>
      <c r="K1167" s="8"/>
    </row>
    <row r="1168" spans="1:11" x14ac:dyDescent="0.2">
      <c r="A1168" s="8">
        <v>1167</v>
      </c>
      <c r="B1168" s="8">
        <f t="shared" si="38"/>
        <v>2021</v>
      </c>
      <c r="C1168" s="8">
        <f t="shared" si="39"/>
        <v>10</v>
      </c>
      <c r="D1168" s="85">
        <v>44494</v>
      </c>
      <c r="E1168" s="31">
        <v>0</v>
      </c>
      <c r="F1168" s="31">
        <v>10000</v>
      </c>
      <c r="G1168" s="31">
        <v>0</v>
      </c>
      <c r="H1168" s="31">
        <v>0</v>
      </c>
      <c r="I1168" s="31" t="s">
        <v>300</v>
      </c>
      <c r="J1168" s="5" t="s">
        <v>116</v>
      </c>
      <c r="K1168" s="8"/>
    </row>
    <row r="1169" spans="1:11" x14ac:dyDescent="0.2">
      <c r="A1169" s="8">
        <v>1168</v>
      </c>
      <c r="B1169" s="8">
        <f t="shared" si="38"/>
        <v>2021</v>
      </c>
      <c r="C1169" s="8">
        <f t="shared" si="39"/>
        <v>10</v>
      </c>
      <c r="D1169" s="85">
        <v>44494</v>
      </c>
      <c r="E1169" s="31">
        <v>0</v>
      </c>
      <c r="F1169" s="31">
        <v>0</v>
      </c>
      <c r="G1169" s="31">
        <v>0</v>
      </c>
      <c r="H1169" s="31">
        <v>15000</v>
      </c>
      <c r="I1169" s="31" t="s">
        <v>73</v>
      </c>
      <c r="J1169" s="5" t="s">
        <v>1086</v>
      </c>
      <c r="K1169" s="8"/>
    </row>
    <row r="1170" spans="1:11" x14ac:dyDescent="0.2">
      <c r="A1170" s="8">
        <v>1169</v>
      </c>
      <c r="B1170" s="8">
        <f t="shared" si="38"/>
        <v>2021</v>
      </c>
      <c r="C1170" s="8">
        <f t="shared" si="39"/>
        <v>10</v>
      </c>
      <c r="D1170" s="85">
        <v>44494</v>
      </c>
      <c r="E1170" s="31">
        <v>0</v>
      </c>
      <c r="F1170" s="31">
        <v>14000</v>
      </c>
      <c r="G1170" s="31">
        <v>0</v>
      </c>
      <c r="H1170" s="31">
        <v>0</v>
      </c>
      <c r="I1170" s="31" t="s">
        <v>85</v>
      </c>
      <c r="J1170" s="5" t="s">
        <v>848</v>
      </c>
      <c r="K1170" s="8"/>
    </row>
    <row r="1171" spans="1:11" x14ac:dyDescent="0.2">
      <c r="A1171" s="8">
        <v>1170</v>
      </c>
      <c r="B1171" s="8">
        <f t="shared" si="38"/>
        <v>2021</v>
      </c>
      <c r="C1171" s="8">
        <f t="shared" si="39"/>
        <v>10</v>
      </c>
      <c r="D1171" s="85">
        <v>44495</v>
      </c>
      <c r="E1171" s="31">
        <v>0</v>
      </c>
      <c r="F1171" s="31">
        <v>32000</v>
      </c>
      <c r="G1171" s="31">
        <v>0</v>
      </c>
      <c r="H1171" s="31">
        <v>0</v>
      </c>
      <c r="I1171" s="31" t="s">
        <v>300</v>
      </c>
      <c r="J1171" s="5" t="s">
        <v>934</v>
      </c>
      <c r="K1171" s="8"/>
    </row>
    <row r="1172" spans="1:11" x14ac:dyDescent="0.2">
      <c r="A1172" s="8">
        <v>1171</v>
      </c>
      <c r="B1172" s="8">
        <f t="shared" si="38"/>
        <v>2021</v>
      </c>
      <c r="C1172" s="8">
        <f t="shared" si="39"/>
        <v>10</v>
      </c>
      <c r="D1172" s="85">
        <v>44495</v>
      </c>
      <c r="E1172" s="31">
        <v>0</v>
      </c>
      <c r="F1172" s="31">
        <v>0</v>
      </c>
      <c r="G1172" s="31">
        <v>0</v>
      </c>
      <c r="H1172" s="31">
        <v>150000</v>
      </c>
      <c r="I1172" s="31" t="s">
        <v>74</v>
      </c>
      <c r="J1172" s="5" t="s">
        <v>1087</v>
      </c>
      <c r="K1172" s="8"/>
    </row>
    <row r="1173" spans="1:11" x14ac:dyDescent="0.2">
      <c r="A1173" s="8">
        <v>1172</v>
      </c>
      <c r="B1173" s="8">
        <f t="shared" si="38"/>
        <v>2021</v>
      </c>
      <c r="C1173" s="8">
        <f t="shared" si="39"/>
        <v>10</v>
      </c>
      <c r="D1173" s="85">
        <v>44496</v>
      </c>
      <c r="E1173" s="31">
        <v>0</v>
      </c>
      <c r="F1173" s="31">
        <v>10000</v>
      </c>
      <c r="G1173" s="31">
        <v>0</v>
      </c>
      <c r="H1173" s="31">
        <v>0</v>
      </c>
      <c r="I1173" s="31" t="s">
        <v>300</v>
      </c>
      <c r="J1173" s="5" t="s">
        <v>116</v>
      </c>
      <c r="K1173" s="8"/>
    </row>
    <row r="1174" spans="1:11" x14ac:dyDescent="0.2">
      <c r="A1174" s="8">
        <v>1173</v>
      </c>
      <c r="B1174" s="8">
        <f t="shared" si="38"/>
        <v>2021</v>
      </c>
      <c r="C1174" s="8">
        <f t="shared" si="39"/>
        <v>10</v>
      </c>
      <c r="D1174" s="85">
        <v>44496</v>
      </c>
      <c r="E1174" s="31">
        <v>0</v>
      </c>
      <c r="F1174" s="31">
        <v>6000</v>
      </c>
      <c r="G1174" s="31">
        <v>0</v>
      </c>
      <c r="H1174" s="31">
        <v>0</v>
      </c>
      <c r="I1174" s="31" t="s">
        <v>85</v>
      </c>
      <c r="J1174" s="5" t="s">
        <v>300</v>
      </c>
      <c r="K1174" s="8"/>
    </row>
    <row r="1175" spans="1:11" x14ac:dyDescent="0.2">
      <c r="A1175" s="8">
        <v>1174</v>
      </c>
      <c r="B1175" s="8">
        <f t="shared" si="38"/>
        <v>2021</v>
      </c>
      <c r="C1175" s="8">
        <f t="shared" si="39"/>
        <v>10</v>
      </c>
      <c r="D1175" s="85">
        <v>44497</v>
      </c>
      <c r="E1175" s="31">
        <v>0</v>
      </c>
      <c r="F1175" s="31">
        <v>0</v>
      </c>
      <c r="G1175" s="31">
        <v>0</v>
      </c>
      <c r="H1175" s="31">
        <v>0</v>
      </c>
      <c r="I1175" s="31" t="s">
        <v>85</v>
      </c>
      <c r="J1175" s="5"/>
      <c r="K1175" s="8"/>
    </row>
    <row r="1176" spans="1:11" x14ac:dyDescent="0.2">
      <c r="A1176" s="8">
        <v>1175</v>
      </c>
      <c r="B1176" s="8">
        <f t="shared" si="38"/>
        <v>2021</v>
      </c>
      <c r="C1176" s="8">
        <f t="shared" si="39"/>
        <v>10</v>
      </c>
      <c r="D1176" s="85">
        <v>44498</v>
      </c>
      <c r="E1176" s="31">
        <v>10800000</v>
      </c>
      <c r="F1176" s="31">
        <v>0</v>
      </c>
      <c r="G1176" s="31">
        <v>0</v>
      </c>
      <c r="H1176" s="31">
        <v>0</v>
      </c>
      <c r="I1176" s="31" t="s">
        <v>109</v>
      </c>
      <c r="J1176" s="5" t="s">
        <v>1088</v>
      </c>
      <c r="K1176" s="8"/>
    </row>
    <row r="1177" spans="1:11" x14ac:dyDescent="0.2">
      <c r="A1177" s="8">
        <v>1176</v>
      </c>
      <c r="B1177" s="8">
        <f t="shared" si="38"/>
        <v>2021</v>
      </c>
      <c r="C1177" s="8">
        <f t="shared" si="39"/>
        <v>10</v>
      </c>
      <c r="D1177" s="85">
        <v>44499</v>
      </c>
      <c r="E1177" s="31">
        <v>0</v>
      </c>
      <c r="F1177" s="31">
        <v>0</v>
      </c>
      <c r="G1177" s="35"/>
      <c r="H1177" s="31">
        <v>0</v>
      </c>
      <c r="I1177" s="31" t="s">
        <v>92</v>
      </c>
      <c r="J1177" s="5" t="s">
        <v>1089</v>
      </c>
      <c r="K1177" s="8"/>
    </row>
    <row r="1178" spans="1:11" x14ac:dyDescent="0.2">
      <c r="A1178" s="8">
        <v>1177</v>
      </c>
      <c r="B1178" s="8">
        <f t="shared" si="38"/>
        <v>2021</v>
      </c>
      <c r="C1178" s="8">
        <f t="shared" si="39"/>
        <v>10</v>
      </c>
      <c r="D1178" s="85">
        <v>44499</v>
      </c>
      <c r="E1178" s="31">
        <v>0</v>
      </c>
      <c r="F1178" s="31">
        <v>0</v>
      </c>
      <c r="G1178" s="31">
        <v>0</v>
      </c>
      <c r="H1178" s="31">
        <v>1000000</v>
      </c>
      <c r="I1178" s="31" t="s">
        <v>74</v>
      </c>
      <c r="J1178" s="5" t="s">
        <v>1090</v>
      </c>
      <c r="K1178" s="8"/>
    </row>
    <row r="1179" spans="1:11" x14ac:dyDescent="0.2">
      <c r="A1179" s="8">
        <v>1178</v>
      </c>
      <c r="B1179" s="8">
        <f t="shared" si="38"/>
        <v>2021</v>
      </c>
      <c r="C1179" s="8">
        <f t="shared" si="39"/>
        <v>10</v>
      </c>
      <c r="D1179" s="85">
        <v>44499</v>
      </c>
      <c r="E1179" s="31">
        <v>0</v>
      </c>
      <c r="F1179" s="31">
        <v>104000</v>
      </c>
      <c r="G1179" s="31">
        <v>0</v>
      </c>
      <c r="H1179" s="31">
        <v>0</v>
      </c>
      <c r="I1179" s="31" t="s">
        <v>571</v>
      </c>
      <c r="J1179" s="5" t="s">
        <v>494</v>
      </c>
      <c r="K1179" s="8"/>
    </row>
    <row r="1180" spans="1:11" x14ac:dyDescent="0.2">
      <c r="A1180" s="8">
        <v>1179</v>
      </c>
      <c r="B1180" s="8">
        <f t="shared" si="38"/>
        <v>2021</v>
      </c>
      <c r="C1180" s="8">
        <f t="shared" si="39"/>
        <v>10</v>
      </c>
      <c r="D1180" s="85">
        <v>44499</v>
      </c>
      <c r="E1180" s="31">
        <v>0</v>
      </c>
      <c r="F1180" s="31">
        <v>200000</v>
      </c>
      <c r="G1180" s="31">
        <v>0</v>
      </c>
      <c r="H1180" s="31">
        <v>0</v>
      </c>
      <c r="I1180" s="31" t="s">
        <v>571</v>
      </c>
      <c r="J1180" s="5" t="s">
        <v>1091</v>
      </c>
      <c r="K1180" s="8"/>
    </row>
    <row r="1181" spans="1:11" x14ac:dyDescent="0.2">
      <c r="A1181" s="8">
        <v>1180</v>
      </c>
      <c r="B1181" s="8">
        <f t="shared" si="38"/>
        <v>2021</v>
      </c>
      <c r="C1181" s="8">
        <f t="shared" si="39"/>
        <v>10</v>
      </c>
      <c r="D1181" s="85">
        <v>44499</v>
      </c>
      <c r="E1181" s="31">
        <v>0</v>
      </c>
      <c r="F1181" s="31">
        <v>255000</v>
      </c>
      <c r="G1181" s="31">
        <v>0</v>
      </c>
      <c r="H1181" s="31">
        <v>0</v>
      </c>
      <c r="I1181" s="31" t="s">
        <v>571</v>
      </c>
      <c r="J1181" s="5" t="s">
        <v>1092</v>
      </c>
      <c r="K1181" s="8"/>
    </row>
    <row r="1182" spans="1:11" x14ac:dyDescent="0.2">
      <c r="A1182" s="8">
        <v>1181</v>
      </c>
      <c r="B1182" s="8">
        <f t="shared" si="38"/>
        <v>2021</v>
      </c>
      <c r="C1182" s="8">
        <f t="shared" si="39"/>
        <v>10</v>
      </c>
      <c r="D1182" s="85">
        <v>44499</v>
      </c>
      <c r="E1182" s="31">
        <v>0</v>
      </c>
      <c r="F1182" s="31">
        <v>0</v>
      </c>
      <c r="G1182" s="31">
        <v>0</v>
      </c>
      <c r="H1182" s="31">
        <v>50000</v>
      </c>
      <c r="I1182" s="31" t="s">
        <v>74</v>
      </c>
      <c r="J1182" s="5" t="s">
        <v>1093</v>
      </c>
      <c r="K1182" s="8"/>
    </row>
    <row r="1183" spans="1:11" x14ac:dyDescent="0.2">
      <c r="A1183" s="8">
        <v>1182</v>
      </c>
      <c r="B1183" s="8">
        <f t="shared" si="38"/>
        <v>2021</v>
      </c>
      <c r="C1183" s="8">
        <f t="shared" si="39"/>
        <v>10</v>
      </c>
      <c r="D1183" s="85">
        <v>44499</v>
      </c>
      <c r="E1183" s="31">
        <v>0</v>
      </c>
      <c r="F1183" s="31">
        <v>650000</v>
      </c>
      <c r="G1183" s="31">
        <v>0</v>
      </c>
      <c r="H1183" s="31">
        <v>0</v>
      </c>
      <c r="I1183" s="115" t="s">
        <v>768</v>
      </c>
      <c r="J1183" s="5" t="s">
        <v>1094</v>
      </c>
      <c r="K1183" s="8"/>
    </row>
    <row r="1184" spans="1:11" x14ac:dyDescent="0.2">
      <c r="A1184" s="8">
        <v>1183</v>
      </c>
      <c r="B1184" s="8">
        <f t="shared" si="38"/>
        <v>2021</v>
      </c>
      <c r="C1184" s="8">
        <f t="shared" si="39"/>
        <v>10</v>
      </c>
      <c r="D1184" s="85">
        <v>44500</v>
      </c>
      <c r="E1184" s="31">
        <v>0</v>
      </c>
      <c r="F1184" s="31">
        <v>50000</v>
      </c>
      <c r="G1184" s="31">
        <v>0</v>
      </c>
      <c r="H1184" s="31">
        <v>0</v>
      </c>
      <c r="I1184" s="31" t="s">
        <v>85</v>
      </c>
      <c r="J1184" s="5" t="s">
        <v>1095</v>
      </c>
      <c r="K1184" s="8"/>
    </row>
    <row r="1185" spans="1:11" x14ac:dyDescent="0.2">
      <c r="A1185" s="8">
        <v>1184</v>
      </c>
      <c r="B1185" s="8">
        <f t="shared" si="38"/>
        <v>2021</v>
      </c>
      <c r="C1185" s="8">
        <f t="shared" si="39"/>
        <v>10</v>
      </c>
      <c r="D1185" s="85">
        <v>44500</v>
      </c>
      <c r="E1185" s="31">
        <v>0</v>
      </c>
      <c r="F1185" s="31">
        <v>50000</v>
      </c>
      <c r="G1185" s="31">
        <v>0</v>
      </c>
      <c r="H1185" s="31">
        <v>0</v>
      </c>
      <c r="I1185" s="31" t="s">
        <v>300</v>
      </c>
      <c r="J1185" s="5" t="s">
        <v>690</v>
      </c>
      <c r="K1185" s="8"/>
    </row>
    <row r="1186" spans="1:11" x14ac:dyDescent="0.2">
      <c r="A1186" s="8">
        <v>1185</v>
      </c>
      <c r="B1186" s="8">
        <f t="shared" si="38"/>
        <v>2021</v>
      </c>
      <c r="C1186" s="8">
        <f t="shared" si="39"/>
        <v>11</v>
      </c>
      <c r="D1186" s="85">
        <v>44502</v>
      </c>
      <c r="E1186" s="31">
        <v>0</v>
      </c>
      <c r="F1186" s="31">
        <v>103000</v>
      </c>
      <c r="G1186" s="31">
        <v>0</v>
      </c>
      <c r="H1186" s="31">
        <v>0</v>
      </c>
      <c r="I1186" s="31" t="s">
        <v>83</v>
      </c>
      <c r="J1186" s="5" t="s">
        <v>299</v>
      </c>
      <c r="K1186" s="8"/>
    </row>
    <row r="1187" spans="1:11" x14ac:dyDescent="0.2">
      <c r="A1187" s="8">
        <v>1186</v>
      </c>
      <c r="B1187" s="8">
        <f t="shared" si="38"/>
        <v>2021</v>
      </c>
      <c r="C1187" s="8">
        <f t="shared" si="39"/>
        <v>11</v>
      </c>
      <c r="D1187" s="85">
        <v>44502</v>
      </c>
      <c r="E1187" s="31">
        <v>0</v>
      </c>
      <c r="F1187" s="31">
        <v>18000</v>
      </c>
      <c r="G1187" s="31">
        <v>0</v>
      </c>
      <c r="H1187" s="31">
        <v>0</v>
      </c>
      <c r="I1187" s="31" t="s">
        <v>300</v>
      </c>
      <c r="J1187" s="5" t="s">
        <v>356</v>
      </c>
      <c r="K1187" s="8"/>
    </row>
    <row r="1188" spans="1:11" x14ac:dyDescent="0.2">
      <c r="A1188" s="8">
        <v>1187</v>
      </c>
      <c r="B1188" s="8">
        <f t="shared" si="38"/>
        <v>2021</v>
      </c>
      <c r="C1188" s="8">
        <f t="shared" si="39"/>
        <v>11</v>
      </c>
      <c r="D1188" s="85">
        <v>44503</v>
      </c>
      <c r="E1188" s="31">
        <v>0</v>
      </c>
      <c r="F1188" s="31">
        <v>10000</v>
      </c>
      <c r="G1188" s="31">
        <v>0</v>
      </c>
      <c r="H1188" s="31">
        <v>0</v>
      </c>
      <c r="I1188" s="31" t="s">
        <v>300</v>
      </c>
      <c r="J1188" s="5" t="s">
        <v>1096</v>
      </c>
      <c r="K1188" s="8"/>
    </row>
    <row r="1189" spans="1:11" x14ac:dyDescent="0.2">
      <c r="A1189" s="8">
        <v>1188</v>
      </c>
      <c r="B1189" s="8">
        <f t="shared" si="38"/>
        <v>2021</v>
      </c>
      <c r="C1189" s="8">
        <f t="shared" si="39"/>
        <v>11</v>
      </c>
      <c r="D1189" s="85">
        <v>44503</v>
      </c>
      <c r="E1189" s="31">
        <v>0</v>
      </c>
      <c r="F1189" s="31">
        <v>50000</v>
      </c>
      <c r="G1189" s="31">
        <v>0</v>
      </c>
      <c r="H1189" s="31">
        <v>0</v>
      </c>
      <c r="I1189" s="31" t="s">
        <v>85</v>
      </c>
      <c r="J1189" s="5" t="s">
        <v>1097</v>
      </c>
      <c r="K1189" s="8"/>
    </row>
    <row r="1190" spans="1:11" x14ac:dyDescent="0.2">
      <c r="A1190" s="8">
        <v>1189</v>
      </c>
      <c r="B1190" s="8">
        <f t="shared" si="38"/>
        <v>2021</v>
      </c>
      <c r="C1190" s="8">
        <f t="shared" si="39"/>
        <v>11</v>
      </c>
      <c r="D1190" s="85">
        <v>44503</v>
      </c>
      <c r="E1190" s="31">
        <v>0</v>
      </c>
      <c r="F1190" s="31">
        <v>12000</v>
      </c>
      <c r="G1190" s="31">
        <v>0</v>
      </c>
      <c r="H1190" s="31">
        <v>0</v>
      </c>
      <c r="I1190" s="31" t="s">
        <v>85</v>
      </c>
      <c r="J1190" s="5" t="s">
        <v>1098</v>
      </c>
      <c r="K1190" s="8"/>
    </row>
    <row r="1191" spans="1:11" x14ac:dyDescent="0.2">
      <c r="A1191" s="8">
        <v>1190</v>
      </c>
      <c r="B1191" s="8">
        <f t="shared" si="38"/>
        <v>2021</v>
      </c>
      <c r="C1191" s="8">
        <f t="shared" si="39"/>
        <v>11</v>
      </c>
      <c r="D1191" s="85">
        <v>44504</v>
      </c>
      <c r="E1191" s="31">
        <v>0</v>
      </c>
      <c r="F1191" s="31">
        <v>30000</v>
      </c>
      <c r="G1191" s="31">
        <v>0</v>
      </c>
      <c r="H1191" s="31">
        <v>0</v>
      </c>
      <c r="I1191" s="31" t="s">
        <v>300</v>
      </c>
      <c r="J1191" s="5" t="s">
        <v>651</v>
      </c>
      <c r="K1191" s="8"/>
    </row>
    <row r="1192" spans="1:11" x14ac:dyDescent="0.2">
      <c r="A1192" s="8">
        <v>1191</v>
      </c>
      <c r="B1192" s="8">
        <f t="shared" si="38"/>
        <v>2021</v>
      </c>
      <c r="C1192" s="8">
        <f t="shared" si="39"/>
        <v>11</v>
      </c>
      <c r="D1192" s="85">
        <v>44504</v>
      </c>
      <c r="E1192" s="31">
        <v>0</v>
      </c>
      <c r="F1192" s="31">
        <v>100800</v>
      </c>
      <c r="G1192" s="31">
        <v>0</v>
      </c>
      <c r="H1192" s="31">
        <v>0</v>
      </c>
      <c r="I1192" s="31" t="s">
        <v>85</v>
      </c>
      <c r="J1192" s="5" t="s">
        <v>1099</v>
      </c>
      <c r="K1192" s="8" t="s">
        <v>1018</v>
      </c>
    </row>
    <row r="1193" spans="1:11" x14ac:dyDescent="0.2">
      <c r="A1193" s="8">
        <v>1192</v>
      </c>
      <c r="B1193" s="8">
        <f t="shared" si="38"/>
        <v>2021</v>
      </c>
      <c r="C1193" s="8">
        <f t="shared" si="39"/>
        <v>11</v>
      </c>
      <c r="D1193" s="85">
        <v>44504</v>
      </c>
      <c r="E1193" s="31">
        <v>0</v>
      </c>
      <c r="F1193" s="31">
        <v>50000</v>
      </c>
      <c r="G1193" s="31">
        <v>0</v>
      </c>
      <c r="H1193" s="31">
        <v>0</v>
      </c>
      <c r="I1193" s="31" t="s">
        <v>85</v>
      </c>
      <c r="J1193" s="5" t="s">
        <v>1095</v>
      </c>
      <c r="K1193" s="8"/>
    </row>
    <row r="1194" spans="1:11" x14ac:dyDescent="0.2">
      <c r="A1194" s="8">
        <v>1193</v>
      </c>
      <c r="B1194" s="8">
        <f t="shared" si="38"/>
        <v>2021</v>
      </c>
      <c r="C1194" s="8">
        <f t="shared" si="39"/>
        <v>11</v>
      </c>
      <c r="D1194" s="85">
        <v>44505</v>
      </c>
      <c r="E1194" s="31">
        <v>0</v>
      </c>
      <c r="F1194" s="31">
        <v>200000</v>
      </c>
      <c r="G1194" s="31">
        <v>0</v>
      </c>
      <c r="H1194" s="31">
        <v>0</v>
      </c>
      <c r="I1194" s="31" t="s">
        <v>85</v>
      </c>
      <c r="J1194" s="5" t="s">
        <v>1100</v>
      </c>
      <c r="K1194" s="8"/>
    </row>
    <row r="1195" spans="1:11" x14ac:dyDescent="0.2">
      <c r="A1195" s="8">
        <v>1194</v>
      </c>
      <c r="B1195" s="8">
        <f t="shared" si="38"/>
        <v>2021</v>
      </c>
      <c r="C1195" s="8">
        <f t="shared" si="39"/>
        <v>11</v>
      </c>
      <c r="D1195" s="85">
        <v>44505</v>
      </c>
      <c r="E1195" s="31">
        <v>0</v>
      </c>
      <c r="F1195" s="31">
        <v>1200000</v>
      </c>
      <c r="G1195" s="31">
        <v>0</v>
      </c>
      <c r="H1195" s="31">
        <v>0</v>
      </c>
      <c r="I1195" s="31" t="s">
        <v>92</v>
      </c>
      <c r="J1195" s="5" t="s">
        <v>198</v>
      </c>
      <c r="K1195" s="8"/>
    </row>
    <row r="1196" spans="1:11" x14ac:dyDescent="0.2">
      <c r="A1196" s="8">
        <v>1195</v>
      </c>
      <c r="B1196" s="8">
        <f t="shared" si="38"/>
        <v>2021</v>
      </c>
      <c r="C1196" s="8">
        <f t="shared" si="39"/>
        <v>11</v>
      </c>
      <c r="D1196" s="85">
        <v>44506</v>
      </c>
      <c r="E1196" s="31">
        <v>0</v>
      </c>
      <c r="F1196" s="31">
        <v>50000</v>
      </c>
      <c r="G1196" s="31">
        <v>0</v>
      </c>
      <c r="H1196" s="31">
        <v>0</v>
      </c>
      <c r="I1196" s="31" t="s">
        <v>85</v>
      </c>
      <c r="J1196" s="5"/>
      <c r="K1196" s="8"/>
    </row>
    <row r="1197" spans="1:11" x14ac:dyDescent="0.2">
      <c r="A1197" s="8">
        <v>1196</v>
      </c>
      <c r="B1197" s="8">
        <f t="shared" si="38"/>
        <v>2021</v>
      </c>
      <c r="C1197" s="8">
        <f t="shared" si="39"/>
        <v>11</v>
      </c>
      <c r="D1197" s="85">
        <v>44507</v>
      </c>
      <c r="E1197" s="31">
        <v>0</v>
      </c>
      <c r="F1197" s="31">
        <v>600000</v>
      </c>
      <c r="G1197" s="31">
        <v>0</v>
      </c>
      <c r="H1197" s="31">
        <v>0</v>
      </c>
      <c r="I1197" s="31" t="s">
        <v>316</v>
      </c>
      <c r="J1197" s="5" t="s">
        <v>316</v>
      </c>
      <c r="K1197" s="8"/>
    </row>
    <row r="1198" spans="1:11" x14ac:dyDescent="0.2">
      <c r="A1198" s="8">
        <v>1197</v>
      </c>
      <c r="B1198" s="8">
        <f t="shared" si="38"/>
        <v>2021</v>
      </c>
      <c r="C1198" s="8">
        <f t="shared" si="39"/>
        <v>11</v>
      </c>
      <c r="D1198" s="85">
        <v>44507</v>
      </c>
      <c r="E1198" s="31">
        <v>0</v>
      </c>
      <c r="F1198" s="31">
        <v>8500</v>
      </c>
      <c r="G1198" s="31">
        <v>0</v>
      </c>
      <c r="H1198" s="31">
        <v>0</v>
      </c>
      <c r="I1198" s="31" t="s">
        <v>300</v>
      </c>
      <c r="J1198" s="5" t="s">
        <v>89</v>
      </c>
      <c r="K1198" s="8"/>
    </row>
    <row r="1199" spans="1:11" x14ac:dyDescent="0.2">
      <c r="A1199" s="8">
        <v>1198</v>
      </c>
      <c r="B1199" s="8">
        <f t="shared" si="38"/>
        <v>2021</v>
      </c>
      <c r="C1199" s="8">
        <f t="shared" si="39"/>
        <v>11</v>
      </c>
      <c r="D1199" s="85">
        <v>44507</v>
      </c>
      <c r="E1199" s="31">
        <v>0</v>
      </c>
      <c r="F1199" s="31">
        <v>50000</v>
      </c>
      <c r="G1199" s="31">
        <v>0</v>
      </c>
      <c r="H1199" s="31">
        <v>0</v>
      </c>
      <c r="I1199" s="31" t="s">
        <v>85</v>
      </c>
      <c r="J1199" s="5" t="s">
        <v>1101</v>
      </c>
      <c r="K1199" s="8"/>
    </row>
    <row r="1200" spans="1:11" x14ac:dyDescent="0.2">
      <c r="A1200" s="8">
        <v>1199</v>
      </c>
      <c r="B1200" s="8">
        <f t="shared" si="38"/>
        <v>2021</v>
      </c>
      <c r="C1200" s="8">
        <f t="shared" si="39"/>
        <v>11</v>
      </c>
      <c r="D1200" s="85">
        <v>44508</v>
      </c>
      <c r="E1200" s="31">
        <v>0</v>
      </c>
      <c r="F1200" s="31">
        <v>380000</v>
      </c>
      <c r="G1200" s="31">
        <v>0</v>
      </c>
      <c r="H1200" s="31">
        <v>0</v>
      </c>
      <c r="I1200" s="31" t="s">
        <v>300</v>
      </c>
      <c r="J1200" s="5" t="s">
        <v>445</v>
      </c>
      <c r="K1200" s="8"/>
    </row>
    <row r="1201" spans="1:11" x14ac:dyDescent="0.2">
      <c r="A1201" s="8">
        <v>1200</v>
      </c>
      <c r="B1201" s="8">
        <f t="shared" si="38"/>
        <v>2021</v>
      </c>
      <c r="C1201" s="8">
        <f t="shared" si="39"/>
        <v>11</v>
      </c>
      <c r="D1201" s="85">
        <v>44509</v>
      </c>
      <c r="E1201" s="31">
        <v>0</v>
      </c>
      <c r="F1201" s="31">
        <v>30000</v>
      </c>
      <c r="G1201" s="31">
        <v>0</v>
      </c>
      <c r="H1201" s="31">
        <v>0</v>
      </c>
      <c r="I1201" s="31" t="s">
        <v>300</v>
      </c>
      <c r="J1201" s="5" t="s">
        <v>91</v>
      </c>
      <c r="K1201" s="8"/>
    </row>
    <row r="1202" spans="1:11" x14ac:dyDescent="0.2">
      <c r="A1202" s="8">
        <v>1201</v>
      </c>
      <c r="B1202" s="8">
        <f t="shared" si="38"/>
        <v>2021</v>
      </c>
      <c r="C1202" s="8">
        <f t="shared" si="39"/>
        <v>11</v>
      </c>
      <c r="D1202" s="85">
        <v>44510</v>
      </c>
      <c r="E1202" s="31">
        <v>0</v>
      </c>
      <c r="F1202" s="31">
        <v>15000</v>
      </c>
      <c r="G1202" s="31">
        <v>0</v>
      </c>
      <c r="H1202" s="31">
        <v>0</v>
      </c>
      <c r="I1202" s="31" t="s">
        <v>300</v>
      </c>
      <c r="J1202" s="5" t="s">
        <v>91</v>
      </c>
      <c r="K1202" s="8"/>
    </row>
    <row r="1203" spans="1:11" x14ac:dyDescent="0.2">
      <c r="A1203" s="8">
        <v>1202</v>
      </c>
      <c r="B1203" s="8">
        <f t="shared" si="38"/>
        <v>2021</v>
      </c>
      <c r="C1203" s="8">
        <f t="shared" si="39"/>
        <v>11</v>
      </c>
      <c r="D1203" s="85">
        <v>44511</v>
      </c>
      <c r="E1203" s="31">
        <v>0</v>
      </c>
      <c r="F1203" s="31">
        <v>109000</v>
      </c>
      <c r="G1203" s="31">
        <v>0</v>
      </c>
      <c r="H1203" s="31">
        <v>0</v>
      </c>
      <c r="I1203" s="31" t="s">
        <v>83</v>
      </c>
      <c r="J1203" s="5" t="s">
        <v>299</v>
      </c>
      <c r="K1203" s="8"/>
    </row>
    <row r="1204" spans="1:11" x14ac:dyDescent="0.2">
      <c r="A1204" s="8">
        <v>1203</v>
      </c>
      <c r="B1204" s="8">
        <f t="shared" si="38"/>
        <v>2021</v>
      </c>
      <c r="C1204" s="8">
        <f t="shared" si="39"/>
        <v>11</v>
      </c>
      <c r="D1204" s="85">
        <v>44511</v>
      </c>
      <c r="E1204" s="31">
        <v>0</v>
      </c>
      <c r="F1204" s="31">
        <v>13000</v>
      </c>
      <c r="G1204" s="31">
        <v>0</v>
      </c>
      <c r="H1204" s="31">
        <v>0</v>
      </c>
      <c r="I1204" s="31" t="s">
        <v>83</v>
      </c>
      <c r="J1204" s="5" t="s">
        <v>1102</v>
      </c>
      <c r="K1204" s="8"/>
    </row>
    <row r="1205" spans="1:11" x14ac:dyDescent="0.2">
      <c r="A1205" s="8">
        <v>1204</v>
      </c>
      <c r="B1205" s="8">
        <f t="shared" si="38"/>
        <v>2021</v>
      </c>
      <c r="C1205" s="8">
        <f t="shared" si="39"/>
        <v>11</v>
      </c>
      <c r="D1205" s="85">
        <v>44511</v>
      </c>
      <c r="E1205" s="31">
        <v>0</v>
      </c>
      <c r="F1205" s="31">
        <v>0</v>
      </c>
      <c r="G1205" s="31">
        <v>0</v>
      </c>
      <c r="H1205" s="31">
        <v>940000</v>
      </c>
      <c r="I1205" s="31" t="s">
        <v>74</v>
      </c>
      <c r="J1205" s="5" t="s">
        <v>1103</v>
      </c>
      <c r="K1205" s="8"/>
    </row>
    <row r="1206" spans="1:11" ht="14.25" customHeight="1" x14ac:dyDescent="0.2">
      <c r="A1206" s="8">
        <v>1205</v>
      </c>
      <c r="B1206" s="8">
        <f t="shared" si="38"/>
        <v>2021</v>
      </c>
      <c r="C1206" s="8">
        <f t="shared" si="39"/>
        <v>11</v>
      </c>
      <c r="D1206" s="85">
        <v>44511</v>
      </c>
      <c r="E1206" s="31">
        <v>0</v>
      </c>
      <c r="F1206" s="31">
        <v>0</v>
      </c>
      <c r="G1206" s="31">
        <v>0</v>
      </c>
      <c r="H1206" s="31">
        <v>340000</v>
      </c>
      <c r="I1206" s="31" t="s">
        <v>74</v>
      </c>
      <c r="J1206" s="5" t="s">
        <v>1103</v>
      </c>
      <c r="K1206" s="8"/>
    </row>
    <row r="1207" spans="1:11" ht="14.25" customHeight="1" x14ac:dyDescent="0.2">
      <c r="A1207" s="8">
        <v>1206</v>
      </c>
      <c r="B1207" s="8">
        <f t="shared" si="38"/>
        <v>2021</v>
      </c>
      <c r="C1207" s="8">
        <f t="shared" si="39"/>
        <v>11</v>
      </c>
      <c r="D1207" s="85">
        <v>44511</v>
      </c>
      <c r="E1207" s="31">
        <v>0</v>
      </c>
      <c r="F1207" s="31">
        <v>10000</v>
      </c>
      <c r="G1207" s="31">
        <v>0</v>
      </c>
      <c r="H1207" s="31">
        <v>0</v>
      </c>
      <c r="I1207" s="31" t="s">
        <v>85</v>
      </c>
      <c r="J1207" s="5" t="s">
        <v>904</v>
      </c>
      <c r="K1207" s="8"/>
    </row>
    <row r="1208" spans="1:11" ht="14.25" customHeight="1" x14ac:dyDescent="0.2">
      <c r="A1208" s="8">
        <v>1207</v>
      </c>
      <c r="B1208" s="8">
        <f t="shared" si="38"/>
        <v>2021</v>
      </c>
      <c r="C1208" s="8">
        <f t="shared" si="39"/>
        <v>11</v>
      </c>
      <c r="D1208" s="85">
        <v>44511</v>
      </c>
      <c r="E1208" s="31">
        <v>0</v>
      </c>
      <c r="F1208" s="31">
        <v>5000</v>
      </c>
      <c r="G1208" s="31">
        <v>0</v>
      </c>
      <c r="H1208" s="31">
        <v>0</v>
      </c>
      <c r="I1208" s="31" t="s">
        <v>85</v>
      </c>
      <c r="J1208" s="5" t="s">
        <v>1104</v>
      </c>
      <c r="K1208" s="8"/>
    </row>
    <row r="1209" spans="1:11" ht="14.25" customHeight="1" x14ac:dyDescent="0.2">
      <c r="A1209" s="8">
        <v>1208</v>
      </c>
      <c r="B1209" s="8">
        <f t="shared" si="38"/>
        <v>2021</v>
      </c>
      <c r="C1209" s="8">
        <f t="shared" si="39"/>
        <v>11</v>
      </c>
      <c r="D1209" s="85">
        <v>44513</v>
      </c>
      <c r="E1209" s="31">
        <v>0</v>
      </c>
      <c r="F1209" s="31">
        <v>60000</v>
      </c>
      <c r="G1209" s="31">
        <v>0</v>
      </c>
      <c r="H1209" s="31">
        <v>0</v>
      </c>
      <c r="I1209" s="31" t="s">
        <v>85</v>
      </c>
      <c r="J1209" s="5" t="s">
        <v>1105</v>
      </c>
      <c r="K1209" s="8"/>
    </row>
    <row r="1210" spans="1:11" ht="14.25" customHeight="1" x14ac:dyDescent="0.2">
      <c r="A1210" s="8">
        <v>1209</v>
      </c>
      <c r="B1210" s="8">
        <f t="shared" si="38"/>
        <v>2021</v>
      </c>
      <c r="C1210" s="8">
        <f t="shared" si="39"/>
        <v>11</v>
      </c>
      <c r="D1210" s="85">
        <v>44513</v>
      </c>
      <c r="E1210" s="31">
        <v>0</v>
      </c>
      <c r="F1210" s="31">
        <v>40000</v>
      </c>
      <c r="G1210" s="31">
        <v>0</v>
      </c>
      <c r="H1210" s="31">
        <v>0</v>
      </c>
      <c r="I1210" s="115" t="s">
        <v>99</v>
      </c>
      <c r="J1210" s="5" t="s">
        <v>1106</v>
      </c>
      <c r="K1210" s="8"/>
    </row>
    <row r="1211" spans="1:11" ht="14.25" customHeight="1" x14ac:dyDescent="0.2">
      <c r="A1211" s="8">
        <v>1210</v>
      </c>
      <c r="B1211" s="8">
        <f t="shared" si="38"/>
        <v>2021</v>
      </c>
      <c r="C1211" s="8">
        <f t="shared" si="39"/>
        <v>11</v>
      </c>
      <c r="D1211" s="85">
        <v>44512</v>
      </c>
      <c r="E1211" s="31">
        <v>0</v>
      </c>
      <c r="F1211" s="31">
        <v>50000</v>
      </c>
      <c r="G1211" s="31">
        <v>0</v>
      </c>
      <c r="H1211" s="31">
        <v>0</v>
      </c>
      <c r="I1211" s="31" t="s">
        <v>85</v>
      </c>
      <c r="J1211" s="5" t="s">
        <v>1107</v>
      </c>
      <c r="K1211" s="8"/>
    </row>
    <row r="1212" spans="1:11" ht="14.25" customHeight="1" x14ac:dyDescent="0.2">
      <c r="A1212" s="8">
        <v>1211</v>
      </c>
      <c r="B1212" s="8">
        <f t="shared" si="38"/>
        <v>2021</v>
      </c>
      <c r="C1212" s="8">
        <f t="shared" si="39"/>
        <v>11</v>
      </c>
      <c r="D1212" s="85">
        <v>44512</v>
      </c>
      <c r="E1212" s="31">
        <v>0</v>
      </c>
      <c r="F1212" s="31">
        <v>0</v>
      </c>
      <c r="G1212" s="31">
        <v>0</v>
      </c>
      <c r="H1212" s="31">
        <v>300000</v>
      </c>
      <c r="I1212" s="31" t="s">
        <v>74</v>
      </c>
      <c r="J1212" s="5" t="s">
        <v>1108</v>
      </c>
      <c r="K1212" s="8"/>
    </row>
    <row r="1213" spans="1:11" ht="14.25" customHeight="1" x14ac:dyDescent="0.2">
      <c r="A1213" s="8">
        <v>1212</v>
      </c>
      <c r="B1213" s="8">
        <f t="shared" si="38"/>
        <v>2021</v>
      </c>
      <c r="C1213" s="8">
        <f t="shared" si="39"/>
        <v>11</v>
      </c>
      <c r="D1213" s="85">
        <v>44514</v>
      </c>
      <c r="E1213" s="31">
        <v>0</v>
      </c>
      <c r="F1213" s="31">
        <v>10000</v>
      </c>
      <c r="G1213" s="31">
        <v>0</v>
      </c>
      <c r="H1213" s="31">
        <v>0</v>
      </c>
      <c r="I1213" s="31" t="s">
        <v>99</v>
      </c>
      <c r="J1213" s="5" t="s">
        <v>1109</v>
      </c>
      <c r="K1213" s="8"/>
    </row>
    <row r="1214" spans="1:11" ht="14.25" customHeight="1" x14ac:dyDescent="0.2">
      <c r="A1214" s="8">
        <v>1213</v>
      </c>
      <c r="B1214" s="8">
        <f t="shared" si="38"/>
        <v>2021</v>
      </c>
      <c r="C1214" s="8">
        <f t="shared" si="39"/>
        <v>11</v>
      </c>
      <c r="D1214" s="85">
        <v>44515</v>
      </c>
      <c r="E1214" s="31">
        <v>0</v>
      </c>
      <c r="F1214" s="31">
        <v>26000</v>
      </c>
      <c r="G1214" s="31">
        <v>0</v>
      </c>
      <c r="H1214" s="31">
        <v>0</v>
      </c>
      <c r="I1214" s="31" t="s">
        <v>300</v>
      </c>
      <c r="J1214" s="5" t="s">
        <v>614</v>
      </c>
      <c r="K1214" s="8"/>
    </row>
    <row r="1215" spans="1:11" ht="14.25" customHeight="1" x14ac:dyDescent="0.2">
      <c r="A1215" s="8">
        <v>1214</v>
      </c>
      <c r="B1215" s="8">
        <f t="shared" si="38"/>
        <v>2021</v>
      </c>
      <c r="C1215" s="8">
        <f t="shared" si="39"/>
        <v>11</v>
      </c>
      <c r="D1215" s="85">
        <v>44515</v>
      </c>
      <c r="E1215" s="31">
        <v>0</v>
      </c>
      <c r="F1215" s="31">
        <v>7000</v>
      </c>
      <c r="G1215" s="31">
        <v>0</v>
      </c>
      <c r="H1215" s="31">
        <v>0</v>
      </c>
      <c r="I1215" s="31" t="s">
        <v>85</v>
      </c>
      <c r="J1215" s="5" t="s">
        <v>1110</v>
      </c>
      <c r="K1215" s="8"/>
    </row>
    <row r="1216" spans="1:11" ht="14.25" customHeight="1" x14ac:dyDescent="0.2">
      <c r="A1216" s="8">
        <v>1215</v>
      </c>
      <c r="B1216" s="8">
        <f t="shared" si="38"/>
        <v>2021</v>
      </c>
      <c r="C1216" s="8">
        <f t="shared" si="39"/>
        <v>11</v>
      </c>
      <c r="D1216" s="85">
        <v>44516</v>
      </c>
      <c r="E1216" s="31">
        <v>0</v>
      </c>
      <c r="F1216" s="31">
        <v>300000</v>
      </c>
      <c r="G1216" s="31">
        <v>0</v>
      </c>
      <c r="H1216" s="31">
        <v>0</v>
      </c>
      <c r="I1216" s="31" t="s">
        <v>390</v>
      </c>
      <c r="J1216" s="5" t="s">
        <v>253</v>
      </c>
      <c r="K1216" s="8"/>
    </row>
    <row r="1217" spans="1:11" ht="14.25" customHeight="1" x14ac:dyDescent="0.2">
      <c r="A1217" s="8">
        <v>1216</v>
      </c>
      <c r="B1217" s="8">
        <f t="shared" si="38"/>
        <v>2021</v>
      </c>
      <c r="C1217" s="8">
        <f t="shared" si="39"/>
        <v>11</v>
      </c>
      <c r="D1217" s="85">
        <v>44516</v>
      </c>
      <c r="E1217" s="31">
        <v>0</v>
      </c>
      <c r="F1217" s="31">
        <v>150000</v>
      </c>
      <c r="G1217" s="31">
        <v>0</v>
      </c>
      <c r="H1217" s="31">
        <v>0</v>
      </c>
      <c r="I1217" s="31" t="s">
        <v>390</v>
      </c>
      <c r="J1217" s="5" t="s">
        <v>779</v>
      </c>
      <c r="K1217" s="8"/>
    </row>
    <row r="1218" spans="1:11" ht="14.25" customHeight="1" x14ac:dyDescent="0.2">
      <c r="A1218" s="8">
        <v>1217</v>
      </c>
      <c r="B1218" s="8">
        <f t="shared" si="38"/>
        <v>2021</v>
      </c>
      <c r="C1218" s="8">
        <f t="shared" si="39"/>
        <v>11</v>
      </c>
      <c r="D1218" s="85">
        <v>44516</v>
      </c>
      <c r="E1218" s="31">
        <v>0</v>
      </c>
      <c r="F1218" s="31">
        <v>30000</v>
      </c>
      <c r="G1218" s="31">
        <v>0</v>
      </c>
      <c r="H1218" s="31">
        <v>0</v>
      </c>
      <c r="I1218" s="31" t="s">
        <v>85</v>
      </c>
      <c r="J1218" s="5" t="s">
        <v>1111</v>
      </c>
      <c r="K1218" s="8"/>
    </row>
    <row r="1219" spans="1:11" ht="14.25" customHeight="1" x14ac:dyDescent="0.2">
      <c r="A1219" s="8">
        <v>1218</v>
      </c>
      <c r="B1219" s="8">
        <f t="shared" si="38"/>
        <v>2021</v>
      </c>
      <c r="C1219" s="8">
        <f t="shared" si="39"/>
        <v>11</v>
      </c>
      <c r="D1219" s="85">
        <v>44517</v>
      </c>
      <c r="E1219" s="31">
        <v>0</v>
      </c>
      <c r="F1219" s="31">
        <v>30000</v>
      </c>
      <c r="G1219" s="31">
        <v>0</v>
      </c>
      <c r="H1219" s="31">
        <v>0</v>
      </c>
      <c r="I1219" s="31" t="s">
        <v>99</v>
      </c>
      <c r="J1219" s="5" t="s">
        <v>1112</v>
      </c>
      <c r="K1219" s="8"/>
    </row>
    <row r="1220" spans="1:11" ht="14.25" customHeight="1" x14ac:dyDescent="0.2">
      <c r="A1220" s="8">
        <v>1219</v>
      </c>
      <c r="B1220" s="8">
        <f t="shared" si="38"/>
        <v>2021</v>
      </c>
      <c r="C1220" s="8">
        <f t="shared" si="39"/>
        <v>11</v>
      </c>
      <c r="D1220" s="85">
        <v>44518</v>
      </c>
      <c r="E1220" s="31">
        <v>0</v>
      </c>
      <c r="F1220" s="31">
        <v>25000</v>
      </c>
      <c r="G1220" s="31">
        <v>0</v>
      </c>
      <c r="H1220" s="31">
        <v>0</v>
      </c>
      <c r="I1220" s="31" t="s">
        <v>85</v>
      </c>
      <c r="J1220" s="5" t="s">
        <v>1113</v>
      </c>
      <c r="K1220" s="8"/>
    </row>
    <row r="1221" spans="1:11" ht="14.25" customHeight="1" x14ac:dyDescent="0.2">
      <c r="A1221" s="8">
        <v>1220</v>
      </c>
      <c r="B1221" s="8">
        <f t="shared" si="38"/>
        <v>2021</v>
      </c>
      <c r="C1221" s="8">
        <f t="shared" si="39"/>
        <v>11</v>
      </c>
      <c r="D1221" s="85">
        <v>44518</v>
      </c>
      <c r="E1221" s="31">
        <v>0</v>
      </c>
      <c r="F1221" s="31">
        <v>50000</v>
      </c>
      <c r="G1221" s="31">
        <v>0</v>
      </c>
      <c r="H1221" s="31">
        <v>0</v>
      </c>
      <c r="I1221" s="114" t="s">
        <v>1114</v>
      </c>
      <c r="J1221" s="5" t="s">
        <v>1115</v>
      </c>
      <c r="K1221" s="8"/>
    </row>
    <row r="1222" spans="1:11" x14ac:dyDescent="0.2">
      <c r="A1222" s="8">
        <v>1221</v>
      </c>
      <c r="B1222" s="8">
        <f t="shared" ref="B1222:B1285" si="40">YEAR(D1222)</f>
        <v>2021</v>
      </c>
      <c r="C1222" s="8">
        <f t="shared" ref="C1222:C1285" si="41">MONTH(D1222)</f>
        <v>11</v>
      </c>
      <c r="D1222" s="85">
        <v>44510</v>
      </c>
      <c r="E1222" s="31">
        <v>0</v>
      </c>
      <c r="F1222" s="31">
        <v>14000</v>
      </c>
      <c r="G1222" s="31">
        <v>0</v>
      </c>
      <c r="H1222" s="31">
        <v>0</v>
      </c>
      <c r="I1222" s="114" t="s">
        <v>1114</v>
      </c>
      <c r="J1222" s="5" t="s">
        <v>1116</v>
      </c>
      <c r="K1222" s="8"/>
    </row>
    <row r="1223" spans="1:11" x14ac:dyDescent="0.2">
      <c r="A1223" s="8">
        <v>1222</v>
      </c>
      <c r="B1223" s="8">
        <f t="shared" si="40"/>
        <v>2021</v>
      </c>
      <c r="C1223" s="8">
        <f t="shared" si="41"/>
        <v>11</v>
      </c>
      <c r="D1223" s="85">
        <v>44509</v>
      </c>
      <c r="E1223" s="31">
        <v>0</v>
      </c>
      <c r="F1223" s="31">
        <v>30000</v>
      </c>
      <c r="G1223" s="31">
        <v>0</v>
      </c>
      <c r="H1223" s="31">
        <v>0</v>
      </c>
      <c r="I1223" s="114" t="s">
        <v>1114</v>
      </c>
      <c r="J1223" s="5" t="s">
        <v>1117</v>
      </c>
      <c r="K1223" s="8"/>
    </row>
    <row r="1224" spans="1:11" ht="14.25" customHeight="1" x14ac:dyDescent="0.2">
      <c r="A1224" s="8">
        <v>1223</v>
      </c>
      <c r="B1224" s="8">
        <f t="shared" si="40"/>
        <v>2021</v>
      </c>
      <c r="C1224" s="8">
        <f t="shared" si="41"/>
        <v>11</v>
      </c>
      <c r="D1224" s="85">
        <v>44511</v>
      </c>
      <c r="E1224" s="31">
        <v>0</v>
      </c>
      <c r="F1224" s="31">
        <v>50000</v>
      </c>
      <c r="G1224" s="31">
        <v>0</v>
      </c>
      <c r="H1224" s="31">
        <v>0</v>
      </c>
      <c r="I1224" s="114" t="s">
        <v>1114</v>
      </c>
      <c r="J1224" s="5" t="s">
        <v>1118</v>
      </c>
      <c r="K1224" s="8"/>
    </row>
    <row r="1225" spans="1:11" x14ac:dyDescent="0.2">
      <c r="A1225" s="8">
        <v>1224</v>
      </c>
      <c r="B1225" s="8">
        <f t="shared" si="40"/>
        <v>2021</v>
      </c>
      <c r="C1225" s="8">
        <f t="shared" si="41"/>
        <v>11</v>
      </c>
      <c r="D1225" s="85">
        <v>44518</v>
      </c>
      <c r="E1225" s="31">
        <v>0</v>
      </c>
      <c r="F1225" s="31">
        <v>70000</v>
      </c>
      <c r="G1225" s="31">
        <v>0</v>
      </c>
      <c r="H1225" s="31">
        <v>0</v>
      </c>
      <c r="I1225" s="114" t="s">
        <v>1114</v>
      </c>
      <c r="J1225" s="5" t="s">
        <v>1119</v>
      </c>
      <c r="K1225" s="8"/>
    </row>
    <row r="1226" spans="1:11" x14ac:dyDescent="0.2">
      <c r="A1226" s="8">
        <v>1225</v>
      </c>
      <c r="B1226" s="8">
        <f t="shared" si="40"/>
        <v>2021</v>
      </c>
      <c r="C1226" s="8">
        <f t="shared" si="41"/>
        <v>11</v>
      </c>
      <c r="D1226" s="85">
        <v>44507</v>
      </c>
      <c r="E1226" s="31">
        <v>0</v>
      </c>
      <c r="F1226" s="31">
        <v>650000</v>
      </c>
      <c r="G1226" s="31">
        <v>0</v>
      </c>
      <c r="H1226" s="31">
        <v>0</v>
      </c>
      <c r="I1226" s="114" t="s">
        <v>1114</v>
      </c>
      <c r="J1226" s="5" t="s">
        <v>1120</v>
      </c>
      <c r="K1226" s="8"/>
    </row>
    <row r="1227" spans="1:11" ht="14.25" customHeight="1" x14ac:dyDescent="0.2">
      <c r="A1227" s="8">
        <v>1226</v>
      </c>
      <c r="B1227" s="8">
        <f t="shared" si="40"/>
        <v>2021</v>
      </c>
      <c r="C1227" s="8">
        <f t="shared" si="41"/>
        <v>11</v>
      </c>
      <c r="D1227" s="85">
        <v>44515</v>
      </c>
      <c r="E1227" s="31">
        <v>0</v>
      </c>
      <c r="F1227" s="31">
        <v>89000</v>
      </c>
      <c r="G1227" s="31">
        <v>0</v>
      </c>
      <c r="H1227" s="31">
        <v>0</v>
      </c>
      <c r="I1227" s="114" t="s">
        <v>1114</v>
      </c>
      <c r="J1227" s="5" t="s">
        <v>661</v>
      </c>
      <c r="K1227" s="8"/>
    </row>
    <row r="1228" spans="1:11" x14ac:dyDescent="0.2">
      <c r="A1228" s="8">
        <v>1227</v>
      </c>
      <c r="B1228" s="8">
        <f t="shared" si="40"/>
        <v>2021</v>
      </c>
      <c r="C1228" s="8">
        <f t="shared" si="41"/>
        <v>11</v>
      </c>
      <c r="D1228" s="85">
        <v>44511</v>
      </c>
      <c r="E1228" s="31">
        <v>0</v>
      </c>
      <c r="F1228" s="31">
        <v>100000</v>
      </c>
      <c r="G1228" s="31">
        <v>0</v>
      </c>
      <c r="H1228" s="31">
        <v>0</v>
      </c>
      <c r="I1228" s="114" t="s">
        <v>1114</v>
      </c>
      <c r="J1228" s="5" t="s">
        <v>1121</v>
      </c>
      <c r="K1228" s="8"/>
    </row>
    <row r="1229" spans="1:11" x14ac:dyDescent="0.2">
      <c r="A1229" s="8">
        <v>1228</v>
      </c>
      <c r="B1229" s="8">
        <f t="shared" si="40"/>
        <v>2021</v>
      </c>
      <c r="C1229" s="8">
        <f t="shared" si="41"/>
        <v>11</v>
      </c>
      <c r="D1229" s="85">
        <v>44510</v>
      </c>
      <c r="E1229" s="31">
        <v>0</v>
      </c>
      <c r="F1229" s="31">
        <v>360000</v>
      </c>
      <c r="G1229" s="31">
        <v>0</v>
      </c>
      <c r="H1229" s="31">
        <v>0</v>
      </c>
      <c r="I1229" s="114" t="s">
        <v>1114</v>
      </c>
      <c r="J1229" s="5" t="s">
        <v>1122</v>
      </c>
      <c r="K1229" s="8"/>
    </row>
    <row r="1230" spans="1:11" x14ac:dyDescent="0.2">
      <c r="A1230" s="8">
        <v>1229</v>
      </c>
      <c r="B1230" s="8">
        <f t="shared" si="40"/>
        <v>2021</v>
      </c>
      <c r="C1230" s="8">
        <f t="shared" si="41"/>
        <v>11</v>
      </c>
      <c r="D1230" s="85">
        <v>44507</v>
      </c>
      <c r="E1230" s="31">
        <v>0</v>
      </c>
      <c r="F1230" s="31">
        <v>180000</v>
      </c>
      <c r="G1230" s="31">
        <v>0</v>
      </c>
      <c r="H1230" s="31">
        <v>0</v>
      </c>
      <c r="I1230" s="114" t="s">
        <v>1114</v>
      </c>
      <c r="J1230" s="5" t="s">
        <v>1123</v>
      </c>
      <c r="K1230" s="8"/>
    </row>
    <row r="1231" spans="1:11" x14ac:dyDescent="0.2">
      <c r="A1231" s="8">
        <v>1230</v>
      </c>
      <c r="B1231" s="8">
        <f t="shared" si="40"/>
        <v>2021</v>
      </c>
      <c r="C1231" s="8">
        <f t="shared" si="41"/>
        <v>11</v>
      </c>
      <c r="D1231" s="85">
        <v>44507</v>
      </c>
      <c r="E1231" s="31">
        <v>0</v>
      </c>
      <c r="F1231" s="31">
        <v>100000</v>
      </c>
      <c r="G1231" s="31">
        <v>0</v>
      </c>
      <c r="H1231" s="31">
        <v>0</v>
      </c>
      <c r="I1231" s="114" t="s">
        <v>1114</v>
      </c>
      <c r="J1231" s="5" t="s">
        <v>1124</v>
      </c>
      <c r="K1231" s="8"/>
    </row>
    <row r="1232" spans="1:11" x14ac:dyDescent="0.2">
      <c r="A1232" s="8">
        <v>1231</v>
      </c>
      <c r="B1232" s="8">
        <f t="shared" si="40"/>
        <v>2021</v>
      </c>
      <c r="C1232" s="8">
        <f t="shared" si="41"/>
        <v>11</v>
      </c>
      <c r="D1232" s="85">
        <v>44507</v>
      </c>
      <c r="E1232" s="31">
        <v>0</v>
      </c>
      <c r="F1232" s="31">
        <v>70000</v>
      </c>
      <c r="G1232" s="31">
        <v>0</v>
      </c>
      <c r="H1232" s="31">
        <v>0</v>
      </c>
      <c r="I1232" s="114" t="s">
        <v>1114</v>
      </c>
      <c r="J1232" s="5" t="s">
        <v>1125</v>
      </c>
      <c r="K1232" s="8"/>
    </row>
    <row r="1233" spans="1:11" x14ac:dyDescent="0.2">
      <c r="A1233" s="8">
        <v>1232</v>
      </c>
      <c r="B1233" s="8">
        <f t="shared" si="40"/>
        <v>2021</v>
      </c>
      <c r="C1233" s="8">
        <f t="shared" si="41"/>
        <v>11</v>
      </c>
      <c r="D1233" s="85">
        <v>44506</v>
      </c>
      <c r="E1233" s="31">
        <v>0</v>
      </c>
      <c r="F1233" s="31">
        <v>830000</v>
      </c>
      <c r="G1233" s="31">
        <v>0</v>
      </c>
      <c r="H1233" s="31">
        <v>0</v>
      </c>
      <c r="I1233" s="114" t="s">
        <v>1114</v>
      </c>
      <c r="J1233" s="5" t="s">
        <v>1126</v>
      </c>
      <c r="K1233" s="8"/>
    </row>
    <row r="1234" spans="1:11" x14ac:dyDescent="0.2">
      <c r="A1234" s="8">
        <v>1233</v>
      </c>
      <c r="B1234" s="8">
        <f t="shared" si="40"/>
        <v>2021</v>
      </c>
      <c r="C1234" s="8">
        <f t="shared" si="41"/>
        <v>11</v>
      </c>
      <c r="D1234" s="85">
        <v>44506</v>
      </c>
      <c r="E1234" s="31">
        <v>0</v>
      </c>
      <c r="F1234" s="31">
        <v>52000</v>
      </c>
      <c r="G1234" s="31">
        <v>0</v>
      </c>
      <c r="H1234" s="31">
        <v>0</v>
      </c>
      <c r="I1234" s="114" t="s">
        <v>1114</v>
      </c>
      <c r="J1234" s="5" t="s">
        <v>1127</v>
      </c>
      <c r="K1234" s="8"/>
    </row>
    <row r="1235" spans="1:11" x14ac:dyDescent="0.2">
      <c r="A1235" s="8">
        <v>1234</v>
      </c>
      <c r="B1235" s="8">
        <f t="shared" si="40"/>
        <v>2021</v>
      </c>
      <c r="C1235" s="8">
        <f t="shared" si="41"/>
        <v>11</v>
      </c>
      <c r="D1235" s="85">
        <v>44503</v>
      </c>
      <c r="E1235" s="31">
        <v>0</v>
      </c>
      <c r="F1235" s="31">
        <v>47500</v>
      </c>
      <c r="G1235" s="31">
        <v>0</v>
      </c>
      <c r="H1235" s="31">
        <v>0</v>
      </c>
      <c r="I1235" s="114" t="s">
        <v>1114</v>
      </c>
      <c r="J1235" s="5" t="s">
        <v>1128</v>
      </c>
      <c r="K1235" s="8"/>
    </row>
    <row r="1236" spans="1:11" x14ac:dyDescent="0.2">
      <c r="A1236" s="8">
        <v>1235</v>
      </c>
      <c r="B1236" s="8">
        <f t="shared" si="40"/>
        <v>2021</v>
      </c>
      <c r="C1236" s="8">
        <f t="shared" si="41"/>
        <v>11</v>
      </c>
      <c r="D1236" s="85">
        <v>44503</v>
      </c>
      <c r="E1236" s="31">
        <v>0</v>
      </c>
      <c r="F1236" s="31">
        <v>308400</v>
      </c>
      <c r="G1236" s="31">
        <v>0</v>
      </c>
      <c r="H1236" s="31">
        <v>0</v>
      </c>
      <c r="I1236" s="114" t="s">
        <v>1114</v>
      </c>
      <c r="J1236" s="5" t="s">
        <v>1129</v>
      </c>
      <c r="K1236" s="8"/>
    </row>
    <row r="1237" spans="1:11" x14ac:dyDescent="0.2">
      <c r="A1237" s="8">
        <v>1236</v>
      </c>
      <c r="B1237" s="8">
        <f t="shared" si="40"/>
        <v>2021</v>
      </c>
      <c r="C1237" s="8">
        <f t="shared" si="41"/>
        <v>10</v>
      </c>
      <c r="D1237" s="85">
        <v>44497</v>
      </c>
      <c r="E1237" s="31">
        <v>0</v>
      </c>
      <c r="F1237" s="31">
        <v>1800000</v>
      </c>
      <c r="G1237" s="31">
        <v>0</v>
      </c>
      <c r="H1237" s="31">
        <v>0</v>
      </c>
      <c r="I1237" s="114" t="s">
        <v>1114</v>
      </c>
      <c r="J1237" s="5" t="s">
        <v>1130</v>
      </c>
      <c r="K1237" s="8"/>
    </row>
    <row r="1238" spans="1:11" x14ac:dyDescent="0.2">
      <c r="A1238" s="8">
        <v>1237</v>
      </c>
      <c r="B1238" s="8">
        <f t="shared" si="40"/>
        <v>2021</v>
      </c>
      <c r="C1238" s="8">
        <f t="shared" si="41"/>
        <v>11</v>
      </c>
      <c r="D1238" s="85">
        <v>44503</v>
      </c>
      <c r="E1238" s="31">
        <v>0</v>
      </c>
      <c r="F1238" s="31">
        <v>400000</v>
      </c>
      <c r="G1238" s="31">
        <v>0</v>
      </c>
      <c r="H1238" s="31">
        <v>0</v>
      </c>
      <c r="I1238" s="114" t="s">
        <v>1114</v>
      </c>
      <c r="J1238" s="5" t="s">
        <v>1131</v>
      </c>
      <c r="K1238" s="8"/>
    </row>
    <row r="1239" spans="1:11" x14ac:dyDescent="0.2">
      <c r="A1239" s="8">
        <v>1238</v>
      </c>
      <c r="B1239" s="8">
        <f t="shared" si="40"/>
        <v>2021</v>
      </c>
      <c r="C1239" s="8">
        <f t="shared" si="41"/>
        <v>11</v>
      </c>
      <c r="D1239" s="85">
        <v>44520</v>
      </c>
      <c r="E1239" s="31">
        <v>0</v>
      </c>
      <c r="F1239" s="31">
        <v>2300000</v>
      </c>
      <c r="G1239" s="31">
        <v>0</v>
      </c>
      <c r="H1239" s="31">
        <v>0</v>
      </c>
      <c r="I1239" s="114" t="s">
        <v>1114</v>
      </c>
      <c r="J1239" s="5" t="s">
        <v>1132</v>
      </c>
      <c r="K1239" s="8"/>
    </row>
    <row r="1240" spans="1:11" x14ac:dyDescent="0.2">
      <c r="A1240" s="8">
        <v>1239</v>
      </c>
      <c r="B1240" s="8">
        <f t="shared" si="40"/>
        <v>2021</v>
      </c>
      <c r="C1240" s="8">
        <f t="shared" si="41"/>
        <v>11</v>
      </c>
      <c r="D1240" s="85">
        <v>44519</v>
      </c>
      <c r="E1240" s="31">
        <v>0</v>
      </c>
      <c r="F1240" s="31">
        <v>2343000</v>
      </c>
      <c r="G1240" s="31">
        <v>0</v>
      </c>
      <c r="H1240" s="31">
        <v>0</v>
      </c>
      <c r="I1240" s="114" t="s">
        <v>1114</v>
      </c>
      <c r="J1240" s="5" t="s">
        <v>1133</v>
      </c>
      <c r="K1240" s="8"/>
    </row>
    <row r="1241" spans="1:11" x14ac:dyDescent="0.2">
      <c r="A1241" s="8">
        <v>1240</v>
      </c>
      <c r="B1241" s="8">
        <f t="shared" si="40"/>
        <v>2021</v>
      </c>
      <c r="C1241" s="8">
        <f t="shared" si="41"/>
        <v>11</v>
      </c>
      <c r="D1241" s="85">
        <v>44519</v>
      </c>
      <c r="E1241" s="31">
        <v>120000</v>
      </c>
      <c r="F1241" s="31">
        <v>0</v>
      </c>
      <c r="G1241" s="31">
        <v>0</v>
      </c>
      <c r="H1241" s="31">
        <v>0</v>
      </c>
      <c r="I1241" s="31" t="s">
        <v>109</v>
      </c>
      <c r="J1241" s="5" t="s">
        <v>1134</v>
      </c>
      <c r="K1241" s="8"/>
    </row>
    <row r="1242" spans="1:11" x14ac:dyDescent="0.2">
      <c r="A1242" s="8">
        <v>1241</v>
      </c>
      <c r="B1242" s="8">
        <f t="shared" si="40"/>
        <v>2021</v>
      </c>
      <c r="C1242" s="8">
        <f t="shared" si="41"/>
        <v>11</v>
      </c>
      <c r="D1242" s="85">
        <v>44520</v>
      </c>
      <c r="E1242" s="31">
        <v>0</v>
      </c>
      <c r="F1242" s="31">
        <v>100000</v>
      </c>
      <c r="G1242" s="31">
        <v>0</v>
      </c>
      <c r="H1242" s="31">
        <v>0</v>
      </c>
      <c r="I1242" s="31" t="s">
        <v>299</v>
      </c>
      <c r="J1242" s="5" t="s">
        <v>1135</v>
      </c>
      <c r="K1242" s="8"/>
    </row>
    <row r="1243" spans="1:11" x14ac:dyDescent="0.2">
      <c r="A1243" s="8">
        <v>1242</v>
      </c>
      <c r="B1243" s="8">
        <f t="shared" si="40"/>
        <v>2021</v>
      </c>
      <c r="C1243" s="8">
        <f t="shared" si="41"/>
        <v>11</v>
      </c>
      <c r="D1243" s="85">
        <v>44520</v>
      </c>
      <c r="E1243" s="31">
        <v>0</v>
      </c>
      <c r="F1243" s="31">
        <v>37000</v>
      </c>
      <c r="G1243" s="31">
        <v>0</v>
      </c>
      <c r="H1243" s="31">
        <v>0</v>
      </c>
      <c r="I1243" s="31" t="s">
        <v>300</v>
      </c>
      <c r="J1243" s="5" t="s">
        <v>339</v>
      </c>
      <c r="K1243" s="8"/>
    </row>
    <row r="1244" spans="1:11" x14ac:dyDescent="0.2">
      <c r="A1244" s="8">
        <v>1243</v>
      </c>
      <c r="B1244" s="8">
        <f t="shared" si="40"/>
        <v>2021</v>
      </c>
      <c r="C1244" s="8">
        <f t="shared" si="41"/>
        <v>11</v>
      </c>
      <c r="D1244" s="85">
        <v>44521</v>
      </c>
      <c r="E1244" s="31">
        <v>0</v>
      </c>
      <c r="F1244" s="31">
        <v>100000</v>
      </c>
      <c r="G1244" s="31">
        <v>0</v>
      </c>
      <c r="H1244" s="31">
        <v>0</v>
      </c>
      <c r="I1244" s="114" t="s">
        <v>1114</v>
      </c>
      <c r="J1244" s="5" t="s">
        <v>1136</v>
      </c>
      <c r="K1244" s="8"/>
    </row>
    <row r="1245" spans="1:11" x14ac:dyDescent="0.2">
      <c r="A1245" s="8">
        <v>1244</v>
      </c>
      <c r="B1245" s="8">
        <f t="shared" si="40"/>
        <v>2021</v>
      </c>
      <c r="C1245" s="8">
        <f t="shared" si="41"/>
        <v>11</v>
      </c>
      <c r="D1245" s="85">
        <v>44521</v>
      </c>
      <c r="E1245" s="31">
        <v>0</v>
      </c>
      <c r="F1245" s="31">
        <v>110000</v>
      </c>
      <c r="G1245" s="31">
        <v>0</v>
      </c>
      <c r="H1245" s="31">
        <v>0</v>
      </c>
      <c r="I1245" s="31" t="s">
        <v>85</v>
      </c>
      <c r="J1245" s="5" t="s">
        <v>1137</v>
      </c>
      <c r="K1245" s="8"/>
    </row>
    <row r="1246" spans="1:11" x14ac:dyDescent="0.2">
      <c r="A1246" s="8">
        <v>1245</v>
      </c>
      <c r="B1246" s="8">
        <f t="shared" si="40"/>
        <v>2021</v>
      </c>
      <c r="C1246" s="8">
        <f t="shared" si="41"/>
        <v>11</v>
      </c>
      <c r="D1246" s="85">
        <v>44521</v>
      </c>
      <c r="E1246" s="31">
        <v>0</v>
      </c>
      <c r="F1246" s="31">
        <v>60000</v>
      </c>
      <c r="G1246" s="31">
        <v>0</v>
      </c>
      <c r="H1246" s="31">
        <v>0</v>
      </c>
      <c r="I1246" s="31" t="s">
        <v>85</v>
      </c>
      <c r="J1246" s="5" t="s">
        <v>1138</v>
      </c>
      <c r="K1246" s="8"/>
    </row>
    <row r="1247" spans="1:11" x14ac:dyDescent="0.2">
      <c r="A1247" s="8">
        <v>1246</v>
      </c>
      <c r="B1247" s="8">
        <f t="shared" si="40"/>
        <v>2021</v>
      </c>
      <c r="C1247" s="8">
        <f t="shared" si="41"/>
        <v>11</v>
      </c>
      <c r="D1247" s="85">
        <v>44521</v>
      </c>
      <c r="E1247" s="31">
        <v>0</v>
      </c>
      <c r="F1247" s="31">
        <v>50000</v>
      </c>
      <c r="G1247" s="31">
        <v>0</v>
      </c>
      <c r="H1247" s="31">
        <v>0</v>
      </c>
      <c r="I1247" s="31" t="s">
        <v>85</v>
      </c>
      <c r="J1247" s="5" t="s">
        <v>1139</v>
      </c>
      <c r="K1247" s="8"/>
    </row>
    <row r="1248" spans="1:11" x14ac:dyDescent="0.2">
      <c r="A1248" s="8">
        <v>1247</v>
      </c>
      <c r="B1248" s="8">
        <f t="shared" si="40"/>
        <v>2021</v>
      </c>
      <c r="C1248" s="8">
        <f t="shared" si="41"/>
        <v>11</v>
      </c>
      <c r="D1248" s="85">
        <v>44522</v>
      </c>
      <c r="E1248" s="31">
        <v>0</v>
      </c>
      <c r="F1248" s="31">
        <v>70000</v>
      </c>
      <c r="G1248" s="31">
        <v>0</v>
      </c>
      <c r="H1248" s="31">
        <v>0</v>
      </c>
      <c r="I1248" s="114" t="s">
        <v>1114</v>
      </c>
      <c r="J1248" s="5" t="s">
        <v>1140</v>
      </c>
      <c r="K1248" s="8"/>
    </row>
    <row r="1249" spans="1:11" x14ac:dyDescent="0.2">
      <c r="A1249" s="8">
        <v>1248</v>
      </c>
      <c r="B1249" s="8">
        <f t="shared" si="40"/>
        <v>2021</v>
      </c>
      <c r="C1249" s="8">
        <f t="shared" si="41"/>
        <v>11</v>
      </c>
      <c r="D1249" s="85">
        <v>44522</v>
      </c>
      <c r="E1249" s="31">
        <v>0</v>
      </c>
      <c r="F1249" s="31">
        <v>150000</v>
      </c>
      <c r="G1249" s="31">
        <v>0</v>
      </c>
      <c r="H1249" s="31">
        <v>0</v>
      </c>
      <c r="I1249" s="114" t="s">
        <v>1114</v>
      </c>
      <c r="J1249" s="5" t="s">
        <v>1141</v>
      </c>
      <c r="K1249" s="8"/>
    </row>
    <row r="1250" spans="1:11" x14ac:dyDescent="0.2">
      <c r="A1250" s="8">
        <v>1249</v>
      </c>
      <c r="B1250" s="8">
        <f t="shared" si="40"/>
        <v>2021</v>
      </c>
      <c r="C1250" s="8">
        <f t="shared" si="41"/>
        <v>11</v>
      </c>
      <c r="D1250" s="85">
        <v>44522</v>
      </c>
      <c r="E1250" s="31">
        <v>0</v>
      </c>
      <c r="F1250" s="31">
        <v>85000</v>
      </c>
      <c r="G1250" s="31">
        <v>0</v>
      </c>
      <c r="H1250" s="31">
        <v>0</v>
      </c>
      <c r="I1250" s="31" t="s">
        <v>85</v>
      </c>
      <c r="J1250" s="5" t="s">
        <v>1142</v>
      </c>
      <c r="K1250" s="8"/>
    </row>
    <row r="1251" spans="1:11" x14ac:dyDescent="0.2">
      <c r="A1251" s="8">
        <v>1250</v>
      </c>
      <c r="B1251" s="8">
        <f t="shared" si="40"/>
        <v>2021</v>
      </c>
      <c r="C1251" s="8">
        <f t="shared" si="41"/>
        <v>11</v>
      </c>
      <c r="D1251" s="85">
        <v>44522</v>
      </c>
      <c r="E1251" s="31">
        <v>0</v>
      </c>
      <c r="F1251" s="31">
        <v>320000</v>
      </c>
      <c r="G1251" s="31">
        <v>0</v>
      </c>
      <c r="H1251" s="31">
        <v>0</v>
      </c>
      <c r="I1251" s="31" t="s">
        <v>85</v>
      </c>
      <c r="J1251" s="5" t="s">
        <v>1143</v>
      </c>
      <c r="K1251" s="8"/>
    </row>
    <row r="1252" spans="1:11" x14ac:dyDescent="0.2">
      <c r="A1252" s="8">
        <v>1251</v>
      </c>
      <c r="B1252" s="8">
        <f t="shared" si="40"/>
        <v>2021</v>
      </c>
      <c r="C1252" s="8">
        <f t="shared" si="41"/>
        <v>11</v>
      </c>
      <c r="D1252" s="85">
        <v>44522</v>
      </c>
      <c r="E1252" s="31">
        <v>0</v>
      </c>
      <c r="F1252" s="31">
        <v>50000</v>
      </c>
      <c r="G1252" s="31">
        <v>0</v>
      </c>
      <c r="H1252" s="31">
        <v>0</v>
      </c>
      <c r="I1252" s="31" t="s">
        <v>85</v>
      </c>
      <c r="J1252" s="5" t="s">
        <v>1144</v>
      </c>
      <c r="K1252" s="8"/>
    </row>
    <row r="1253" spans="1:11" x14ac:dyDescent="0.2">
      <c r="A1253" s="8">
        <v>1252</v>
      </c>
      <c r="B1253" s="8">
        <f t="shared" si="40"/>
        <v>2021</v>
      </c>
      <c r="C1253" s="8">
        <f t="shared" si="41"/>
        <v>11</v>
      </c>
      <c r="D1253" s="85">
        <v>44523</v>
      </c>
      <c r="E1253" s="31">
        <v>0</v>
      </c>
      <c r="F1253" s="31">
        <v>9000</v>
      </c>
      <c r="G1253" s="31">
        <v>0</v>
      </c>
      <c r="H1253" s="31">
        <v>0</v>
      </c>
      <c r="I1253" s="31" t="s">
        <v>85</v>
      </c>
      <c r="J1253" s="5" t="s">
        <v>1145</v>
      </c>
      <c r="K1253" s="8"/>
    </row>
    <row r="1254" spans="1:11" x14ac:dyDescent="0.2">
      <c r="A1254" s="8">
        <v>1253</v>
      </c>
      <c r="B1254" s="8">
        <f t="shared" si="40"/>
        <v>2021</v>
      </c>
      <c r="C1254" s="8">
        <f t="shared" si="41"/>
        <v>11</v>
      </c>
      <c r="D1254" s="85">
        <v>44524</v>
      </c>
      <c r="E1254" s="31">
        <v>0</v>
      </c>
      <c r="F1254" s="31">
        <v>20000</v>
      </c>
      <c r="G1254" s="31">
        <v>0</v>
      </c>
      <c r="H1254" s="31">
        <v>0</v>
      </c>
      <c r="I1254" s="31" t="s">
        <v>85</v>
      </c>
      <c r="J1254" s="5" t="s">
        <v>1146</v>
      </c>
      <c r="K1254" s="8"/>
    </row>
    <row r="1255" spans="1:11" x14ac:dyDescent="0.2">
      <c r="A1255" s="8">
        <v>1254</v>
      </c>
      <c r="B1255" s="8">
        <f t="shared" si="40"/>
        <v>2021</v>
      </c>
      <c r="C1255" s="8">
        <f t="shared" si="41"/>
        <v>11</v>
      </c>
      <c r="D1255" s="85">
        <v>44524</v>
      </c>
      <c r="E1255" s="31">
        <v>0</v>
      </c>
      <c r="F1255" s="32">
        <v>0</v>
      </c>
      <c r="G1255" s="31">
        <v>0</v>
      </c>
      <c r="H1255" s="31">
        <v>350000</v>
      </c>
      <c r="I1255" s="31" t="s">
        <v>85</v>
      </c>
      <c r="J1255" s="5" t="s">
        <v>1147</v>
      </c>
      <c r="K1255" s="8"/>
    </row>
    <row r="1256" spans="1:11" x14ac:dyDescent="0.2">
      <c r="A1256" s="8">
        <v>1255</v>
      </c>
      <c r="B1256" s="8">
        <f t="shared" si="40"/>
        <v>2021</v>
      </c>
      <c r="C1256" s="8">
        <f t="shared" si="41"/>
        <v>11</v>
      </c>
      <c r="D1256" s="85">
        <v>44525</v>
      </c>
      <c r="E1256" s="31">
        <v>0</v>
      </c>
      <c r="F1256" s="31">
        <v>50000</v>
      </c>
      <c r="G1256" s="31">
        <v>0</v>
      </c>
      <c r="H1256" s="31">
        <v>0</v>
      </c>
      <c r="I1256" s="114" t="s">
        <v>1114</v>
      </c>
      <c r="J1256" s="5" t="s">
        <v>1148</v>
      </c>
      <c r="K1256" s="8"/>
    </row>
    <row r="1257" spans="1:11" x14ac:dyDescent="0.2">
      <c r="A1257" s="8">
        <v>1256</v>
      </c>
      <c r="B1257" s="8">
        <f t="shared" si="40"/>
        <v>2021</v>
      </c>
      <c r="C1257" s="8">
        <f t="shared" si="41"/>
        <v>11</v>
      </c>
      <c r="D1257" s="85">
        <v>44521</v>
      </c>
      <c r="E1257" s="31">
        <v>0</v>
      </c>
      <c r="F1257" s="31">
        <v>40000</v>
      </c>
      <c r="G1257" s="31">
        <v>0</v>
      </c>
      <c r="H1257" s="31">
        <v>0</v>
      </c>
      <c r="I1257" s="31" t="s">
        <v>85</v>
      </c>
      <c r="J1257" s="5" t="s">
        <v>1149</v>
      </c>
      <c r="K1257" s="8"/>
    </row>
    <row r="1258" spans="1:11" x14ac:dyDescent="0.2">
      <c r="A1258" s="8">
        <v>1257</v>
      </c>
      <c r="B1258" s="8">
        <f t="shared" si="40"/>
        <v>2021</v>
      </c>
      <c r="C1258" s="8">
        <f t="shared" si="41"/>
        <v>11</v>
      </c>
      <c r="D1258" s="85">
        <v>44525</v>
      </c>
      <c r="E1258" s="31">
        <v>0</v>
      </c>
      <c r="F1258" s="31">
        <v>149000</v>
      </c>
      <c r="G1258" s="31">
        <v>0</v>
      </c>
      <c r="H1258" s="31">
        <v>0</v>
      </c>
      <c r="I1258" s="31" t="s">
        <v>85</v>
      </c>
      <c r="J1258" s="5" t="s">
        <v>1150</v>
      </c>
      <c r="K1258" s="8"/>
    </row>
    <row r="1259" spans="1:11" x14ac:dyDescent="0.2">
      <c r="A1259" s="8">
        <v>1258</v>
      </c>
      <c r="B1259" s="8">
        <f t="shared" si="40"/>
        <v>2021</v>
      </c>
      <c r="C1259" s="8">
        <f t="shared" si="41"/>
        <v>11</v>
      </c>
      <c r="D1259" s="85">
        <v>44527</v>
      </c>
      <c r="E1259" s="31">
        <v>0</v>
      </c>
      <c r="F1259" s="31">
        <v>0</v>
      </c>
      <c r="G1259" s="31">
        <v>0</v>
      </c>
      <c r="H1259" s="31">
        <v>489000</v>
      </c>
      <c r="I1259" s="31" t="s">
        <v>74</v>
      </c>
      <c r="J1259" s="5" t="s">
        <v>1151</v>
      </c>
      <c r="K1259" s="8"/>
    </row>
    <row r="1260" spans="1:11" x14ac:dyDescent="0.2">
      <c r="A1260" s="8">
        <v>1259</v>
      </c>
      <c r="B1260" s="8">
        <f t="shared" si="40"/>
        <v>2021</v>
      </c>
      <c r="C1260" s="8">
        <f t="shared" si="41"/>
        <v>11</v>
      </c>
      <c r="D1260" s="85">
        <v>44527</v>
      </c>
      <c r="E1260" s="31">
        <v>0</v>
      </c>
      <c r="F1260" s="31">
        <v>0</v>
      </c>
      <c r="G1260" s="31">
        <v>0</v>
      </c>
      <c r="H1260" s="31">
        <v>45000</v>
      </c>
      <c r="I1260" s="31" t="s">
        <v>74</v>
      </c>
      <c r="J1260" s="5" t="s">
        <v>1152</v>
      </c>
      <c r="K1260" s="8"/>
    </row>
    <row r="1261" spans="1:11" x14ac:dyDescent="0.2">
      <c r="A1261" s="8">
        <v>1260</v>
      </c>
      <c r="B1261" s="8">
        <f t="shared" si="40"/>
        <v>2021</v>
      </c>
      <c r="C1261" s="8">
        <f t="shared" si="41"/>
        <v>11</v>
      </c>
      <c r="D1261" s="85">
        <v>44527</v>
      </c>
      <c r="E1261" s="31">
        <v>0</v>
      </c>
      <c r="F1261" s="31">
        <v>0</v>
      </c>
      <c r="G1261" s="31">
        <v>0</v>
      </c>
      <c r="H1261" s="31">
        <v>600000</v>
      </c>
      <c r="I1261" s="31" t="s">
        <v>74</v>
      </c>
      <c r="J1261" s="5" t="s">
        <v>1153</v>
      </c>
      <c r="K1261" s="8"/>
    </row>
    <row r="1262" spans="1:11" x14ac:dyDescent="0.2">
      <c r="A1262" s="8">
        <v>1261</v>
      </c>
      <c r="B1262" s="8">
        <f t="shared" si="40"/>
        <v>2021</v>
      </c>
      <c r="C1262" s="8">
        <f t="shared" si="41"/>
        <v>11</v>
      </c>
      <c r="D1262" s="85">
        <v>44527</v>
      </c>
      <c r="E1262" s="31">
        <v>0</v>
      </c>
      <c r="F1262" s="31">
        <v>10000</v>
      </c>
      <c r="G1262" s="31">
        <v>0</v>
      </c>
      <c r="H1262" s="31">
        <v>0</v>
      </c>
      <c r="I1262" s="31" t="s">
        <v>85</v>
      </c>
      <c r="J1262" s="5" t="s">
        <v>858</v>
      </c>
      <c r="K1262" s="8"/>
    </row>
    <row r="1263" spans="1:11" x14ac:dyDescent="0.2">
      <c r="A1263" s="8">
        <v>1262</v>
      </c>
      <c r="B1263" s="8">
        <f t="shared" si="40"/>
        <v>2021</v>
      </c>
      <c r="C1263" s="8">
        <f t="shared" si="41"/>
        <v>11</v>
      </c>
      <c r="D1263" s="85">
        <v>44528</v>
      </c>
      <c r="E1263" s="31">
        <v>0</v>
      </c>
      <c r="F1263" s="31">
        <v>75000</v>
      </c>
      <c r="G1263" s="31">
        <v>0</v>
      </c>
      <c r="H1263" s="31">
        <v>0</v>
      </c>
      <c r="I1263" s="31" t="s">
        <v>99</v>
      </c>
      <c r="J1263" s="5" t="s">
        <v>1154</v>
      </c>
      <c r="K1263" s="8"/>
    </row>
    <row r="1264" spans="1:11" x14ac:dyDescent="0.2">
      <c r="A1264" s="8">
        <v>1263</v>
      </c>
      <c r="B1264" s="8">
        <f t="shared" si="40"/>
        <v>2021</v>
      </c>
      <c r="C1264" s="8">
        <f t="shared" si="41"/>
        <v>11</v>
      </c>
      <c r="D1264" s="85">
        <v>44529</v>
      </c>
      <c r="E1264" s="31">
        <v>0</v>
      </c>
      <c r="F1264" s="31">
        <v>0</v>
      </c>
      <c r="G1264" s="31">
        <v>0</v>
      </c>
      <c r="H1264" s="31">
        <v>0</v>
      </c>
      <c r="I1264" s="31">
        <v>0</v>
      </c>
      <c r="J1264" s="5">
        <v>0</v>
      </c>
      <c r="K1264" s="8"/>
    </row>
    <row r="1265" spans="1:11" x14ac:dyDescent="0.2">
      <c r="A1265" s="8">
        <v>1264</v>
      </c>
      <c r="B1265" s="8">
        <f t="shared" si="40"/>
        <v>2021</v>
      </c>
      <c r="C1265" s="8">
        <f t="shared" si="41"/>
        <v>11</v>
      </c>
      <c r="D1265" s="86">
        <v>44529</v>
      </c>
      <c r="E1265" s="45">
        <v>3550000</v>
      </c>
      <c r="F1265" s="45">
        <v>0</v>
      </c>
      <c r="G1265" s="45">
        <v>0</v>
      </c>
      <c r="H1265" s="45">
        <v>2900000</v>
      </c>
      <c r="I1265" s="45" t="s">
        <v>704</v>
      </c>
      <c r="J1265" s="25" t="s">
        <v>1155</v>
      </c>
      <c r="K1265" s="8"/>
    </row>
    <row r="1266" spans="1:11" x14ac:dyDescent="0.2">
      <c r="A1266" s="8">
        <v>1265</v>
      </c>
      <c r="B1266" s="8">
        <f t="shared" si="40"/>
        <v>2021</v>
      </c>
      <c r="C1266" s="8">
        <f t="shared" si="41"/>
        <v>11</v>
      </c>
      <c r="D1266" s="85">
        <v>44530</v>
      </c>
      <c r="E1266" s="31">
        <v>5928900</v>
      </c>
      <c r="F1266" s="31">
        <v>0</v>
      </c>
      <c r="G1266" s="31">
        <v>0</v>
      </c>
      <c r="H1266" s="31">
        <v>0</v>
      </c>
      <c r="I1266" s="31" t="s">
        <v>704</v>
      </c>
      <c r="J1266" s="5" t="s">
        <v>1156</v>
      </c>
      <c r="K1266" s="8"/>
    </row>
    <row r="1267" spans="1:11" x14ac:dyDescent="0.2">
      <c r="A1267" s="8">
        <v>1266</v>
      </c>
      <c r="B1267" s="8">
        <f t="shared" si="40"/>
        <v>2021</v>
      </c>
      <c r="C1267" s="8">
        <f t="shared" si="41"/>
        <v>11</v>
      </c>
      <c r="D1267" s="85">
        <v>44530</v>
      </c>
      <c r="E1267" s="31">
        <v>0</v>
      </c>
      <c r="F1267" s="31">
        <v>100000</v>
      </c>
      <c r="G1267" s="31">
        <v>0</v>
      </c>
      <c r="H1267" s="31">
        <v>0</v>
      </c>
      <c r="I1267" s="114" t="s">
        <v>1114</v>
      </c>
      <c r="J1267" s="5" t="s">
        <v>1157</v>
      </c>
      <c r="K1267" s="8"/>
    </row>
    <row r="1268" spans="1:11" x14ac:dyDescent="0.2">
      <c r="A1268" s="8">
        <v>1267</v>
      </c>
      <c r="B1268" s="8">
        <f t="shared" si="40"/>
        <v>2021</v>
      </c>
      <c r="C1268" s="8">
        <f t="shared" si="41"/>
        <v>11</v>
      </c>
      <c r="D1268" s="85">
        <v>44530</v>
      </c>
      <c r="E1268" s="31">
        <v>0</v>
      </c>
      <c r="F1268" s="31">
        <v>50000</v>
      </c>
      <c r="G1268" s="31">
        <v>0</v>
      </c>
      <c r="H1268" s="31">
        <v>0</v>
      </c>
      <c r="I1268" s="114" t="s">
        <v>1114</v>
      </c>
      <c r="J1268" s="5" t="s">
        <v>1158</v>
      </c>
      <c r="K1268" s="8"/>
    </row>
    <row r="1269" spans="1:11" x14ac:dyDescent="0.2">
      <c r="A1269" s="8">
        <v>1268</v>
      </c>
      <c r="B1269" s="8">
        <f t="shared" si="40"/>
        <v>2021</v>
      </c>
      <c r="C1269" s="8">
        <f t="shared" si="41"/>
        <v>11</v>
      </c>
      <c r="D1269" s="85">
        <v>44530</v>
      </c>
      <c r="E1269" s="31">
        <v>0</v>
      </c>
      <c r="F1269" s="31">
        <v>0</v>
      </c>
      <c r="G1269" s="35"/>
      <c r="H1269" s="31">
        <v>0</v>
      </c>
      <c r="I1269" s="31" t="s">
        <v>92</v>
      </c>
      <c r="J1269" s="5" t="s">
        <v>1159</v>
      </c>
      <c r="K1269" s="8"/>
    </row>
    <row r="1270" spans="1:11" x14ac:dyDescent="0.2">
      <c r="A1270" s="8">
        <v>1269</v>
      </c>
      <c r="B1270" s="8">
        <f t="shared" si="40"/>
        <v>2021</v>
      </c>
      <c r="C1270" s="8">
        <f t="shared" si="41"/>
        <v>11</v>
      </c>
      <c r="D1270" s="85">
        <v>44530</v>
      </c>
      <c r="E1270" s="31">
        <v>0</v>
      </c>
      <c r="F1270" s="31">
        <v>40000</v>
      </c>
      <c r="G1270" s="31">
        <v>0</v>
      </c>
      <c r="H1270" s="31">
        <v>0</v>
      </c>
      <c r="I1270" s="31" t="s">
        <v>85</v>
      </c>
      <c r="J1270" s="5" t="s">
        <v>1160</v>
      </c>
      <c r="K1270" s="8"/>
    </row>
    <row r="1271" spans="1:11" x14ac:dyDescent="0.2">
      <c r="A1271" s="8">
        <v>1270</v>
      </c>
      <c r="B1271" s="8">
        <f t="shared" si="40"/>
        <v>2021</v>
      </c>
      <c r="C1271" s="8">
        <f t="shared" si="41"/>
        <v>11</v>
      </c>
      <c r="D1271" s="85">
        <v>44530</v>
      </c>
      <c r="E1271" s="31">
        <v>0</v>
      </c>
      <c r="F1271" s="31">
        <v>18000</v>
      </c>
      <c r="G1271" s="31">
        <v>0</v>
      </c>
      <c r="H1271" s="31">
        <v>0</v>
      </c>
      <c r="I1271" s="31" t="s">
        <v>85</v>
      </c>
      <c r="J1271" s="5" t="s">
        <v>475</v>
      </c>
      <c r="K1271" s="8"/>
    </row>
    <row r="1272" spans="1:11" x14ac:dyDescent="0.2">
      <c r="A1272" s="8">
        <v>1271</v>
      </c>
      <c r="B1272" s="8">
        <f t="shared" si="40"/>
        <v>2021</v>
      </c>
      <c r="C1272" s="8">
        <f t="shared" si="41"/>
        <v>11</v>
      </c>
      <c r="D1272" s="85">
        <v>44530</v>
      </c>
      <c r="E1272" s="31">
        <v>0</v>
      </c>
      <c r="F1272" s="31">
        <v>16000</v>
      </c>
      <c r="G1272" s="31">
        <v>0</v>
      </c>
      <c r="H1272" s="31">
        <v>0</v>
      </c>
      <c r="I1272" s="31" t="s">
        <v>85</v>
      </c>
      <c r="J1272" s="5" t="s">
        <v>858</v>
      </c>
      <c r="K1272" s="8"/>
    </row>
    <row r="1273" spans="1:11" x14ac:dyDescent="0.2">
      <c r="A1273" s="8">
        <v>1272</v>
      </c>
      <c r="B1273" s="8">
        <f t="shared" si="40"/>
        <v>2021</v>
      </c>
      <c r="C1273" s="8">
        <f t="shared" si="41"/>
        <v>12</v>
      </c>
      <c r="D1273" s="85">
        <v>44531</v>
      </c>
      <c r="E1273" s="31">
        <v>0</v>
      </c>
      <c r="F1273" s="31">
        <v>0</v>
      </c>
      <c r="G1273" s="31">
        <v>0</v>
      </c>
      <c r="H1273" s="31">
        <v>200000</v>
      </c>
      <c r="I1273" s="31" t="s">
        <v>74</v>
      </c>
      <c r="J1273" s="5" t="s">
        <v>1161</v>
      </c>
      <c r="K1273" s="8"/>
    </row>
    <row r="1274" spans="1:11" x14ac:dyDescent="0.2">
      <c r="A1274" s="8">
        <v>1273</v>
      </c>
      <c r="B1274" s="8">
        <f t="shared" si="40"/>
        <v>2021</v>
      </c>
      <c r="C1274" s="8">
        <f t="shared" si="41"/>
        <v>12</v>
      </c>
      <c r="D1274" s="85">
        <v>44532</v>
      </c>
      <c r="E1274" s="31">
        <v>0</v>
      </c>
      <c r="F1274" s="31">
        <v>106000</v>
      </c>
      <c r="G1274" s="31">
        <v>0</v>
      </c>
      <c r="H1274" s="31">
        <v>0</v>
      </c>
      <c r="I1274" s="31" t="s">
        <v>299</v>
      </c>
      <c r="J1274" s="5" t="s">
        <v>299</v>
      </c>
      <c r="K1274" s="8"/>
    </row>
    <row r="1275" spans="1:11" x14ac:dyDescent="0.2">
      <c r="A1275" s="8">
        <v>1274</v>
      </c>
      <c r="B1275" s="8">
        <f t="shared" si="40"/>
        <v>2021</v>
      </c>
      <c r="C1275" s="8">
        <f t="shared" si="41"/>
        <v>12</v>
      </c>
      <c r="D1275" s="85">
        <v>44532</v>
      </c>
      <c r="E1275" s="31">
        <v>0</v>
      </c>
      <c r="F1275" s="31">
        <v>12000</v>
      </c>
      <c r="G1275" s="31">
        <v>0</v>
      </c>
      <c r="H1275" s="31">
        <v>0</v>
      </c>
      <c r="I1275" s="31" t="s">
        <v>300</v>
      </c>
      <c r="J1275" s="5" t="s">
        <v>91</v>
      </c>
      <c r="K1275" s="8"/>
    </row>
    <row r="1276" spans="1:11" x14ac:dyDescent="0.2">
      <c r="A1276" s="8">
        <v>1275</v>
      </c>
      <c r="B1276" s="8">
        <f t="shared" si="40"/>
        <v>2021</v>
      </c>
      <c r="C1276" s="8">
        <f t="shared" si="41"/>
        <v>12</v>
      </c>
      <c r="D1276" s="85">
        <v>44532</v>
      </c>
      <c r="E1276" s="31">
        <v>0</v>
      </c>
      <c r="F1276" s="31">
        <v>0</v>
      </c>
      <c r="G1276" s="31">
        <v>0</v>
      </c>
      <c r="H1276" s="31">
        <v>300000</v>
      </c>
      <c r="I1276" s="31" t="s">
        <v>74</v>
      </c>
      <c r="J1276" s="5" t="s">
        <v>1162</v>
      </c>
      <c r="K1276" s="8"/>
    </row>
    <row r="1277" spans="1:11" x14ac:dyDescent="0.2">
      <c r="A1277" s="8">
        <v>1276</v>
      </c>
      <c r="B1277" s="8">
        <f t="shared" si="40"/>
        <v>2021</v>
      </c>
      <c r="C1277" s="8">
        <f t="shared" si="41"/>
        <v>12</v>
      </c>
      <c r="D1277" s="85">
        <v>44533</v>
      </c>
      <c r="E1277" s="31">
        <v>0</v>
      </c>
      <c r="F1277" s="31">
        <v>200000</v>
      </c>
      <c r="G1277" s="31">
        <v>0</v>
      </c>
      <c r="H1277" s="31">
        <v>0</v>
      </c>
      <c r="I1277" s="31" t="s">
        <v>571</v>
      </c>
      <c r="J1277" s="5" t="s">
        <v>1163</v>
      </c>
      <c r="K1277" s="8"/>
    </row>
    <row r="1278" spans="1:11" x14ac:dyDescent="0.2">
      <c r="A1278" s="8">
        <v>1277</v>
      </c>
      <c r="B1278" s="8">
        <f t="shared" si="40"/>
        <v>2021</v>
      </c>
      <c r="C1278" s="8">
        <f t="shared" si="41"/>
        <v>12</v>
      </c>
      <c r="D1278" s="85">
        <v>44533</v>
      </c>
      <c r="E1278" s="31">
        <v>0</v>
      </c>
      <c r="F1278" s="31">
        <v>26000</v>
      </c>
      <c r="G1278" s="31">
        <v>0</v>
      </c>
      <c r="H1278" s="31">
        <v>0</v>
      </c>
      <c r="I1278" s="31" t="s">
        <v>300</v>
      </c>
      <c r="J1278" s="5" t="s">
        <v>1164</v>
      </c>
      <c r="K1278" s="8"/>
    </row>
    <row r="1279" spans="1:11" x14ac:dyDescent="0.2">
      <c r="A1279" s="8">
        <v>1278</v>
      </c>
      <c r="B1279" s="8">
        <f t="shared" si="40"/>
        <v>2021</v>
      </c>
      <c r="C1279" s="8">
        <f t="shared" si="41"/>
        <v>12</v>
      </c>
      <c r="D1279" s="85">
        <v>44533</v>
      </c>
      <c r="E1279" s="31">
        <v>0</v>
      </c>
      <c r="F1279" s="31">
        <v>29000</v>
      </c>
      <c r="G1279" s="31">
        <v>0</v>
      </c>
      <c r="H1279" s="31">
        <v>0</v>
      </c>
      <c r="I1279" s="31" t="s">
        <v>99</v>
      </c>
      <c r="J1279" s="5" t="s">
        <v>1165</v>
      </c>
      <c r="K1279" s="8"/>
    </row>
    <row r="1280" spans="1:11" x14ac:dyDescent="0.2">
      <c r="A1280" s="8">
        <v>1279</v>
      </c>
      <c r="B1280" s="8">
        <f t="shared" si="40"/>
        <v>2021</v>
      </c>
      <c r="C1280" s="8">
        <f t="shared" si="41"/>
        <v>12</v>
      </c>
      <c r="D1280" s="85">
        <v>44534</v>
      </c>
      <c r="E1280" s="31">
        <v>0</v>
      </c>
      <c r="F1280" s="31">
        <v>120000</v>
      </c>
      <c r="G1280" s="31">
        <v>0</v>
      </c>
      <c r="H1280" s="31">
        <v>0</v>
      </c>
      <c r="I1280" s="31" t="s">
        <v>99</v>
      </c>
      <c r="J1280" s="5" t="s">
        <v>1166</v>
      </c>
      <c r="K1280" s="8"/>
    </row>
    <row r="1281" spans="1:11" x14ac:dyDescent="0.2">
      <c r="A1281" s="8">
        <v>1280</v>
      </c>
      <c r="B1281" s="8">
        <f t="shared" si="40"/>
        <v>2021</v>
      </c>
      <c r="C1281" s="8">
        <f t="shared" si="41"/>
        <v>12</v>
      </c>
      <c r="D1281" s="85">
        <v>44534</v>
      </c>
      <c r="E1281" s="31">
        <v>0</v>
      </c>
      <c r="F1281" s="31">
        <v>100000</v>
      </c>
      <c r="G1281" s="31">
        <v>0</v>
      </c>
      <c r="H1281" s="31">
        <v>0</v>
      </c>
      <c r="I1281" s="31" t="s">
        <v>85</v>
      </c>
      <c r="J1281" s="5" t="s">
        <v>1167</v>
      </c>
      <c r="K1281" s="8"/>
    </row>
    <row r="1282" spans="1:11" x14ac:dyDescent="0.2">
      <c r="A1282" s="8">
        <v>1281</v>
      </c>
      <c r="B1282" s="8">
        <f t="shared" si="40"/>
        <v>2021</v>
      </c>
      <c r="C1282" s="8">
        <f t="shared" si="41"/>
        <v>12</v>
      </c>
      <c r="D1282" s="85">
        <v>44534</v>
      </c>
      <c r="E1282" s="31">
        <v>0</v>
      </c>
      <c r="F1282" s="31">
        <v>26000</v>
      </c>
      <c r="G1282" s="31">
        <v>0</v>
      </c>
      <c r="H1282" s="31">
        <v>0</v>
      </c>
      <c r="I1282" s="31" t="s">
        <v>85</v>
      </c>
      <c r="J1282" s="5" t="s">
        <v>1168</v>
      </c>
      <c r="K1282" s="8"/>
    </row>
    <row r="1283" spans="1:11" x14ac:dyDescent="0.2">
      <c r="A1283" s="8">
        <v>1282</v>
      </c>
      <c r="B1283" s="8">
        <f t="shared" si="40"/>
        <v>2021</v>
      </c>
      <c r="C1283" s="8">
        <f t="shared" si="41"/>
        <v>12</v>
      </c>
      <c r="D1283" s="85">
        <v>44534</v>
      </c>
      <c r="E1283" s="31">
        <v>0</v>
      </c>
      <c r="F1283" s="31">
        <v>20000</v>
      </c>
      <c r="G1283" s="31">
        <v>0</v>
      </c>
      <c r="H1283" s="31">
        <v>0</v>
      </c>
      <c r="I1283" s="31" t="s">
        <v>85</v>
      </c>
      <c r="J1283" s="5" t="s">
        <v>1169</v>
      </c>
      <c r="K1283" s="8"/>
    </row>
    <row r="1284" spans="1:11" x14ac:dyDescent="0.2">
      <c r="A1284" s="8">
        <v>1283</v>
      </c>
      <c r="B1284" s="8">
        <f t="shared" si="40"/>
        <v>2021</v>
      </c>
      <c r="C1284" s="8">
        <f t="shared" si="41"/>
        <v>12</v>
      </c>
      <c r="D1284" s="85">
        <v>44534</v>
      </c>
      <c r="E1284" s="31">
        <v>665000</v>
      </c>
      <c r="F1284" s="31">
        <v>1250000</v>
      </c>
      <c r="G1284" s="31">
        <v>0</v>
      </c>
      <c r="H1284" s="31">
        <v>0</v>
      </c>
      <c r="I1284" s="31" t="s">
        <v>571</v>
      </c>
      <c r="J1284" s="5" t="s">
        <v>1170</v>
      </c>
      <c r="K1284" s="8"/>
    </row>
    <row r="1285" spans="1:11" x14ac:dyDescent="0.2">
      <c r="A1285" s="8">
        <v>1284</v>
      </c>
      <c r="B1285" s="8">
        <f t="shared" si="40"/>
        <v>2021</v>
      </c>
      <c r="C1285" s="8">
        <f t="shared" si="41"/>
        <v>12</v>
      </c>
      <c r="D1285" s="85">
        <v>44534</v>
      </c>
      <c r="E1285" s="31">
        <v>0</v>
      </c>
      <c r="F1285" s="31">
        <v>50000</v>
      </c>
      <c r="G1285" s="31">
        <v>0</v>
      </c>
      <c r="H1285" s="31">
        <v>0</v>
      </c>
      <c r="I1285" s="31" t="s">
        <v>99</v>
      </c>
      <c r="J1285" s="5" t="s">
        <v>1171</v>
      </c>
      <c r="K1285" s="8"/>
    </row>
    <row r="1286" spans="1:11" x14ac:dyDescent="0.2">
      <c r="A1286" s="8">
        <v>1285</v>
      </c>
      <c r="B1286" s="8">
        <f t="shared" ref="B1286:B1349" si="42">YEAR(D1286)</f>
        <v>2021</v>
      </c>
      <c r="C1286" s="8">
        <f t="shared" ref="C1286:C1349" si="43">MONTH(D1286)</f>
        <v>12</v>
      </c>
      <c r="D1286" s="85">
        <v>44535</v>
      </c>
      <c r="E1286" s="31">
        <v>0</v>
      </c>
      <c r="F1286" s="31">
        <v>100000</v>
      </c>
      <c r="G1286" s="31">
        <v>0</v>
      </c>
      <c r="H1286" s="31">
        <v>0</v>
      </c>
      <c r="I1286" s="31" t="s">
        <v>300</v>
      </c>
      <c r="J1286" s="5" t="s">
        <v>445</v>
      </c>
      <c r="K1286" s="8"/>
    </row>
    <row r="1287" spans="1:11" x14ac:dyDescent="0.2">
      <c r="A1287" s="8">
        <v>1286</v>
      </c>
      <c r="B1287" s="8">
        <f t="shared" si="42"/>
        <v>2021</v>
      </c>
      <c r="C1287" s="8">
        <f t="shared" si="43"/>
        <v>12</v>
      </c>
      <c r="D1287" s="85">
        <v>44535</v>
      </c>
      <c r="E1287" s="31">
        <v>0</v>
      </c>
      <c r="F1287" s="31">
        <v>45000</v>
      </c>
      <c r="G1287" s="31">
        <v>0</v>
      </c>
      <c r="H1287" s="31">
        <v>0</v>
      </c>
      <c r="I1287" s="31" t="s">
        <v>99</v>
      </c>
      <c r="J1287" s="5" t="s">
        <v>1172</v>
      </c>
      <c r="K1287" s="8"/>
    </row>
    <row r="1288" spans="1:11" x14ac:dyDescent="0.2">
      <c r="A1288" s="8">
        <v>1287</v>
      </c>
      <c r="B1288" s="8">
        <f t="shared" si="42"/>
        <v>2021</v>
      </c>
      <c r="C1288" s="8">
        <f t="shared" si="43"/>
        <v>12</v>
      </c>
      <c r="D1288" s="85">
        <v>44535</v>
      </c>
      <c r="E1288" s="31">
        <v>0</v>
      </c>
      <c r="F1288" s="31">
        <v>50000</v>
      </c>
      <c r="G1288" s="31">
        <v>0</v>
      </c>
      <c r="H1288" s="31">
        <v>0</v>
      </c>
      <c r="I1288" s="31" t="s">
        <v>99</v>
      </c>
      <c r="J1288" s="5" t="s">
        <v>1173</v>
      </c>
      <c r="K1288" s="8"/>
    </row>
    <row r="1289" spans="1:11" x14ac:dyDescent="0.2">
      <c r="A1289" s="8">
        <v>1288</v>
      </c>
      <c r="B1289" s="8">
        <f t="shared" si="42"/>
        <v>2021</v>
      </c>
      <c r="C1289" s="8">
        <f t="shared" si="43"/>
        <v>12</v>
      </c>
      <c r="D1289" s="85">
        <v>44535</v>
      </c>
      <c r="E1289" s="31">
        <v>0</v>
      </c>
      <c r="F1289" s="31">
        <v>600000</v>
      </c>
      <c r="G1289" s="31">
        <v>0</v>
      </c>
      <c r="H1289" s="31">
        <v>0</v>
      </c>
      <c r="I1289" s="31" t="s">
        <v>316</v>
      </c>
      <c r="J1289" s="5" t="s">
        <v>201</v>
      </c>
      <c r="K1289" s="8"/>
    </row>
    <row r="1290" spans="1:11" x14ac:dyDescent="0.2">
      <c r="A1290" s="8">
        <v>1289</v>
      </c>
      <c r="B1290" s="8">
        <f t="shared" si="42"/>
        <v>2021</v>
      </c>
      <c r="C1290" s="8">
        <f t="shared" si="43"/>
        <v>12</v>
      </c>
      <c r="D1290" s="85">
        <v>44536</v>
      </c>
      <c r="E1290" s="31">
        <v>0</v>
      </c>
      <c r="F1290" s="32">
        <v>0</v>
      </c>
      <c r="G1290" s="31">
        <v>0</v>
      </c>
      <c r="H1290" s="31">
        <v>112000</v>
      </c>
      <c r="I1290" s="31" t="s">
        <v>1007</v>
      </c>
      <c r="J1290" s="5" t="s">
        <v>1174</v>
      </c>
      <c r="K1290" s="8"/>
    </row>
    <row r="1291" spans="1:11" x14ac:dyDescent="0.2">
      <c r="A1291" s="8">
        <v>1290</v>
      </c>
      <c r="B1291" s="8">
        <f t="shared" si="42"/>
        <v>2021</v>
      </c>
      <c r="C1291" s="8">
        <f t="shared" si="43"/>
        <v>12</v>
      </c>
      <c r="D1291" s="85">
        <v>44536</v>
      </c>
      <c r="E1291" s="31">
        <v>0</v>
      </c>
      <c r="F1291" s="31">
        <v>0</v>
      </c>
      <c r="G1291" s="31"/>
      <c r="H1291" s="31">
        <v>0</v>
      </c>
      <c r="I1291" s="31" t="s">
        <v>92</v>
      </c>
      <c r="J1291" s="5" t="s">
        <v>1175</v>
      </c>
      <c r="K1291" s="8"/>
    </row>
    <row r="1292" spans="1:11" x14ac:dyDescent="0.2">
      <c r="A1292" s="8">
        <v>1291</v>
      </c>
      <c r="B1292" s="8">
        <f t="shared" si="42"/>
        <v>2021</v>
      </c>
      <c r="C1292" s="8">
        <f t="shared" si="43"/>
        <v>12</v>
      </c>
      <c r="D1292" s="85">
        <v>44537</v>
      </c>
      <c r="E1292" s="31">
        <v>1750000</v>
      </c>
      <c r="F1292" s="31">
        <v>0</v>
      </c>
      <c r="G1292" s="31">
        <v>0</v>
      </c>
      <c r="H1292" s="31">
        <v>0</v>
      </c>
      <c r="I1292" s="31" t="s">
        <v>109</v>
      </c>
      <c r="J1292" s="5" t="s">
        <v>1176</v>
      </c>
      <c r="K1292" s="8"/>
    </row>
    <row r="1293" spans="1:11" x14ac:dyDescent="0.2">
      <c r="A1293" s="8">
        <v>1292</v>
      </c>
      <c r="B1293" s="8">
        <f t="shared" si="42"/>
        <v>2021</v>
      </c>
      <c r="C1293" s="8">
        <f t="shared" si="43"/>
        <v>12</v>
      </c>
      <c r="D1293" s="85">
        <v>44537</v>
      </c>
      <c r="E1293" s="31">
        <v>0</v>
      </c>
      <c r="F1293" s="31">
        <v>120000</v>
      </c>
      <c r="G1293" s="31">
        <v>0</v>
      </c>
      <c r="H1293" s="31">
        <v>0</v>
      </c>
      <c r="I1293" s="31" t="s">
        <v>287</v>
      </c>
      <c r="J1293" s="5" t="s">
        <v>1177</v>
      </c>
      <c r="K1293" s="8"/>
    </row>
    <row r="1294" spans="1:11" x14ac:dyDescent="0.2">
      <c r="A1294" s="8">
        <v>1293</v>
      </c>
      <c r="B1294" s="8">
        <f t="shared" si="42"/>
        <v>2021</v>
      </c>
      <c r="C1294" s="8">
        <f t="shared" si="43"/>
        <v>12</v>
      </c>
      <c r="D1294" s="85">
        <v>44537</v>
      </c>
      <c r="E1294" s="31">
        <v>0</v>
      </c>
      <c r="F1294" s="31">
        <v>13000</v>
      </c>
      <c r="G1294" s="31">
        <v>0</v>
      </c>
      <c r="H1294" s="31">
        <v>0</v>
      </c>
      <c r="I1294" s="31" t="s">
        <v>300</v>
      </c>
      <c r="J1294" s="5" t="s">
        <v>858</v>
      </c>
      <c r="K1294" s="8"/>
    </row>
    <row r="1295" spans="1:11" x14ac:dyDescent="0.2">
      <c r="A1295" s="8">
        <v>1294</v>
      </c>
      <c r="B1295" s="8">
        <f t="shared" si="42"/>
        <v>2021</v>
      </c>
      <c r="C1295" s="8">
        <f t="shared" si="43"/>
        <v>12</v>
      </c>
      <c r="D1295" s="85">
        <v>44537</v>
      </c>
      <c r="E1295" s="31">
        <v>0</v>
      </c>
      <c r="F1295" s="31">
        <v>100000</v>
      </c>
      <c r="G1295" s="31">
        <v>0</v>
      </c>
      <c r="H1295" s="31">
        <v>0</v>
      </c>
      <c r="I1295" s="31" t="s">
        <v>85</v>
      </c>
      <c r="J1295" s="5" t="s">
        <v>1178</v>
      </c>
      <c r="K1295" s="8"/>
    </row>
    <row r="1296" spans="1:11" x14ac:dyDescent="0.2">
      <c r="A1296" s="8">
        <v>1295</v>
      </c>
      <c r="B1296" s="8">
        <f t="shared" si="42"/>
        <v>2021</v>
      </c>
      <c r="C1296" s="8">
        <f t="shared" si="43"/>
        <v>12</v>
      </c>
      <c r="D1296" s="85">
        <v>44537</v>
      </c>
      <c r="E1296" s="31">
        <v>400000</v>
      </c>
      <c r="F1296" s="31">
        <v>0</v>
      </c>
      <c r="G1296" s="31">
        <v>0</v>
      </c>
      <c r="H1296" s="31">
        <v>0</v>
      </c>
      <c r="I1296" s="31" t="s">
        <v>109</v>
      </c>
      <c r="J1296" s="5" t="s">
        <v>1179</v>
      </c>
      <c r="K1296" s="8"/>
    </row>
    <row r="1297" spans="1:11" x14ac:dyDescent="0.2">
      <c r="A1297" s="8">
        <v>1296</v>
      </c>
      <c r="B1297" s="8">
        <f t="shared" si="42"/>
        <v>2021</v>
      </c>
      <c r="C1297" s="8">
        <f t="shared" si="43"/>
        <v>12</v>
      </c>
      <c r="D1297" s="85">
        <v>44538</v>
      </c>
      <c r="E1297" s="31">
        <v>0</v>
      </c>
      <c r="F1297" s="31">
        <v>622500</v>
      </c>
      <c r="G1297" s="31">
        <v>0</v>
      </c>
      <c r="H1297" s="31">
        <v>0</v>
      </c>
      <c r="I1297" s="31" t="s">
        <v>85</v>
      </c>
      <c r="J1297" s="5" t="s">
        <v>1180</v>
      </c>
      <c r="K1297" s="8"/>
    </row>
    <row r="1298" spans="1:11" x14ac:dyDescent="0.2">
      <c r="A1298" s="8">
        <v>1297</v>
      </c>
      <c r="B1298" s="8">
        <f t="shared" si="42"/>
        <v>2021</v>
      </c>
      <c r="C1298" s="8">
        <f t="shared" si="43"/>
        <v>12</v>
      </c>
      <c r="D1298" s="85">
        <v>44538</v>
      </c>
      <c r="E1298" s="31">
        <v>0</v>
      </c>
      <c r="F1298" s="31">
        <v>16000</v>
      </c>
      <c r="G1298" s="31">
        <v>0</v>
      </c>
      <c r="H1298" s="31">
        <v>0</v>
      </c>
      <c r="I1298" s="31" t="s">
        <v>300</v>
      </c>
      <c r="J1298" s="5" t="s">
        <v>300</v>
      </c>
      <c r="K1298" s="8"/>
    </row>
    <row r="1299" spans="1:11" x14ac:dyDescent="0.2">
      <c r="A1299" s="8">
        <v>1298</v>
      </c>
      <c r="B1299" s="8">
        <f t="shared" si="42"/>
        <v>2021</v>
      </c>
      <c r="C1299" s="8">
        <f t="shared" si="43"/>
        <v>12</v>
      </c>
      <c r="D1299" s="85">
        <v>44538</v>
      </c>
      <c r="E1299" s="31">
        <v>0</v>
      </c>
      <c r="F1299" s="31">
        <v>20000</v>
      </c>
      <c r="G1299" s="31">
        <v>0</v>
      </c>
      <c r="H1299" s="31">
        <v>0</v>
      </c>
      <c r="I1299" s="31" t="s">
        <v>85</v>
      </c>
      <c r="J1299" s="5" t="s">
        <v>1181</v>
      </c>
      <c r="K1299" s="8"/>
    </row>
    <row r="1300" spans="1:11" x14ac:dyDescent="0.2">
      <c r="A1300" s="8">
        <v>1299</v>
      </c>
      <c r="B1300" s="8">
        <f t="shared" si="42"/>
        <v>2021</v>
      </c>
      <c r="C1300" s="8">
        <f t="shared" si="43"/>
        <v>12</v>
      </c>
      <c r="D1300" s="85">
        <v>44539</v>
      </c>
      <c r="E1300" s="31">
        <v>0</v>
      </c>
      <c r="F1300" s="31">
        <v>57000</v>
      </c>
      <c r="G1300" s="31">
        <v>0</v>
      </c>
      <c r="H1300" s="31">
        <v>0</v>
      </c>
      <c r="I1300" s="31"/>
      <c r="J1300" s="5" t="s">
        <v>1182</v>
      </c>
      <c r="K1300" s="8"/>
    </row>
    <row r="1301" spans="1:11" x14ac:dyDescent="0.2">
      <c r="A1301" s="8">
        <v>1300</v>
      </c>
      <c r="B1301" s="8">
        <f t="shared" si="42"/>
        <v>2021</v>
      </c>
      <c r="C1301" s="8">
        <f t="shared" si="43"/>
        <v>12</v>
      </c>
      <c r="D1301" s="85">
        <v>44543</v>
      </c>
      <c r="E1301" s="31">
        <v>0</v>
      </c>
      <c r="F1301" s="31">
        <v>300000</v>
      </c>
      <c r="G1301" s="31">
        <v>0</v>
      </c>
      <c r="H1301" s="31">
        <v>0</v>
      </c>
      <c r="I1301" s="31" t="s">
        <v>92</v>
      </c>
      <c r="J1301" s="5" t="s">
        <v>1183</v>
      </c>
      <c r="K1301" s="8"/>
    </row>
    <row r="1302" spans="1:11" x14ac:dyDescent="0.2">
      <c r="A1302" s="8">
        <v>1301</v>
      </c>
      <c r="B1302" s="8">
        <f t="shared" si="42"/>
        <v>2021</v>
      </c>
      <c r="C1302" s="8">
        <f t="shared" si="43"/>
        <v>12</v>
      </c>
      <c r="D1302" s="85">
        <v>44545</v>
      </c>
      <c r="E1302" s="31">
        <v>2773000</v>
      </c>
      <c r="F1302" s="31">
        <v>0</v>
      </c>
      <c r="G1302" s="31">
        <v>0</v>
      </c>
      <c r="H1302" s="31">
        <v>0</v>
      </c>
      <c r="I1302" s="31" t="s">
        <v>109</v>
      </c>
      <c r="J1302" s="5" t="s">
        <v>1184</v>
      </c>
      <c r="K1302" s="8"/>
    </row>
    <row r="1303" spans="1:11" x14ac:dyDescent="0.2">
      <c r="A1303" s="8">
        <v>1302</v>
      </c>
      <c r="B1303" s="8">
        <f t="shared" si="42"/>
        <v>2021</v>
      </c>
      <c r="C1303" s="8">
        <f t="shared" si="43"/>
        <v>12</v>
      </c>
      <c r="D1303" s="85">
        <v>44545</v>
      </c>
      <c r="E1303" s="31">
        <v>850000</v>
      </c>
      <c r="F1303" s="31">
        <v>0</v>
      </c>
      <c r="G1303" s="31">
        <v>0</v>
      </c>
      <c r="H1303" s="31">
        <v>0</v>
      </c>
      <c r="I1303" s="31" t="s">
        <v>109</v>
      </c>
      <c r="J1303" s="5" t="s">
        <v>1185</v>
      </c>
      <c r="K1303" s="8"/>
    </row>
    <row r="1304" spans="1:11" x14ac:dyDescent="0.2">
      <c r="A1304" s="8">
        <v>1303</v>
      </c>
      <c r="B1304" s="8">
        <f t="shared" si="42"/>
        <v>2021</v>
      </c>
      <c r="C1304" s="8">
        <f t="shared" si="43"/>
        <v>12</v>
      </c>
      <c r="D1304" s="85">
        <v>44545</v>
      </c>
      <c r="E1304" s="31">
        <v>500000</v>
      </c>
      <c r="F1304" s="31">
        <v>0</v>
      </c>
      <c r="G1304" s="31">
        <v>0</v>
      </c>
      <c r="H1304" s="31">
        <v>0</v>
      </c>
      <c r="I1304" s="31" t="s">
        <v>109</v>
      </c>
      <c r="J1304" s="5" t="s">
        <v>1186</v>
      </c>
      <c r="K1304" s="8"/>
    </row>
    <row r="1305" spans="1:11" x14ac:dyDescent="0.2">
      <c r="A1305" s="8">
        <v>1304</v>
      </c>
      <c r="B1305" s="8">
        <f t="shared" si="42"/>
        <v>2021</v>
      </c>
      <c r="C1305" s="8">
        <f t="shared" si="43"/>
        <v>12</v>
      </c>
      <c r="D1305" s="85">
        <v>44545</v>
      </c>
      <c r="E1305" s="31">
        <v>320000</v>
      </c>
      <c r="F1305" s="31">
        <v>0</v>
      </c>
      <c r="G1305" s="31">
        <v>0</v>
      </c>
      <c r="H1305" s="31">
        <v>0</v>
      </c>
      <c r="I1305" s="31" t="s">
        <v>109</v>
      </c>
      <c r="J1305" s="5" t="s">
        <v>1187</v>
      </c>
      <c r="K1305" s="8"/>
    </row>
    <row r="1306" spans="1:11" x14ac:dyDescent="0.2">
      <c r="A1306" s="8">
        <v>1305</v>
      </c>
      <c r="B1306" s="8">
        <f t="shared" si="42"/>
        <v>2021</v>
      </c>
      <c r="C1306" s="8">
        <f t="shared" si="43"/>
        <v>12</v>
      </c>
      <c r="D1306" s="85">
        <v>44546</v>
      </c>
      <c r="E1306" s="31">
        <v>0</v>
      </c>
      <c r="F1306" s="31">
        <v>50000</v>
      </c>
      <c r="G1306" s="31">
        <v>0</v>
      </c>
      <c r="H1306" s="31">
        <v>0</v>
      </c>
      <c r="I1306" s="31" t="s">
        <v>85</v>
      </c>
      <c r="J1306" s="5" t="s">
        <v>858</v>
      </c>
      <c r="K1306" s="8"/>
    </row>
    <row r="1307" spans="1:11" x14ac:dyDescent="0.2">
      <c r="A1307" s="8">
        <v>1306</v>
      </c>
      <c r="B1307" s="8">
        <f t="shared" si="42"/>
        <v>2021</v>
      </c>
      <c r="C1307" s="8">
        <f t="shared" si="43"/>
        <v>12</v>
      </c>
      <c r="D1307" s="85">
        <v>44547</v>
      </c>
      <c r="E1307" s="31">
        <v>0</v>
      </c>
      <c r="F1307" s="31">
        <v>300000</v>
      </c>
      <c r="G1307" s="31">
        <v>0</v>
      </c>
      <c r="H1307" s="31">
        <v>0</v>
      </c>
      <c r="I1307" s="31" t="s">
        <v>85</v>
      </c>
      <c r="J1307" s="5" t="s">
        <v>1000</v>
      </c>
      <c r="K1307" s="8"/>
    </row>
    <row r="1308" spans="1:11" x14ac:dyDescent="0.2">
      <c r="A1308" s="8">
        <v>1307</v>
      </c>
      <c r="B1308" s="8">
        <f t="shared" si="42"/>
        <v>2021</v>
      </c>
      <c r="C1308" s="8">
        <f t="shared" si="43"/>
        <v>12</v>
      </c>
      <c r="D1308" s="85">
        <v>44547</v>
      </c>
      <c r="E1308" s="31">
        <v>0</v>
      </c>
      <c r="F1308" s="31">
        <v>150000</v>
      </c>
      <c r="G1308" s="31">
        <v>0</v>
      </c>
      <c r="H1308" s="31">
        <v>0</v>
      </c>
      <c r="I1308" s="31" t="s">
        <v>85</v>
      </c>
      <c r="J1308" s="5" t="s">
        <v>1188</v>
      </c>
      <c r="K1308" s="8"/>
    </row>
    <row r="1309" spans="1:11" x14ac:dyDescent="0.2">
      <c r="A1309" s="8">
        <v>1308</v>
      </c>
      <c r="B1309" s="8">
        <f t="shared" si="42"/>
        <v>2021</v>
      </c>
      <c r="C1309" s="8">
        <f t="shared" si="43"/>
        <v>12</v>
      </c>
      <c r="D1309" s="85">
        <v>44547</v>
      </c>
      <c r="E1309" s="31">
        <v>0</v>
      </c>
      <c r="F1309" s="31">
        <v>237000</v>
      </c>
      <c r="G1309" s="31">
        <v>0</v>
      </c>
      <c r="H1309" s="31">
        <v>0</v>
      </c>
      <c r="I1309" s="31" t="s">
        <v>85</v>
      </c>
      <c r="J1309" s="5" t="s">
        <v>1189</v>
      </c>
      <c r="K1309" s="8"/>
    </row>
    <row r="1310" spans="1:11" x14ac:dyDescent="0.2">
      <c r="A1310" s="8">
        <v>1309</v>
      </c>
      <c r="B1310" s="8">
        <f t="shared" si="42"/>
        <v>2021</v>
      </c>
      <c r="C1310" s="8">
        <f t="shared" si="43"/>
        <v>12</v>
      </c>
      <c r="D1310" s="85">
        <v>44545</v>
      </c>
      <c r="E1310" s="31">
        <v>0</v>
      </c>
      <c r="F1310" s="31">
        <v>200000</v>
      </c>
      <c r="G1310" s="31">
        <v>0</v>
      </c>
      <c r="H1310" s="31">
        <v>0</v>
      </c>
      <c r="I1310" s="31" t="s">
        <v>85</v>
      </c>
      <c r="J1310" s="5" t="s">
        <v>1163</v>
      </c>
      <c r="K1310" s="8"/>
    </row>
    <row r="1311" spans="1:11" x14ac:dyDescent="0.2">
      <c r="A1311" s="8">
        <v>1310</v>
      </c>
      <c r="B1311" s="8">
        <f t="shared" si="42"/>
        <v>2021</v>
      </c>
      <c r="C1311" s="8">
        <f t="shared" si="43"/>
        <v>11</v>
      </c>
      <c r="D1311" s="85">
        <v>44518</v>
      </c>
      <c r="E1311" s="31">
        <v>0</v>
      </c>
      <c r="F1311" s="31">
        <v>0</v>
      </c>
      <c r="G1311" s="31">
        <v>0</v>
      </c>
      <c r="H1311" s="31">
        <v>200000</v>
      </c>
      <c r="I1311" s="31" t="s">
        <v>85</v>
      </c>
      <c r="J1311" s="5" t="s">
        <v>1190</v>
      </c>
      <c r="K1311" s="8"/>
    </row>
    <row r="1312" spans="1:11" x14ac:dyDescent="0.2">
      <c r="A1312" s="8">
        <v>1311</v>
      </c>
      <c r="B1312" s="8">
        <f t="shared" si="42"/>
        <v>2021</v>
      </c>
      <c r="C1312" s="8">
        <f t="shared" si="43"/>
        <v>12</v>
      </c>
      <c r="D1312" s="85">
        <v>44553</v>
      </c>
      <c r="E1312" s="31">
        <v>0</v>
      </c>
      <c r="F1312" s="31">
        <v>0</v>
      </c>
      <c r="G1312" s="31"/>
      <c r="H1312" s="31">
        <v>0</v>
      </c>
      <c r="I1312" s="31" t="s">
        <v>92</v>
      </c>
      <c r="J1312" s="5" t="s">
        <v>1191</v>
      </c>
      <c r="K1312" s="8"/>
    </row>
    <row r="1313" spans="1:13" x14ac:dyDescent="0.2">
      <c r="A1313" s="8">
        <v>1312</v>
      </c>
      <c r="B1313" s="8">
        <f t="shared" si="42"/>
        <v>2021</v>
      </c>
      <c r="C1313" s="8">
        <f t="shared" si="43"/>
        <v>12</v>
      </c>
      <c r="D1313" s="85">
        <v>44553</v>
      </c>
      <c r="E1313" s="31">
        <v>0</v>
      </c>
      <c r="F1313" s="31">
        <v>256000</v>
      </c>
      <c r="G1313" s="31">
        <v>0</v>
      </c>
      <c r="H1313" s="31">
        <v>0</v>
      </c>
      <c r="I1313" s="31" t="s">
        <v>85</v>
      </c>
      <c r="J1313" s="5" t="s">
        <v>1192</v>
      </c>
      <c r="K1313" s="8"/>
    </row>
    <row r="1314" spans="1:13" x14ac:dyDescent="0.2">
      <c r="A1314" s="8">
        <v>1313</v>
      </c>
      <c r="B1314" s="8">
        <f t="shared" si="42"/>
        <v>2021</v>
      </c>
      <c r="C1314" s="8">
        <f t="shared" si="43"/>
        <v>12</v>
      </c>
      <c r="D1314" s="85">
        <v>44553</v>
      </c>
      <c r="E1314" s="31">
        <v>0</v>
      </c>
      <c r="F1314" s="31">
        <v>0</v>
      </c>
      <c r="G1314" s="32">
        <v>0</v>
      </c>
      <c r="H1314" s="31">
        <v>155000</v>
      </c>
      <c r="I1314" s="31" t="s">
        <v>74</v>
      </c>
      <c r="J1314" s="5" t="s">
        <v>1193</v>
      </c>
      <c r="K1314" s="8"/>
    </row>
    <row r="1315" spans="1:13" x14ac:dyDescent="0.2">
      <c r="A1315" s="8">
        <v>1314</v>
      </c>
      <c r="B1315" s="8">
        <f t="shared" si="42"/>
        <v>2021</v>
      </c>
      <c r="C1315" s="8">
        <f t="shared" si="43"/>
        <v>12</v>
      </c>
      <c r="D1315" s="85">
        <v>44553</v>
      </c>
      <c r="E1315" s="31">
        <v>0</v>
      </c>
      <c r="F1315" s="31">
        <v>25000</v>
      </c>
      <c r="G1315" s="31">
        <v>0</v>
      </c>
      <c r="H1315" s="31">
        <v>0</v>
      </c>
      <c r="I1315" s="31" t="s">
        <v>85</v>
      </c>
      <c r="J1315" s="5" t="s">
        <v>458</v>
      </c>
      <c r="K1315" s="8"/>
      <c r="M1315">
        <f>5*23</f>
        <v>115</v>
      </c>
    </row>
    <row r="1316" spans="1:13" x14ac:dyDescent="0.2">
      <c r="A1316" s="8">
        <v>1315</v>
      </c>
      <c r="B1316" s="8">
        <f t="shared" si="42"/>
        <v>2021</v>
      </c>
      <c r="C1316" s="8">
        <f t="shared" si="43"/>
        <v>12</v>
      </c>
      <c r="D1316" s="85">
        <v>44553</v>
      </c>
      <c r="E1316" s="31">
        <v>0</v>
      </c>
      <c r="F1316" s="31">
        <v>16000</v>
      </c>
      <c r="G1316" s="31">
        <v>0</v>
      </c>
      <c r="H1316" s="31">
        <v>0</v>
      </c>
      <c r="I1316" s="31" t="s">
        <v>85</v>
      </c>
      <c r="J1316" s="5" t="s">
        <v>1194</v>
      </c>
      <c r="K1316" s="8"/>
      <c r="M1316">
        <v>40</v>
      </c>
    </row>
    <row r="1317" spans="1:13" x14ac:dyDescent="0.2">
      <c r="A1317" s="8">
        <v>1316</v>
      </c>
      <c r="B1317" s="8">
        <f t="shared" si="42"/>
        <v>2021</v>
      </c>
      <c r="C1317" s="8">
        <f t="shared" si="43"/>
        <v>12</v>
      </c>
      <c r="D1317" s="85">
        <v>44552</v>
      </c>
      <c r="E1317" s="31">
        <v>0</v>
      </c>
      <c r="F1317" s="31">
        <v>107000</v>
      </c>
      <c r="G1317" s="31">
        <v>0</v>
      </c>
      <c r="H1317" s="31">
        <v>0</v>
      </c>
      <c r="I1317" s="31" t="s">
        <v>85</v>
      </c>
      <c r="J1317" s="5" t="s">
        <v>1195</v>
      </c>
      <c r="K1317" s="8"/>
    </row>
    <row r="1318" spans="1:13" x14ac:dyDescent="0.2">
      <c r="A1318" s="8">
        <v>1317</v>
      </c>
      <c r="B1318" s="8">
        <f t="shared" si="42"/>
        <v>2021</v>
      </c>
      <c r="C1318" s="8">
        <f t="shared" si="43"/>
        <v>12</v>
      </c>
      <c r="D1318" s="85">
        <v>44552</v>
      </c>
      <c r="E1318" s="31">
        <v>0</v>
      </c>
      <c r="F1318" s="31">
        <v>400000</v>
      </c>
      <c r="G1318" s="31">
        <v>0</v>
      </c>
      <c r="H1318" s="31">
        <v>0</v>
      </c>
      <c r="I1318" s="31" t="s">
        <v>85</v>
      </c>
      <c r="J1318" s="5" t="s">
        <v>702</v>
      </c>
      <c r="K1318" s="8"/>
    </row>
    <row r="1319" spans="1:13" x14ac:dyDescent="0.2">
      <c r="A1319" s="8">
        <v>1318</v>
      </c>
      <c r="B1319" s="8">
        <f t="shared" si="42"/>
        <v>2021</v>
      </c>
      <c r="C1319" s="8">
        <f t="shared" si="43"/>
        <v>12</v>
      </c>
      <c r="D1319" s="85">
        <v>44552</v>
      </c>
      <c r="E1319" s="31">
        <v>0</v>
      </c>
      <c r="F1319" s="31">
        <v>60000</v>
      </c>
      <c r="G1319" s="31">
        <v>0</v>
      </c>
      <c r="H1319" s="31">
        <v>0</v>
      </c>
      <c r="I1319" s="31" t="s">
        <v>85</v>
      </c>
      <c r="J1319" s="5" t="s">
        <v>1196</v>
      </c>
      <c r="K1319" s="8"/>
    </row>
    <row r="1320" spans="1:13" x14ac:dyDescent="0.2">
      <c r="A1320" s="8">
        <v>1319</v>
      </c>
      <c r="B1320" s="8">
        <f t="shared" si="42"/>
        <v>2021</v>
      </c>
      <c r="C1320" s="8">
        <f t="shared" si="43"/>
        <v>12</v>
      </c>
      <c r="D1320" s="85">
        <v>44552</v>
      </c>
      <c r="E1320" s="31">
        <v>0</v>
      </c>
      <c r="F1320" s="31">
        <v>37000</v>
      </c>
      <c r="G1320" s="31">
        <v>0</v>
      </c>
      <c r="H1320" s="31">
        <v>0</v>
      </c>
      <c r="I1320" s="31" t="s">
        <v>85</v>
      </c>
      <c r="J1320" s="5" t="s">
        <v>1197</v>
      </c>
      <c r="K1320" s="8"/>
    </row>
    <row r="1321" spans="1:13" x14ac:dyDescent="0.2">
      <c r="A1321" s="8">
        <v>1320</v>
      </c>
      <c r="B1321" s="8">
        <f t="shared" si="42"/>
        <v>2021</v>
      </c>
      <c r="C1321" s="8">
        <f t="shared" si="43"/>
        <v>12</v>
      </c>
      <c r="D1321" s="85">
        <v>44552</v>
      </c>
      <c r="E1321" s="31">
        <v>0</v>
      </c>
      <c r="F1321" s="31">
        <v>60000</v>
      </c>
      <c r="G1321" s="31">
        <v>0</v>
      </c>
      <c r="H1321" s="31">
        <v>0</v>
      </c>
      <c r="I1321" s="31" t="s">
        <v>85</v>
      </c>
      <c r="J1321" s="5" t="s">
        <v>1198</v>
      </c>
      <c r="K1321" s="8"/>
    </row>
    <row r="1322" spans="1:13" x14ac:dyDescent="0.2">
      <c r="A1322" s="8">
        <v>1321</v>
      </c>
      <c r="B1322" s="8">
        <f t="shared" si="42"/>
        <v>2021</v>
      </c>
      <c r="C1322" s="8">
        <f t="shared" si="43"/>
        <v>12</v>
      </c>
      <c r="D1322" s="85">
        <v>44552</v>
      </c>
      <c r="E1322" s="31">
        <v>0</v>
      </c>
      <c r="F1322" s="31">
        <v>37000</v>
      </c>
      <c r="G1322" s="31">
        <v>0</v>
      </c>
      <c r="H1322" s="31">
        <v>0</v>
      </c>
      <c r="I1322" s="31" t="s">
        <v>85</v>
      </c>
      <c r="J1322" s="5" t="s">
        <v>1199</v>
      </c>
      <c r="K1322" s="8"/>
    </row>
    <row r="1323" spans="1:13" x14ac:dyDescent="0.2">
      <c r="A1323" s="8">
        <v>1322</v>
      </c>
      <c r="B1323" s="8">
        <f t="shared" si="42"/>
        <v>2021</v>
      </c>
      <c r="C1323" s="8">
        <f t="shared" si="43"/>
        <v>12</v>
      </c>
      <c r="D1323" s="85">
        <v>44552</v>
      </c>
      <c r="E1323" s="31">
        <v>0</v>
      </c>
      <c r="F1323" s="31">
        <v>56000</v>
      </c>
      <c r="G1323" s="31">
        <v>0</v>
      </c>
      <c r="H1323" s="31">
        <v>0</v>
      </c>
      <c r="I1323" s="31" t="s">
        <v>85</v>
      </c>
      <c r="J1323" s="5" t="s">
        <v>1200</v>
      </c>
      <c r="K1323" s="8"/>
    </row>
    <row r="1324" spans="1:13" x14ac:dyDescent="0.2">
      <c r="A1324" s="8">
        <v>1323</v>
      </c>
      <c r="B1324" s="8">
        <f t="shared" si="42"/>
        <v>2021</v>
      </c>
      <c r="C1324" s="8">
        <f t="shared" si="43"/>
        <v>12</v>
      </c>
      <c r="D1324" s="85">
        <v>44552</v>
      </c>
      <c r="E1324" s="31">
        <v>0</v>
      </c>
      <c r="F1324" s="31">
        <v>50000</v>
      </c>
      <c r="G1324" s="31">
        <v>0</v>
      </c>
      <c r="H1324" s="31">
        <v>0</v>
      </c>
      <c r="I1324" s="31" t="s">
        <v>85</v>
      </c>
      <c r="J1324" s="5" t="s">
        <v>1201</v>
      </c>
      <c r="K1324" s="8"/>
    </row>
    <row r="1325" spans="1:13" x14ac:dyDescent="0.2">
      <c r="A1325" s="8">
        <v>1324</v>
      </c>
      <c r="B1325" s="8">
        <f t="shared" si="42"/>
        <v>2021</v>
      </c>
      <c r="C1325" s="8">
        <f t="shared" si="43"/>
        <v>12</v>
      </c>
      <c r="D1325" s="85">
        <v>44552</v>
      </c>
      <c r="E1325" s="31">
        <v>0</v>
      </c>
      <c r="F1325" s="31">
        <v>50000</v>
      </c>
      <c r="G1325" s="31">
        <v>0</v>
      </c>
      <c r="H1325" s="31">
        <v>0</v>
      </c>
      <c r="I1325" s="31" t="s">
        <v>299</v>
      </c>
      <c r="J1325" s="5" t="s">
        <v>83</v>
      </c>
      <c r="K1325" s="8"/>
    </row>
    <row r="1326" spans="1:13" x14ac:dyDescent="0.2">
      <c r="A1326" s="8">
        <v>1325</v>
      </c>
      <c r="B1326" s="8">
        <f t="shared" si="42"/>
        <v>2021</v>
      </c>
      <c r="C1326" s="8">
        <f t="shared" si="43"/>
        <v>12</v>
      </c>
      <c r="D1326" s="85">
        <v>44552</v>
      </c>
      <c r="E1326" s="31">
        <v>0</v>
      </c>
      <c r="F1326" s="31">
        <v>40000</v>
      </c>
      <c r="G1326" s="31">
        <v>0</v>
      </c>
      <c r="H1326" s="31">
        <v>0</v>
      </c>
      <c r="I1326" s="31" t="s">
        <v>85</v>
      </c>
      <c r="J1326" s="5" t="s">
        <v>730</v>
      </c>
      <c r="K1326" s="8"/>
    </row>
    <row r="1327" spans="1:13" x14ac:dyDescent="0.2">
      <c r="A1327" s="8">
        <v>1326</v>
      </c>
      <c r="B1327" s="8">
        <f t="shared" si="42"/>
        <v>2021</v>
      </c>
      <c r="C1327" s="8">
        <f t="shared" si="43"/>
        <v>12</v>
      </c>
      <c r="D1327" s="85">
        <v>44554</v>
      </c>
      <c r="E1327" s="31">
        <v>0</v>
      </c>
      <c r="F1327" s="31">
        <v>0</v>
      </c>
      <c r="G1327" s="31">
        <v>0</v>
      </c>
      <c r="H1327" s="31">
        <v>354000</v>
      </c>
      <c r="I1327" s="31" t="s">
        <v>74</v>
      </c>
      <c r="J1327" s="5" t="s">
        <v>1202</v>
      </c>
      <c r="K1327" s="8"/>
    </row>
    <row r="1328" spans="1:13" x14ac:dyDescent="0.2">
      <c r="A1328" s="8">
        <v>1327</v>
      </c>
      <c r="B1328" s="8">
        <f t="shared" si="42"/>
        <v>2021</v>
      </c>
      <c r="C1328" s="8">
        <f t="shared" si="43"/>
        <v>12</v>
      </c>
      <c r="D1328" s="85">
        <v>44554</v>
      </c>
      <c r="E1328" s="31">
        <v>670000</v>
      </c>
      <c r="F1328" s="31">
        <v>0</v>
      </c>
      <c r="G1328" s="31">
        <v>0</v>
      </c>
      <c r="H1328" s="31">
        <v>0</v>
      </c>
      <c r="I1328" s="31" t="s">
        <v>109</v>
      </c>
      <c r="J1328" s="5" t="s">
        <v>1203</v>
      </c>
      <c r="K1328" s="8"/>
    </row>
    <row r="1329" spans="1:11" x14ac:dyDescent="0.2">
      <c r="A1329" s="8">
        <v>1328</v>
      </c>
      <c r="B1329" s="8">
        <f t="shared" si="42"/>
        <v>2021</v>
      </c>
      <c r="C1329" s="8">
        <f t="shared" si="43"/>
        <v>12</v>
      </c>
      <c r="D1329" s="85">
        <v>44558</v>
      </c>
      <c r="E1329" s="31">
        <v>100000</v>
      </c>
      <c r="F1329" s="31">
        <v>230000</v>
      </c>
      <c r="G1329" s="31">
        <v>0</v>
      </c>
      <c r="H1329" s="31">
        <v>0</v>
      </c>
      <c r="I1329" s="31" t="s">
        <v>99</v>
      </c>
      <c r="J1329" s="5" t="s">
        <v>1204</v>
      </c>
      <c r="K1329" s="8"/>
    </row>
    <row r="1330" spans="1:11" x14ac:dyDescent="0.2">
      <c r="A1330" s="8">
        <v>1329</v>
      </c>
      <c r="B1330" s="8">
        <f t="shared" si="42"/>
        <v>2021</v>
      </c>
      <c r="C1330" s="8">
        <f t="shared" si="43"/>
        <v>12</v>
      </c>
      <c r="D1330" s="85">
        <v>44559</v>
      </c>
      <c r="E1330" s="31">
        <v>3000000</v>
      </c>
      <c r="F1330" s="31">
        <v>0</v>
      </c>
      <c r="G1330" s="31">
        <v>0</v>
      </c>
      <c r="H1330" s="31">
        <v>0</v>
      </c>
      <c r="I1330" s="31" t="s">
        <v>109</v>
      </c>
      <c r="J1330" s="5" t="s">
        <v>1205</v>
      </c>
      <c r="K1330" s="8"/>
    </row>
    <row r="1331" spans="1:11" x14ac:dyDescent="0.2">
      <c r="A1331" s="8">
        <v>1330</v>
      </c>
      <c r="B1331" s="8">
        <f t="shared" si="42"/>
        <v>2021</v>
      </c>
      <c r="C1331" s="8">
        <f t="shared" si="43"/>
        <v>12</v>
      </c>
      <c r="D1331" s="85">
        <v>44559</v>
      </c>
      <c r="E1331" s="31">
        <v>127000</v>
      </c>
      <c r="F1331" s="31">
        <v>0</v>
      </c>
      <c r="G1331" s="31">
        <v>0</v>
      </c>
      <c r="H1331" s="31">
        <v>0</v>
      </c>
      <c r="I1331" s="31" t="s">
        <v>109</v>
      </c>
      <c r="J1331" s="5" t="s">
        <v>1206</v>
      </c>
      <c r="K1331" s="8"/>
    </row>
    <row r="1332" spans="1:11" x14ac:dyDescent="0.2">
      <c r="A1332" s="8">
        <v>1331</v>
      </c>
      <c r="B1332" s="8">
        <f t="shared" si="42"/>
        <v>2021</v>
      </c>
      <c r="C1332" s="8">
        <f t="shared" si="43"/>
        <v>12</v>
      </c>
      <c r="D1332" s="85">
        <v>44559</v>
      </c>
      <c r="E1332" s="31">
        <v>0</v>
      </c>
      <c r="F1332" s="31">
        <v>40000</v>
      </c>
      <c r="G1332" s="31">
        <v>0</v>
      </c>
      <c r="H1332" s="31">
        <v>0</v>
      </c>
      <c r="I1332" s="31" t="s">
        <v>85</v>
      </c>
      <c r="J1332" s="5" t="s">
        <v>1207</v>
      </c>
      <c r="K1332" s="8"/>
    </row>
    <row r="1333" spans="1:11" x14ac:dyDescent="0.2">
      <c r="A1333" s="8">
        <v>1332</v>
      </c>
      <c r="B1333" s="8">
        <f t="shared" si="42"/>
        <v>2021</v>
      </c>
      <c r="C1333" s="8">
        <f t="shared" si="43"/>
        <v>12</v>
      </c>
      <c r="D1333" s="85">
        <v>44559</v>
      </c>
      <c r="E1333" s="31">
        <v>0</v>
      </c>
      <c r="F1333" s="31">
        <v>115000</v>
      </c>
      <c r="G1333" s="31">
        <v>0</v>
      </c>
      <c r="H1333" s="31">
        <v>0</v>
      </c>
      <c r="I1333" s="31" t="s">
        <v>85</v>
      </c>
      <c r="J1333" s="5" t="s">
        <v>1208</v>
      </c>
      <c r="K1333" s="8"/>
    </row>
    <row r="1334" spans="1:11" x14ac:dyDescent="0.2">
      <c r="A1334" s="8">
        <v>1333</v>
      </c>
      <c r="B1334" s="8">
        <f t="shared" si="42"/>
        <v>2021</v>
      </c>
      <c r="C1334" s="8">
        <f t="shared" si="43"/>
        <v>12</v>
      </c>
      <c r="D1334" s="85">
        <v>44559</v>
      </c>
      <c r="E1334" s="31">
        <v>0</v>
      </c>
      <c r="F1334" s="31">
        <v>270000</v>
      </c>
      <c r="G1334" s="31">
        <v>0</v>
      </c>
      <c r="H1334" s="31">
        <v>0</v>
      </c>
      <c r="I1334" s="31" t="s">
        <v>85</v>
      </c>
      <c r="J1334" s="5" t="s">
        <v>445</v>
      </c>
      <c r="K1334" s="8"/>
    </row>
    <row r="1335" spans="1:11" x14ac:dyDescent="0.2">
      <c r="A1335" s="8">
        <v>1334</v>
      </c>
      <c r="B1335" s="8">
        <f t="shared" si="42"/>
        <v>2021</v>
      </c>
      <c r="C1335" s="8">
        <f t="shared" si="43"/>
        <v>12</v>
      </c>
      <c r="D1335" s="85">
        <v>44559</v>
      </c>
      <c r="E1335" s="31">
        <v>0</v>
      </c>
      <c r="F1335" s="31">
        <v>300000</v>
      </c>
      <c r="G1335" s="31">
        <v>0</v>
      </c>
      <c r="H1335" s="31">
        <v>0</v>
      </c>
      <c r="I1335" s="31" t="s">
        <v>85</v>
      </c>
      <c r="J1335" s="5" t="s">
        <v>1209</v>
      </c>
      <c r="K1335" s="8"/>
    </row>
    <row r="1336" spans="1:11" x14ac:dyDescent="0.2">
      <c r="A1336" s="8">
        <v>1335</v>
      </c>
      <c r="B1336" s="8">
        <f t="shared" si="42"/>
        <v>2021</v>
      </c>
      <c r="C1336" s="8">
        <f t="shared" si="43"/>
        <v>12</v>
      </c>
      <c r="D1336" s="85">
        <v>44559</v>
      </c>
      <c r="E1336" s="31">
        <v>0</v>
      </c>
      <c r="F1336" s="31">
        <v>48000</v>
      </c>
      <c r="G1336" s="31">
        <v>0</v>
      </c>
      <c r="H1336" s="31">
        <v>0</v>
      </c>
      <c r="I1336" s="31" t="s">
        <v>85</v>
      </c>
      <c r="J1336" s="5" t="s">
        <v>1210</v>
      </c>
      <c r="K1336" s="8"/>
    </row>
    <row r="1337" spans="1:11" x14ac:dyDescent="0.2">
      <c r="A1337" s="8">
        <v>1336</v>
      </c>
      <c r="B1337" s="8">
        <f t="shared" si="42"/>
        <v>2021</v>
      </c>
      <c r="C1337" s="8">
        <f t="shared" si="43"/>
        <v>12</v>
      </c>
      <c r="D1337" s="85">
        <v>44559</v>
      </c>
      <c r="E1337" s="31">
        <v>0</v>
      </c>
      <c r="F1337" s="31">
        <v>40000</v>
      </c>
      <c r="G1337" s="31">
        <v>0</v>
      </c>
      <c r="H1337" s="31">
        <v>0</v>
      </c>
      <c r="I1337" s="31" t="s">
        <v>85</v>
      </c>
      <c r="J1337" s="5" t="s">
        <v>1211</v>
      </c>
      <c r="K1337" s="8"/>
    </row>
    <row r="1338" spans="1:11" x14ac:dyDescent="0.2">
      <c r="A1338" s="8">
        <v>1337</v>
      </c>
      <c r="B1338" s="8">
        <f t="shared" si="42"/>
        <v>2021</v>
      </c>
      <c r="C1338" s="8">
        <f t="shared" si="43"/>
        <v>12</v>
      </c>
      <c r="D1338" s="85">
        <v>44559</v>
      </c>
      <c r="E1338" s="31">
        <v>0</v>
      </c>
      <c r="F1338" s="31">
        <v>125000</v>
      </c>
      <c r="G1338" s="31">
        <v>0</v>
      </c>
      <c r="H1338" s="31">
        <v>0</v>
      </c>
      <c r="I1338" s="31" t="s">
        <v>85</v>
      </c>
      <c r="J1338" s="5" t="s">
        <v>1212</v>
      </c>
      <c r="K1338" s="8"/>
    </row>
    <row r="1339" spans="1:11" x14ac:dyDescent="0.2">
      <c r="A1339" s="8">
        <v>1338</v>
      </c>
      <c r="B1339" s="8">
        <f t="shared" si="42"/>
        <v>2021</v>
      </c>
      <c r="C1339" s="8">
        <f t="shared" si="43"/>
        <v>12</v>
      </c>
      <c r="D1339" s="85">
        <v>44559</v>
      </c>
      <c r="E1339" s="31">
        <v>0</v>
      </c>
      <c r="F1339" s="31">
        <v>300000</v>
      </c>
      <c r="G1339" s="31">
        <v>0</v>
      </c>
      <c r="H1339" s="31">
        <v>0</v>
      </c>
      <c r="I1339" s="31" t="s">
        <v>85</v>
      </c>
      <c r="J1339" s="5" t="s">
        <v>1213</v>
      </c>
      <c r="K1339" s="8"/>
    </row>
    <row r="1340" spans="1:11" x14ac:dyDescent="0.2">
      <c r="A1340" s="8">
        <v>1339</v>
      </c>
      <c r="B1340" s="8">
        <f t="shared" si="42"/>
        <v>2021</v>
      </c>
      <c r="C1340" s="8">
        <f t="shared" si="43"/>
        <v>12</v>
      </c>
      <c r="D1340" s="85">
        <v>44559</v>
      </c>
      <c r="E1340" s="31">
        <v>0</v>
      </c>
      <c r="F1340" s="31">
        <v>90000</v>
      </c>
      <c r="G1340" s="31">
        <v>0</v>
      </c>
      <c r="H1340" s="31">
        <v>0</v>
      </c>
      <c r="I1340" s="31" t="s">
        <v>85</v>
      </c>
      <c r="J1340" s="5" t="s">
        <v>1214</v>
      </c>
      <c r="K1340" s="8"/>
    </row>
    <row r="1341" spans="1:11" x14ac:dyDescent="0.2">
      <c r="A1341" s="8">
        <v>1340</v>
      </c>
      <c r="B1341" s="8">
        <f t="shared" si="42"/>
        <v>2021</v>
      </c>
      <c r="C1341" s="8">
        <f t="shared" si="43"/>
        <v>12</v>
      </c>
      <c r="D1341" s="85">
        <v>44559</v>
      </c>
      <c r="E1341" s="31">
        <v>0</v>
      </c>
      <c r="F1341" s="31">
        <v>35000</v>
      </c>
      <c r="G1341" s="31">
        <v>0</v>
      </c>
      <c r="H1341" s="31">
        <v>0</v>
      </c>
      <c r="I1341" s="31" t="s">
        <v>85</v>
      </c>
      <c r="J1341" s="5" t="s">
        <v>1215</v>
      </c>
      <c r="K1341" s="8"/>
    </row>
    <row r="1342" spans="1:11" x14ac:dyDescent="0.2">
      <c r="A1342" s="8">
        <v>1341</v>
      </c>
      <c r="B1342" s="8">
        <f t="shared" si="42"/>
        <v>2021</v>
      </c>
      <c r="C1342" s="8">
        <f t="shared" si="43"/>
        <v>12</v>
      </c>
      <c r="D1342" s="85">
        <v>44559</v>
      </c>
      <c r="E1342" s="31">
        <v>0</v>
      </c>
      <c r="F1342" s="31">
        <v>90000</v>
      </c>
      <c r="G1342" s="31">
        <v>0</v>
      </c>
      <c r="H1342" s="31">
        <v>0</v>
      </c>
      <c r="I1342" s="31" t="s">
        <v>85</v>
      </c>
      <c r="J1342" s="5" t="s">
        <v>1216</v>
      </c>
      <c r="K1342" s="8"/>
    </row>
    <row r="1343" spans="1:11" x14ac:dyDescent="0.2">
      <c r="A1343" s="8">
        <v>1342</v>
      </c>
      <c r="B1343" s="8">
        <f t="shared" si="42"/>
        <v>2021</v>
      </c>
      <c r="C1343" s="8">
        <f t="shared" si="43"/>
        <v>12</v>
      </c>
      <c r="D1343" s="85">
        <v>44559</v>
      </c>
      <c r="E1343" s="31">
        <v>0</v>
      </c>
      <c r="F1343" s="31">
        <v>36000</v>
      </c>
      <c r="G1343" s="31">
        <v>0</v>
      </c>
      <c r="H1343" s="31">
        <v>0</v>
      </c>
      <c r="I1343" s="31" t="s">
        <v>85</v>
      </c>
      <c r="J1343" s="5" t="s">
        <v>1217</v>
      </c>
      <c r="K1343" s="8"/>
    </row>
    <row r="1344" spans="1:11" x14ac:dyDescent="0.2">
      <c r="A1344" s="8">
        <v>1343</v>
      </c>
      <c r="B1344" s="8">
        <f t="shared" si="42"/>
        <v>2021</v>
      </c>
      <c r="C1344" s="8">
        <f t="shared" si="43"/>
        <v>12</v>
      </c>
      <c r="D1344" s="85">
        <v>44559</v>
      </c>
      <c r="E1344" s="31">
        <v>0</v>
      </c>
      <c r="F1344" s="31">
        <v>60000</v>
      </c>
      <c r="G1344" s="31">
        <v>0</v>
      </c>
      <c r="H1344" s="31">
        <v>0</v>
      </c>
      <c r="I1344" s="31" t="s">
        <v>85</v>
      </c>
      <c r="J1344" s="5" t="s">
        <v>1218</v>
      </c>
      <c r="K1344" s="8"/>
    </row>
    <row r="1345" spans="1:11" x14ac:dyDescent="0.2">
      <c r="A1345" s="8">
        <v>1344</v>
      </c>
      <c r="B1345" s="8">
        <f t="shared" si="42"/>
        <v>2021</v>
      </c>
      <c r="C1345" s="8">
        <f t="shared" si="43"/>
        <v>12</v>
      </c>
      <c r="D1345" s="85">
        <v>44559</v>
      </c>
      <c r="E1345" s="31">
        <v>0</v>
      </c>
      <c r="F1345" s="31">
        <v>50000</v>
      </c>
      <c r="G1345" s="31">
        <v>0</v>
      </c>
      <c r="H1345" s="31">
        <v>0</v>
      </c>
      <c r="I1345" s="31" t="s">
        <v>85</v>
      </c>
      <c r="J1345" s="5" t="s">
        <v>1219</v>
      </c>
      <c r="K1345" s="8"/>
    </row>
    <row r="1346" spans="1:11" x14ac:dyDescent="0.2">
      <c r="A1346" s="8">
        <v>1345</v>
      </c>
      <c r="B1346" s="8">
        <f t="shared" si="42"/>
        <v>2021</v>
      </c>
      <c r="C1346" s="8">
        <f t="shared" si="43"/>
        <v>12</v>
      </c>
      <c r="D1346" s="85">
        <v>44559</v>
      </c>
      <c r="E1346" s="31">
        <v>0</v>
      </c>
      <c r="F1346" s="31">
        <v>20000</v>
      </c>
      <c r="G1346" s="31">
        <v>0</v>
      </c>
      <c r="H1346" s="31">
        <v>0</v>
      </c>
      <c r="I1346" s="31" t="s">
        <v>85</v>
      </c>
      <c r="J1346" s="5" t="s">
        <v>360</v>
      </c>
      <c r="K1346" s="8"/>
    </row>
    <row r="1347" spans="1:11" x14ac:dyDescent="0.2">
      <c r="A1347" s="8">
        <v>1346</v>
      </c>
      <c r="B1347" s="8">
        <f t="shared" si="42"/>
        <v>2021</v>
      </c>
      <c r="C1347" s="8">
        <f t="shared" si="43"/>
        <v>12</v>
      </c>
      <c r="D1347" s="85">
        <v>44559</v>
      </c>
      <c r="E1347" s="109">
        <v>2546500</v>
      </c>
      <c r="F1347" s="31">
        <v>0</v>
      </c>
      <c r="G1347" s="31">
        <v>0</v>
      </c>
      <c r="H1347" s="31">
        <v>0</v>
      </c>
      <c r="I1347" s="31" t="s">
        <v>109</v>
      </c>
      <c r="J1347" s="5" t="s">
        <v>1220</v>
      </c>
      <c r="K1347" s="8"/>
    </row>
    <row r="1348" spans="1:11" x14ac:dyDescent="0.2">
      <c r="A1348" s="8">
        <v>1347</v>
      </c>
      <c r="B1348" s="8">
        <f t="shared" si="42"/>
        <v>2021</v>
      </c>
      <c r="C1348" s="8">
        <f t="shared" si="43"/>
        <v>12</v>
      </c>
      <c r="D1348" s="85">
        <v>44559</v>
      </c>
      <c r="E1348" s="7">
        <v>2884000</v>
      </c>
      <c r="F1348" s="31">
        <v>0</v>
      </c>
      <c r="G1348" s="31">
        <v>0</v>
      </c>
      <c r="H1348" s="31">
        <v>0</v>
      </c>
      <c r="I1348" s="31" t="s">
        <v>704</v>
      </c>
      <c r="J1348" s="5" t="s">
        <v>341</v>
      </c>
      <c r="K1348" s="8"/>
    </row>
    <row r="1349" spans="1:11" x14ac:dyDescent="0.2">
      <c r="A1349" s="8">
        <v>1348</v>
      </c>
      <c r="B1349" s="8">
        <f t="shared" si="42"/>
        <v>2021</v>
      </c>
      <c r="C1349" s="8">
        <f t="shared" si="43"/>
        <v>12</v>
      </c>
      <c r="D1349" s="93">
        <v>44560</v>
      </c>
      <c r="E1349" s="35">
        <v>0</v>
      </c>
      <c r="F1349" s="35">
        <v>650000</v>
      </c>
      <c r="G1349" s="35">
        <v>0</v>
      </c>
      <c r="H1349" s="35">
        <v>0</v>
      </c>
      <c r="I1349" s="35" t="s">
        <v>1221</v>
      </c>
      <c r="J1349" s="36" t="s">
        <v>1222</v>
      </c>
      <c r="K1349" s="8"/>
    </row>
    <row r="1350" spans="1:11" x14ac:dyDescent="0.2">
      <c r="A1350" s="8">
        <v>1349</v>
      </c>
      <c r="B1350" s="8">
        <f t="shared" ref="B1350:B1413" si="44">YEAR(D1350)</f>
        <v>2021</v>
      </c>
      <c r="C1350" s="8">
        <f t="shared" ref="C1350:C1413" si="45">MONTH(D1350)</f>
        <v>12</v>
      </c>
      <c r="D1350" s="85">
        <v>44561</v>
      </c>
      <c r="E1350" s="31">
        <v>0</v>
      </c>
      <c r="F1350" s="31">
        <v>75000</v>
      </c>
      <c r="G1350" s="31">
        <v>0</v>
      </c>
      <c r="H1350" s="31">
        <v>0</v>
      </c>
      <c r="I1350" s="31" t="s">
        <v>1223</v>
      </c>
      <c r="J1350" s="5" t="s">
        <v>1224</v>
      </c>
      <c r="K1350" s="8"/>
    </row>
    <row r="1351" spans="1:11" x14ac:dyDescent="0.2">
      <c r="A1351" s="8">
        <v>1350</v>
      </c>
      <c r="B1351" s="8">
        <f t="shared" si="44"/>
        <v>2021</v>
      </c>
      <c r="C1351" s="8">
        <f t="shared" si="45"/>
        <v>12</v>
      </c>
      <c r="D1351" s="85">
        <v>44561</v>
      </c>
      <c r="E1351" s="31">
        <v>0</v>
      </c>
      <c r="F1351" s="31">
        <v>36000</v>
      </c>
      <c r="G1351" s="31">
        <v>0</v>
      </c>
      <c r="H1351" s="31">
        <v>0</v>
      </c>
      <c r="I1351" s="31" t="s">
        <v>1223</v>
      </c>
      <c r="J1351" s="5" t="s">
        <v>1225</v>
      </c>
      <c r="K1351" s="8"/>
    </row>
    <row r="1352" spans="1:11" x14ac:dyDescent="0.2">
      <c r="A1352" s="8">
        <v>1351</v>
      </c>
      <c r="B1352" s="8">
        <f t="shared" si="44"/>
        <v>2021</v>
      </c>
      <c r="C1352" s="8">
        <f t="shared" si="45"/>
        <v>12</v>
      </c>
      <c r="D1352" s="85">
        <v>44561</v>
      </c>
      <c r="E1352" s="31">
        <v>0</v>
      </c>
      <c r="F1352" s="31">
        <v>50000</v>
      </c>
      <c r="G1352" s="31">
        <v>0</v>
      </c>
      <c r="H1352" s="31">
        <v>0</v>
      </c>
      <c r="I1352" s="31" t="s">
        <v>1223</v>
      </c>
      <c r="J1352" s="5" t="s">
        <v>1226</v>
      </c>
      <c r="K1352" s="8"/>
    </row>
    <row r="1353" spans="1:11" x14ac:dyDescent="0.2">
      <c r="A1353" s="8">
        <v>1352</v>
      </c>
      <c r="B1353" s="8">
        <f t="shared" si="44"/>
        <v>2021</v>
      </c>
      <c r="C1353" s="8">
        <f t="shared" si="45"/>
        <v>12</v>
      </c>
      <c r="D1353" s="85">
        <v>44561</v>
      </c>
      <c r="E1353" s="31">
        <v>0</v>
      </c>
      <c r="F1353" s="31">
        <v>77000</v>
      </c>
      <c r="G1353" s="31">
        <v>0</v>
      </c>
      <c r="H1353" s="31">
        <v>0</v>
      </c>
      <c r="I1353" s="31" t="s">
        <v>1223</v>
      </c>
      <c r="J1353" s="5" t="s">
        <v>1227</v>
      </c>
      <c r="K1353" s="8"/>
    </row>
    <row r="1354" spans="1:11" x14ac:dyDescent="0.2">
      <c r="A1354" s="8">
        <v>1353</v>
      </c>
      <c r="B1354" s="8">
        <f t="shared" si="44"/>
        <v>2021</v>
      </c>
      <c r="C1354" s="8">
        <f t="shared" si="45"/>
        <v>12</v>
      </c>
      <c r="D1354" s="85">
        <v>44561</v>
      </c>
      <c r="E1354" s="31">
        <v>0</v>
      </c>
      <c r="F1354" s="31">
        <v>45000</v>
      </c>
      <c r="G1354" s="31">
        <v>0</v>
      </c>
      <c r="H1354" s="31">
        <v>0</v>
      </c>
      <c r="I1354" s="31" t="s">
        <v>1223</v>
      </c>
      <c r="J1354" s="5" t="s">
        <v>1228</v>
      </c>
      <c r="K1354" s="8"/>
    </row>
    <row r="1355" spans="1:11" x14ac:dyDescent="0.2">
      <c r="A1355" s="8">
        <v>1354</v>
      </c>
      <c r="B1355" s="8">
        <f t="shared" si="44"/>
        <v>2021</v>
      </c>
      <c r="C1355" s="8">
        <f t="shared" si="45"/>
        <v>12</v>
      </c>
      <c r="D1355" s="85">
        <v>44561</v>
      </c>
      <c r="E1355" s="31">
        <v>0</v>
      </c>
      <c r="F1355" s="31">
        <v>212500</v>
      </c>
      <c r="G1355" s="31">
        <v>0</v>
      </c>
      <c r="H1355" s="31">
        <v>0</v>
      </c>
      <c r="I1355" s="31" t="s">
        <v>571</v>
      </c>
      <c r="J1355" s="5" t="s">
        <v>391</v>
      </c>
      <c r="K1355" s="8"/>
    </row>
    <row r="1356" spans="1:11" x14ac:dyDescent="0.2">
      <c r="A1356" s="8">
        <v>1355</v>
      </c>
      <c r="B1356" s="8">
        <f t="shared" si="44"/>
        <v>2021</v>
      </c>
      <c r="C1356" s="8">
        <f t="shared" si="45"/>
        <v>12</v>
      </c>
      <c r="D1356" s="85">
        <v>44561</v>
      </c>
      <c r="E1356" s="31">
        <v>0</v>
      </c>
      <c r="F1356" s="31">
        <v>12000</v>
      </c>
      <c r="G1356" s="31">
        <v>0</v>
      </c>
      <c r="H1356" s="31">
        <v>0</v>
      </c>
      <c r="I1356" s="31" t="s">
        <v>85</v>
      </c>
      <c r="J1356" s="5" t="s">
        <v>475</v>
      </c>
      <c r="K1356" s="8"/>
    </row>
    <row r="1357" spans="1:11" x14ac:dyDescent="0.2">
      <c r="A1357" s="8">
        <v>1356</v>
      </c>
      <c r="B1357" s="8">
        <f t="shared" si="44"/>
        <v>2021</v>
      </c>
      <c r="C1357" s="8">
        <f t="shared" si="45"/>
        <v>12</v>
      </c>
      <c r="D1357" s="85">
        <v>44561</v>
      </c>
      <c r="E1357" s="31">
        <v>0</v>
      </c>
      <c r="F1357" s="31">
        <v>50000</v>
      </c>
      <c r="G1357" s="31">
        <v>0</v>
      </c>
      <c r="H1357" s="31">
        <v>0</v>
      </c>
      <c r="I1357" s="31" t="s">
        <v>85</v>
      </c>
      <c r="J1357" s="5" t="s">
        <v>1229</v>
      </c>
      <c r="K1357" s="8"/>
    </row>
    <row r="1358" spans="1:11" x14ac:dyDescent="0.2">
      <c r="A1358" s="8">
        <v>1357</v>
      </c>
      <c r="B1358" s="8">
        <f t="shared" si="44"/>
        <v>2021</v>
      </c>
      <c r="C1358" s="8">
        <f t="shared" si="45"/>
        <v>12</v>
      </c>
      <c r="D1358" s="85">
        <v>44550</v>
      </c>
      <c r="E1358" s="31">
        <v>705000</v>
      </c>
      <c r="F1358" s="31">
        <v>0</v>
      </c>
      <c r="G1358" s="31">
        <v>0</v>
      </c>
      <c r="H1358" s="31">
        <v>0</v>
      </c>
      <c r="I1358" s="31" t="s">
        <v>109</v>
      </c>
      <c r="J1358" s="5" t="s">
        <v>1230</v>
      </c>
      <c r="K1358" s="8"/>
    </row>
    <row r="1359" spans="1:11" x14ac:dyDescent="0.2">
      <c r="A1359" s="8">
        <v>1358</v>
      </c>
      <c r="B1359" s="8">
        <f t="shared" si="44"/>
        <v>2021</v>
      </c>
      <c r="C1359" s="8">
        <f t="shared" si="45"/>
        <v>12</v>
      </c>
      <c r="D1359" s="85">
        <v>44545</v>
      </c>
      <c r="E1359" s="31">
        <v>1311000</v>
      </c>
      <c r="F1359" s="31">
        <v>0</v>
      </c>
      <c r="G1359" s="31">
        <v>0</v>
      </c>
      <c r="H1359" s="31">
        <v>0</v>
      </c>
      <c r="I1359" s="31" t="s">
        <v>704</v>
      </c>
      <c r="J1359" s="5" t="s">
        <v>1231</v>
      </c>
      <c r="K1359" s="8"/>
    </row>
    <row r="1360" spans="1:11" x14ac:dyDescent="0.2">
      <c r="A1360" s="8">
        <v>1359</v>
      </c>
      <c r="B1360" s="8">
        <f t="shared" si="44"/>
        <v>2022</v>
      </c>
      <c r="C1360" s="8">
        <f t="shared" si="45"/>
        <v>1</v>
      </c>
      <c r="D1360" s="85">
        <v>44562</v>
      </c>
      <c r="E1360" s="31">
        <v>0</v>
      </c>
      <c r="F1360" s="31">
        <v>30000</v>
      </c>
      <c r="G1360" s="31">
        <v>0</v>
      </c>
      <c r="H1360" s="31">
        <v>0</v>
      </c>
      <c r="I1360" s="31" t="s">
        <v>1232</v>
      </c>
      <c r="J1360" s="5" t="s">
        <v>91</v>
      </c>
      <c r="K1360" s="8"/>
    </row>
    <row r="1361" spans="1:11" x14ac:dyDescent="0.2">
      <c r="A1361" s="8">
        <v>1360</v>
      </c>
      <c r="B1361" s="8">
        <f t="shared" si="44"/>
        <v>2022</v>
      </c>
      <c r="C1361" s="8">
        <f t="shared" si="45"/>
        <v>1</v>
      </c>
      <c r="D1361" s="85">
        <v>44563</v>
      </c>
      <c r="E1361" s="31">
        <v>0</v>
      </c>
      <c r="F1361" s="31">
        <v>197000</v>
      </c>
      <c r="G1361" s="31">
        <v>0</v>
      </c>
      <c r="H1361" s="31">
        <v>0</v>
      </c>
      <c r="I1361" s="31" t="s">
        <v>571</v>
      </c>
      <c r="J1361" s="5" t="s">
        <v>1233</v>
      </c>
      <c r="K1361" s="8"/>
    </row>
    <row r="1362" spans="1:11" x14ac:dyDescent="0.2">
      <c r="A1362" s="8">
        <v>1361</v>
      </c>
      <c r="B1362" s="8">
        <f t="shared" si="44"/>
        <v>2022</v>
      </c>
      <c r="C1362" s="8">
        <f t="shared" si="45"/>
        <v>1</v>
      </c>
      <c r="D1362" s="85">
        <v>44563</v>
      </c>
      <c r="E1362" s="31">
        <v>0</v>
      </c>
      <c r="F1362" s="31">
        <v>33000</v>
      </c>
      <c r="G1362" s="31">
        <v>0</v>
      </c>
      <c r="H1362" s="31">
        <v>0</v>
      </c>
      <c r="I1362" s="31" t="s">
        <v>571</v>
      </c>
      <c r="J1362" s="5" t="s">
        <v>1234</v>
      </c>
      <c r="K1362" s="8"/>
    </row>
    <row r="1363" spans="1:11" x14ac:dyDescent="0.2">
      <c r="A1363" s="8">
        <v>1362</v>
      </c>
      <c r="B1363" s="8">
        <f t="shared" si="44"/>
        <v>2022</v>
      </c>
      <c r="C1363" s="8">
        <f t="shared" si="45"/>
        <v>1</v>
      </c>
      <c r="D1363" s="85">
        <v>44564</v>
      </c>
      <c r="E1363" s="31">
        <v>0</v>
      </c>
      <c r="F1363" s="31">
        <v>15000</v>
      </c>
      <c r="G1363" s="31">
        <v>0</v>
      </c>
      <c r="H1363" s="31">
        <v>0</v>
      </c>
      <c r="I1363" s="31" t="s">
        <v>99</v>
      </c>
      <c r="J1363" s="5" t="s">
        <v>146</v>
      </c>
      <c r="K1363" s="8"/>
    </row>
    <row r="1364" spans="1:11" x14ac:dyDescent="0.2">
      <c r="A1364" s="8">
        <v>1363</v>
      </c>
      <c r="B1364" s="8">
        <f t="shared" si="44"/>
        <v>2022</v>
      </c>
      <c r="C1364" s="8">
        <f t="shared" si="45"/>
        <v>1</v>
      </c>
      <c r="D1364" s="85">
        <v>44565</v>
      </c>
      <c r="E1364" s="31">
        <v>0</v>
      </c>
      <c r="F1364" s="31">
        <v>100000</v>
      </c>
      <c r="G1364" s="31">
        <v>0</v>
      </c>
      <c r="H1364" s="31">
        <v>0</v>
      </c>
      <c r="I1364" s="31" t="s">
        <v>299</v>
      </c>
      <c r="J1364" s="5" t="s">
        <v>299</v>
      </c>
      <c r="K1364" s="8"/>
    </row>
    <row r="1365" spans="1:11" x14ac:dyDescent="0.2">
      <c r="A1365" s="8">
        <v>1364</v>
      </c>
      <c r="B1365" s="8">
        <f t="shared" si="44"/>
        <v>2022</v>
      </c>
      <c r="C1365" s="8">
        <f t="shared" si="45"/>
        <v>1</v>
      </c>
      <c r="D1365" s="85">
        <v>44566</v>
      </c>
      <c r="E1365" s="31">
        <v>0</v>
      </c>
      <c r="F1365" s="31">
        <v>950000</v>
      </c>
      <c r="G1365" s="31">
        <v>0</v>
      </c>
      <c r="H1365" s="31">
        <v>0</v>
      </c>
      <c r="I1365" s="114" t="s">
        <v>1114</v>
      </c>
      <c r="J1365" s="5" t="s">
        <v>1235</v>
      </c>
      <c r="K1365" s="8"/>
    </row>
    <row r="1366" spans="1:11" x14ac:dyDescent="0.2">
      <c r="A1366" s="8">
        <v>1365</v>
      </c>
      <c r="B1366" s="8">
        <f t="shared" si="44"/>
        <v>2022</v>
      </c>
      <c r="C1366" s="8">
        <f t="shared" si="45"/>
        <v>1</v>
      </c>
      <c r="D1366" s="85">
        <v>44566</v>
      </c>
      <c r="E1366" s="31">
        <v>0</v>
      </c>
      <c r="F1366" s="31">
        <v>1250000</v>
      </c>
      <c r="G1366" s="31">
        <v>0</v>
      </c>
      <c r="H1366" s="31">
        <v>0</v>
      </c>
      <c r="I1366" s="31" t="s">
        <v>571</v>
      </c>
      <c r="J1366" s="5" t="s">
        <v>1236</v>
      </c>
      <c r="K1366" s="8"/>
    </row>
    <row r="1367" spans="1:11" x14ac:dyDescent="0.2">
      <c r="A1367" s="8">
        <v>1366</v>
      </c>
      <c r="B1367" s="8">
        <f t="shared" si="44"/>
        <v>2022</v>
      </c>
      <c r="C1367" s="8">
        <f t="shared" si="45"/>
        <v>1</v>
      </c>
      <c r="D1367" s="85">
        <v>44567</v>
      </c>
      <c r="E1367" s="45">
        <v>0</v>
      </c>
      <c r="F1367" s="31">
        <v>0</v>
      </c>
      <c r="G1367" s="31">
        <v>0</v>
      </c>
      <c r="H1367" s="31">
        <v>2000000</v>
      </c>
      <c r="I1367" s="31" t="s">
        <v>74</v>
      </c>
      <c r="J1367" s="5" t="s">
        <v>1237</v>
      </c>
      <c r="K1367" s="8"/>
    </row>
    <row r="1368" spans="1:11" x14ac:dyDescent="0.2">
      <c r="A1368" s="8">
        <v>1367</v>
      </c>
      <c r="B1368" s="8">
        <f t="shared" si="44"/>
        <v>2022</v>
      </c>
      <c r="C1368" s="8">
        <f t="shared" si="45"/>
        <v>1</v>
      </c>
      <c r="D1368" s="85">
        <v>44567</v>
      </c>
      <c r="E1368" s="45">
        <v>0</v>
      </c>
      <c r="F1368" s="31">
        <v>0</v>
      </c>
      <c r="G1368" s="31">
        <v>0</v>
      </c>
      <c r="H1368" s="31">
        <v>600000</v>
      </c>
      <c r="I1368" s="31" t="s">
        <v>74</v>
      </c>
      <c r="J1368" s="5" t="s">
        <v>1238</v>
      </c>
      <c r="K1368" s="8"/>
    </row>
    <row r="1369" spans="1:11" x14ac:dyDescent="0.2">
      <c r="A1369" s="8">
        <v>1368</v>
      </c>
      <c r="B1369" s="8">
        <f t="shared" si="44"/>
        <v>2022</v>
      </c>
      <c r="C1369" s="8">
        <f t="shared" si="45"/>
        <v>1</v>
      </c>
      <c r="D1369" s="85">
        <v>44567</v>
      </c>
      <c r="E1369" s="31">
        <v>0</v>
      </c>
      <c r="F1369" s="31">
        <v>300000</v>
      </c>
      <c r="G1369" s="31">
        <v>0</v>
      </c>
      <c r="H1369" s="31">
        <v>0</v>
      </c>
      <c r="I1369" s="31" t="s">
        <v>571</v>
      </c>
      <c r="J1369" s="5" t="s">
        <v>1239</v>
      </c>
      <c r="K1369" s="8"/>
    </row>
    <row r="1370" spans="1:11" x14ac:dyDescent="0.2">
      <c r="A1370" s="8">
        <v>1369</v>
      </c>
      <c r="B1370" s="8">
        <f t="shared" si="44"/>
        <v>2022</v>
      </c>
      <c r="C1370" s="8">
        <f t="shared" si="45"/>
        <v>1</v>
      </c>
      <c r="D1370" s="85">
        <v>44566</v>
      </c>
      <c r="E1370" s="31">
        <v>0</v>
      </c>
      <c r="F1370" s="31">
        <v>100000</v>
      </c>
      <c r="G1370" s="31">
        <v>0</v>
      </c>
      <c r="H1370" s="31">
        <v>0</v>
      </c>
      <c r="I1370" s="31" t="s">
        <v>287</v>
      </c>
      <c r="J1370" s="5" t="s">
        <v>1240</v>
      </c>
      <c r="K1370" s="8"/>
    </row>
    <row r="1371" spans="1:11" x14ac:dyDescent="0.2">
      <c r="A1371" s="8">
        <v>1370</v>
      </c>
      <c r="B1371" s="8">
        <f t="shared" si="44"/>
        <v>2022</v>
      </c>
      <c r="C1371" s="8">
        <f t="shared" si="45"/>
        <v>1</v>
      </c>
      <c r="D1371" s="85">
        <v>44566</v>
      </c>
      <c r="E1371" s="31">
        <v>0</v>
      </c>
      <c r="F1371" s="31">
        <v>35000</v>
      </c>
      <c r="G1371" s="31">
        <v>0</v>
      </c>
      <c r="H1371" s="31">
        <v>0</v>
      </c>
      <c r="I1371" s="31" t="s">
        <v>287</v>
      </c>
      <c r="J1371" s="5" t="s">
        <v>1241</v>
      </c>
      <c r="K1371" s="8"/>
    </row>
    <row r="1372" spans="1:11" x14ac:dyDescent="0.2">
      <c r="A1372" s="8">
        <v>1371</v>
      </c>
      <c r="B1372" s="8">
        <f t="shared" si="44"/>
        <v>2022</v>
      </c>
      <c r="C1372" s="8">
        <f t="shared" si="45"/>
        <v>1</v>
      </c>
      <c r="D1372" s="85">
        <v>44571</v>
      </c>
      <c r="E1372" s="31">
        <v>500000</v>
      </c>
      <c r="F1372" s="31">
        <v>0</v>
      </c>
      <c r="G1372" s="31">
        <v>0</v>
      </c>
      <c r="H1372" s="31">
        <v>0</v>
      </c>
      <c r="I1372" s="31" t="s">
        <v>109</v>
      </c>
      <c r="J1372" s="5" t="s">
        <v>1242</v>
      </c>
      <c r="K1372" s="8"/>
    </row>
    <row r="1373" spans="1:11" x14ac:dyDescent="0.2">
      <c r="A1373" s="8">
        <v>1372</v>
      </c>
      <c r="B1373" s="8">
        <f t="shared" si="44"/>
        <v>2022</v>
      </c>
      <c r="C1373" s="8">
        <f t="shared" si="45"/>
        <v>1</v>
      </c>
      <c r="D1373" s="85">
        <v>44579</v>
      </c>
      <c r="E1373" s="31">
        <v>1500000</v>
      </c>
      <c r="F1373" s="31">
        <v>0</v>
      </c>
      <c r="G1373" s="31">
        <v>0</v>
      </c>
      <c r="H1373" s="31">
        <v>0</v>
      </c>
      <c r="I1373" s="31" t="s">
        <v>109</v>
      </c>
      <c r="J1373" s="5" t="s">
        <v>1243</v>
      </c>
      <c r="K1373" s="8"/>
    </row>
    <row r="1374" spans="1:11" x14ac:dyDescent="0.2">
      <c r="A1374" s="8">
        <v>1373</v>
      </c>
      <c r="B1374" s="8">
        <f t="shared" si="44"/>
        <v>2022</v>
      </c>
      <c r="C1374" s="8">
        <f t="shared" si="45"/>
        <v>1</v>
      </c>
      <c r="D1374" s="85">
        <v>44579</v>
      </c>
      <c r="E1374" s="31">
        <v>0</v>
      </c>
      <c r="F1374" s="31">
        <v>0</v>
      </c>
      <c r="G1374" s="31">
        <v>0</v>
      </c>
      <c r="H1374" s="31">
        <v>200000</v>
      </c>
      <c r="I1374" s="31" t="s">
        <v>85</v>
      </c>
      <c r="J1374" s="5" t="s">
        <v>1244</v>
      </c>
      <c r="K1374" s="8"/>
    </row>
    <row r="1375" spans="1:11" x14ac:dyDescent="0.2">
      <c r="A1375" s="8">
        <v>1374</v>
      </c>
      <c r="B1375" s="8">
        <f t="shared" si="44"/>
        <v>2022</v>
      </c>
      <c r="C1375" s="8">
        <f t="shared" si="45"/>
        <v>1</v>
      </c>
      <c r="D1375" s="85">
        <v>44579</v>
      </c>
      <c r="E1375" s="31">
        <v>0</v>
      </c>
      <c r="F1375" s="31">
        <v>60000</v>
      </c>
      <c r="G1375" s="31">
        <v>0</v>
      </c>
      <c r="H1375" s="31">
        <v>0</v>
      </c>
      <c r="I1375" s="31" t="s">
        <v>85</v>
      </c>
      <c r="J1375" s="5" t="s">
        <v>1245</v>
      </c>
      <c r="K1375" s="8"/>
    </row>
    <row r="1376" spans="1:11" x14ac:dyDescent="0.2">
      <c r="A1376" s="8">
        <v>1375</v>
      </c>
      <c r="B1376" s="8">
        <f t="shared" si="44"/>
        <v>2022</v>
      </c>
      <c r="C1376" s="8">
        <f t="shared" si="45"/>
        <v>1</v>
      </c>
      <c r="D1376" s="85">
        <v>44579</v>
      </c>
      <c r="E1376" s="31">
        <v>0</v>
      </c>
      <c r="F1376" s="31">
        <v>90000</v>
      </c>
      <c r="G1376" s="31">
        <v>0</v>
      </c>
      <c r="H1376" s="31">
        <v>0</v>
      </c>
      <c r="I1376" s="31" t="s">
        <v>299</v>
      </c>
      <c r="J1376" s="5" t="s">
        <v>299</v>
      </c>
      <c r="K1376" s="8"/>
    </row>
    <row r="1377" spans="1:11" x14ac:dyDescent="0.2">
      <c r="A1377" s="8">
        <v>1376</v>
      </c>
      <c r="B1377" s="8">
        <f t="shared" si="44"/>
        <v>2022</v>
      </c>
      <c r="C1377" s="8">
        <f t="shared" si="45"/>
        <v>1</v>
      </c>
      <c r="D1377" s="85">
        <v>44583</v>
      </c>
      <c r="E1377" s="31">
        <v>0</v>
      </c>
      <c r="F1377" s="31">
        <v>112000</v>
      </c>
      <c r="G1377" s="31">
        <v>0</v>
      </c>
      <c r="H1377" s="31">
        <v>0</v>
      </c>
      <c r="I1377" s="31" t="s">
        <v>299</v>
      </c>
      <c r="J1377" s="5" t="s">
        <v>299</v>
      </c>
      <c r="K1377" s="8"/>
    </row>
    <row r="1378" spans="1:11" x14ac:dyDescent="0.2">
      <c r="A1378" s="8">
        <v>1377</v>
      </c>
      <c r="B1378" s="8">
        <f t="shared" si="44"/>
        <v>2022</v>
      </c>
      <c r="C1378" s="8">
        <f t="shared" si="45"/>
        <v>1</v>
      </c>
      <c r="D1378" s="85">
        <v>44583</v>
      </c>
      <c r="E1378" s="31">
        <v>0</v>
      </c>
      <c r="F1378" s="31">
        <v>0</v>
      </c>
      <c r="G1378" s="31">
        <v>0</v>
      </c>
      <c r="H1378" s="31">
        <v>100000</v>
      </c>
      <c r="I1378" s="31" t="s">
        <v>85</v>
      </c>
      <c r="J1378" s="5" t="s">
        <v>1244</v>
      </c>
      <c r="K1378" s="8"/>
    </row>
    <row r="1379" spans="1:11" x14ac:dyDescent="0.2">
      <c r="A1379" s="8">
        <v>1378</v>
      </c>
      <c r="B1379" s="8">
        <f t="shared" si="44"/>
        <v>2022</v>
      </c>
      <c r="C1379" s="8">
        <f t="shared" si="45"/>
        <v>1</v>
      </c>
      <c r="D1379" s="85">
        <v>44576</v>
      </c>
      <c r="E1379" s="31">
        <v>0</v>
      </c>
      <c r="F1379" s="31">
        <v>300000</v>
      </c>
      <c r="G1379" s="31">
        <v>0</v>
      </c>
      <c r="H1379" s="31">
        <v>0</v>
      </c>
      <c r="I1379" s="31" t="s">
        <v>390</v>
      </c>
      <c r="J1379" s="5" t="s">
        <v>253</v>
      </c>
      <c r="K1379" s="8"/>
    </row>
    <row r="1380" spans="1:11" x14ac:dyDescent="0.2">
      <c r="A1380" s="8">
        <v>1379</v>
      </c>
      <c r="B1380" s="8">
        <f t="shared" si="44"/>
        <v>2022</v>
      </c>
      <c r="C1380" s="8">
        <f t="shared" si="45"/>
        <v>1</v>
      </c>
      <c r="D1380" s="85">
        <v>44576</v>
      </c>
      <c r="E1380" s="31">
        <v>0</v>
      </c>
      <c r="F1380" s="31">
        <v>150000</v>
      </c>
      <c r="G1380" s="31">
        <v>0</v>
      </c>
      <c r="H1380" s="31">
        <v>0</v>
      </c>
      <c r="I1380" s="31" t="s">
        <v>390</v>
      </c>
      <c r="J1380" s="5" t="s">
        <v>1246</v>
      </c>
      <c r="K1380" s="8"/>
    </row>
    <row r="1381" spans="1:11" x14ac:dyDescent="0.2">
      <c r="A1381" s="8">
        <v>1380</v>
      </c>
      <c r="B1381" s="8">
        <f t="shared" si="44"/>
        <v>2022</v>
      </c>
      <c r="C1381" s="8">
        <f t="shared" si="45"/>
        <v>1</v>
      </c>
      <c r="D1381" s="85">
        <v>44576</v>
      </c>
      <c r="E1381" s="31">
        <v>0</v>
      </c>
      <c r="F1381" s="31">
        <v>150000</v>
      </c>
      <c r="G1381" s="31">
        <v>0</v>
      </c>
      <c r="H1381" s="31">
        <v>0</v>
      </c>
      <c r="I1381" s="31" t="s">
        <v>85</v>
      </c>
      <c r="J1381" s="5" t="s">
        <v>1247</v>
      </c>
      <c r="K1381" s="8"/>
    </row>
    <row r="1382" spans="1:11" x14ac:dyDescent="0.2">
      <c r="A1382" s="8">
        <v>1381</v>
      </c>
      <c r="B1382" s="8">
        <f t="shared" si="44"/>
        <v>2022</v>
      </c>
      <c r="C1382" s="8">
        <f t="shared" si="45"/>
        <v>1</v>
      </c>
      <c r="D1382" s="85">
        <v>44576</v>
      </c>
      <c r="E1382" s="31">
        <v>0</v>
      </c>
      <c r="F1382" s="31">
        <v>400000</v>
      </c>
      <c r="G1382" s="31">
        <v>0</v>
      </c>
      <c r="H1382" s="31">
        <v>0</v>
      </c>
      <c r="I1382" s="31" t="s">
        <v>1248</v>
      </c>
      <c r="J1382" s="5" t="s">
        <v>1249</v>
      </c>
      <c r="K1382" s="8"/>
    </row>
    <row r="1383" spans="1:11" x14ac:dyDescent="0.2">
      <c r="A1383" s="8">
        <v>1382</v>
      </c>
      <c r="B1383" s="8">
        <f t="shared" si="44"/>
        <v>2022</v>
      </c>
      <c r="C1383" s="8">
        <f t="shared" si="45"/>
        <v>1</v>
      </c>
      <c r="D1383" s="85">
        <v>44585</v>
      </c>
      <c r="E1383" s="31">
        <v>0</v>
      </c>
      <c r="F1383" s="31">
        <v>200000</v>
      </c>
      <c r="G1383" s="31">
        <v>0</v>
      </c>
      <c r="H1383" s="31">
        <v>0</v>
      </c>
      <c r="I1383" s="31" t="s">
        <v>571</v>
      </c>
      <c r="J1383" s="5" t="s">
        <v>192</v>
      </c>
      <c r="K1383" s="8"/>
    </row>
    <row r="1384" spans="1:11" x14ac:dyDescent="0.2">
      <c r="A1384" s="8">
        <v>1383</v>
      </c>
      <c r="B1384" s="8">
        <f t="shared" si="44"/>
        <v>2022</v>
      </c>
      <c r="C1384" s="8">
        <f t="shared" si="45"/>
        <v>1</v>
      </c>
      <c r="D1384" s="85">
        <v>44585</v>
      </c>
      <c r="E1384" s="31">
        <v>0</v>
      </c>
      <c r="F1384" s="31">
        <v>0</v>
      </c>
      <c r="G1384" s="31">
        <v>0</v>
      </c>
      <c r="H1384" s="31">
        <v>664100</v>
      </c>
      <c r="I1384" s="31" t="s">
        <v>74</v>
      </c>
      <c r="J1384" s="5" t="s">
        <v>1250</v>
      </c>
      <c r="K1384" s="8"/>
    </row>
    <row r="1385" spans="1:11" x14ac:dyDescent="0.2">
      <c r="A1385" s="8">
        <v>1384</v>
      </c>
      <c r="B1385" s="8">
        <f t="shared" si="44"/>
        <v>2022</v>
      </c>
      <c r="C1385" s="8">
        <f t="shared" si="45"/>
        <v>1</v>
      </c>
      <c r="D1385" s="85">
        <v>44585</v>
      </c>
      <c r="E1385" s="31">
        <v>0</v>
      </c>
      <c r="F1385" s="31">
        <v>300000</v>
      </c>
      <c r="G1385" s="31">
        <v>0</v>
      </c>
      <c r="H1385" s="31">
        <v>0</v>
      </c>
      <c r="I1385" s="31" t="s">
        <v>571</v>
      </c>
      <c r="J1385" s="5" t="s">
        <v>1251</v>
      </c>
      <c r="K1385" s="8"/>
    </row>
    <row r="1386" spans="1:11" x14ac:dyDescent="0.2">
      <c r="A1386" s="8">
        <v>1385</v>
      </c>
      <c r="B1386" s="8">
        <f t="shared" si="44"/>
        <v>2022</v>
      </c>
      <c r="C1386" s="8">
        <f t="shared" si="45"/>
        <v>1</v>
      </c>
      <c r="D1386" s="85">
        <v>44589</v>
      </c>
      <c r="E1386" s="31">
        <v>0</v>
      </c>
      <c r="F1386" s="31">
        <v>0</v>
      </c>
      <c r="G1386" s="31">
        <v>0</v>
      </c>
      <c r="H1386" s="31">
        <v>200000</v>
      </c>
      <c r="I1386" s="31" t="s">
        <v>85</v>
      </c>
      <c r="J1386" s="5" t="s">
        <v>1252</v>
      </c>
      <c r="K1386" s="8"/>
    </row>
    <row r="1387" spans="1:11" x14ac:dyDescent="0.2">
      <c r="A1387" s="8">
        <v>1386</v>
      </c>
      <c r="B1387" s="8">
        <f t="shared" si="44"/>
        <v>2022</v>
      </c>
      <c r="C1387" s="8">
        <f t="shared" si="45"/>
        <v>1</v>
      </c>
      <c r="D1387" s="85">
        <v>44589</v>
      </c>
      <c r="E1387" s="31">
        <v>0</v>
      </c>
      <c r="F1387" s="31">
        <v>100000</v>
      </c>
      <c r="G1387" s="31">
        <v>0</v>
      </c>
      <c r="H1387" s="31">
        <v>0</v>
      </c>
      <c r="I1387" s="31" t="s">
        <v>299</v>
      </c>
      <c r="J1387" s="5" t="s">
        <v>540</v>
      </c>
      <c r="K1387" s="8"/>
    </row>
    <row r="1388" spans="1:11" x14ac:dyDescent="0.2">
      <c r="A1388" s="8">
        <v>1387</v>
      </c>
      <c r="B1388" s="8">
        <f t="shared" si="44"/>
        <v>2022</v>
      </c>
      <c r="C1388" s="8">
        <f t="shared" si="45"/>
        <v>1</v>
      </c>
      <c r="D1388" s="85">
        <v>44573</v>
      </c>
      <c r="E1388" s="31">
        <v>0</v>
      </c>
      <c r="F1388" s="31">
        <v>85000</v>
      </c>
      <c r="G1388" s="31">
        <v>0</v>
      </c>
      <c r="H1388" s="31">
        <v>0</v>
      </c>
      <c r="I1388" s="31" t="s">
        <v>85</v>
      </c>
      <c r="J1388" s="5" t="s">
        <v>1253</v>
      </c>
      <c r="K1388" s="8"/>
    </row>
    <row r="1389" spans="1:11" x14ac:dyDescent="0.2">
      <c r="A1389" s="8">
        <v>1388</v>
      </c>
      <c r="B1389" s="8">
        <f t="shared" si="44"/>
        <v>2022</v>
      </c>
      <c r="C1389" s="8">
        <f t="shared" si="45"/>
        <v>1</v>
      </c>
      <c r="D1389" s="85">
        <v>44573</v>
      </c>
      <c r="E1389" s="31">
        <v>0</v>
      </c>
      <c r="F1389" s="31">
        <v>7000</v>
      </c>
      <c r="G1389" s="31">
        <v>0</v>
      </c>
      <c r="H1389" s="31">
        <v>0</v>
      </c>
      <c r="I1389" s="31" t="s">
        <v>85</v>
      </c>
      <c r="J1389" s="5" t="s">
        <v>1254</v>
      </c>
      <c r="K1389" s="8"/>
    </row>
    <row r="1390" spans="1:11" x14ac:dyDescent="0.2">
      <c r="A1390" s="8">
        <v>1389</v>
      </c>
      <c r="B1390" s="8">
        <f t="shared" si="44"/>
        <v>2022</v>
      </c>
      <c r="C1390" s="8">
        <f t="shared" si="45"/>
        <v>1</v>
      </c>
      <c r="D1390" s="85">
        <v>44573</v>
      </c>
      <c r="E1390" s="31">
        <v>0</v>
      </c>
      <c r="F1390" s="31">
        <v>80000</v>
      </c>
      <c r="G1390" s="31">
        <v>0</v>
      </c>
      <c r="H1390" s="31">
        <v>0</v>
      </c>
      <c r="I1390" s="31" t="s">
        <v>1255</v>
      </c>
      <c r="J1390" s="5" t="s">
        <v>1256</v>
      </c>
      <c r="K1390" s="8"/>
    </row>
    <row r="1391" spans="1:11" x14ac:dyDescent="0.2">
      <c r="A1391" s="8">
        <v>1390</v>
      </c>
      <c r="B1391" s="8">
        <f t="shared" si="44"/>
        <v>2022</v>
      </c>
      <c r="C1391" s="8">
        <f t="shared" si="45"/>
        <v>1</v>
      </c>
      <c r="D1391" s="85">
        <v>44573</v>
      </c>
      <c r="E1391" s="31">
        <v>0</v>
      </c>
      <c r="F1391" s="31">
        <v>70000</v>
      </c>
      <c r="G1391" s="31">
        <v>0</v>
      </c>
      <c r="H1391" s="31">
        <v>0</v>
      </c>
      <c r="I1391" s="31" t="s">
        <v>85</v>
      </c>
      <c r="J1391" s="5" t="s">
        <v>1257</v>
      </c>
      <c r="K1391" s="8"/>
    </row>
    <row r="1392" spans="1:11" x14ac:dyDescent="0.2">
      <c r="A1392" s="8">
        <v>1391</v>
      </c>
      <c r="B1392" s="8">
        <f t="shared" si="44"/>
        <v>2022</v>
      </c>
      <c r="C1392" s="8">
        <f t="shared" si="45"/>
        <v>1</v>
      </c>
      <c r="D1392" s="85">
        <v>44573</v>
      </c>
      <c r="E1392" s="31">
        <v>0</v>
      </c>
      <c r="F1392" s="31">
        <v>13000</v>
      </c>
      <c r="G1392" s="31">
        <v>0</v>
      </c>
      <c r="H1392" s="31">
        <v>0</v>
      </c>
      <c r="I1392" s="31" t="s">
        <v>85</v>
      </c>
      <c r="J1392" s="5" t="s">
        <v>1258</v>
      </c>
      <c r="K1392" s="8"/>
    </row>
    <row r="1393" spans="1:11" x14ac:dyDescent="0.2">
      <c r="A1393" s="8">
        <v>1392</v>
      </c>
      <c r="B1393" s="8">
        <f t="shared" si="44"/>
        <v>2022</v>
      </c>
      <c r="C1393" s="8">
        <f t="shared" si="45"/>
        <v>1</v>
      </c>
      <c r="D1393" s="85">
        <v>44573</v>
      </c>
      <c r="E1393" s="31">
        <v>0</v>
      </c>
      <c r="F1393" s="31">
        <v>36000</v>
      </c>
      <c r="G1393" s="31">
        <v>0</v>
      </c>
      <c r="H1393" s="31">
        <v>0</v>
      </c>
      <c r="I1393" s="31" t="s">
        <v>85</v>
      </c>
      <c r="J1393" s="5" t="s">
        <v>1259</v>
      </c>
      <c r="K1393" s="8"/>
    </row>
    <row r="1394" spans="1:11" x14ac:dyDescent="0.2">
      <c r="A1394" s="8">
        <v>1393</v>
      </c>
      <c r="B1394" s="8">
        <f t="shared" si="44"/>
        <v>2022</v>
      </c>
      <c r="C1394" s="8">
        <f t="shared" si="45"/>
        <v>1</v>
      </c>
      <c r="D1394" s="85">
        <v>44573</v>
      </c>
      <c r="E1394" s="31">
        <v>0</v>
      </c>
      <c r="F1394" s="31">
        <v>14000</v>
      </c>
      <c r="G1394" s="31">
        <v>0</v>
      </c>
      <c r="H1394" s="31">
        <v>0</v>
      </c>
      <c r="I1394" s="31" t="s">
        <v>85</v>
      </c>
      <c r="J1394" s="5" t="s">
        <v>1260</v>
      </c>
      <c r="K1394" s="8"/>
    </row>
    <row r="1395" spans="1:11" x14ac:dyDescent="0.2">
      <c r="A1395" s="8">
        <v>1394</v>
      </c>
      <c r="B1395" s="8">
        <f t="shared" si="44"/>
        <v>2022</v>
      </c>
      <c r="C1395" s="8">
        <f t="shared" si="45"/>
        <v>1</v>
      </c>
      <c r="D1395" s="85">
        <v>44573</v>
      </c>
      <c r="E1395" s="31">
        <v>0</v>
      </c>
      <c r="F1395" s="31">
        <v>17000</v>
      </c>
      <c r="G1395" s="31">
        <v>0</v>
      </c>
      <c r="H1395" s="31">
        <v>0</v>
      </c>
      <c r="I1395" s="31" t="s">
        <v>85</v>
      </c>
      <c r="J1395" s="5" t="s">
        <v>1261</v>
      </c>
      <c r="K1395" s="8"/>
    </row>
    <row r="1396" spans="1:11" x14ac:dyDescent="0.2">
      <c r="A1396" s="8">
        <v>1395</v>
      </c>
      <c r="B1396" s="8">
        <f t="shared" si="44"/>
        <v>2022</v>
      </c>
      <c r="C1396" s="8">
        <f t="shared" si="45"/>
        <v>1</v>
      </c>
      <c r="D1396" s="85">
        <v>44573</v>
      </c>
      <c r="E1396" s="31">
        <v>0</v>
      </c>
      <c r="F1396" s="31">
        <v>90000</v>
      </c>
      <c r="G1396" s="31">
        <v>0</v>
      </c>
      <c r="H1396" s="31">
        <v>0</v>
      </c>
      <c r="I1396" s="31" t="s">
        <v>85</v>
      </c>
      <c r="J1396" s="5" t="s">
        <v>1262</v>
      </c>
      <c r="K1396" s="8"/>
    </row>
    <row r="1397" spans="1:11" x14ac:dyDescent="0.2">
      <c r="A1397" s="8">
        <v>1396</v>
      </c>
      <c r="B1397" s="8">
        <f t="shared" si="44"/>
        <v>2022</v>
      </c>
      <c r="C1397" s="8">
        <f t="shared" si="45"/>
        <v>1</v>
      </c>
      <c r="D1397" s="85">
        <v>44573</v>
      </c>
      <c r="E1397" s="31">
        <v>0</v>
      </c>
      <c r="F1397" s="31">
        <v>82000</v>
      </c>
      <c r="G1397" s="31">
        <v>0</v>
      </c>
      <c r="H1397" s="31">
        <v>0</v>
      </c>
      <c r="I1397" s="31" t="s">
        <v>571</v>
      </c>
      <c r="J1397" s="5" t="s">
        <v>1234</v>
      </c>
      <c r="K1397" s="8"/>
    </row>
    <row r="1398" spans="1:11" x14ac:dyDescent="0.2">
      <c r="A1398" s="8">
        <v>1397</v>
      </c>
      <c r="B1398" s="8">
        <f t="shared" si="44"/>
        <v>2022</v>
      </c>
      <c r="C1398" s="8">
        <f t="shared" si="45"/>
        <v>1</v>
      </c>
      <c r="D1398" s="85">
        <v>44573</v>
      </c>
      <c r="E1398" s="31">
        <v>0</v>
      </c>
      <c r="F1398" s="31">
        <v>50000</v>
      </c>
      <c r="G1398" s="31">
        <v>0</v>
      </c>
      <c r="H1398" s="31">
        <v>0</v>
      </c>
      <c r="I1398" s="31" t="s">
        <v>571</v>
      </c>
      <c r="J1398" s="5" t="s">
        <v>1263</v>
      </c>
      <c r="K1398" s="8"/>
    </row>
    <row r="1399" spans="1:11" x14ac:dyDescent="0.2">
      <c r="A1399" s="8">
        <v>1398</v>
      </c>
      <c r="B1399" s="8">
        <f t="shared" si="44"/>
        <v>2022</v>
      </c>
      <c r="C1399" s="8">
        <f t="shared" si="45"/>
        <v>1</v>
      </c>
      <c r="D1399" s="85">
        <v>44573</v>
      </c>
      <c r="E1399" s="31">
        <v>0</v>
      </c>
      <c r="F1399" s="31">
        <v>23000</v>
      </c>
      <c r="G1399" s="31">
        <v>0</v>
      </c>
      <c r="H1399" s="31">
        <v>0</v>
      </c>
      <c r="I1399" s="31" t="s">
        <v>99</v>
      </c>
      <c r="J1399" s="5" t="s">
        <v>146</v>
      </c>
      <c r="K1399" s="8"/>
    </row>
    <row r="1400" spans="1:11" x14ac:dyDescent="0.2">
      <c r="A1400" s="8">
        <v>1399</v>
      </c>
      <c r="B1400" s="8">
        <f t="shared" si="44"/>
        <v>2022</v>
      </c>
      <c r="C1400" s="8">
        <f t="shared" si="45"/>
        <v>1</v>
      </c>
      <c r="D1400" s="85">
        <v>44573</v>
      </c>
      <c r="E1400" s="31">
        <v>0</v>
      </c>
      <c r="F1400" s="31">
        <v>18000</v>
      </c>
      <c r="G1400" s="31">
        <v>0</v>
      </c>
      <c r="H1400" s="31">
        <v>0</v>
      </c>
      <c r="I1400" s="31" t="s">
        <v>85</v>
      </c>
      <c r="J1400" s="5" t="s">
        <v>1264</v>
      </c>
      <c r="K1400" s="8"/>
    </row>
    <row r="1401" spans="1:11" x14ac:dyDescent="0.2">
      <c r="A1401" s="8">
        <v>1400</v>
      </c>
      <c r="B1401" s="8">
        <f t="shared" si="44"/>
        <v>2022</v>
      </c>
      <c r="C1401" s="8">
        <f t="shared" si="45"/>
        <v>1</v>
      </c>
      <c r="D1401" s="85">
        <v>44573</v>
      </c>
      <c r="E1401" s="31">
        <v>0</v>
      </c>
      <c r="F1401" s="31">
        <v>60000</v>
      </c>
      <c r="G1401" s="31">
        <v>0</v>
      </c>
      <c r="H1401" s="31">
        <v>0</v>
      </c>
      <c r="I1401" s="31" t="s">
        <v>571</v>
      </c>
      <c r="J1401" s="5" t="s">
        <v>1234</v>
      </c>
      <c r="K1401" s="8"/>
    </row>
    <row r="1402" spans="1:11" x14ac:dyDescent="0.2">
      <c r="A1402" s="8">
        <v>1401</v>
      </c>
      <c r="B1402" s="8">
        <f t="shared" si="44"/>
        <v>2022</v>
      </c>
      <c r="C1402" s="8">
        <f t="shared" si="45"/>
        <v>1</v>
      </c>
      <c r="D1402" s="85">
        <v>44573</v>
      </c>
      <c r="E1402" s="31">
        <v>0</v>
      </c>
      <c r="F1402" s="31">
        <v>40000</v>
      </c>
      <c r="G1402" s="31">
        <v>0</v>
      </c>
      <c r="H1402" s="31">
        <v>0</v>
      </c>
      <c r="I1402" s="31" t="s">
        <v>571</v>
      </c>
      <c r="J1402" s="5" t="s">
        <v>1265</v>
      </c>
      <c r="K1402" s="8"/>
    </row>
    <row r="1403" spans="1:11" x14ac:dyDescent="0.2">
      <c r="A1403" s="8">
        <v>1402</v>
      </c>
      <c r="B1403" s="8">
        <f t="shared" si="44"/>
        <v>2022</v>
      </c>
      <c r="C1403" s="8">
        <f t="shared" si="45"/>
        <v>1</v>
      </c>
      <c r="D1403" s="85">
        <v>44573</v>
      </c>
      <c r="E1403" s="31">
        <v>0</v>
      </c>
      <c r="F1403" s="31">
        <v>30000</v>
      </c>
      <c r="G1403" s="31">
        <v>0</v>
      </c>
      <c r="H1403" s="31">
        <v>0</v>
      </c>
      <c r="I1403" s="31" t="s">
        <v>85</v>
      </c>
      <c r="J1403" s="5" t="s">
        <v>1266</v>
      </c>
      <c r="K1403" s="8"/>
    </row>
    <row r="1404" spans="1:11" x14ac:dyDescent="0.2">
      <c r="A1404" s="8">
        <v>1403</v>
      </c>
      <c r="B1404" s="8">
        <f t="shared" si="44"/>
        <v>2022</v>
      </c>
      <c r="C1404" s="8">
        <f t="shared" si="45"/>
        <v>1</v>
      </c>
      <c r="D1404" s="85">
        <v>44573</v>
      </c>
      <c r="E1404" s="31">
        <v>0</v>
      </c>
      <c r="F1404" s="31">
        <v>20000</v>
      </c>
      <c r="G1404" s="31">
        <v>0</v>
      </c>
      <c r="H1404" s="31">
        <v>0</v>
      </c>
      <c r="I1404" s="31" t="s">
        <v>88</v>
      </c>
      <c r="J1404" s="5" t="s">
        <v>1267</v>
      </c>
      <c r="K1404" s="8"/>
    </row>
    <row r="1405" spans="1:11" x14ac:dyDescent="0.2">
      <c r="A1405" s="8">
        <v>1404</v>
      </c>
      <c r="B1405" s="8">
        <f t="shared" si="44"/>
        <v>2022</v>
      </c>
      <c r="C1405" s="8">
        <f t="shared" si="45"/>
        <v>1</v>
      </c>
      <c r="D1405" s="85">
        <v>44573</v>
      </c>
      <c r="E1405" s="31">
        <v>0</v>
      </c>
      <c r="F1405" s="31">
        <v>35000</v>
      </c>
      <c r="G1405" s="31">
        <v>0</v>
      </c>
      <c r="H1405" s="31">
        <v>0</v>
      </c>
      <c r="I1405" s="31" t="s">
        <v>85</v>
      </c>
      <c r="J1405" s="5" t="s">
        <v>1268</v>
      </c>
      <c r="K1405" s="8"/>
    </row>
    <row r="1406" spans="1:11" x14ac:dyDescent="0.2">
      <c r="A1406" s="8">
        <v>1405</v>
      </c>
      <c r="B1406" s="8">
        <f t="shared" si="44"/>
        <v>2022</v>
      </c>
      <c r="C1406" s="8">
        <f t="shared" si="45"/>
        <v>1</v>
      </c>
      <c r="D1406" s="85">
        <v>44573</v>
      </c>
      <c r="E1406" s="31">
        <v>0</v>
      </c>
      <c r="F1406" s="31">
        <v>15500</v>
      </c>
      <c r="G1406" s="31">
        <v>0</v>
      </c>
      <c r="H1406" s="31">
        <v>0</v>
      </c>
      <c r="I1406" s="31" t="s">
        <v>85</v>
      </c>
      <c r="J1406" s="5" t="s">
        <v>1269</v>
      </c>
      <c r="K1406" s="8"/>
    </row>
    <row r="1407" spans="1:11" x14ac:dyDescent="0.2">
      <c r="A1407" s="8">
        <v>1406</v>
      </c>
      <c r="B1407" s="8">
        <f t="shared" si="44"/>
        <v>2022</v>
      </c>
      <c r="C1407" s="8">
        <f t="shared" si="45"/>
        <v>1</v>
      </c>
      <c r="D1407" s="85">
        <v>44568</v>
      </c>
      <c r="E1407" s="31">
        <v>0</v>
      </c>
      <c r="F1407" s="31">
        <v>70000</v>
      </c>
      <c r="G1407" s="31">
        <v>0</v>
      </c>
      <c r="H1407" s="31">
        <v>0</v>
      </c>
      <c r="I1407" s="31" t="s">
        <v>299</v>
      </c>
      <c r="J1407" s="5" t="s">
        <v>1270</v>
      </c>
      <c r="K1407" s="8"/>
    </row>
    <row r="1408" spans="1:11" x14ac:dyDescent="0.2">
      <c r="A1408" s="8">
        <v>1407</v>
      </c>
      <c r="B1408" s="8">
        <f t="shared" si="44"/>
        <v>2022</v>
      </c>
      <c r="C1408" s="8">
        <f t="shared" si="45"/>
        <v>1</v>
      </c>
      <c r="D1408" s="85">
        <v>44568</v>
      </c>
      <c r="E1408" s="31">
        <v>0</v>
      </c>
      <c r="F1408" s="31">
        <v>30000</v>
      </c>
      <c r="G1408" s="31">
        <v>0</v>
      </c>
      <c r="H1408" s="31">
        <v>0</v>
      </c>
      <c r="I1408" s="31" t="s">
        <v>88</v>
      </c>
      <c r="J1408" s="5" t="s">
        <v>356</v>
      </c>
      <c r="K1408" s="8"/>
    </row>
    <row r="1409" spans="1:11" x14ac:dyDescent="0.2">
      <c r="A1409" s="8">
        <v>1408</v>
      </c>
      <c r="B1409" s="8">
        <f t="shared" si="44"/>
        <v>2022</v>
      </c>
      <c r="C1409" s="8">
        <f t="shared" si="45"/>
        <v>1</v>
      </c>
      <c r="D1409" s="85">
        <v>44568</v>
      </c>
      <c r="E1409" s="31">
        <v>0</v>
      </c>
      <c r="F1409" s="31">
        <v>15000</v>
      </c>
      <c r="G1409" s="31">
        <v>0</v>
      </c>
      <c r="H1409" s="31">
        <v>0</v>
      </c>
      <c r="I1409" s="31" t="s">
        <v>85</v>
      </c>
      <c r="J1409" s="5" t="s">
        <v>1271</v>
      </c>
      <c r="K1409" s="8"/>
    </row>
    <row r="1410" spans="1:11" x14ac:dyDescent="0.2">
      <c r="A1410" s="8">
        <v>1409</v>
      </c>
      <c r="B1410" s="8">
        <f t="shared" si="44"/>
        <v>2022</v>
      </c>
      <c r="C1410" s="8">
        <f t="shared" si="45"/>
        <v>1</v>
      </c>
      <c r="D1410" s="85">
        <v>44568</v>
      </c>
      <c r="E1410" s="31">
        <v>0</v>
      </c>
      <c r="F1410" s="31">
        <v>20000</v>
      </c>
      <c r="G1410" s="31">
        <v>0</v>
      </c>
      <c r="H1410" s="31">
        <v>0</v>
      </c>
      <c r="I1410" s="31" t="s">
        <v>85</v>
      </c>
      <c r="J1410" s="5" t="s">
        <v>1272</v>
      </c>
      <c r="K1410" s="8"/>
    </row>
    <row r="1411" spans="1:11" x14ac:dyDescent="0.2">
      <c r="A1411" s="8">
        <v>1410</v>
      </c>
      <c r="B1411" s="8">
        <f t="shared" si="44"/>
        <v>2022</v>
      </c>
      <c r="C1411" s="8">
        <f t="shared" si="45"/>
        <v>1</v>
      </c>
      <c r="D1411" s="85">
        <v>44568</v>
      </c>
      <c r="E1411" s="31">
        <v>0</v>
      </c>
      <c r="F1411" s="31">
        <v>10000</v>
      </c>
      <c r="G1411" s="31">
        <v>0</v>
      </c>
      <c r="H1411" s="31">
        <v>0</v>
      </c>
      <c r="I1411" s="31" t="s">
        <v>88</v>
      </c>
      <c r="J1411" s="5" t="s">
        <v>1273</v>
      </c>
      <c r="K1411" s="8"/>
    </row>
    <row r="1412" spans="1:11" x14ac:dyDescent="0.2">
      <c r="A1412" s="8">
        <v>1411</v>
      </c>
      <c r="B1412" s="8">
        <f t="shared" si="44"/>
        <v>2022</v>
      </c>
      <c r="C1412" s="8">
        <f t="shared" si="45"/>
        <v>1</v>
      </c>
      <c r="D1412" s="85">
        <v>44569</v>
      </c>
      <c r="E1412" s="31">
        <v>0</v>
      </c>
      <c r="F1412" s="31">
        <v>60000</v>
      </c>
      <c r="G1412" s="31">
        <v>0</v>
      </c>
      <c r="H1412" s="31">
        <v>0</v>
      </c>
      <c r="I1412" s="31" t="s">
        <v>99</v>
      </c>
      <c r="J1412" s="5" t="s">
        <v>1274</v>
      </c>
      <c r="K1412" s="8"/>
    </row>
    <row r="1413" spans="1:11" x14ac:dyDescent="0.2">
      <c r="A1413" s="8">
        <v>1412</v>
      </c>
      <c r="B1413" s="8">
        <f t="shared" si="44"/>
        <v>2022</v>
      </c>
      <c r="C1413" s="8">
        <f t="shared" si="45"/>
        <v>1</v>
      </c>
      <c r="D1413" s="85">
        <v>44569</v>
      </c>
      <c r="E1413" s="31">
        <v>0</v>
      </c>
      <c r="F1413" s="31">
        <v>40000</v>
      </c>
      <c r="G1413" s="31">
        <v>0</v>
      </c>
      <c r="H1413" s="31">
        <v>0</v>
      </c>
      <c r="I1413" s="31" t="s">
        <v>99</v>
      </c>
      <c r="J1413" s="5" t="s">
        <v>1275</v>
      </c>
      <c r="K1413" s="8"/>
    </row>
    <row r="1414" spans="1:11" x14ac:dyDescent="0.2">
      <c r="A1414" s="8">
        <v>1413</v>
      </c>
      <c r="B1414" s="8">
        <f t="shared" ref="B1414:B1477" si="46">YEAR(D1414)</f>
        <v>2022</v>
      </c>
      <c r="C1414" s="8">
        <f t="shared" ref="C1414:C1477" si="47">MONTH(D1414)</f>
        <v>1</v>
      </c>
      <c r="D1414" s="85">
        <v>44569</v>
      </c>
      <c r="E1414" s="31">
        <v>0</v>
      </c>
      <c r="F1414" s="31">
        <v>50000</v>
      </c>
      <c r="G1414" s="31">
        <v>0</v>
      </c>
      <c r="H1414" s="31">
        <v>0</v>
      </c>
      <c r="I1414" s="31" t="s">
        <v>99</v>
      </c>
      <c r="J1414" s="5" t="s">
        <v>1276</v>
      </c>
      <c r="K1414" s="8"/>
    </row>
    <row r="1415" spans="1:11" x14ac:dyDescent="0.2">
      <c r="A1415" s="8">
        <v>1414</v>
      </c>
      <c r="B1415" s="8">
        <f t="shared" si="46"/>
        <v>2022</v>
      </c>
      <c r="C1415" s="8">
        <f t="shared" si="47"/>
        <v>1</v>
      </c>
      <c r="D1415" s="85">
        <v>44569</v>
      </c>
      <c r="E1415" s="31">
        <v>0</v>
      </c>
      <c r="F1415" s="31">
        <v>17000</v>
      </c>
      <c r="G1415" s="31">
        <v>0</v>
      </c>
      <c r="H1415" s="31">
        <v>0</v>
      </c>
      <c r="I1415" s="31" t="s">
        <v>99</v>
      </c>
      <c r="J1415" s="5" t="s">
        <v>1277</v>
      </c>
      <c r="K1415" s="8"/>
    </row>
    <row r="1416" spans="1:11" x14ac:dyDescent="0.2">
      <c r="A1416" s="8">
        <v>1415</v>
      </c>
      <c r="B1416" s="8">
        <f t="shared" si="46"/>
        <v>2022</v>
      </c>
      <c r="C1416" s="8">
        <f t="shared" si="47"/>
        <v>1</v>
      </c>
      <c r="D1416" s="85">
        <v>44569</v>
      </c>
      <c r="E1416" s="31">
        <v>0</v>
      </c>
      <c r="F1416" s="31">
        <v>116000</v>
      </c>
      <c r="G1416" s="31">
        <v>0</v>
      </c>
      <c r="H1416" s="31">
        <v>0</v>
      </c>
      <c r="I1416" s="31" t="s">
        <v>571</v>
      </c>
      <c r="J1416" s="5" t="s">
        <v>494</v>
      </c>
      <c r="K1416" s="8"/>
    </row>
    <row r="1417" spans="1:11" x14ac:dyDescent="0.2">
      <c r="A1417" s="8">
        <v>1416</v>
      </c>
      <c r="B1417" s="8">
        <f t="shared" si="46"/>
        <v>2022</v>
      </c>
      <c r="C1417" s="8">
        <f t="shared" si="47"/>
        <v>1</v>
      </c>
      <c r="D1417" s="85">
        <v>44569</v>
      </c>
      <c r="E1417" s="31">
        <v>0</v>
      </c>
      <c r="F1417" s="31">
        <v>12000</v>
      </c>
      <c r="G1417" s="31">
        <v>0</v>
      </c>
      <c r="H1417" s="31">
        <v>0</v>
      </c>
      <c r="I1417" s="31" t="s">
        <v>88</v>
      </c>
      <c r="J1417" s="5" t="s">
        <v>1273</v>
      </c>
      <c r="K1417" s="8"/>
    </row>
    <row r="1418" spans="1:11" x14ac:dyDescent="0.2">
      <c r="A1418" s="8">
        <v>1417</v>
      </c>
      <c r="B1418" s="8">
        <f t="shared" si="46"/>
        <v>2022</v>
      </c>
      <c r="C1418" s="8">
        <f t="shared" si="47"/>
        <v>2</v>
      </c>
      <c r="D1418" s="85">
        <v>44595</v>
      </c>
      <c r="E1418" s="31">
        <v>0</v>
      </c>
      <c r="F1418" s="31">
        <v>100000</v>
      </c>
      <c r="G1418" s="31">
        <v>0</v>
      </c>
      <c r="H1418" s="31">
        <v>0</v>
      </c>
      <c r="I1418" s="31" t="s">
        <v>1255</v>
      </c>
      <c r="J1418" s="5" t="s">
        <v>1278</v>
      </c>
      <c r="K1418" s="8"/>
    </row>
    <row r="1419" spans="1:11" x14ac:dyDescent="0.2">
      <c r="A1419" s="8">
        <v>1418</v>
      </c>
      <c r="B1419" s="8">
        <f t="shared" si="46"/>
        <v>2022</v>
      </c>
      <c r="C1419" s="8">
        <f t="shared" si="47"/>
        <v>2</v>
      </c>
      <c r="D1419" s="85">
        <v>44597</v>
      </c>
      <c r="E1419" s="31">
        <v>0</v>
      </c>
      <c r="F1419" s="31">
        <v>90000</v>
      </c>
      <c r="G1419" s="31">
        <v>0</v>
      </c>
      <c r="H1419" s="31">
        <v>0</v>
      </c>
      <c r="I1419" s="31" t="s">
        <v>299</v>
      </c>
      <c r="J1419" s="5" t="s">
        <v>299</v>
      </c>
      <c r="K1419" s="8"/>
    </row>
    <row r="1420" spans="1:11" x14ac:dyDescent="0.2">
      <c r="A1420" s="8">
        <v>1419</v>
      </c>
      <c r="B1420" s="8">
        <f t="shared" si="46"/>
        <v>2022</v>
      </c>
      <c r="C1420" s="8">
        <f t="shared" si="47"/>
        <v>2</v>
      </c>
      <c r="D1420" s="85">
        <v>44597</v>
      </c>
      <c r="E1420" s="31">
        <v>0</v>
      </c>
      <c r="F1420" s="31">
        <v>20000</v>
      </c>
      <c r="G1420" s="31">
        <v>0</v>
      </c>
      <c r="H1420" s="31">
        <v>0</v>
      </c>
      <c r="I1420" s="31" t="s">
        <v>85</v>
      </c>
      <c r="J1420" s="5" t="s">
        <v>1272</v>
      </c>
      <c r="K1420" s="8"/>
    </row>
    <row r="1421" spans="1:11" x14ac:dyDescent="0.2">
      <c r="A1421" s="8">
        <v>1420</v>
      </c>
      <c r="B1421" s="8">
        <f t="shared" si="46"/>
        <v>2022</v>
      </c>
      <c r="C1421" s="8">
        <f t="shared" si="47"/>
        <v>2</v>
      </c>
      <c r="D1421" s="85">
        <v>44598</v>
      </c>
      <c r="E1421" s="31">
        <v>0</v>
      </c>
      <c r="F1421" s="31">
        <v>50000</v>
      </c>
      <c r="G1421" s="31">
        <v>0</v>
      </c>
      <c r="H1421" s="31">
        <v>0</v>
      </c>
      <c r="I1421" s="31" t="s">
        <v>571</v>
      </c>
      <c r="J1421" s="5" t="s">
        <v>1279</v>
      </c>
      <c r="K1421" s="8"/>
    </row>
    <row r="1422" spans="1:11" x14ac:dyDescent="0.2">
      <c r="A1422" s="8">
        <v>1421</v>
      </c>
      <c r="B1422" s="8">
        <f t="shared" si="46"/>
        <v>2022</v>
      </c>
      <c r="C1422" s="8">
        <f t="shared" si="47"/>
        <v>2</v>
      </c>
      <c r="D1422" s="85">
        <v>44597</v>
      </c>
      <c r="E1422" s="31">
        <v>1500000</v>
      </c>
      <c r="F1422" s="31">
        <v>0</v>
      </c>
      <c r="G1422" s="31">
        <v>0</v>
      </c>
      <c r="H1422" s="31">
        <v>0</v>
      </c>
      <c r="I1422" s="31" t="s">
        <v>109</v>
      </c>
      <c r="J1422" s="5" t="s">
        <v>1280</v>
      </c>
      <c r="K1422" s="8"/>
    </row>
    <row r="1423" spans="1:11" x14ac:dyDescent="0.2">
      <c r="A1423" s="8">
        <v>1422</v>
      </c>
      <c r="B1423" s="8">
        <f t="shared" si="46"/>
        <v>2022</v>
      </c>
      <c r="C1423" s="8">
        <f t="shared" si="47"/>
        <v>2</v>
      </c>
      <c r="D1423" s="85">
        <v>44600</v>
      </c>
      <c r="E1423" s="31">
        <v>760000</v>
      </c>
      <c r="F1423" s="31">
        <v>0</v>
      </c>
      <c r="G1423" s="31">
        <v>0</v>
      </c>
      <c r="H1423" s="31">
        <v>0</v>
      </c>
      <c r="I1423" s="31" t="s">
        <v>109</v>
      </c>
      <c r="J1423" s="5" t="s">
        <v>1281</v>
      </c>
      <c r="K1423" s="8"/>
    </row>
    <row r="1424" spans="1:11" x14ac:dyDescent="0.2">
      <c r="A1424" s="8">
        <v>1423</v>
      </c>
      <c r="B1424" s="8">
        <f t="shared" si="46"/>
        <v>2022</v>
      </c>
      <c r="C1424" s="8">
        <f t="shared" si="47"/>
        <v>2</v>
      </c>
      <c r="D1424" s="85">
        <v>44600</v>
      </c>
      <c r="E1424" s="31">
        <v>0</v>
      </c>
      <c r="F1424" s="31">
        <v>0</v>
      </c>
      <c r="G1424" s="31">
        <v>0</v>
      </c>
      <c r="H1424" s="31">
        <v>2000000</v>
      </c>
      <c r="I1424" s="31" t="s">
        <v>74</v>
      </c>
      <c r="J1424" s="5" t="s">
        <v>1282</v>
      </c>
      <c r="K1424" s="8"/>
    </row>
    <row r="1425" spans="1:11" x14ac:dyDescent="0.2">
      <c r="A1425" s="8">
        <v>1424</v>
      </c>
      <c r="B1425" s="8">
        <f t="shared" si="46"/>
        <v>2022</v>
      </c>
      <c r="C1425" s="8">
        <f t="shared" si="47"/>
        <v>2</v>
      </c>
      <c r="D1425" s="85">
        <v>44601</v>
      </c>
      <c r="E1425" s="31">
        <v>0</v>
      </c>
      <c r="F1425" s="31">
        <v>0</v>
      </c>
      <c r="G1425" s="31">
        <v>0</v>
      </c>
      <c r="H1425" s="31">
        <v>203000</v>
      </c>
      <c r="I1425" s="31" t="s">
        <v>74</v>
      </c>
      <c r="J1425" s="5" t="s">
        <v>800</v>
      </c>
      <c r="K1425" s="8"/>
    </row>
    <row r="1426" spans="1:11" x14ac:dyDescent="0.2">
      <c r="A1426" s="8">
        <v>1425</v>
      </c>
      <c r="B1426" s="8">
        <f t="shared" si="46"/>
        <v>2022</v>
      </c>
      <c r="C1426" s="8">
        <f t="shared" si="47"/>
        <v>2</v>
      </c>
      <c r="D1426" s="85">
        <v>44601</v>
      </c>
      <c r="E1426" s="31">
        <v>0</v>
      </c>
      <c r="F1426" s="31">
        <v>95000</v>
      </c>
      <c r="G1426" s="31">
        <v>0</v>
      </c>
      <c r="H1426" s="31">
        <v>0</v>
      </c>
      <c r="I1426" s="31" t="s">
        <v>99</v>
      </c>
      <c r="J1426" s="5" t="s">
        <v>1283</v>
      </c>
      <c r="K1426" s="8"/>
    </row>
    <row r="1427" spans="1:11" x14ac:dyDescent="0.2">
      <c r="A1427" s="8">
        <v>1426</v>
      </c>
      <c r="B1427" s="8">
        <f t="shared" si="46"/>
        <v>2022</v>
      </c>
      <c r="C1427" s="8">
        <f t="shared" si="47"/>
        <v>2</v>
      </c>
      <c r="D1427" s="85">
        <v>44601</v>
      </c>
      <c r="E1427" s="31">
        <v>0</v>
      </c>
      <c r="F1427" s="31">
        <v>950000</v>
      </c>
      <c r="G1427" s="31">
        <v>0</v>
      </c>
      <c r="H1427" s="31">
        <v>0</v>
      </c>
      <c r="I1427" s="114" t="s">
        <v>1114</v>
      </c>
      <c r="J1427" s="5" t="s">
        <v>1284</v>
      </c>
      <c r="K1427" s="8"/>
    </row>
    <row r="1428" spans="1:11" x14ac:dyDescent="0.2">
      <c r="A1428" s="8">
        <v>1427</v>
      </c>
      <c r="B1428" s="8">
        <f t="shared" si="46"/>
        <v>2022</v>
      </c>
      <c r="C1428" s="8">
        <f t="shared" si="47"/>
        <v>2</v>
      </c>
      <c r="D1428" s="85">
        <v>44601</v>
      </c>
      <c r="E1428" s="31">
        <v>0</v>
      </c>
      <c r="F1428" s="31">
        <v>870000</v>
      </c>
      <c r="G1428" s="31">
        <v>0</v>
      </c>
      <c r="H1428" s="31">
        <v>0</v>
      </c>
      <c r="I1428" s="114" t="s">
        <v>1114</v>
      </c>
      <c r="J1428" s="5" t="s">
        <v>1235</v>
      </c>
      <c r="K1428" s="8"/>
    </row>
    <row r="1429" spans="1:11" x14ac:dyDescent="0.2">
      <c r="A1429" s="8">
        <v>1428</v>
      </c>
      <c r="B1429" s="8">
        <f t="shared" si="46"/>
        <v>2022</v>
      </c>
      <c r="C1429" s="8">
        <f t="shared" si="47"/>
        <v>2</v>
      </c>
      <c r="D1429" s="85">
        <v>44609</v>
      </c>
      <c r="E1429" s="31">
        <v>0</v>
      </c>
      <c r="F1429" s="31">
        <v>0</v>
      </c>
      <c r="G1429" s="31">
        <v>0</v>
      </c>
      <c r="H1429" s="31">
        <v>200000</v>
      </c>
      <c r="I1429" s="31" t="s">
        <v>74</v>
      </c>
      <c r="J1429" s="5" t="s">
        <v>1285</v>
      </c>
      <c r="K1429" s="8"/>
    </row>
    <row r="1430" spans="1:11" x14ac:dyDescent="0.2">
      <c r="A1430" s="8">
        <v>1429</v>
      </c>
      <c r="B1430" s="8">
        <f t="shared" si="46"/>
        <v>2022</v>
      </c>
      <c r="C1430" s="8">
        <f t="shared" si="47"/>
        <v>2</v>
      </c>
      <c r="D1430" s="85">
        <v>44609</v>
      </c>
      <c r="E1430" s="31">
        <v>0</v>
      </c>
      <c r="F1430" s="31">
        <v>257000</v>
      </c>
      <c r="G1430" s="31">
        <v>0</v>
      </c>
      <c r="H1430" s="31">
        <v>0</v>
      </c>
      <c r="I1430" s="31" t="s">
        <v>571</v>
      </c>
      <c r="J1430" s="5" t="s">
        <v>1286</v>
      </c>
      <c r="K1430" s="8"/>
    </row>
    <row r="1431" spans="1:11" x14ac:dyDescent="0.2">
      <c r="A1431" s="8">
        <v>1430</v>
      </c>
      <c r="B1431" s="8">
        <f t="shared" si="46"/>
        <v>2022</v>
      </c>
      <c r="C1431" s="8">
        <f t="shared" si="47"/>
        <v>2</v>
      </c>
      <c r="D1431" s="85">
        <v>44609</v>
      </c>
      <c r="E1431" s="31">
        <v>0</v>
      </c>
      <c r="F1431" s="31">
        <v>36000</v>
      </c>
      <c r="G1431" s="31">
        <v>0</v>
      </c>
      <c r="H1431" s="31">
        <v>0</v>
      </c>
      <c r="I1431" s="31" t="s">
        <v>85</v>
      </c>
      <c r="J1431" s="5" t="s">
        <v>416</v>
      </c>
      <c r="K1431" s="8"/>
    </row>
    <row r="1432" spans="1:11" x14ac:dyDescent="0.2">
      <c r="A1432" s="8">
        <v>1431</v>
      </c>
      <c r="B1432" s="8">
        <f t="shared" si="46"/>
        <v>2022</v>
      </c>
      <c r="C1432" s="8">
        <f t="shared" si="47"/>
        <v>2</v>
      </c>
      <c r="D1432" s="85">
        <v>44609</v>
      </c>
      <c r="E1432" s="31">
        <v>0</v>
      </c>
      <c r="F1432" s="31">
        <v>38000</v>
      </c>
      <c r="G1432" s="31">
        <v>0</v>
      </c>
      <c r="H1432" s="31">
        <v>0</v>
      </c>
      <c r="I1432" s="31" t="s">
        <v>85</v>
      </c>
      <c r="J1432" s="5" t="s">
        <v>1287</v>
      </c>
      <c r="K1432" s="8"/>
    </row>
    <row r="1433" spans="1:11" x14ac:dyDescent="0.2">
      <c r="A1433" s="8">
        <v>1432</v>
      </c>
      <c r="B1433" s="8">
        <f t="shared" si="46"/>
        <v>2022</v>
      </c>
      <c r="C1433" s="8">
        <f t="shared" si="47"/>
        <v>2</v>
      </c>
      <c r="D1433" s="85">
        <v>44609</v>
      </c>
      <c r="E1433" s="31">
        <v>0</v>
      </c>
      <c r="F1433" s="31">
        <v>150000</v>
      </c>
      <c r="G1433" s="31">
        <v>0</v>
      </c>
      <c r="H1433" s="31">
        <v>0</v>
      </c>
      <c r="I1433" s="31" t="s">
        <v>85</v>
      </c>
      <c r="J1433" s="5" t="s">
        <v>1288</v>
      </c>
      <c r="K1433" s="8"/>
    </row>
    <row r="1434" spans="1:11" x14ac:dyDescent="0.2">
      <c r="A1434" s="8">
        <v>1433</v>
      </c>
      <c r="B1434" s="8">
        <f t="shared" si="46"/>
        <v>2022</v>
      </c>
      <c r="C1434" s="8">
        <f t="shared" si="47"/>
        <v>2</v>
      </c>
      <c r="D1434" s="85">
        <v>44609</v>
      </c>
      <c r="E1434" s="31">
        <v>0</v>
      </c>
      <c r="F1434" s="31">
        <v>0</v>
      </c>
      <c r="G1434" s="31">
        <v>0</v>
      </c>
      <c r="H1434" s="31">
        <v>1000000</v>
      </c>
      <c r="I1434" s="31" t="s">
        <v>287</v>
      </c>
      <c r="J1434" s="5" t="s">
        <v>1289</v>
      </c>
      <c r="K1434" s="8"/>
    </row>
    <row r="1435" spans="1:11" x14ac:dyDescent="0.2">
      <c r="A1435" s="8">
        <v>1434</v>
      </c>
      <c r="B1435" s="8">
        <f t="shared" si="46"/>
        <v>2022</v>
      </c>
      <c r="C1435" s="8">
        <f t="shared" si="47"/>
        <v>2</v>
      </c>
      <c r="D1435" s="85">
        <v>44609</v>
      </c>
      <c r="E1435" s="31">
        <v>0</v>
      </c>
      <c r="F1435" s="31">
        <v>21000</v>
      </c>
      <c r="G1435" s="31">
        <v>0</v>
      </c>
      <c r="H1435" s="31">
        <v>0</v>
      </c>
      <c r="I1435" s="31" t="s">
        <v>287</v>
      </c>
      <c r="J1435" s="5" t="s">
        <v>1290</v>
      </c>
      <c r="K1435" s="8"/>
    </row>
    <row r="1436" spans="1:11" x14ac:dyDescent="0.2">
      <c r="A1436" s="8">
        <v>1435</v>
      </c>
      <c r="B1436" s="8">
        <f t="shared" si="46"/>
        <v>2022</v>
      </c>
      <c r="C1436" s="8">
        <f t="shared" si="47"/>
        <v>1</v>
      </c>
      <c r="D1436" s="85">
        <v>44591</v>
      </c>
      <c r="E1436" s="31">
        <v>200000</v>
      </c>
      <c r="F1436" s="31">
        <v>0</v>
      </c>
      <c r="G1436" s="32">
        <v>0</v>
      </c>
      <c r="H1436" s="31">
        <v>0</v>
      </c>
      <c r="I1436" s="31" t="s">
        <v>109</v>
      </c>
      <c r="J1436" s="5" t="s">
        <v>1291</v>
      </c>
      <c r="K1436" s="8"/>
    </row>
    <row r="1437" spans="1:11" x14ac:dyDescent="0.2">
      <c r="A1437" s="8">
        <v>1436</v>
      </c>
      <c r="B1437" s="8">
        <f t="shared" si="46"/>
        <v>2022</v>
      </c>
      <c r="C1437" s="8">
        <f t="shared" si="47"/>
        <v>2</v>
      </c>
      <c r="D1437" s="85">
        <v>44610</v>
      </c>
      <c r="E1437" s="31">
        <v>0</v>
      </c>
      <c r="F1437" s="31">
        <v>50000</v>
      </c>
      <c r="G1437" s="31">
        <v>0</v>
      </c>
      <c r="H1437" s="31">
        <v>0</v>
      </c>
      <c r="I1437" s="31" t="s">
        <v>287</v>
      </c>
      <c r="J1437" s="5" t="s">
        <v>1292</v>
      </c>
      <c r="K1437" s="8"/>
    </row>
    <row r="1438" spans="1:11" x14ac:dyDescent="0.2">
      <c r="A1438" s="8">
        <v>1437</v>
      </c>
      <c r="B1438" s="8">
        <f t="shared" si="46"/>
        <v>2022</v>
      </c>
      <c r="C1438" s="8">
        <f t="shared" si="47"/>
        <v>2</v>
      </c>
      <c r="D1438" s="85">
        <v>44610</v>
      </c>
      <c r="E1438" s="31">
        <v>0</v>
      </c>
      <c r="F1438" s="31">
        <v>20000</v>
      </c>
      <c r="G1438" s="31">
        <v>0</v>
      </c>
      <c r="H1438" s="31">
        <v>0</v>
      </c>
      <c r="I1438" s="31" t="s">
        <v>1232</v>
      </c>
      <c r="J1438" s="5" t="s">
        <v>1293</v>
      </c>
      <c r="K1438" s="8"/>
    </row>
    <row r="1439" spans="1:11" x14ac:dyDescent="0.2">
      <c r="A1439" s="8">
        <v>1438</v>
      </c>
      <c r="B1439" s="8">
        <f t="shared" si="46"/>
        <v>2022</v>
      </c>
      <c r="C1439" s="8">
        <f t="shared" si="47"/>
        <v>2</v>
      </c>
      <c r="D1439" s="85">
        <v>44610</v>
      </c>
      <c r="E1439" s="31">
        <v>0</v>
      </c>
      <c r="F1439" s="31">
        <v>20000</v>
      </c>
      <c r="G1439" s="31">
        <v>0</v>
      </c>
      <c r="H1439" s="31">
        <v>0</v>
      </c>
      <c r="I1439" s="31" t="s">
        <v>1232</v>
      </c>
      <c r="J1439" s="5" t="s">
        <v>1294</v>
      </c>
      <c r="K1439" s="8"/>
    </row>
    <row r="1440" spans="1:11" x14ac:dyDescent="0.2">
      <c r="A1440" s="8">
        <v>1439</v>
      </c>
      <c r="B1440" s="8">
        <f t="shared" si="46"/>
        <v>2022</v>
      </c>
      <c r="C1440" s="8">
        <f t="shared" si="47"/>
        <v>2</v>
      </c>
      <c r="D1440" s="85">
        <v>44607</v>
      </c>
      <c r="E1440" s="31">
        <v>500000</v>
      </c>
      <c r="F1440" s="31">
        <v>0</v>
      </c>
      <c r="G1440" s="31">
        <v>0</v>
      </c>
      <c r="H1440" s="31">
        <v>0</v>
      </c>
      <c r="I1440" s="31" t="s">
        <v>109</v>
      </c>
      <c r="J1440" s="5" t="s">
        <v>1295</v>
      </c>
      <c r="K1440" s="8"/>
    </row>
    <row r="1441" spans="1:11" x14ac:dyDescent="0.2">
      <c r="A1441" s="8">
        <v>1440</v>
      </c>
      <c r="B1441" s="8">
        <f t="shared" si="46"/>
        <v>2022</v>
      </c>
      <c r="C1441" s="8">
        <f t="shared" si="47"/>
        <v>2</v>
      </c>
      <c r="D1441" s="85">
        <v>44612</v>
      </c>
      <c r="E1441" s="31">
        <v>0</v>
      </c>
      <c r="F1441" s="31">
        <v>50000</v>
      </c>
      <c r="G1441" s="31">
        <v>0</v>
      </c>
      <c r="H1441" s="31">
        <v>0</v>
      </c>
      <c r="I1441" s="31" t="s">
        <v>571</v>
      </c>
      <c r="J1441" s="5" t="s">
        <v>1296</v>
      </c>
      <c r="K1441" s="8"/>
    </row>
    <row r="1442" spans="1:11" x14ac:dyDescent="0.2">
      <c r="A1442" s="8">
        <v>1441</v>
      </c>
      <c r="B1442" s="8">
        <f t="shared" si="46"/>
        <v>2022</v>
      </c>
      <c r="C1442" s="8">
        <f t="shared" si="47"/>
        <v>2</v>
      </c>
      <c r="D1442" s="85">
        <v>44612</v>
      </c>
      <c r="E1442" s="31">
        <v>0</v>
      </c>
      <c r="F1442" s="31">
        <v>200000</v>
      </c>
      <c r="G1442" s="31">
        <v>0</v>
      </c>
      <c r="H1442" s="31">
        <v>0</v>
      </c>
      <c r="I1442" s="31" t="s">
        <v>571</v>
      </c>
      <c r="J1442" s="5" t="s">
        <v>1297</v>
      </c>
      <c r="K1442" s="8"/>
    </row>
    <row r="1443" spans="1:11" x14ac:dyDescent="0.2">
      <c r="A1443" s="8">
        <v>1442</v>
      </c>
      <c r="B1443" s="8">
        <f t="shared" si="46"/>
        <v>2022</v>
      </c>
      <c r="C1443" s="8">
        <f t="shared" si="47"/>
        <v>2</v>
      </c>
      <c r="D1443" s="85">
        <v>44615</v>
      </c>
      <c r="E1443" s="31">
        <v>1500000</v>
      </c>
      <c r="F1443" s="31">
        <v>200000</v>
      </c>
      <c r="G1443" s="31">
        <v>0</v>
      </c>
      <c r="H1443" s="31">
        <v>0</v>
      </c>
      <c r="I1443" s="31" t="s">
        <v>109</v>
      </c>
      <c r="J1443" s="5" t="s">
        <v>1280</v>
      </c>
      <c r="K1443" s="8"/>
    </row>
    <row r="1444" spans="1:11" x14ac:dyDescent="0.2">
      <c r="A1444" s="8">
        <v>1443</v>
      </c>
      <c r="B1444" s="8">
        <f t="shared" si="46"/>
        <v>2022</v>
      </c>
      <c r="C1444" s="8">
        <f t="shared" si="47"/>
        <v>2</v>
      </c>
      <c r="D1444" s="85">
        <v>44616</v>
      </c>
      <c r="E1444" s="31">
        <v>0</v>
      </c>
      <c r="F1444" s="31">
        <v>0</v>
      </c>
      <c r="G1444" s="31">
        <v>0</v>
      </c>
      <c r="H1444" s="31">
        <v>500000</v>
      </c>
      <c r="I1444" s="31" t="s">
        <v>74</v>
      </c>
      <c r="J1444" s="5" t="s">
        <v>1298</v>
      </c>
      <c r="K1444" s="8"/>
    </row>
    <row r="1445" spans="1:11" x14ac:dyDescent="0.2">
      <c r="A1445" s="8">
        <v>1444</v>
      </c>
      <c r="B1445" s="8">
        <f t="shared" si="46"/>
        <v>2022</v>
      </c>
      <c r="C1445" s="8">
        <f t="shared" si="47"/>
        <v>2</v>
      </c>
      <c r="D1445" s="85">
        <v>44608</v>
      </c>
      <c r="E1445" s="31">
        <v>0</v>
      </c>
      <c r="F1445" s="31">
        <v>0</v>
      </c>
      <c r="G1445" s="31">
        <v>0</v>
      </c>
      <c r="H1445" s="31">
        <v>200000</v>
      </c>
      <c r="I1445" s="31" t="s">
        <v>74</v>
      </c>
      <c r="J1445" s="5" t="s">
        <v>1298</v>
      </c>
      <c r="K1445" s="8"/>
    </row>
    <row r="1446" spans="1:11" x14ac:dyDescent="0.2">
      <c r="A1446" s="8">
        <v>1445</v>
      </c>
      <c r="B1446" s="8">
        <f t="shared" si="46"/>
        <v>2022</v>
      </c>
      <c r="C1446" s="8">
        <f t="shared" si="47"/>
        <v>2</v>
      </c>
      <c r="D1446" s="85">
        <v>44617</v>
      </c>
      <c r="E1446" s="31">
        <v>0</v>
      </c>
      <c r="F1446" s="31">
        <v>400000</v>
      </c>
      <c r="G1446" s="31">
        <v>0</v>
      </c>
      <c r="H1446" s="31">
        <v>0</v>
      </c>
      <c r="I1446" s="31" t="s">
        <v>287</v>
      </c>
      <c r="J1446" s="5" t="s">
        <v>1299</v>
      </c>
      <c r="K1446" s="8"/>
    </row>
    <row r="1447" spans="1:11" x14ac:dyDescent="0.2">
      <c r="A1447" s="8">
        <v>1446</v>
      </c>
      <c r="B1447" s="8">
        <f t="shared" si="46"/>
        <v>2022</v>
      </c>
      <c r="C1447" s="8">
        <f t="shared" si="47"/>
        <v>2</v>
      </c>
      <c r="D1447" s="85">
        <v>44614</v>
      </c>
      <c r="E1447" s="31">
        <v>400000</v>
      </c>
      <c r="F1447" s="31">
        <v>0</v>
      </c>
      <c r="G1447" s="31">
        <v>0</v>
      </c>
      <c r="H1447" s="31">
        <v>0</v>
      </c>
      <c r="I1447" s="31" t="s">
        <v>109</v>
      </c>
      <c r="J1447" s="5" t="s">
        <v>1300</v>
      </c>
      <c r="K1447" s="8"/>
    </row>
    <row r="1448" spans="1:11" x14ac:dyDescent="0.2">
      <c r="A1448" s="8">
        <v>1447</v>
      </c>
      <c r="B1448" s="8">
        <f t="shared" si="46"/>
        <v>2022</v>
      </c>
      <c r="C1448" s="8">
        <f t="shared" si="47"/>
        <v>2</v>
      </c>
      <c r="D1448" s="85">
        <v>44618</v>
      </c>
      <c r="E1448" s="31">
        <v>0</v>
      </c>
      <c r="F1448" s="31">
        <v>120000</v>
      </c>
      <c r="G1448" s="31">
        <v>0</v>
      </c>
      <c r="H1448" s="31">
        <v>0</v>
      </c>
      <c r="I1448" s="31" t="s">
        <v>299</v>
      </c>
      <c r="J1448" s="5" t="s">
        <v>1002</v>
      </c>
      <c r="K1448" s="8"/>
    </row>
    <row r="1449" spans="1:11" x14ac:dyDescent="0.2">
      <c r="A1449" s="8">
        <v>1448</v>
      </c>
      <c r="B1449" s="8">
        <f t="shared" si="46"/>
        <v>2022</v>
      </c>
      <c r="C1449" s="8">
        <f t="shared" si="47"/>
        <v>3</v>
      </c>
      <c r="D1449" s="85">
        <v>44621</v>
      </c>
      <c r="E1449" s="31">
        <v>0</v>
      </c>
      <c r="F1449" s="31">
        <v>350000</v>
      </c>
      <c r="G1449" s="31">
        <v>0</v>
      </c>
      <c r="H1449" s="31">
        <v>0</v>
      </c>
      <c r="I1449" s="31" t="s">
        <v>1248</v>
      </c>
      <c r="J1449" s="5" t="s">
        <v>1301</v>
      </c>
      <c r="K1449" s="8"/>
    </row>
    <row r="1450" spans="1:11" x14ac:dyDescent="0.2">
      <c r="A1450" s="8">
        <v>1449</v>
      </c>
      <c r="B1450" s="8">
        <f t="shared" si="46"/>
        <v>2022</v>
      </c>
      <c r="C1450" s="8">
        <f t="shared" si="47"/>
        <v>3</v>
      </c>
      <c r="D1450" s="85">
        <v>44621</v>
      </c>
      <c r="E1450" s="31">
        <v>0</v>
      </c>
      <c r="F1450" s="31">
        <v>0</v>
      </c>
      <c r="G1450" s="31">
        <v>0</v>
      </c>
      <c r="H1450" s="31">
        <v>415000</v>
      </c>
      <c r="I1450" s="31" t="s">
        <v>74</v>
      </c>
      <c r="J1450" s="5" t="s">
        <v>1302</v>
      </c>
      <c r="K1450" s="8"/>
    </row>
    <row r="1451" spans="1:11" x14ac:dyDescent="0.2">
      <c r="A1451" s="8">
        <v>1450</v>
      </c>
      <c r="B1451" s="8">
        <f t="shared" si="46"/>
        <v>2022</v>
      </c>
      <c r="C1451" s="8">
        <f t="shared" si="47"/>
        <v>3</v>
      </c>
      <c r="D1451" s="85">
        <v>44621</v>
      </c>
      <c r="E1451" s="31">
        <v>0</v>
      </c>
      <c r="F1451" s="31">
        <v>14000</v>
      </c>
      <c r="G1451" s="31">
        <v>0</v>
      </c>
      <c r="H1451" s="31">
        <v>0</v>
      </c>
      <c r="I1451" s="31" t="s">
        <v>85</v>
      </c>
      <c r="J1451" s="5" t="s">
        <v>848</v>
      </c>
      <c r="K1451" s="8"/>
    </row>
    <row r="1452" spans="1:11" x14ac:dyDescent="0.2">
      <c r="A1452" s="8">
        <v>1451</v>
      </c>
      <c r="B1452" s="8">
        <f t="shared" si="46"/>
        <v>2022</v>
      </c>
      <c r="C1452" s="8">
        <f t="shared" si="47"/>
        <v>3</v>
      </c>
      <c r="D1452" s="85">
        <v>44622</v>
      </c>
      <c r="E1452" s="31">
        <v>0</v>
      </c>
      <c r="F1452" s="31">
        <v>100000</v>
      </c>
      <c r="G1452" s="31">
        <v>0</v>
      </c>
      <c r="H1452" s="31">
        <v>0</v>
      </c>
      <c r="I1452" s="31" t="s">
        <v>88</v>
      </c>
      <c r="J1452" s="5" t="s">
        <v>1303</v>
      </c>
      <c r="K1452" s="8"/>
    </row>
    <row r="1453" spans="1:11" x14ac:dyDescent="0.2">
      <c r="A1453" s="8">
        <v>1452</v>
      </c>
      <c r="B1453" s="8">
        <f t="shared" si="46"/>
        <v>2022</v>
      </c>
      <c r="C1453" s="8">
        <f t="shared" si="47"/>
        <v>3</v>
      </c>
      <c r="D1453" s="85">
        <v>44622</v>
      </c>
      <c r="E1453" s="31">
        <v>0</v>
      </c>
      <c r="F1453" s="31">
        <v>1020000</v>
      </c>
      <c r="G1453" s="31">
        <v>0</v>
      </c>
      <c r="H1453" s="31">
        <v>0</v>
      </c>
      <c r="I1453" s="114" t="s">
        <v>1114</v>
      </c>
      <c r="J1453" s="5" t="s">
        <v>1304</v>
      </c>
      <c r="K1453" s="8"/>
    </row>
    <row r="1454" spans="1:11" x14ac:dyDescent="0.2">
      <c r="A1454" s="8">
        <v>1453</v>
      </c>
      <c r="B1454" s="8">
        <f t="shared" si="46"/>
        <v>2022</v>
      </c>
      <c r="C1454" s="8">
        <f t="shared" si="47"/>
        <v>3</v>
      </c>
      <c r="D1454" s="85">
        <v>44626</v>
      </c>
      <c r="E1454" s="31">
        <v>2000000</v>
      </c>
      <c r="F1454" s="31">
        <v>0</v>
      </c>
      <c r="G1454" s="31">
        <v>0</v>
      </c>
      <c r="H1454" s="31">
        <v>0</v>
      </c>
      <c r="I1454" s="31" t="s">
        <v>109</v>
      </c>
      <c r="J1454" s="5" t="s">
        <v>1305</v>
      </c>
      <c r="K1454" s="8"/>
    </row>
    <row r="1455" spans="1:11" x14ac:dyDescent="0.2">
      <c r="A1455" s="8">
        <v>1454</v>
      </c>
      <c r="B1455" s="8">
        <f t="shared" si="46"/>
        <v>2022</v>
      </c>
      <c r="C1455" s="8">
        <f t="shared" si="47"/>
        <v>3</v>
      </c>
      <c r="D1455" s="85">
        <v>44626</v>
      </c>
      <c r="E1455" s="31">
        <v>0</v>
      </c>
      <c r="F1455" s="31">
        <v>0</v>
      </c>
      <c r="G1455" s="31">
        <v>0</v>
      </c>
      <c r="H1455" s="31">
        <v>300000</v>
      </c>
      <c r="I1455" s="31" t="s">
        <v>74</v>
      </c>
      <c r="J1455" s="5" t="s">
        <v>1306</v>
      </c>
      <c r="K1455" s="8"/>
    </row>
    <row r="1456" spans="1:11" x14ac:dyDescent="0.2">
      <c r="A1456" s="8">
        <v>1455</v>
      </c>
      <c r="B1456" s="8">
        <f t="shared" si="46"/>
        <v>2022</v>
      </c>
      <c r="C1456" s="8">
        <f t="shared" si="47"/>
        <v>3</v>
      </c>
      <c r="D1456" s="85">
        <v>44625</v>
      </c>
      <c r="E1456" s="31">
        <v>0</v>
      </c>
      <c r="F1456" s="31">
        <v>0</v>
      </c>
      <c r="G1456" s="31">
        <v>0</v>
      </c>
      <c r="H1456" s="31">
        <v>120000</v>
      </c>
      <c r="I1456" s="31" t="s">
        <v>74</v>
      </c>
      <c r="J1456" s="5" t="s">
        <v>1307</v>
      </c>
      <c r="K1456" s="8"/>
    </row>
    <row r="1457" spans="1:11" x14ac:dyDescent="0.2">
      <c r="A1457" s="8">
        <v>1456</v>
      </c>
      <c r="B1457" s="8">
        <f t="shared" si="46"/>
        <v>2022</v>
      </c>
      <c r="C1457" s="8">
        <f t="shared" si="47"/>
        <v>3</v>
      </c>
      <c r="D1457" s="85">
        <v>44625</v>
      </c>
      <c r="E1457" s="31">
        <v>0</v>
      </c>
      <c r="F1457" s="31">
        <v>0</v>
      </c>
      <c r="G1457" s="31">
        <v>0</v>
      </c>
      <c r="H1457" s="31">
        <v>150000</v>
      </c>
      <c r="I1457" s="31" t="s">
        <v>74</v>
      </c>
      <c r="J1457" s="5" t="s">
        <v>1308</v>
      </c>
      <c r="K1457" s="8"/>
    </row>
    <row r="1458" spans="1:11" x14ac:dyDescent="0.2">
      <c r="A1458" s="8">
        <v>1457</v>
      </c>
      <c r="B1458" s="8">
        <f t="shared" si="46"/>
        <v>2022</v>
      </c>
      <c r="C1458" s="8">
        <f t="shared" si="47"/>
        <v>3</v>
      </c>
      <c r="D1458" s="85">
        <v>44625</v>
      </c>
      <c r="E1458" s="31">
        <v>0</v>
      </c>
      <c r="F1458" s="31">
        <v>0</v>
      </c>
      <c r="G1458" s="31">
        <v>0</v>
      </c>
      <c r="H1458" s="31">
        <v>110000</v>
      </c>
      <c r="I1458" s="31" t="s">
        <v>74</v>
      </c>
      <c r="J1458" s="5" t="s">
        <v>1309</v>
      </c>
      <c r="K1458" s="8"/>
    </row>
    <row r="1459" spans="1:11" x14ac:dyDescent="0.2">
      <c r="A1459" s="8">
        <v>1458</v>
      </c>
      <c r="B1459" s="8">
        <f t="shared" si="46"/>
        <v>2022</v>
      </c>
      <c r="C1459" s="8">
        <f t="shared" si="47"/>
        <v>3</v>
      </c>
      <c r="D1459" s="85">
        <v>44625</v>
      </c>
      <c r="E1459" s="31">
        <v>0</v>
      </c>
      <c r="F1459" s="31">
        <v>1250000</v>
      </c>
      <c r="G1459" s="31">
        <v>0</v>
      </c>
      <c r="H1459" s="31">
        <v>0</v>
      </c>
      <c r="I1459" s="31" t="s">
        <v>85</v>
      </c>
      <c r="J1459" s="5" t="s">
        <v>1310</v>
      </c>
      <c r="K1459" s="8"/>
    </row>
    <row r="1460" spans="1:11" x14ac:dyDescent="0.2">
      <c r="A1460" s="8">
        <v>1459</v>
      </c>
      <c r="B1460" s="8">
        <f t="shared" si="46"/>
        <v>2022</v>
      </c>
      <c r="C1460" s="8">
        <f t="shared" si="47"/>
        <v>3</v>
      </c>
      <c r="D1460" s="85">
        <v>44626</v>
      </c>
      <c r="E1460" s="31">
        <v>0</v>
      </c>
      <c r="F1460" s="31">
        <v>120000</v>
      </c>
      <c r="G1460" s="31">
        <v>0</v>
      </c>
      <c r="H1460" s="31">
        <v>0</v>
      </c>
      <c r="I1460" s="31" t="s">
        <v>299</v>
      </c>
      <c r="J1460" s="5" t="s">
        <v>299</v>
      </c>
      <c r="K1460" s="8"/>
    </row>
    <row r="1461" spans="1:11" x14ac:dyDescent="0.2">
      <c r="A1461" s="8">
        <v>1460</v>
      </c>
      <c r="B1461" s="8">
        <f t="shared" si="46"/>
        <v>2022</v>
      </c>
      <c r="C1461" s="8">
        <f t="shared" si="47"/>
        <v>3</v>
      </c>
      <c r="D1461" s="85">
        <v>44627</v>
      </c>
      <c r="E1461" s="31">
        <v>1500000</v>
      </c>
      <c r="F1461" s="31">
        <v>0</v>
      </c>
      <c r="G1461" s="31">
        <v>0</v>
      </c>
      <c r="H1461" s="31">
        <v>0</v>
      </c>
      <c r="I1461" s="31" t="s">
        <v>109</v>
      </c>
      <c r="J1461" s="5" t="s">
        <v>1311</v>
      </c>
      <c r="K1461" s="8"/>
    </row>
    <row r="1462" spans="1:11" x14ac:dyDescent="0.2">
      <c r="A1462" s="8">
        <v>1461</v>
      </c>
      <c r="B1462" s="8">
        <f t="shared" si="46"/>
        <v>2022</v>
      </c>
      <c r="C1462" s="8">
        <f t="shared" si="47"/>
        <v>3</v>
      </c>
      <c r="D1462" s="85">
        <v>44627</v>
      </c>
      <c r="E1462" s="31">
        <v>1500000</v>
      </c>
      <c r="F1462" s="31">
        <v>0</v>
      </c>
      <c r="G1462" s="31">
        <v>0</v>
      </c>
      <c r="H1462" s="31">
        <v>0</v>
      </c>
      <c r="I1462" s="31" t="s">
        <v>109</v>
      </c>
      <c r="J1462" s="5" t="s">
        <v>1312</v>
      </c>
      <c r="K1462" s="8"/>
    </row>
    <row r="1463" spans="1:11" x14ac:dyDescent="0.2">
      <c r="A1463" s="8">
        <v>1462</v>
      </c>
      <c r="B1463" s="8">
        <f t="shared" si="46"/>
        <v>2022</v>
      </c>
      <c r="C1463" s="8">
        <f t="shared" si="47"/>
        <v>3</v>
      </c>
      <c r="D1463" s="85">
        <v>44627</v>
      </c>
      <c r="E1463" s="31">
        <v>200000</v>
      </c>
      <c r="F1463" s="31">
        <v>0</v>
      </c>
      <c r="G1463" s="31">
        <v>0</v>
      </c>
      <c r="H1463" s="31">
        <v>0</v>
      </c>
      <c r="I1463" s="31" t="s">
        <v>109</v>
      </c>
      <c r="J1463" s="5" t="s">
        <v>1313</v>
      </c>
      <c r="K1463" s="8"/>
    </row>
    <row r="1464" spans="1:11" x14ac:dyDescent="0.2">
      <c r="A1464" s="8">
        <v>1463</v>
      </c>
      <c r="B1464" s="8">
        <f t="shared" si="46"/>
        <v>2022</v>
      </c>
      <c r="C1464" s="8">
        <f t="shared" si="47"/>
        <v>3</v>
      </c>
      <c r="D1464" s="85">
        <v>44627</v>
      </c>
      <c r="E1464" s="31">
        <v>160000</v>
      </c>
      <c r="F1464" s="31">
        <v>0</v>
      </c>
      <c r="G1464" s="31">
        <v>0</v>
      </c>
      <c r="H1464" s="31">
        <v>0</v>
      </c>
      <c r="I1464" s="31" t="s">
        <v>109</v>
      </c>
      <c r="J1464" s="5" t="s">
        <v>1314</v>
      </c>
      <c r="K1464" s="8"/>
    </row>
    <row r="1465" spans="1:11" x14ac:dyDescent="0.2">
      <c r="A1465" s="8">
        <v>1464</v>
      </c>
      <c r="B1465" s="8">
        <f t="shared" si="46"/>
        <v>2022</v>
      </c>
      <c r="C1465" s="8">
        <f t="shared" si="47"/>
        <v>3</v>
      </c>
      <c r="D1465" s="85">
        <v>44627</v>
      </c>
      <c r="E1465" s="31">
        <v>420000</v>
      </c>
      <c r="F1465" s="31">
        <v>0</v>
      </c>
      <c r="G1465" s="31">
        <v>0</v>
      </c>
      <c r="H1465" s="31">
        <v>0</v>
      </c>
      <c r="I1465" s="31" t="s">
        <v>109</v>
      </c>
      <c r="J1465" s="5" t="s">
        <v>1315</v>
      </c>
      <c r="K1465" s="8"/>
    </row>
    <row r="1466" spans="1:11" x14ac:dyDescent="0.2">
      <c r="A1466" s="8">
        <v>1465</v>
      </c>
      <c r="B1466" s="8">
        <f t="shared" si="46"/>
        <v>2022</v>
      </c>
      <c r="C1466" s="8">
        <f t="shared" si="47"/>
        <v>3</v>
      </c>
      <c r="D1466" s="85">
        <v>44628</v>
      </c>
      <c r="E1466" s="31">
        <v>0</v>
      </c>
      <c r="F1466" s="32">
        <v>0</v>
      </c>
      <c r="G1466" s="31">
        <v>0</v>
      </c>
      <c r="H1466" s="31">
        <v>148000</v>
      </c>
      <c r="I1466" s="31" t="s">
        <v>74</v>
      </c>
      <c r="J1466" s="5" t="s">
        <v>1142</v>
      </c>
      <c r="K1466" s="8"/>
    </row>
    <row r="1467" spans="1:11" x14ac:dyDescent="0.2">
      <c r="A1467" s="8">
        <v>1466</v>
      </c>
      <c r="B1467" s="8">
        <f t="shared" si="46"/>
        <v>2022</v>
      </c>
      <c r="C1467" s="8">
        <f t="shared" si="47"/>
        <v>3</v>
      </c>
      <c r="D1467" s="85">
        <v>44633</v>
      </c>
      <c r="E1467" s="31">
        <v>2000000</v>
      </c>
      <c r="F1467" s="31">
        <v>0</v>
      </c>
      <c r="G1467" s="31">
        <v>0</v>
      </c>
      <c r="H1467" s="31">
        <v>0</v>
      </c>
      <c r="I1467" s="31" t="s">
        <v>109</v>
      </c>
      <c r="J1467" s="5" t="s">
        <v>1316</v>
      </c>
      <c r="K1467" s="8"/>
    </row>
    <row r="1468" spans="1:11" x14ac:dyDescent="0.2">
      <c r="A1468" s="8">
        <v>1467</v>
      </c>
      <c r="B1468" s="8">
        <f t="shared" si="46"/>
        <v>2022</v>
      </c>
      <c r="C1468" s="8">
        <f t="shared" si="47"/>
        <v>3</v>
      </c>
      <c r="D1468" s="85">
        <v>44636</v>
      </c>
      <c r="E1468" s="31">
        <v>1000000</v>
      </c>
      <c r="F1468" s="31">
        <v>0</v>
      </c>
      <c r="G1468" s="31">
        <v>0</v>
      </c>
      <c r="H1468" s="31">
        <v>0</v>
      </c>
      <c r="I1468" s="31" t="s">
        <v>109</v>
      </c>
      <c r="J1468" s="5" t="s">
        <v>1317</v>
      </c>
      <c r="K1468" s="8"/>
    </row>
    <row r="1469" spans="1:11" x14ac:dyDescent="0.2">
      <c r="A1469" s="8">
        <v>1468</v>
      </c>
      <c r="B1469" s="8">
        <f t="shared" si="46"/>
        <v>2022</v>
      </c>
      <c r="C1469" s="8">
        <f t="shared" si="47"/>
        <v>3</v>
      </c>
      <c r="D1469" s="85">
        <v>44636</v>
      </c>
      <c r="E1469" s="31">
        <v>500000</v>
      </c>
      <c r="F1469" s="31">
        <v>0</v>
      </c>
      <c r="G1469" s="31">
        <v>0</v>
      </c>
      <c r="H1469" s="31">
        <v>0</v>
      </c>
      <c r="I1469" s="31" t="s">
        <v>109</v>
      </c>
      <c r="J1469" s="5" t="s">
        <v>1318</v>
      </c>
      <c r="K1469" s="8"/>
    </row>
    <row r="1470" spans="1:11" x14ac:dyDescent="0.2">
      <c r="A1470" s="8">
        <v>1469</v>
      </c>
      <c r="B1470" s="8">
        <f t="shared" si="46"/>
        <v>2022</v>
      </c>
      <c r="C1470" s="8">
        <f t="shared" si="47"/>
        <v>3</v>
      </c>
      <c r="D1470" s="85">
        <v>44638</v>
      </c>
      <c r="E1470" s="31">
        <v>0</v>
      </c>
      <c r="F1470" s="31">
        <v>0</v>
      </c>
      <c r="G1470" s="31">
        <v>0</v>
      </c>
      <c r="H1470" s="31">
        <v>0</v>
      </c>
      <c r="I1470" s="31" t="s">
        <v>92</v>
      </c>
      <c r="J1470" s="5" t="s">
        <v>1319</v>
      </c>
      <c r="K1470" s="8"/>
    </row>
    <row r="1471" spans="1:11" x14ac:dyDescent="0.2">
      <c r="A1471" s="8">
        <v>1470</v>
      </c>
      <c r="B1471" s="8">
        <f t="shared" si="46"/>
        <v>2022</v>
      </c>
      <c r="C1471" s="8">
        <f t="shared" si="47"/>
        <v>3</v>
      </c>
      <c r="D1471" s="85">
        <v>44640</v>
      </c>
      <c r="E1471" s="31">
        <v>1500000</v>
      </c>
      <c r="F1471" s="31">
        <v>0</v>
      </c>
      <c r="G1471" s="31">
        <v>0</v>
      </c>
      <c r="H1471" s="31">
        <v>0</v>
      </c>
      <c r="I1471" s="31" t="s">
        <v>109</v>
      </c>
      <c r="J1471" s="5" t="s">
        <v>1320</v>
      </c>
      <c r="K1471" s="8"/>
    </row>
    <row r="1472" spans="1:11" x14ac:dyDescent="0.2">
      <c r="A1472" s="8">
        <v>1471</v>
      </c>
      <c r="B1472" s="8">
        <f t="shared" si="46"/>
        <v>2022</v>
      </c>
      <c r="C1472" s="8">
        <f t="shared" si="47"/>
        <v>3</v>
      </c>
      <c r="D1472" s="85">
        <v>44640</v>
      </c>
      <c r="E1472" s="31">
        <v>0</v>
      </c>
      <c r="F1472" s="31">
        <v>0</v>
      </c>
      <c r="G1472" s="31">
        <v>0</v>
      </c>
      <c r="H1472" s="31">
        <v>900000</v>
      </c>
      <c r="I1472" s="31" t="s">
        <v>74</v>
      </c>
      <c r="J1472" s="5" t="s">
        <v>1321</v>
      </c>
      <c r="K1472" s="8"/>
    </row>
    <row r="1473" spans="1:11" x14ac:dyDescent="0.2">
      <c r="A1473" s="8">
        <v>1472</v>
      </c>
      <c r="B1473" s="8">
        <f t="shared" si="46"/>
        <v>2022</v>
      </c>
      <c r="C1473" s="8">
        <f t="shared" si="47"/>
        <v>3</v>
      </c>
      <c r="D1473" s="85">
        <v>44640</v>
      </c>
      <c r="E1473" s="31">
        <v>0</v>
      </c>
      <c r="F1473" s="31">
        <v>300000</v>
      </c>
      <c r="G1473" s="31">
        <v>0</v>
      </c>
      <c r="H1473" s="31">
        <v>0</v>
      </c>
      <c r="I1473" s="31" t="s">
        <v>85</v>
      </c>
      <c r="J1473" s="5" t="s">
        <v>1322</v>
      </c>
      <c r="K1473" s="8"/>
    </row>
    <row r="1474" spans="1:11" x14ac:dyDescent="0.2">
      <c r="A1474" s="8">
        <v>1473</v>
      </c>
      <c r="B1474" s="8">
        <f t="shared" si="46"/>
        <v>2022</v>
      </c>
      <c r="C1474" s="8">
        <f t="shared" si="47"/>
        <v>3</v>
      </c>
      <c r="D1474" s="85">
        <v>44640</v>
      </c>
      <c r="E1474" s="31">
        <v>0</v>
      </c>
      <c r="F1474" s="31">
        <v>0</v>
      </c>
      <c r="G1474" s="31">
        <v>0</v>
      </c>
      <c r="H1474" s="31">
        <v>300000</v>
      </c>
      <c r="I1474" s="31" t="s">
        <v>74</v>
      </c>
      <c r="J1474" s="5" t="s">
        <v>1244</v>
      </c>
      <c r="K1474" s="8"/>
    </row>
    <row r="1475" spans="1:11" x14ac:dyDescent="0.2">
      <c r="A1475" s="8">
        <v>1474</v>
      </c>
      <c r="B1475" s="8">
        <f t="shared" si="46"/>
        <v>2022</v>
      </c>
      <c r="C1475" s="8">
        <f t="shared" si="47"/>
        <v>3</v>
      </c>
      <c r="D1475" s="85">
        <v>44623</v>
      </c>
      <c r="E1475" s="31">
        <v>0</v>
      </c>
      <c r="F1475" s="31">
        <v>151000</v>
      </c>
      <c r="G1475" s="31">
        <v>0</v>
      </c>
      <c r="H1475" s="31">
        <v>0</v>
      </c>
      <c r="I1475" s="31" t="s">
        <v>571</v>
      </c>
      <c r="J1475" s="5" t="s">
        <v>1022</v>
      </c>
      <c r="K1475" s="8"/>
    </row>
    <row r="1476" spans="1:11" x14ac:dyDescent="0.2">
      <c r="A1476" s="8">
        <v>1475</v>
      </c>
      <c r="B1476" s="8">
        <f t="shared" si="46"/>
        <v>2022</v>
      </c>
      <c r="C1476" s="8">
        <f t="shared" si="47"/>
        <v>3</v>
      </c>
      <c r="D1476" s="85">
        <v>44626</v>
      </c>
      <c r="E1476" s="31">
        <v>0</v>
      </c>
      <c r="F1476" s="31">
        <v>100000</v>
      </c>
      <c r="G1476" s="31">
        <v>0</v>
      </c>
      <c r="H1476" s="31">
        <v>0</v>
      </c>
      <c r="I1476" s="31" t="s">
        <v>571</v>
      </c>
      <c r="J1476" s="5" t="s">
        <v>1323</v>
      </c>
      <c r="K1476" s="8"/>
    </row>
    <row r="1477" spans="1:11" x14ac:dyDescent="0.2">
      <c r="A1477" s="8">
        <v>1476</v>
      </c>
      <c r="B1477" s="8">
        <f t="shared" si="46"/>
        <v>2022</v>
      </c>
      <c r="C1477" s="8">
        <f t="shared" si="47"/>
        <v>3</v>
      </c>
      <c r="D1477" s="85">
        <v>44626</v>
      </c>
      <c r="E1477" s="31">
        <v>0</v>
      </c>
      <c r="F1477" s="31">
        <v>110000</v>
      </c>
      <c r="G1477" s="31">
        <v>0</v>
      </c>
      <c r="H1477" s="31">
        <v>0</v>
      </c>
      <c r="I1477" s="31" t="s">
        <v>99</v>
      </c>
      <c r="J1477" s="5" t="s">
        <v>1324</v>
      </c>
      <c r="K1477" s="8"/>
    </row>
    <row r="1478" spans="1:11" x14ac:dyDescent="0.2">
      <c r="A1478" s="8">
        <v>1477</v>
      </c>
      <c r="B1478" s="8">
        <f t="shared" ref="B1478:B1541" si="48">YEAR(D1478)</f>
        <v>2022</v>
      </c>
      <c r="C1478" s="8">
        <f t="shared" ref="C1478:C1541" si="49">MONTH(D1478)</f>
        <v>3</v>
      </c>
      <c r="D1478" s="85">
        <v>44630</v>
      </c>
      <c r="E1478" s="31">
        <v>0</v>
      </c>
      <c r="F1478" s="31">
        <v>60000</v>
      </c>
      <c r="G1478" s="31">
        <v>0</v>
      </c>
      <c r="H1478" s="31">
        <v>0</v>
      </c>
      <c r="I1478" s="31" t="s">
        <v>88</v>
      </c>
      <c r="J1478" s="5" t="s">
        <v>356</v>
      </c>
      <c r="K1478" s="8"/>
    </row>
    <row r="1479" spans="1:11" x14ac:dyDescent="0.2">
      <c r="A1479" s="8">
        <v>1478</v>
      </c>
      <c r="B1479" s="8">
        <f t="shared" si="48"/>
        <v>2022</v>
      </c>
      <c r="C1479" s="8">
        <f t="shared" si="49"/>
        <v>3</v>
      </c>
      <c r="D1479" s="85">
        <v>44635</v>
      </c>
      <c r="E1479" s="31">
        <v>0</v>
      </c>
      <c r="F1479" s="31">
        <v>117000</v>
      </c>
      <c r="G1479" s="31">
        <v>0</v>
      </c>
      <c r="H1479" s="31">
        <v>0</v>
      </c>
      <c r="I1479" s="31" t="s">
        <v>571</v>
      </c>
      <c r="J1479" s="5" t="s">
        <v>1325</v>
      </c>
      <c r="K1479" s="8"/>
    </row>
    <row r="1480" spans="1:11" x14ac:dyDescent="0.2">
      <c r="A1480" s="8">
        <v>1479</v>
      </c>
      <c r="B1480" s="8">
        <f t="shared" si="48"/>
        <v>2022</v>
      </c>
      <c r="C1480" s="8">
        <f t="shared" si="49"/>
        <v>3</v>
      </c>
      <c r="D1480" s="85">
        <v>44640</v>
      </c>
      <c r="E1480" s="31">
        <v>0</v>
      </c>
      <c r="F1480" s="31">
        <v>50000</v>
      </c>
      <c r="G1480" s="31">
        <v>0</v>
      </c>
      <c r="H1480" s="31">
        <v>0</v>
      </c>
      <c r="I1480" s="31" t="s">
        <v>1255</v>
      </c>
      <c r="J1480" s="5" t="s">
        <v>1326</v>
      </c>
      <c r="K1480" s="8"/>
    </row>
    <row r="1481" spans="1:11" x14ac:dyDescent="0.2">
      <c r="A1481" s="8">
        <v>1480</v>
      </c>
      <c r="B1481" s="8">
        <f t="shared" si="48"/>
        <v>2022</v>
      </c>
      <c r="C1481" s="8">
        <f t="shared" si="49"/>
        <v>3</v>
      </c>
      <c r="D1481" s="85">
        <v>44637</v>
      </c>
      <c r="E1481" s="31">
        <v>0</v>
      </c>
      <c r="F1481" s="31">
        <v>200000</v>
      </c>
      <c r="G1481" s="31">
        <v>0</v>
      </c>
      <c r="H1481" s="31">
        <v>0</v>
      </c>
      <c r="I1481" s="31" t="s">
        <v>99</v>
      </c>
      <c r="J1481" s="5" t="s">
        <v>983</v>
      </c>
      <c r="K1481" s="8"/>
    </row>
    <row r="1482" spans="1:11" x14ac:dyDescent="0.2">
      <c r="A1482" s="8">
        <v>1481</v>
      </c>
      <c r="B1482" s="8">
        <f t="shared" si="48"/>
        <v>2022</v>
      </c>
      <c r="C1482" s="8">
        <f t="shared" si="49"/>
        <v>3</v>
      </c>
      <c r="D1482" s="85">
        <v>44637</v>
      </c>
      <c r="E1482" s="31">
        <v>0</v>
      </c>
      <c r="F1482" s="31">
        <v>100000</v>
      </c>
      <c r="G1482" s="31">
        <v>0</v>
      </c>
      <c r="H1482" s="31">
        <v>0</v>
      </c>
      <c r="I1482" s="31" t="s">
        <v>88</v>
      </c>
      <c r="J1482" s="5" t="s">
        <v>690</v>
      </c>
      <c r="K1482" s="8"/>
    </row>
    <row r="1483" spans="1:11" x14ac:dyDescent="0.2">
      <c r="A1483" s="8">
        <v>1482</v>
      </c>
      <c r="B1483" s="8">
        <f t="shared" si="48"/>
        <v>2022</v>
      </c>
      <c r="C1483" s="8">
        <f t="shared" si="49"/>
        <v>3</v>
      </c>
      <c r="D1483" s="85">
        <v>44642</v>
      </c>
      <c r="E1483" s="31">
        <v>0</v>
      </c>
      <c r="F1483" s="31">
        <v>30000</v>
      </c>
      <c r="G1483" s="31">
        <v>0</v>
      </c>
      <c r="H1483" s="31">
        <v>0</v>
      </c>
      <c r="I1483" s="31" t="s">
        <v>88</v>
      </c>
      <c r="J1483" s="5" t="s">
        <v>1327</v>
      </c>
      <c r="K1483" s="8"/>
    </row>
    <row r="1484" spans="1:11" x14ac:dyDescent="0.2">
      <c r="A1484" s="8">
        <v>1483</v>
      </c>
      <c r="B1484" s="8">
        <f t="shared" si="48"/>
        <v>2022</v>
      </c>
      <c r="C1484" s="8">
        <f t="shared" si="49"/>
        <v>3</v>
      </c>
      <c r="D1484" s="85">
        <v>44642</v>
      </c>
      <c r="E1484" s="31">
        <v>0</v>
      </c>
      <c r="F1484" s="31">
        <v>0</v>
      </c>
      <c r="G1484" s="31">
        <v>0</v>
      </c>
      <c r="H1484" s="31">
        <v>80000</v>
      </c>
      <c r="I1484" s="31" t="s">
        <v>74</v>
      </c>
      <c r="J1484" s="5" t="s">
        <v>1328</v>
      </c>
      <c r="K1484" s="8"/>
    </row>
    <row r="1485" spans="1:11" x14ac:dyDescent="0.2">
      <c r="A1485" s="8">
        <v>1484</v>
      </c>
      <c r="B1485" s="8">
        <f t="shared" si="48"/>
        <v>2022</v>
      </c>
      <c r="C1485" s="8">
        <f t="shared" si="49"/>
        <v>3</v>
      </c>
      <c r="D1485" s="85">
        <v>44642</v>
      </c>
      <c r="E1485" s="31">
        <v>0</v>
      </c>
      <c r="F1485" s="31">
        <v>0</v>
      </c>
      <c r="G1485" s="31">
        <v>0</v>
      </c>
      <c r="H1485" s="31">
        <v>60000</v>
      </c>
      <c r="I1485" s="31" t="s">
        <v>74</v>
      </c>
      <c r="J1485" s="5" t="s">
        <v>1329</v>
      </c>
      <c r="K1485" s="8"/>
    </row>
    <row r="1486" spans="1:11" x14ac:dyDescent="0.2">
      <c r="A1486" s="8">
        <v>1485</v>
      </c>
      <c r="B1486" s="8">
        <f t="shared" si="48"/>
        <v>2022</v>
      </c>
      <c r="C1486" s="8">
        <f t="shared" si="49"/>
        <v>3</v>
      </c>
      <c r="D1486" s="85">
        <v>44642</v>
      </c>
      <c r="E1486" s="31">
        <v>0</v>
      </c>
      <c r="F1486" s="31">
        <v>0</v>
      </c>
      <c r="G1486" s="31">
        <v>0</v>
      </c>
      <c r="H1486" s="31">
        <v>200000</v>
      </c>
      <c r="I1486" s="31" t="s">
        <v>74</v>
      </c>
      <c r="J1486" s="5" t="s">
        <v>1330</v>
      </c>
      <c r="K1486" s="8"/>
    </row>
    <row r="1487" spans="1:11" x14ac:dyDescent="0.2">
      <c r="A1487" s="8">
        <v>1486</v>
      </c>
      <c r="B1487" s="8">
        <f t="shared" si="48"/>
        <v>2022</v>
      </c>
      <c r="C1487" s="8">
        <f t="shared" si="49"/>
        <v>3</v>
      </c>
      <c r="D1487" s="85">
        <v>44645</v>
      </c>
      <c r="E1487" s="31">
        <v>0</v>
      </c>
      <c r="F1487" s="31">
        <v>120000</v>
      </c>
      <c r="G1487" s="31">
        <v>0</v>
      </c>
      <c r="H1487" s="31">
        <v>0</v>
      </c>
      <c r="I1487" s="31" t="s">
        <v>299</v>
      </c>
      <c r="J1487" s="5" t="s">
        <v>299</v>
      </c>
      <c r="K1487" s="8"/>
    </row>
    <row r="1488" spans="1:11" x14ac:dyDescent="0.2">
      <c r="A1488" s="8">
        <v>1487</v>
      </c>
      <c r="B1488" s="8">
        <f t="shared" si="48"/>
        <v>2022</v>
      </c>
      <c r="C1488" s="8">
        <f t="shared" si="49"/>
        <v>3</v>
      </c>
      <c r="D1488" s="85">
        <v>44645</v>
      </c>
      <c r="E1488" s="31">
        <v>0</v>
      </c>
      <c r="F1488" s="31">
        <v>380000</v>
      </c>
      <c r="G1488" s="31">
        <v>0</v>
      </c>
      <c r="H1488" s="31">
        <v>0</v>
      </c>
      <c r="I1488" s="31" t="s">
        <v>1331</v>
      </c>
      <c r="J1488" s="5" t="s">
        <v>1332</v>
      </c>
      <c r="K1488" s="8"/>
    </row>
    <row r="1489" spans="1:11" x14ac:dyDescent="0.2">
      <c r="A1489" s="8">
        <v>1488</v>
      </c>
      <c r="B1489" s="8">
        <f t="shared" si="48"/>
        <v>2022</v>
      </c>
      <c r="C1489" s="8">
        <f t="shared" si="49"/>
        <v>3</v>
      </c>
      <c r="D1489" s="85">
        <v>44647</v>
      </c>
      <c r="E1489" s="31">
        <v>0</v>
      </c>
      <c r="F1489" s="31">
        <v>250000</v>
      </c>
      <c r="G1489" s="31">
        <v>0</v>
      </c>
      <c r="H1489" s="31">
        <v>0</v>
      </c>
      <c r="I1489" s="31" t="s">
        <v>1255</v>
      </c>
      <c r="J1489" s="5" t="s">
        <v>1333</v>
      </c>
      <c r="K1489" s="8"/>
    </row>
    <row r="1490" spans="1:11" x14ac:dyDescent="0.2">
      <c r="A1490" s="8">
        <v>1489</v>
      </c>
      <c r="B1490" s="8">
        <f t="shared" si="48"/>
        <v>2022</v>
      </c>
      <c r="C1490" s="8">
        <f t="shared" si="49"/>
        <v>3</v>
      </c>
      <c r="D1490" s="85">
        <v>44647</v>
      </c>
      <c r="E1490" s="31">
        <v>0</v>
      </c>
      <c r="F1490" s="31">
        <v>50000</v>
      </c>
      <c r="G1490" s="31">
        <v>0</v>
      </c>
      <c r="H1490" s="31">
        <v>0</v>
      </c>
      <c r="I1490" s="31" t="s">
        <v>85</v>
      </c>
      <c r="J1490" s="5" t="s">
        <v>1334</v>
      </c>
      <c r="K1490" s="8"/>
    </row>
    <row r="1491" spans="1:11" x14ac:dyDescent="0.2">
      <c r="A1491" s="8">
        <v>1490</v>
      </c>
      <c r="B1491" s="8">
        <f t="shared" si="48"/>
        <v>2022</v>
      </c>
      <c r="C1491" s="8">
        <f t="shared" si="49"/>
        <v>3</v>
      </c>
      <c r="D1491" s="85">
        <v>44648</v>
      </c>
      <c r="E1491" s="31">
        <v>0</v>
      </c>
      <c r="F1491" s="31">
        <v>50000</v>
      </c>
      <c r="G1491" s="31">
        <v>0</v>
      </c>
      <c r="H1491" s="31">
        <v>0</v>
      </c>
      <c r="I1491" s="31" t="s">
        <v>571</v>
      </c>
      <c r="J1491" s="5" t="s">
        <v>1335</v>
      </c>
      <c r="K1491" s="8"/>
    </row>
    <row r="1492" spans="1:11" x14ac:dyDescent="0.2">
      <c r="A1492" s="8">
        <v>1491</v>
      </c>
      <c r="B1492" s="8">
        <f t="shared" si="48"/>
        <v>2022</v>
      </c>
      <c r="C1492" s="8">
        <f t="shared" si="49"/>
        <v>3</v>
      </c>
      <c r="D1492" s="85">
        <v>44649</v>
      </c>
      <c r="E1492" s="31">
        <v>0</v>
      </c>
      <c r="F1492" s="31">
        <v>380000</v>
      </c>
      <c r="G1492" s="31">
        <v>0</v>
      </c>
      <c r="H1492" s="31">
        <v>0</v>
      </c>
      <c r="I1492" s="31" t="s">
        <v>1331</v>
      </c>
      <c r="J1492" s="5" t="s">
        <v>1336</v>
      </c>
      <c r="K1492" s="8"/>
    </row>
    <row r="1493" spans="1:11" x14ac:dyDescent="0.2">
      <c r="A1493" s="8">
        <v>1492</v>
      </c>
      <c r="B1493" s="8">
        <f t="shared" si="48"/>
        <v>2022</v>
      </c>
      <c r="C1493" s="8">
        <f t="shared" si="49"/>
        <v>3</v>
      </c>
      <c r="D1493" s="85">
        <v>44635</v>
      </c>
      <c r="E1493" s="31">
        <v>0</v>
      </c>
      <c r="F1493" s="31">
        <v>150000</v>
      </c>
      <c r="G1493" s="31">
        <v>0</v>
      </c>
      <c r="H1493" s="31">
        <v>0</v>
      </c>
      <c r="I1493" s="31" t="s">
        <v>85</v>
      </c>
      <c r="J1493" s="5" t="s">
        <v>1337</v>
      </c>
      <c r="K1493" s="8"/>
    </row>
    <row r="1494" spans="1:11" x14ac:dyDescent="0.2">
      <c r="A1494" s="8">
        <v>1493</v>
      </c>
      <c r="B1494" s="8">
        <f t="shared" si="48"/>
        <v>2022</v>
      </c>
      <c r="C1494" s="8">
        <f t="shared" si="49"/>
        <v>3</v>
      </c>
      <c r="D1494" s="85">
        <v>44635</v>
      </c>
      <c r="E1494" s="31">
        <v>0</v>
      </c>
      <c r="F1494" s="31">
        <v>233000</v>
      </c>
      <c r="G1494" s="31">
        <v>0</v>
      </c>
      <c r="H1494" s="31">
        <v>0</v>
      </c>
      <c r="I1494" s="31" t="s">
        <v>571</v>
      </c>
      <c r="J1494" s="5" t="s">
        <v>1338</v>
      </c>
      <c r="K1494" s="8"/>
    </row>
    <row r="1495" spans="1:11" x14ac:dyDescent="0.2">
      <c r="A1495" s="8">
        <v>1494</v>
      </c>
      <c r="B1495" s="8">
        <f t="shared" si="48"/>
        <v>2022</v>
      </c>
      <c r="C1495" s="8">
        <f t="shared" si="49"/>
        <v>3</v>
      </c>
      <c r="D1495" s="85">
        <v>44635</v>
      </c>
      <c r="E1495" s="31">
        <v>0</v>
      </c>
      <c r="F1495" s="31">
        <v>49500</v>
      </c>
      <c r="G1495" s="31">
        <v>0</v>
      </c>
      <c r="H1495" s="31">
        <v>0</v>
      </c>
      <c r="I1495" s="31" t="s">
        <v>85</v>
      </c>
      <c r="J1495" s="5" t="s">
        <v>475</v>
      </c>
      <c r="K1495" s="8"/>
    </row>
    <row r="1496" spans="1:11" x14ac:dyDescent="0.2">
      <c r="A1496" s="8">
        <v>1495</v>
      </c>
      <c r="B1496" s="8">
        <f t="shared" si="48"/>
        <v>2022</v>
      </c>
      <c r="C1496" s="8">
        <f t="shared" si="49"/>
        <v>3</v>
      </c>
      <c r="D1496" s="85">
        <v>44635</v>
      </c>
      <c r="E1496" s="31">
        <v>0</v>
      </c>
      <c r="F1496" s="31">
        <v>160000</v>
      </c>
      <c r="G1496" s="31">
        <v>0</v>
      </c>
      <c r="H1496" s="31">
        <v>0</v>
      </c>
      <c r="I1496" s="31" t="s">
        <v>85</v>
      </c>
      <c r="J1496" s="5" t="s">
        <v>1339</v>
      </c>
      <c r="K1496" s="8"/>
    </row>
    <row r="1497" spans="1:11" x14ac:dyDescent="0.2">
      <c r="A1497" s="8">
        <v>1496</v>
      </c>
      <c r="B1497" s="8">
        <f t="shared" si="48"/>
        <v>2022</v>
      </c>
      <c r="C1497" s="8">
        <f t="shared" si="49"/>
        <v>3</v>
      </c>
      <c r="D1497" s="85">
        <v>44635</v>
      </c>
      <c r="E1497" s="31">
        <v>0</v>
      </c>
      <c r="F1497" s="31">
        <v>0</v>
      </c>
      <c r="G1497" s="31">
        <v>0</v>
      </c>
      <c r="H1497" s="31">
        <v>230000</v>
      </c>
      <c r="I1497" s="31" t="s">
        <v>85</v>
      </c>
      <c r="J1497" s="5" t="s">
        <v>1340</v>
      </c>
      <c r="K1497" s="8"/>
    </row>
    <row r="1498" spans="1:11" x14ac:dyDescent="0.2">
      <c r="A1498" s="8">
        <v>1497</v>
      </c>
      <c r="B1498" s="8">
        <f t="shared" si="48"/>
        <v>2022</v>
      </c>
      <c r="C1498" s="8">
        <f t="shared" si="49"/>
        <v>3</v>
      </c>
      <c r="D1498" s="85">
        <v>44635</v>
      </c>
      <c r="E1498" s="31">
        <v>0</v>
      </c>
      <c r="F1498" s="31">
        <v>0</v>
      </c>
      <c r="G1498" s="31">
        <v>0</v>
      </c>
      <c r="H1498" s="31">
        <v>130000</v>
      </c>
      <c r="I1498" s="31" t="s">
        <v>85</v>
      </c>
      <c r="J1498" s="5" t="s">
        <v>1099</v>
      </c>
      <c r="K1498" s="8"/>
    </row>
    <row r="1499" spans="1:11" x14ac:dyDescent="0.2">
      <c r="A1499" s="8">
        <v>1498</v>
      </c>
      <c r="B1499" s="8">
        <f t="shared" si="48"/>
        <v>2022</v>
      </c>
      <c r="C1499" s="8">
        <f t="shared" si="49"/>
        <v>3</v>
      </c>
      <c r="D1499" s="85">
        <v>44635</v>
      </c>
      <c r="E1499" s="31">
        <v>0</v>
      </c>
      <c r="F1499" s="31">
        <v>480000</v>
      </c>
      <c r="G1499" s="31">
        <v>0</v>
      </c>
      <c r="H1499" s="31">
        <v>0</v>
      </c>
      <c r="I1499" s="31" t="s">
        <v>85</v>
      </c>
      <c r="J1499" s="5" t="s">
        <v>1341</v>
      </c>
      <c r="K1499" s="8"/>
    </row>
    <row r="1500" spans="1:11" x14ac:dyDescent="0.2">
      <c r="A1500" s="8">
        <v>1499</v>
      </c>
      <c r="B1500" s="8">
        <f t="shared" si="48"/>
        <v>2022</v>
      </c>
      <c r="C1500" s="8">
        <f t="shared" si="49"/>
        <v>3</v>
      </c>
      <c r="D1500" s="85">
        <v>44650</v>
      </c>
      <c r="E1500" s="31">
        <v>0</v>
      </c>
      <c r="F1500" s="31">
        <v>30000</v>
      </c>
      <c r="G1500" s="31">
        <v>0</v>
      </c>
      <c r="H1500" s="31">
        <v>0</v>
      </c>
      <c r="I1500" s="31" t="s">
        <v>85</v>
      </c>
      <c r="J1500" s="5" t="s">
        <v>1342</v>
      </c>
      <c r="K1500" s="8"/>
    </row>
    <row r="1501" spans="1:11" x14ac:dyDescent="0.2">
      <c r="A1501" s="8">
        <v>1500</v>
      </c>
      <c r="B1501" s="8">
        <f t="shared" si="48"/>
        <v>2022</v>
      </c>
      <c r="C1501" s="8">
        <f t="shared" si="49"/>
        <v>3</v>
      </c>
      <c r="D1501" s="85">
        <v>44650</v>
      </c>
      <c r="E1501" s="31">
        <v>0</v>
      </c>
      <c r="F1501" s="31">
        <v>50000</v>
      </c>
      <c r="G1501" s="31">
        <v>0</v>
      </c>
      <c r="H1501" s="31">
        <v>0</v>
      </c>
      <c r="I1501" s="31" t="s">
        <v>85</v>
      </c>
      <c r="J1501" s="5" t="s">
        <v>1343</v>
      </c>
      <c r="K1501" s="8"/>
    </row>
    <row r="1502" spans="1:11" x14ac:dyDescent="0.2">
      <c r="A1502" s="8">
        <v>1501</v>
      </c>
      <c r="B1502" s="8">
        <f t="shared" si="48"/>
        <v>2022</v>
      </c>
      <c r="C1502" s="8">
        <f t="shared" si="49"/>
        <v>3</v>
      </c>
      <c r="D1502" s="85">
        <v>44650</v>
      </c>
      <c r="E1502" s="31">
        <v>0</v>
      </c>
      <c r="F1502" s="31">
        <v>50000</v>
      </c>
      <c r="G1502" s="31">
        <v>0</v>
      </c>
      <c r="H1502" s="31">
        <v>0</v>
      </c>
      <c r="I1502" s="31" t="s">
        <v>88</v>
      </c>
      <c r="J1502" s="5" t="s">
        <v>356</v>
      </c>
      <c r="K1502" s="8"/>
    </row>
    <row r="1503" spans="1:11" x14ac:dyDescent="0.2">
      <c r="A1503" s="8">
        <v>1502</v>
      </c>
      <c r="B1503" s="8">
        <f t="shared" si="48"/>
        <v>2022</v>
      </c>
      <c r="C1503" s="8">
        <f t="shared" si="49"/>
        <v>3</v>
      </c>
      <c r="D1503" s="85">
        <v>44651</v>
      </c>
      <c r="E1503" s="31">
        <v>0</v>
      </c>
      <c r="F1503" s="31">
        <v>160000</v>
      </c>
      <c r="G1503" s="31">
        <v>0</v>
      </c>
      <c r="H1503" s="31">
        <v>0</v>
      </c>
      <c r="I1503" s="31" t="s">
        <v>88</v>
      </c>
      <c r="J1503" s="5" t="s">
        <v>1344</v>
      </c>
      <c r="K1503" s="8"/>
    </row>
    <row r="1504" spans="1:11" x14ac:dyDescent="0.2">
      <c r="A1504" s="8">
        <v>1503</v>
      </c>
      <c r="B1504" s="8">
        <f t="shared" si="48"/>
        <v>2022</v>
      </c>
      <c r="C1504" s="8">
        <f t="shared" si="49"/>
        <v>3</v>
      </c>
      <c r="D1504" s="85">
        <v>44651</v>
      </c>
      <c r="E1504" s="31">
        <v>0</v>
      </c>
      <c r="F1504" s="31">
        <v>100000</v>
      </c>
      <c r="G1504" s="31">
        <v>0</v>
      </c>
      <c r="H1504" s="31">
        <v>0</v>
      </c>
      <c r="I1504" s="31" t="s">
        <v>299</v>
      </c>
      <c r="J1504" s="5" t="s">
        <v>299</v>
      </c>
      <c r="K1504" s="8"/>
    </row>
    <row r="1505" spans="1:11" x14ac:dyDescent="0.2">
      <c r="A1505" s="8">
        <v>1504</v>
      </c>
      <c r="B1505" s="8">
        <f t="shared" si="48"/>
        <v>2021</v>
      </c>
      <c r="C1505" s="8">
        <f t="shared" si="49"/>
        <v>9</v>
      </c>
      <c r="D1505" s="85">
        <v>44440</v>
      </c>
      <c r="E1505" s="31">
        <v>0</v>
      </c>
      <c r="F1505" s="31">
        <v>0</v>
      </c>
      <c r="G1505" s="31">
        <v>3000000</v>
      </c>
      <c r="H1505" s="31">
        <v>0</v>
      </c>
      <c r="I1505" s="31" t="s">
        <v>92</v>
      </c>
      <c r="J1505" s="5" t="s">
        <v>1345</v>
      </c>
      <c r="K1505" s="8"/>
    </row>
    <row r="1506" spans="1:11" x14ac:dyDescent="0.2">
      <c r="A1506" s="8">
        <v>1505</v>
      </c>
      <c r="B1506" s="8">
        <f t="shared" si="48"/>
        <v>2021</v>
      </c>
      <c r="C1506" s="8">
        <f t="shared" si="49"/>
        <v>9</v>
      </c>
      <c r="D1506" s="85">
        <v>44440</v>
      </c>
      <c r="E1506" s="31">
        <v>7000000</v>
      </c>
      <c r="F1506" s="31">
        <v>0</v>
      </c>
      <c r="G1506" s="31">
        <v>0</v>
      </c>
      <c r="H1506" s="31">
        <v>0</v>
      </c>
      <c r="I1506" s="31" t="s">
        <v>1114</v>
      </c>
      <c r="J1506" s="5" t="s">
        <v>1346</v>
      </c>
      <c r="K1506" s="8"/>
    </row>
    <row r="1507" spans="1:11" x14ac:dyDescent="0.2">
      <c r="A1507" s="8">
        <v>1506</v>
      </c>
      <c r="B1507" s="8">
        <f t="shared" si="48"/>
        <v>2021</v>
      </c>
      <c r="C1507" s="8">
        <f t="shared" si="49"/>
        <v>9</v>
      </c>
      <c r="D1507" s="85">
        <v>44440</v>
      </c>
      <c r="E1507" s="31">
        <v>0</v>
      </c>
      <c r="F1507" s="31">
        <v>0</v>
      </c>
      <c r="G1507" s="31">
        <v>2000000</v>
      </c>
      <c r="H1507" s="31">
        <v>0</v>
      </c>
      <c r="I1507" s="31" t="s">
        <v>92</v>
      </c>
      <c r="J1507" s="5" t="s">
        <v>1347</v>
      </c>
      <c r="K1507" s="8"/>
    </row>
    <row r="1508" spans="1:11" x14ac:dyDescent="0.2">
      <c r="A1508" s="8">
        <v>1507</v>
      </c>
      <c r="B1508" s="8">
        <f t="shared" si="48"/>
        <v>2022</v>
      </c>
      <c r="C1508" s="8">
        <f t="shared" si="49"/>
        <v>4</v>
      </c>
      <c r="D1508" s="85">
        <v>44652</v>
      </c>
      <c r="E1508" s="31">
        <v>0</v>
      </c>
      <c r="F1508" s="31">
        <v>16000</v>
      </c>
      <c r="G1508" s="31">
        <v>0</v>
      </c>
      <c r="H1508" s="31">
        <v>0</v>
      </c>
      <c r="I1508" s="31" t="s">
        <v>88</v>
      </c>
      <c r="J1508" s="5" t="s">
        <v>356</v>
      </c>
      <c r="K1508" s="8"/>
    </row>
    <row r="1509" spans="1:11" x14ac:dyDescent="0.2">
      <c r="A1509" s="8">
        <v>1508</v>
      </c>
      <c r="B1509" s="8">
        <f t="shared" si="48"/>
        <v>2022</v>
      </c>
      <c r="C1509" s="8">
        <f t="shared" si="49"/>
        <v>4</v>
      </c>
      <c r="D1509" s="85">
        <v>44652</v>
      </c>
      <c r="E1509" s="31">
        <v>0</v>
      </c>
      <c r="F1509" s="31">
        <v>7000</v>
      </c>
      <c r="G1509" s="31">
        <v>0</v>
      </c>
      <c r="H1509" s="31">
        <v>0</v>
      </c>
      <c r="I1509" s="31" t="s">
        <v>88</v>
      </c>
      <c r="J1509" s="5" t="s">
        <v>300</v>
      </c>
      <c r="K1509" s="8"/>
    </row>
    <row r="1510" spans="1:11" x14ac:dyDescent="0.2">
      <c r="A1510" s="8">
        <v>1509</v>
      </c>
      <c r="B1510" s="8">
        <f t="shared" si="48"/>
        <v>2022</v>
      </c>
      <c r="C1510" s="8">
        <f t="shared" si="49"/>
        <v>4</v>
      </c>
      <c r="D1510" s="85">
        <v>44652</v>
      </c>
      <c r="E1510" s="31">
        <v>0</v>
      </c>
      <c r="F1510" s="31">
        <v>10000</v>
      </c>
      <c r="G1510" s="31">
        <v>0</v>
      </c>
      <c r="H1510" s="31">
        <v>0</v>
      </c>
      <c r="I1510" s="31" t="s">
        <v>85</v>
      </c>
      <c r="J1510" s="5" t="s">
        <v>1348</v>
      </c>
      <c r="K1510" s="8"/>
    </row>
    <row r="1511" spans="1:11" x14ac:dyDescent="0.2">
      <c r="A1511" s="8">
        <v>1510</v>
      </c>
      <c r="B1511" s="8">
        <f t="shared" si="48"/>
        <v>2022</v>
      </c>
      <c r="C1511" s="8">
        <f t="shared" si="49"/>
        <v>3</v>
      </c>
      <c r="D1511" s="85">
        <v>44648</v>
      </c>
      <c r="E1511" s="31">
        <v>1000000</v>
      </c>
      <c r="F1511" s="31">
        <v>0</v>
      </c>
      <c r="G1511" s="31">
        <v>0</v>
      </c>
      <c r="H1511" s="31">
        <v>0</v>
      </c>
      <c r="I1511" s="31" t="s">
        <v>109</v>
      </c>
      <c r="J1511" s="5" t="s">
        <v>1012</v>
      </c>
      <c r="K1511" s="8"/>
    </row>
    <row r="1512" spans="1:11" x14ac:dyDescent="0.2">
      <c r="A1512" s="8">
        <v>1511</v>
      </c>
      <c r="B1512" s="8">
        <f t="shared" si="48"/>
        <v>2022</v>
      </c>
      <c r="C1512" s="8">
        <f t="shared" si="49"/>
        <v>4</v>
      </c>
      <c r="D1512" s="85">
        <v>44653</v>
      </c>
      <c r="E1512" s="31">
        <v>0</v>
      </c>
      <c r="F1512" s="31">
        <v>112000</v>
      </c>
      <c r="G1512" s="31">
        <v>0</v>
      </c>
      <c r="H1512" s="31">
        <v>0</v>
      </c>
      <c r="I1512" s="31" t="s">
        <v>299</v>
      </c>
      <c r="J1512" s="5" t="s">
        <v>299</v>
      </c>
      <c r="K1512" s="8"/>
    </row>
    <row r="1513" spans="1:11" x14ac:dyDescent="0.2">
      <c r="A1513" s="8">
        <v>1512</v>
      </c>
      <c r="B1513" s="8">
        <f t="shared" si="48"/>
        <v>2022</v>
      </c>
      <c r="C1513" s="8">
        <f t="shared" si="49"/>
        <v>4</v>
      </c>
      <c r="D1513" s="85">
        <v>44654</v>
      </c>
      <c r="E1513" s="31">
        <v>0</v>
      </c>
      <c r="F1513" s="31">
        <v>600000</v>
      </c>
      <c r="G1513" s="31">
        <v>0</v>
      </c>
      <c r="H1513" s="31">
        <v>0</v>
      </c>
      <c r="I1513" s="31" t="s">
        <v>316</v>
      </c>
      <c r="J1513" s="5" t="s">
        <v>1349</v>
      </c>
      <c r="K1513" s="8"/>
    </row>
    <row r="1514" spans="1:11" x14ac:dyDescent="0.2">
      <c r="A1514" s="8">
        <v>1513</v>
      </c>
      <c r="B1514" s="8">
        <f t="shared" si="48"/>
        <v>2022</v>
      </c>
      <c r="C1514" s="8">
        <f t="shared" si="49"/>
        <v>4</v>
      </c>
      <c r="D1514" s="85">
        <v>44655</v>
      </c>
      <c r="E1514" s="31">
        <v>0</v>
      </c>
      <c r="F1514" s="31">
        <v>300000</v>
      </c>
      <c r="G1514" s="31">
        <v>0</v>
      </c>
      <c r="H1514" s="31">
        <v>0</v>
      </c>
      <c r="I1514" s="31" t="s">
        <v>1350</v>
      </c>
      <c r="J1514" s="5" t="s">
        <v>1351</v>
      </c>
      <c r="K1514" s="8"/>
    </row>
    <row r="1515" spans="1:11" x14ac:dyDescent="0.2">
      <c r="A1515" s="8">
        <v>1514</v>
      </c>
      <c r="B1515" s="8">
        <f t="shared" si="48"/>
        <v>2022</v>
      </c>
      <c r="C1515" s="8">
        <f t="shared" si="49"/>
        <v>4</v>
      </c>
      <c r="D1515" s="85">
        <v>44655</v>
      </c>
      <c r="E1515" s="31">
        <v>0</v>
      </c>
      <c r="F1515" s="31">
        <v>50000</v>
      </c>
      <c r="G1515" s="31">
        <v>0</v>
      </c>
      <c r="H1515" s="31">
        <v>0</v>
      </c>
      <c r="I1515" s="31" t="s">
        <v>287</v>
      </c>
      <c r="J1515" s="5" t="s">
        <v>1352</v>
      </c>
      <c r="K1515" s="8"/>
    </row>
    <row r="1516" spans="1:11" x14ac:dyDescent="0.2">
      <c r="A1516" s="8">
        <v>1515</v>
      </c>
      <c r="B1516" s="8">
        <f t="shared" si="48"/>
        <v>2022</v>
      </c>
      <c r="C1516" s="8">
        <f t="shared" si="49"/>
        <v>4</v>
      </c>
      <c r="D1516" s="85">
        <v>44655</v>
      </c>
      <c r="E1516" s="31">
        <v>0</v>
      </c>
      <c r="F1516" s="31">
        <v>650000</v>
      </c>
      <c r="G1516" s="31">
        <v>0</v>
      </c>
      <c r="H1516" s="31">
        <v>0</v>
      </c>
      <c r="I1516" s="31" t="s">
        <v>1350</v>
      </c>
      <c r="J1516" s="5" t="s">
        <v>1353</v>
      </c>
      <c r="K1516" s="8"/>
    </row>
    <row r="1517" spans="1:11" x14ac:dyDescent="0.2">
      <c r="A1517" s="8">
        <v>1516</v>
      </c>
      <c r="B1517" s="8">
        <f t="shared" si="48"/>
        <v>2022</v>
      </c>
      <c r="C1517" s="8">
        <f t="shared" si="49"/>
        <v>4</v>
      </c>
      <c r="D1517" s="85">
        <v>44655</v>
      </c>
      <c r="E1517" s="31">
        <v>0</v>
      </c>
      <c r="F1517" s="31">
        <v>625000</v>
      </c>
      <c r="G1517" s="31">
        <v>0</v>
      </c>
      <c r="H1517" s="31">
        <v>0</v>
      </c>
      <c r="I1517" s="31" t="s">
        <v>571</v>
      </c>
      <c r="J1517" s="5" t="s">
        <v>1354</v>
      </c>
      <c r="K1517" s="8"/>
    </row>
    <row r="1518" spans="1:11" x14ac:dyDescent="0.2">
      <c r="A1518" s="8">
        <v>1517</v>
      </c>
      <c r="B1518" s="8">
        <f t="shared" si="48"/>
        <v>2022</v>
      </c>
      <c r="C1518" s="8">
        <f t="shared" si="49"/>
        <v>4</v>
      </c>
      <c r="D1518" s="85">
        <v>44656</v>
      </c>
      <c r="E1518" s="31">
        <v>0</v>
      </c>
      <c r="F1518" s="31">
        <v>133000</v>
      </c>
      <c r="G1518" s="31">
        <v>0</v>
      </c>
      <c r="H1518" s="31">
        <v>0</v>
      </c>
      <c r="I1518" s="31" t="s">
        <v>571</v>
      </c>
      <c r="J1518" s="5" t="s">
        <v>1198</v>
      </c>
      <c r="K1518" s="8"/>
    </row>
    <row r="1519" spans="1:11" x14ac:dyDescent="0.2">
      <c r="A1519" s="8">
        <v>1518</v>
      </c>
      <c r="B1519" s="8">
        <f t="shared" si="48"/>
        <v>2022</v>
      </c>
      <c r="C1519" s="8">
        <f t="shared" si="49"/>
        <v>4</v>
      </c>
      <c r="D1519" s="85">
        <v>44656</v>
      </c>
      <c r="E1519" s="31">
        <v>330000</v>
      </c>
      <c r="F1519" s="31">
        <v>300000</v>
      </c>
      <c r="G1519" s="31">
        <v>0</v>
      </c>
      <c r="H1519" s="31">
        <v>0</v>
      </c>
      <c r="I1519" s="31" t="s">
        <v>92</v>
      </c>
      <c r="J1519" s="5" t="s">
        <v>1183</v>
      </c>
      <c r="K1519" s="8"/>
    </row>
    <row r="1520" spans="1:11" x14ac:dyDescent="0.2">
      <c r="A1520" s="8">
        <v>1519</v>
      </c>
      <c r="B1520" s="8">
        <f t="shared" si="48"/>
        <v>2022</v>
      </c>
      <c r="C1520" s="8">
        <f t="shared" si="49"/>
        <v>4</v>
      </c>
      <c r="D1520" s="93">
        <v>44656</v>
      </c>
      <c r="E1520" s="35">
        <v>0</v>
      </c>
      <c r="F1520" s="35">
        <v>0</v>
      </c>
      <c r="G1520" s="35">
        <v>3000000</v>
      </c>
      <c r="H1520" s="35">
        <v>0</v>
      </c>
      <c r="I1520" s="35" t="s">
        <v>92</v>
      </c>
      <c r="J1520" s="36" t="s">
        <v>1355</v>
      </c>
      <c r="K1520" s="8"/>
    </row>
    <row r="1521" spans="1:11" x14ac:dyDescent="0.2">
      <c r="A1521" s="8">
        <v>1520</v>
      </c>
      <c r="B1521" s="8">
        <f t="shared" si="48"/>
        <v>2022</v>
      </c>
      <c r="C1521" s="8">
        <f t="shared" si="49"/>
        <v>2</v>
      </c>
      <c r="D1521" s="93">
        <v>44600</v>
      </c>
      <c r="E1521" s="35">
        <v>0</v>
      </c>
      <c r="F1521" s="118">
        <v>0</v>
      </c>
      <c r="G1521" s="35">
        <v>2460000</v>
      </c>
      <c r="H1521" s="35">
        <v>0</v>
      </c>
      <c r="I1521" s="35" t="s">
        <v>92</v>
      </c>
      <c r="J1521" s="36" t="s">
        <v>1356</v>
      </c>
      <c r="K1521" s="8"/>
    </row>
    <row r="1522" spans="1:11" x14ac:dyDescent="0.2">
      <c r="A1522" s="8">
        <v>1521</v>
      </c>
      <c r="B1522" s="8">
        <f t="shared" si="48"/>
        <v>2022</v>
      </c>
      <c r="C1522" s="8">
        <f t="shared" si="49"/>
        <v>4</v>
      </c>
      <c r="D1522" s="85">
        <v>44658</v>
      </c>
      <c r="E1522" s="31">
        <v>0</v>
      </c>
      <c r="F1522" s="31">
        <v>170000</v>
      </c>
      <c r="G1522" s="31">
        <v>0</v>
      </c>
      <c r="H1522" s="31">
        <v>0</v>
      </c>
      <c r="I1522" s="31" t="s">
        <v>1350</v>
      </c>
      <c r="J1522" s="5" t="s">
        <v>1357</v>
      </c>
      <c r="K1522" s="8"/>
    </row>
    <row r="1523" spans="1:11" x14ac:dyDescent="0.2">
      <c r="A1523" s="8">
        <v>1522</v>
      </c>
      <c r="B1523" s="8">
        <f t="shared" si="48"/>
        <v>2022</v>
      </c>
      <c r="C1523" s="8">
        <f t="shared" si="49"/>
        <v>4</v>
      </c>
      <c r="D1523" s="85">
        <v>44659</v>
      </c>
      <c r="E1523" s="31">
        <v>0</v>
      </c>
      <c r="F1523" s="31">
        <v>30000</v>
      </c>
      <c r="G1523" s="31">
        <v>0</v>
      </c>
      <c r="H1523" s="31">
        <v>0</v>
      </c>
      <c r="I1523" s="31" t="s">
        <v>88</v>
      </c>
      <c r="J1523" s="5" t="s">
        <v>1327</v>
      </c>
      <c r="K1523" s="8"/>
    </row>
    <row r="1524" spans="1:11" x14ac:dyDescent="0.2">
      <c r="A1524" s="8">
        <v>1523</v>
      </c>
      <c r="B1524" s="8">
        <f t="shared" si="48"/>
        <v>2022</v>
      </c>
      <c r="C1524" s="8">
        <f t="shared" si="49"/>
        <v>4</v>
      </c>
      <c r="D1524" s="85">
        <v>44662</v>
      </c>
      <c r="E1524" s="31">
        <v>0</v>
      </c>
      <c r="F1524" s="31">
        <v>0</v>
      </c>
      <c r="G1524" s="31"/>
      <c r="H1524" s="31">
        <v>0</v>
      </c>
      <c r="I1524" s="31" t="s">
        <v>92</v>
      </c>
      <c r="J1524" s="5" t="s">
        <v>1358</v>
      </c>
      <c r="K1524" s="8"/>
    </row>
    <row r="1525" spans="1:11" x14ac:dyDescent="0.2">
      <c r="A1525" s="8">
        <v>1524</v>
      </c>
      <c r="B1525" s="8">
        <f t="shared" si="48"/>
        <v>2022</v>
      </c>
      <c r="C1525" s="8">
        <f t="shared" si="49"/>
        <v>4</v>
      </c>
      <c r="D1525" s="85">
        <v>44662</v>
      </c>
      <c r="E1525" s="31">
        <v>0</v>
      </c>
      <c r="F1525" s="31">
        <v>620000</v>
      </c>
      <c r="G1525" s="31">
        <v>0</v>
      </c>
      <c r="H1525" s="31">
        <v>0</v>
      </c>
      <c r="I1525" s="31" t="s">
        <v>1350</v>
      </c>
      <c r="J1525" s="5" t="s">
        <v>1359</v>
      </c>
      <c r="K1525" s="8"/>
    </row>
    <row r="1526" spans="1:11" x14ac:dyDescent="0.2">
      <c r="A1526" s="8">
        <v>1525</v>
      </c>
      <c r="B1526" s="8">
        <f t="shared" si="48"/>
        <v>2022</v>
      </c>
      <c r="C1526" s="8">
        <f t="shared" si="49"/>
        <v>4</v>
      </c>
      <c r="D1526" s="85">
        <v>44662</v>
      </c>
      <c r="E1526" s="31">
        <v>0</v>
      </c>
      <c r="F1526" s="31">
        <v>20000</v>
      </c>
      <c r="G1526" s="31">
        <v>0</v>
      </c>
      <c r="H1526" s="31">
        <v>0</v>
      </c>
      <c r="I1526" s="31" t="s">
        <v>88</v>
      </c>
      <c r="J1526" s="5" t="s">
        <v>605</v>
      </c>
      <c r="K1526" s="8"/>
    </row>
    <row r="1527" spans="1:11" x14ac:dyDescent="0.2">
      <c r="A1527" s="8">
        <v>1526</v>
      </c>
      <c r="B1527" s="8">
        <f t="shared" si="48"/>
        <v>2022</v>
      </c>
      <c r="C1527" s="8">
        <f t="shared" si="49"/>
        <v>4</v>
      </c>
      <c r="D1527" s="85">
        <v>44662</v>
      </c>
      <c r="E1527" s="31">
        <v>0</v>
      </c>
      <c r="F1527" s="31">
        <v>250000</v>
      </c>
      <c r="G1527" s="31">
        <v>0</v>
      </c>
      <c r="H1527" s="31">
        <v>0</v>
      </c>
      <c r="I1527" s="31" t="s">
        <v>571</v>
      </c>
      <c r="J1527" s="5" t="s">
        <v>192</v>
      </c>
      <c r="K1527" s="8"/>
    </row>
    <row r="1528" spans="1:11" x14ac:dyDescent="0.2">
      <c r="A1528" s="8">
        <v>1527</v>
      </c>
      <c r="B1528" s="8">
        <f t="shared" si="48"/>
        <v>2022</v>
      </c>
      <c r="C1528" s="8">
        <f t="shared" si="49"/>
        <v>4</v>
      </c>
      <c r="D1528" s="85">
        <v>44662</v>
      </c>
      <c r="E1528" s="31">
        <v>0</v>
      </c>
      <c r="F1528" s="31">
        <v>45000</v>
      </c>
      <c r="G1528" s="31">
        <v>0</v>
      </c>
      <c r="H1528" s="31">
        <v>0</v>
      </c>
      <c r="I1528" s="31" t="s">
        <v>571</v>
      </c>
      <c r="J1528" s="5" t="s">
        <v>1360</v>
      </c>
      <c r="K1528" s="8"/>
    </row>
    <row r="1529" spans="1:11" x14ac:dyDescent="0.2">
      <c r="A1529" s="8">
        <v>1528</v>
      </c>
      <c r="B1529" s="8">
        <f t="shared" si="48"/>
        <v>2022</v>
      </c>
      <c r="C1529" s="8">
        <f t="shared" si="49"/>
        <v>4</v>
      </c>
      <c r="D1529" s="85">
        <v>44662</v>
      </c>
      <c r="E1529" s="31">
        <v>0</v>
      </c>
      <c r="F1529" s="31">
        <v>40000</v>
      </c>
      <c r="G1529" s="31">
        <v>0</v>
      </c>
      <c r="H1529" s="31">
        <v>0</v>
      </c>
      <c r="I1529" s="31" t="s">
        <v>571</v>
      </c>
      <c r="J1529" s="5" t="s">
        <v>1361</v>
      </c>
      <c r="K1529" s="8"/>
    </row>
    <row r="1530" spans="1:11" x14ac:dyDescent="0.2">
      <c r="A1530" s="8">
        <v>1529</v>
      </c>
      <c r="B1530" s="8">
        <f t="shared" si="48"/>
        <v>2022</v>
      </c>
      <c r="C1530" s="8">
        <f t="shared" si="49"/>
        <v>4</v>
      </c>
      <c r="D1530" s="85">
        <v>44663</v>
      </c>
      <c r="E1530" s="31">
        <v>0</v>
      </c>
      <c r="F1530" s="31">
        <v>170000</v>
      </c>
      <c r="G1530" s="31">
        <v>0</v>
      </c>
      <c r="H1530" s="31">
        <v>0</v>
      </c>
      <c r="I1530" s="31" t="s">
        <v>364</v>
      </c>
      <c r="J1530" s="5" t="s">
        <v>1362</v>
      </c>
      <c r="K1530" s="8"/>
    </row>
    <row r="1531" spans="1:11" x14ac:dyDescent="0.2">
      <c r="A1531" s="8">
        <v>1530</v>
      </c>
      <c r="B1531" s="8">
        <f t="shared" si="48"/>
        <v>2022</v>
      </c>
      <c r="C1531" s="8">
        <f t="shared" si="49"/>
        <v>4</v>
      </c>
      <c r="D1531" s="85">
        <v>44663</v>
      </c>
      <c r="E1531" s="31">
        <v>0</v>
      </c>
      <c r="F1531" s="31">
        <v>80000</v>
      </c>
      <c r="G1531" s="31">
        <v>0</v>
      </c>
      <c r="H1531" s="31">
        <v>0</v>
      </c>
      <c r="I1531" s="31" t="s">
        <v>287</v>
      </c>
      <c r="J1531" s="5" t="s">
        <v>1363</v>
      </c>
      <c r="K1531" s="8"/>
    </row>
    <row r="1532" spans="1:11" x14ac:dyDescent="0.2">
      <c r="A1532" s="8">
        <v>1531</v>
      </c>
      <c r="B1532" s="8">
        <f t="shared" si="48"/>
        <v>2022</v>
      </c>
      <c r="C1532" s="8">
        <f t="shared" si="49"/>
        <v>4</v>
      </c>
      <c r="D1532" s="85">
        <v>44663</v>
      </c>
      <c r="E1532" s="31">
        <v>0</v>
      </c>
      <c r="F1532" s="31">
        <v>80000</v>
      </c>
      <c r="G1532" s="31">
        <v>0</v>
      </c>
      <c r="H1532" s="31">
        <v>0</v>
      </c>
      <c r="I1532" s="31" t="s">
        <v>571</v>
      </c>
      <c r="J1532" s="5" t="s">
        <v>1364</v>
      </c>
      <c r="K1532" s="8"/>
    </row>
    <row r="1533" spans="1:11" x14ac:dyDescent="0.2">
      <c r="A1533" s="8">
        <v>1532</v>
      </c>
      <c r="B1533" s="8">
        <f t="shared" si="48"/>
        <v>2022</v>
      </c>
      <c r="C1533" s="8">
        <f t="shared" si="49"/>
        <v>4</v>
      </c>
      <c r="D1533" s="85">
        <v>44663</v>
      </c>
      <c r="E1533" s="31">
        <v>0</v>
      </c>
      <c r="F1533" s="31">
        <v>20000</v>
      </c>
      <c r="G1533" s="31">
        <v>0</v>
      </c>
      <c r="H1533" s="31">
        <v>0</v>
      </c>
      <c r="I1533" s="31" t="s">
        <v>88</v>
      </c>
      <c r="J1533" s="5" t="s">
        <v>1365</v>
      </c>
      <c r="K1533" s="8"/>
    </row>
    <row r="1534" spans="1:11" x14ac:dyDescent="0.2">
      <c r="A1534" s="8">
        <v>1533</v>
      </c>
      <c r="B1534" s="8">
        <f t="shared" si="48"/>
        <v>2022</v>
      </c>
      <c r="C1534" s="8">
        <f t="shared" si="49"/>
        <v>4</v>
      </c>
      <c r="D1534" s="85">
        <v>44670</v>
      </c>
      <c r="E1534" s="31">
        <v>0</v>
      </c>
      <c r="F1534" s="31">
        <v>65000</v>
      </c>
      <c r="G1534" s="31">
        <v>0</v>
      </c>
      <c r="H1534" s="31">
        <v>0</v>
      </c>
      <c r="I1534" s="31" t="s">
        <v>99</v>
      </c>
      <c r="J1534" s="5" t="s">
        <v>1366</v>
      </c>
      <c r="K1534" s="8"/>
    </row>
    <row r="1535" spans="1:11" x14ac:dyDescent="0.2">
      <c r="A1535" s="8">
        <v>1534</v>
      </c>
      <c r="B1535" s="8">
        <f t="shared" si="48"/>
        <v>2022</v>
      </c>
      <c r="C1535" s="8">
        <f t="shared" si="49"/>
        <v>4</v>
      </c>
      <c r="D1535" s="85">
        <v>44674</v>
      </c>
      <c r="E1535" s="31">
        <v>0</v>
      </c>
      <c r="F1535" s="31">
        <v>100000</v>
      </c>
      <c r="G1535" s="31">
        <v>0</v>
      </c>
      <c r="H1535" s="31">
        <v>0</v>
      </c>
      <c r="I1535" s="31" t="s">
        <v>299</v>
      </c>
      <c r="J1535" s="5" t="s">
        <v>299</v>
      </c>
      <c r="K1535" s="8"/>
    </row>
    <row r="1536" spans="1:11" x14ac:dyDescent="0.2">
      <c r="A1536" s="8">
        <v>1535</v>
      </c>
      <c r="B1536" s="8">
        <f t="shared" si="48"/>
        <v>2022</v>
      </c>
      <c r="C1536" s="8">
        <f t="shared" si="49"/>
        <v>4</v>
      </c>
      <c r="D1536" s="85">
        <v>44671</v>
      </c>
      <c r="E1536" s="31">
        <v>5000000</v>
      </c>
      <c r="F1536" s="31">
        <v>0</v>
      </c>
      <c r="G1536" s="31">
        <v>0</v>
      </c>
      <c r="H1536" s="31">
        <v>0</v>
      </c>
      <c r="I1536" s="31" t="s">
        <v>109</v>
      </c>
      <c r="J1536" s="5" t="s">
        <v>1367</v>
      </c>
      <c r="K1536" s="8"/>
    </row>
    <row r="1537" spans="1:11" x14ac:dyDescent="0.2">
      <c r="A1537" s="8">
        <v>1536</v>
      </c>
      <c r="B1537" s="8">
        <f t="shared" si="48"/>
        <v>2022</v>
      </c>
      <c r="C1537" s="8">
        <f t="shared" si="49"/>
        <v>4</v>
      </c>
      <c r="D1537" s="85">
        <v>44681</v>
      </c>
      <c r="E1537" s="31">
        <v>0</v>
      </c>
      <c r="F1537" s="31">
        <v>50000</v>
      </c>
      <c r="G1537" s="31">
        <v>0</v>
      </c>
      <c r="H1537" s="31">
        <v>0</v>
      </c>
      <c r="I1537" s="31" t="s">
        <v>88</v>
      </c>
      <c r="J1537" s="5" t="s">
        <v>1368</v>
      </c>
      <c r="K1537" s="8"/>
    </row>
    <row r="1538" spans="1:11" x14ac:dyDescent="0.2">
      <c r="A1538" s="8">
        <v>1537</v>
      </c>
      <c r="B1538" s="8">
        <f t="shared" si="48"/>
        <v>2022</v>
      </c>
      <c r="C1538" s="8">
        <f t="shared" si="49"/>
        <v>4</v>
      </c>
      <c r="D1538" s="85">
        <v>44681</v>
      </c>
      <c r="E1538" s="31">
        <v>0</v>
      </c>
      <c r="F1538" s="31">
        <v>50000</v>
      </c>
      <c r="G1538" s="31">
        <v>0</v>
      </c>
      <c r="H1538" s="31">
        <v>0</v>
      </c>
      <c r="I1538" s="31" t="s">
        <v>1255</v>
      </c>
      <c r="J1538" s="5" t="s">
        <v>1369</v>
      </c>
      <c r="K1538" s="8"/>
    </row>
    <row r="1539" spans="1:11" x14ac:dyDescent="0.2">
      <c r="A1539" s="8">
        <v>1538</v>
      </c>
      <c r="B1539" s="8">
        <f t="shared" si="48"/>
        <v>2022</v>
      </c>
      <c r="C1539" s="8">
        <f t="shared" si="49"/>
        <v>4</v>
      </c>
      <c r="D1539" s="85">
        <v>44681</v>
      </c>
      <c r="E1539" s="31">
        <v>0</v>
      </c>
      <c r="F1539" s="31">
        <v>59000</v>
      </c>
      <c r="G1539" s="31">
        <v>0</v>
      </c>
      <c r="H1539" s="31">
        <v>0</v>
      </c>
      <c r="I1539" s="31" t="s">
        <v>85</v>
      </c>
      <c r="J1539" s="5" t="s">
        <v>1370</v>
      </c>
      <c r="K1539" s="8"/>
    </row>
    <row r="1540" spans="1:11" x14ac:dyDescent="0.2">
      <c r="A1540" s="8">
        <v>1539</v>
      </c>
      <c r="B1540" s="8">
        <f t="shared" si="48"/>
        <v>2022</v>
      </c>
      <c r="C1540" s="8">
        <f t="shared" si="49"/>
        <v>4</v>
      </c>
      <c r="D1540" s="85">
        <v>44681</v>
      </c>
      <c r="E1540" s="31">
        <v>0</v>
      </c>
      <c r="F1540" s="31">
        <v>22500</v>
      </c>
      <c r="G1540" s="31">
        <v>0</v>
      </c>
      <c r="H1540" s="31">
        <v>0</v>
      </c>
      <c r="I1540" s="31" t="s">
        <v>85</v>
      </c>
      <c r="J1540" s="5" t="s">
        <v>1371</v>
      </c>
      <c r="K1540" s="8"/>
    </row>
    <row r="1541" spans="1:11" x14ac:dyDescent="0.2">
      <c r="A1541" s="8">
        <v>1540</v>
      </c>
      <c r="B1541" s="8">
        <f t="shared" si="48"/>
        <v>2022</v>
      </c>
      <c r="C1541" s="8">
        <f t="shared" si="49"/>
        <v>4</v>
      </c>
      <c r="D1541" s="85">
        <v>44681</v>
      </c>
      <c r="E1541" s="31">
        <v>0</v>
      </c>
      <c r="F1541" s="31">
        <v>0</v>
      </c>
      <c r="G1541" s="31">
        <v>0</v>
      </c>
      <c r="H1541" s="31">
        <v>0</v>
      </c>
      <c r="I1541" s="31" t="s">
        <v>92</v>
      </c>
      <c r="J1541" s="5" t="s">
        <v>1372</v>
      </c>
      <c r="K1541" s="8"/>
    </row>
    <row r="1542" spans="1:11" x14ac:dyDescent="0.2">
      <c r="A1542" s="8">
        <v>1541</v>
      </c>
      <c r="B1542" s="8">
        <f t="shared" ref="B1542:B1605" si="50">YEAR(D1542)</f>
        <v>2022</v>
      </c>
      <c r="C1542" s="8">
        <f t="shared" ref="C1542:C1605" si="51">MONTH(D1542)</f>
        <v>4</v>
      </c>
      <c r="D1542" s="85">
        <v>44681</v>
      </c>
      <c r="E1542" s="31">
        <v>0</v>
      </c>
      <c r="F1542" s="31">
        <v>30000</v>
      </c>
      <c r="G1542" s="31">
        <v>0</v>
      </c>
      <c r="H1542" s="31">
        <v>0</v>
      </c>
      <c r="I1542" s="31" t="s">
        <v>85</v>
      </c>
      <c r="J1542" s="5" t="s">
        <v>1373</v>
      </c>
      <c r="K1542" s="8"/>
    </row>
    <row r="1543" spans="1:11" x14ac:dyDescent="0.2">
      <c r="A1543" s="8">
        <v>1542</v>
      </c>
      <c r="B1543" s="8">
        <f t="shared" si="50"/>
        <v>2022</v>
      </c>
      <c r="C1543" s="8">
        <f t="shared" si="51"/>
        <v>4</v>
      </c>
      <c r="D1543" s="85">
        <v>44681</v>
      </c>
      <c r="E1543" s="31">
        <v>0</v>
      </c>
      <c r="F1543" s="31">
        <v>279000</v>
      </c>
      <c r="G1543" s="31">
        <v>0</v>
      </c>
      <c r="H1543" s="31">
        <v>0</v>
      </c>
      <c r="I1543" s="31" t="s">
        <v>99</v>
      </c>
      <c r="J1543" s="5" t="s">
        <v>1374</v>
      </c>
      <c r="K1543" s="8"/>
    </row>
    <row r="1544" spans="1:11" x14ac:dyDescent="0.2">
      <c r="A1544" s="8">
        <v>1543</v>
      </c>
      <c r="B1544" s="8">
        <f t="shared" si="50"/>
        <v>2022</v>
      </c>
      <c r="C1544" s="8">
        <f t="shared" si="51"/>
        <v>4</v>
      </c>
      <c r="D1544" s="85">
        <v>44681</v>
      </c>
      <c r="E1544" s="31">
        <v>0</v>
      </c>
      <c r="F1544" s="31">
        <v>50000</v>
      </c>
      <c r="G1544" s="31">
        <v>0</v>
      </c>
      <c r="H1544" s="31">
        <v>0</v>
      </c>
      <c r="I1544" s="31" t="s">
        <v>1350</v>
      </c>
      <c r="J1544" s="5" t="s">
        <v>1375</v>
      </c>
      <c r="K1544" s="8"/>
    </row>
    <row r="1545" spans="1:11" x14ac:dyDescent="0.2">
      <c r="A1545" s="8">
        <v>1544</v>
      </c>
      <c r="B1545" s="8">
        <f t="shared" si="50"/>
        <v>2022</v>
      </c>
      <c r="C1545" s="8">
        <f t="shared" si="51"/>
        <v>4</v>
      </c>
      <c r="D1545" s="93">
        <v>44681</v>
      </c>
      <c r="E1545" s="35">
        <v>0</v>
      </c>
      <c r="F1545" s="35">
        <v>4000000</v>
      </c>
      <c r="G1545" s="35">
        <v>0</v>
      </c>
      <c r="H1545" s="35">
        <v>0</v>
      </c>
      <c r="I1545" s="35" t="s">
        <v>85</v>
      </c>
      <c r="J1545" s="36" t="s">
        <v>1376</v>
      </c>
      <c r="K1545" s="8"/>
    </row>
    <row r="1546" spans="1:11" x14ac:dyDescent="0.2">
      <c r="A1546" s="8">
        <v>1545</v>
      </c>
      <c r="B1546" s="8">
        <f t="shared" si="50"/>
        <v>2022</v>
      </c>
      <c r="C1546" s="8">
        <f t="shared" si="51"/>
        <v>5</v>
      </c>
      <c r="D1546" s="85">
        <v>44684</v>
      </c>
      <c r="E1546" s="31">
        <v>0</v>
      </c>
      <c r="F1546" s="31">
        <v>625000</v>
      </c>
      <c r="G1546" s="31">
        <v>0</v>
      </c>
      <c r="H1546" s="31">
        <v>0</v>
      </c>
      <c r="I1546" s="31" t="s">
        <v>1377</v>
      </c>
      <c r="J1546" s="5" t="s">
        <v>1378</v>
      </c>
      <c r="K1546" s="8"/>
    </row>
    <row r="1547" spans="1:11" x14ac:dyDescent="0.2">
      <c r="A1547" s="8">
        <v>1546</v>
      </c>
      <c r="B1547" s="8">
        <f t="shared" si="50"/>
        <v>2022</v>
      </c>
      <c r="C1547" s="8">
        <f t="shared" si="51"/>
        <v>5</v>
      </c>
      <c r="D1547" s="85">
        <v>44684</v>
      </c>
      <c r="E1547" s="31">
        <v>0</v>
      </c>
      <c r="F1547" s="31">
        <v>15000</v>
      </c>
      <c r="G1547" s="31">
        <v>0</v>
      </c>
      <c r="H1547" s="31">
        <v>0</v>
      </c>
      <c r="I1547" s="31" t="s">
        <v>88</v>
      </c>
      <c r="J1547" s="5" t="s">
        <v>1379</v>
      </c>
      <c r="K1547" s="8"/>
    </row>
    <row r="1548" spans="1:11" x14ac:dyDescent="0.2">
      <c r="A1548" s="8">
        <v>1547</v>
      </c>
      <c r="B1548" s="8">
        <f t="shared" si="50"/>
        <v>2022</v>
      </c>
      <c r="C1548" s="8">
        <f t="shared" si="51"/>
        <v>5</v>
      </c>
      <c r="D1548" s="85">
        <v>44684</v>
      </c>
      <c r="E1548" s="31">
        <v>0</v>
      </c>
      <c r="F1548" s="31">
        <v>7000</v>
      </c>
      <c r="G1548" s="31">
        <v>0</v>
      </c>
      <c r="H1548" s="31">
        <v>0</v>
      </c>
      <c r="I1548" s="31" t="s">
        <v>88</v>
      </c>
      <c r="J1548" s="5" t="s">
        <v>1380</v>
      </c>
      <c r="K1548" s="8"/>
    </row>
    <row r="1549" spans="1:11" x14ac:dyDescent="0.2">
      <c r="A1549" s="8">
        <v>1548</v>
      </c>
      <c r="B1549" s="8">
        <f t="shared" si="50"/>
        <v>2022</v>
      </c>
      <c r="C1549" s="8">
        <f t="shared" si="51"/>
        <v>5</v>
      </c>
      <c r="D1549" s="85">
        <v>44684</v>
      </c>
      <c r="E1549" s="31">
        <v>0</v>
      </c>
      <c r="F1549" s="31">
        <v>50000</v>
      </c>
      <c r="G1549" s="31">
        <v>0</v>
      </c>
      <c r="H1549" s="31">
        <v>0</v>
      </c>
      <c r="I1549" s="31" t="s">
        <v>299</v>
      </c>
      <c r="J1549" s="5" t="s">
        <v>985</v>
      </c>
      <c r="K1549" s="8"/>
    </row>
    <row r="1550" spans="1:11" x14ac:dyDescent="0.2">
      <c r="A1550" s="8">
        <v>1549</v>
      </c>
      <c r="B1550" s="8">
        <f t="shared" si="50"/>
        <v>2022</v>
      </c>
      <c r="C1550" s="8">
        <f t="shared" si="51"/>
        <v>5</v>
      </c>
      <c r="D1550" s="85">
        <v>44684</v>
      </c>
      <c r="E1550" s="31">
        <v>0</v>
      </c>
      <c r="F1550" s="31">
        <v>10000</v>
      </c>
      <c r="G1550" s="31">
        <v>0</v>
      </c>
      <c r="H1550" s="31">
        <v>0</v>
      </c>
      <c r="I1550" s="31" t="s">
        <v>85</v>
      </c>
      <c r="J1550" s="5" t="s">
        <v>1381</v>
      </c>
      <c r="K1550" s="8"/>
    </row>
    <row r="1551" spans="1:11" x14ac:dyDescent="0.2">
      <c r="A1551" s="8">
        <v>1550</v>
      </c>
      <c r="B1551" s="8">
        <f t="shared" si="50"/>
        <v>2022</v>
      </c>
      <c r="C1551" s="8">
        <f t="shared" si="51"/>
        <v>5</v>
      </c>
      <c r="D1551" s="85">
        <v>44685</v>
      </c>
      <c r="E1551" s="31">
        <v>0</v>
      </c>
      <c r="F1551" s="31">
        <v>7000</v>
      </c>
      <c r="G1551" s="31">
        <v>0</v>
      </c>
      <c r="H1551" s="31">
        <v>0</v>
      </c>
      <c r="I1551" s="31" t="s">
        <v>88</v>
      </c>
      <c r="J1551" s="5" t="s">
        <v>91</v>
      </c>
      <c r="K1551" s="8"/>
    </row>
    <row r="1552" spans="1:11" x14ac:dyDescent="0.2">
      <c r="A1552" s="8">
        <v>1551</v>
      </c>
      <c r="B1552" s="8">
        <f t="shared" si="50"/>
        <v>2022</v>
      </c>
      <c r="C1552" s="8">
        <f t="shared" si="51"/>
        <v>5</v>
      </c>
      <c r="D1552" s="85">
        <v>44685</v>
      </c>
      <c r="E1552" s="31">
        <v>0</v>
      </c>
      <c r="F1552" s="31">
        <v>0</v>
      </c>
      <c r="G1552" s="31">
        <v>0</v>
      </c>
      <c r="H1552" s="31">
        <v>94000</v>
      </c>
      <c r="I1552" s="31" t="s">
        <v>74</v>
      </c>
      <c r="J1552" s="5" t="s">
        <v>1382</v>
      </c>
      <c r="K1552" s="8"/>
    </row>
    <row r="1553" spans="1:11" x14ac:dyDescent="0.2">
      <c r="A1553" s="8">
        <v>1552</v>
      </c>
      <c r="B1553" s="8">
        <f t="shared" si="50"/>
        <v>2022</v>
      </c>
      <c r="C1553" s="8">
        <f t="shared" si="51"/>
        <v>5</v>
      </c>
      <c r="D1553" s="85">
        <v>44685</v>
      </c>
      <c r="E1553" s="31">
        <v>0</v>
      </c>
      <c r="F1553" s="31">
        <v>0</v>
      </c>
      <c r="G1553" s="31">
        <v>0</v>
      </c>
      <c r="H1553" s="31">
        <v>68000</v>
      </c>
      <c r="I1553" s="31" t="s">
        <v>74</v>
      </c>
      <c r="J1553" s="5" t="s">
        <v>1383</v>
      </c>
      <c r="K1553" s="8"/>
    </row>
    <row r="1554" spans="1:11" x14ac:dyDescent="0.2">
      <c r="A1554" s="8">
        <v>1553</v>
      </c>
      <c r="B1554" s="8">
        <f t="shared" si="50"/>
        <v>2022</v>
      </c>
      <c r="C1554" s="8">
        <f t="shared" si="51"/>
        <v>5</v>
      </c>
      <c r="D1554" s="85">
        <v>44685</v>
      </c>
      <c r="E1554" s="31">
        <v>0</v>
      </c>
      <c r="F1554" s="31">
        <v>0</v>
      </c>
      <c r="G1554" s="31">
        <v>0</v>
      </c>
      <c r="H1554" s="31">
        <v>32000</v>
      </c>
      <c r="I1554" s="31" t="s">
        <v>74</v>
      </c>
      <c r="J1554" s="5" t="s">
        <v>1384</v>
      </c>
      <c r="K1554" s="8"/>
    </row>
    <row r="1555" spans="1:11" x14ac:dyDescent="0.2">
      <c r="A1555" s="8">
        <v>1554</v>
      </c>
      <c r="B1555" s="8">
        <f t="shared" si="50"/>
        <v>2022</v>
      </c>
      <c r="C1555" s="8">
        <f t="shared" si="51"/>
        <v>5</v>
      </c>
      <c r="D1555" s="85">
        <v>44685</v>
      </c>
      <c r="E1555" s="31">
        <v>0</v>
      </c>
      <c r="F1555" s="31">
        <v>0</v>
      </c>
      <c r="G1555" s="31">
        <v>0</v>
      </c>
      <c r="H1555" s="31">
        <v>202000</v>
      </c>
      <c r="I1555" s="31" t="s">
        <v>74</v>
      </c>
      <c r="J1555" s="5" t="s">
        <v>1385</v>
      </c>
      <c r="K1555" s="8"/>
    </row>
    <row r="1556" spans="1:11" x14ac:dyDescent="0.2">
      <c r="A1556" s="8">
        <v>1555</v>
      </c>
      <c r="B1556" s="8">
        <f t="shared" si="50"/>
        <v>2022</v>
      </c>
      <c r="C1556" s="8">
        <f t="shared" si="51"/>
        <v>5</v>
      </c>
      <c r="D1556" s="85">
        <v>44686</v>
      </c>
      <c r="E1556" s="31">
        <v>0</v>
      </c>
      <c r="F1556" s="31">
        <v>125000</v>
      </c>
      <c r="G1556" s="31">
        <v>0</v>
      </c>
      <c r="H1556" s="31">
        <v>0</v>
      </c>
      <c r="I1556" s="31" t="s">
        <v>299</v>
      </c>
      <c r="J1556" s="5" t="s">
        <v>1386</v>
      </c>
      <c r="K1556" s="8"/>
    </row>
    <row r="1557" spans="1:11" x14ac:dyDescent="0.2">
      <c r="A1557" s="8">
        <v>1556</v>
      </c>
      <c r="B1557" s="8">
        <f t="shared" si="50"/>
        <v>2022</v>
      </c>
      <c r="C1557" s="8">
        <f t="shared" si="51"/>
        <v>5</v>
      </c>
      <c r="D1557" s="85">
        <v>44686</v>
      </c>
      <c r="E1557" s="31">
        <v>0</v>
      </c>
      <c r="F1557" s="31">
        <v>100000</v>
      </c>
      <c r="G1557" s="31">
        <v>0</v>
      </c>
      <c r="H1557" s="31">
        <v>0</v>
      </c>
      <c r="I1557" s="31" t="s">
        <v>1350</v>
      </c>
      <c r="J1557" s="5" t="s">
        <v>1387</v>
      </c>
      <c r="K1557" s="8"/>
    </row>
    <row r="1558" spans="1:11" x14ac:dyDescent="0.2">
      <c r="A1558" s="8">
        <v>1557</v>
      </c>
      <c r="B1558" s="8">
        <f t="shared" si="50"/>
        <v>2022</v>
      </c>
      <c r="C1558" s="8">
        <f t="shared" si="51"/>
        <v>5</v>
      </c>
      <c r="D1558" s="85">
        <v>44686</v>
      </c>
      <c r="E1558" s="31">
        <v>0</v>
      </c>
      <c r="F1558" s="31">
        <v>100000</v>
      </c>
      <c r="G1558" s="31">
        <v>0</v>
      </c>
      <c r="H1558" s="31">
        <v>0</v>
      </c>
      <c r="I1558" s="31" t="s">
        <v>1255</v>
      </c>
      <c r="J1558" s="5" t="s">
        <v>1388</v>
      </c>
      <c r="K1558" s="8"/>
    </row>
    <row r="1559" spans="1:11" x14ac:dyDescent="0.2">
      <c r="A1559" s="8">
        <v>1558</v>
      </c>
      <c r="B1559" s="8">
        <f t="shared" si="50"/>
        <v>2022</v>
      </c>
      <c r="C1559" s="8">
        <f t="shared" si="51"/>
        <v>5</v>
      </c>
      <c r="D1559" s="85">
        <v>44686</v>
      </c>
      <c r="E1559" s="31">
        <v>0</v>
      </c>
      <c r="F1559" s="31">
        <v>10000</v>
      </c>
      <c r="G1559" s="31">
        <v>0</v>
      </c>
      <c r="H1559" s="31">
        <v>0</v>
      </c>
      <c r="I1559" s="31" t="s">
        <v>1350</v>
      </c>
      <c r="J1559" s="5" t="s">
        <v>1389</v>
      </c>
      <c r="K1559" s="8"/>
    </row>
    <row r="1560" spans="1:11" x14ac:dyDescent="0.2">
      <c r="A1560" s="8">
        <v>1559</v>
      </c>
      <c r="B1560" s="8">
        <f t="shared" si="50"/>
        <v>2022</v>
      </c>
      <c r="C1560" s="8">
        <f t="shared" si="51"/>
        <v>5</v>
      </c>
      <c r="D1560" s="85">
        <v>44687</v>
      </c>
      <c r="E1560" s="31">
        <v>0</v>
      </c>
      <c r="F1560" s="31">
        <v>70000</v>
      </c>
      <c r="G1560" s="31">
        <v>0</v>
      </c>
      <c r="H1560" s="31">
        <v>0</v>
      </c>
      <c r="I1560" s="31" t="s">
        <v>1350</v>
      </c>
      <c r="J1560" s="5" t="s">
        <v>1390</v>
      </c>
      <c r="K1560" s="8"/>
    </row>
    <row r="1561" spans="1:11" x14ac:dyDescent="0.2">
      <c r="A1561" s="8">
        <v>1560</v>
      </c>
      <c r="B1561" s="8">
        <f t="shared" si="50"/>
        <v>2022</v>
      </c>
      <c r="C1561" s="8">
        <f t="shared" si="51"/>
        <v>5</v>
      </c>
      <c r="D1561" s="85">
        <v>44687</v>
      </c>
      <c r="E1561" s="31">
        <v>0</v>
      </c>
      <c r="F1561" s="31">
        <v>20000</v>
      </c>
      <c r="G1561" s="31">
        <v>0</v>
      </c>
      <c r="H1561" s="31">
        <v>0</v>
      </c>
      <c r="I1561" s="31" t="s">
        <v>1255</v>
      </c>
      <c r="J1561" s="5" t="s">
        <v>1391</v>
      </c>
      <c r="K1561" s="8"/>
    </row>
    <row r="1562" spans="1:11" x14ac:dyDescent="0.2">
      <c r="A1562" s="8">
        <v>1561</v>
      </c>
      <c r="B1562" s="8">
        <f t="shared" si="50"/>
        <v>2022</v>
      </c>
      <c r="C1562" s="8">
        <f t="shared" si="51"/>
        <v>5</v>
      </c>
      <c r="D1562" s="85">
        <v>44688</v>
      </c>
      <c r="E1562" s="31">
        <v>0</v>
      </c>
      <c r="F1562" s="31">
        <v>50000</v>
      </c>
      <c r="G1562" s="31">
        <v>0</v>
      </c>
      <c r="H1562" s="31">
        <v>0</v>
      </c>
      <c r="I1562" s="31" t="s">
        <v>1331</v>
      </c>
      <c r="J1562" s="5" t="s">
        <v>1392</v>
      </c>
      <c r="K1562" s="8"/>
    </row>
    <row r="1563" spans="1:11" x14ac:dyDescent="0.2">
      <c r="A1563" s="8">
        <v>1562</v>
      </c>
      <c r="B1563" s="8">
        <f t="shared" si="50"/>
        <v>2022</v>
      </c>
      <c r="C1563" s="8">
        <f t="shared" si="51"/>
        <v>5</v>
      </c>
      <c r="D1563" s="85">
        <v>44688</v>
      </c>
      <c r="E1563" s="31">
        <v>0</v>
      </c>
      <c r="F1563" s="31">
        <v>24000</v>
      </c>
      <c r="G1563" s="31">
        <v>0</v>
      </c>
      <c r="H1563" s="31">
        <v>0</v>
      </c>
      <c r="I1563" s="31" t="s">
        <v>88</v>
      </c>
      <c r="J1563" s="5" t="s">
        <v>1393</v>
      </c>
      <c r="K1563" s="8"/>
    </row>
    <row r="1564" spans="1:11" x14ac:dyDescent="0.2">
      <c r="A1564" s="8">
        <v>1563</v>
      </c>
      <c r="B1564" s="8">
        <f t="shared" si="50"/>
        <v>2022</v>
      </c>
      <c r="C1564" s="8">
        <f t="shared" si="51"/>
        <v>5</v>
      </c>
      <c r="D1564" s="85">
        <v>44688</v>
      </c>
      <c r="E1564" s="31">
        <v>0</v>
      </c>
      <c r="F1564" s="31">
        <v>40000</v>
      </c>
      <c r="G1564" s="31">
        <v>0</v>
      </c>
      <c r="H1564" s="31">
        <v>0</v>
      </c>
      <c r="I1564" s="31" t="s">
        <v>1331</v>
      </c>
      <c r="J1564" s="5" t="s">
        <v>1394</v>
      </c>
      <c r="K1564" s="8"/>
    </row>
    <row r="1565" spans="1:11" x14ac:dyDescent="0.2">
      <c r="A1565" s="8">
        <v>1564</v>
      </c>
      <c r="B1565" s="8">
        <f t="shared" si="50"/>
        <v>2022</v>
      </c>
      <c r="C1565" s="8">
        <f t="shared" si="51"/>
        <v>5</v>
      </c>
      <c r="D1565" s="85">
        <v>44688</v>
      </c>
      <c r="E1565" s="31">
        <v>0</v>
      </c>
      <c r="F1565" s="31">
        <v>230000</v>
      </c>
      <c r="G1565" s="31">
        <v>0</v>
      </c>
      <c r="H1565" s="31">
        <v>0</v>
      </c>
      <c r="I1565" s="31" t="s">
        <v>1331</v>
      </c>
      <c r="J1565" s="5" t="s">
        <v>1395</v>
      </c>
      <c r="K1565" s="8"/>
    </row>
    <row r="1566" spans="1:11" x14ac:dyDescent="0.2">
      <c r="A1566" s="8">
        <v>1565</v>
      </c>
      <c r="B1566" s="8">
        <f t="shared" si="50"/>
        <v>2022</v>
      </c>
      <c r="C1566" s="8">
        <f t="shared" si="51"/>
        <v>5</v>
      </c>
      <c r="D1566" s="85">
        <v>44688</v>
      </c>
      <c r="E1566" s="31">
        <v>0</v>
      </c>
      <c r="F1566" s="31">
        <v>4000</v>
      </c>
      <c r="G1566" s="31">
        <v>0</v>
      </c>
      <c r="H1566" s="31">
        <v>0</v>
      </c>
      <c r="I1566" s="31" t="s">
        <v>1331</v>
      </c>
      <c r="J1566" s="5" t="s">
        <v>1396</v>
      </c>
      <c r="K1566" s="8"/>
    </row>
    <row r="1567" spans="1:11" x14ac:dyDescent="0.2">
      <c r="A1567" s="8">
        <v>1566</v>
      </c>
      <c r="B1567" s="8">
        <f t="shared" si="50"/>
        <v>2022</v>
      </c>
      <c r="C1567" s="8">
        <f t="shared" si="51"/>
        <v>5</v>
      </c>
      <c r="D1567" s="85">
        <v>44688</v>
      </c>
      <c r="E1567" s="31">
        <v>0</v>
      </c>
      <c r="F1567" s="31">
        <v>448000</v>
      </c>
      <c r="G1567" s="31">
        <v>0</v>
      </c>
      <c r="H1567" s="31">
        <v>0</v>
      </c>
      <c r="I1567" s="31" t="s">
        <v>1331</v>
      </c>
      <c r="J1567" s="5" t="s">
        <v>1397</v>
      </c>
      <c r="K1567" s="8"/>
    </row>
    <row r="1568" spans="1:11" x14ac:dyDescent="0.2">
      <c r="A1568" s="8">
        <v>1567</v>
      </c>
      <c r="B1568" s="8">
        <f t="shared" si="50"/>
        <v>2022</v>
      </c>
      <c r="C1568" s="8">
        <f t="shared" si="51"/>
        <v>5</v>
      </c>
      <c r="D1568" s="85">
        <v>44689</v>
      </c>
      <c r="E1568" s="31">
        <v>0</v>
      </c>
      <c r="F1568" s="31">
        <v>18000</v>
      </c>
      <c r="G1568" s="31">
        <v>0</v>
      </c>
      <c r="H1568" s="31">
        <v>0</v>
      </c>
      <c r="I1568" s="31" t="s">
        <v>88</v>
      </c>
      <c r="J1568" s="5" t="s">
        <v>1379</v>
      </c>
      <c r="K1568" s="8"/>
    </row>
    <row r="1569" spans="1:11" x14ac:dyDescent="0.2">
      <c r="A1569" s="8">
        <v>1568</v>
      </c>
      <c r="B1569" s="8">
        <f t="shared" si="50"/>
        <v>2022</v>
      </c>
      <c r="C1569" s="8">
        <f t="shared" si="51"/>
        <v>5</v>
      </c>
      <c r="D1569" s="85">
        <v>44689</v>
      </c>
      <c r="E1569" s="31">
        <v>0</v>
      </c>
      <c r="F1569" s="31">
        <v>600000</v>
      </c>
      <c r="G1569" s="31">
        <v>0</v>
      </c>
      <c r="H1569" s="31">
        <v>0</v>
      </c>
      <c r="I1569" s="31" t="s">
        <v>316</v>
      </c>
      <c r="J1569" s="5" t="s">
        <v>316</v>
      </c>
      <c r="K1569" s="8"/>
    </row>
    <row r="1570" spans="1:11" x14ac:dyDescent="0.2">
      <c r="A1570" s="8">
        <v>1569</v>
      </c>
      <c r="B1570" s="8">
        <f t="shared" si="50"/>
        <v>2022</v>
      </c>
      <c r="C1570" s="8">
        <f t="shared" si="51"/>
        <v>5</v>
      </c>
      <c r="D1570" s="85">
        <v>44689</v>
      </c>
      <c r="E1570" s="31">
        <v>0</v>
      </c>
      <c r="F1570" s="31">
        <v>10000</v>
      </c>
      <c r="G1570" s="31">
        <v>0</v>
      </c>
      <c r="H1570" s="31">
        <v>0</v>
      </c>
      <c r="I1570" s="31" t="s">
        <v>88</v>
      </c>
      <c r="J1570" s="5" t="s">
        <v>89</v>
      </c>
      <c r="K1570" s="8"/>
    </row>
    <row r="1571" spans="1:11" x14ac:dyDescent="0.2">
      <c r="A1571" s="8">
        <v>1570</v>
      </c>
      <c r="B1571" s="8">
        <f t="shared" si="50"/>
        <v>2022</v>
      </c>
      <c r="C1571" s="8">
        <f t="shared" si="51"/>
        <v>5</v>
      </c>
      <c r="D1571" s="85">
        <v>44689</v>
      </c>
      <c r="E1571" s="31">
        <v>0</v>
      </c>
      <c r="F1571" s="31">
        <v>10000</v>
      </c>
      <c r="G1571" s="31">
        <v>0</v>
      </c>
      <c r="H1571" s="31">
        <v>0</v>
      </c>
      <c r="I1571" s="31" t="s">
        <v>88</v>
      </c>
      <c r="J1571" s="5" t="s">
        <v>827</v>
      </c>
      <c r="K1571" s="8"/>
    </row>
    <row r="1572" spans="1:11" x14ac:dyDescent="0.2">
      <c r="A1572" s="8">
        <v>1571</v>
      </c>
      <c r="B1572" s="8">
        <f t="shared" si="50"/>
        <v>2022</v>
      </c>
      <c r="C1572" s="8">
        <f t="shared" si="51"/>
        <v>5</v>
      </c>
      <c r="D1572" s="85">
        <v>44690</v>
      </c>
      <c r="E1572" s="31">
        <v>0</v>
      </c>
      <c r="F1572" s="31">
        <v>20000</v>
      </c>
      <c r="G1572" s="31">
        <v>0</v>
      </c>
      <c r="H1572" s="31">
        <v>0</v>
      </c>
      <c r="I1572" s="31" t="s">
        <v>85</v>
      </c>
      <c r="J1572" s="5" t="s">
        <v>1398</v>
      </c>
      <c r="K1572" s="8"/>
    </row>
    <row r="1573" spans="1:11" x14ac:dyDescent="0.2">
      <c r="A1573" s="8">
        <v>1572</v>
      </c>
      <c r="B1573" s="8">
        <f t="shared" si="50"/>
        <v>2022</v>
      </c>
      <c r="C1573" s="8">
        <f t="shared" si="51"/>
        <v>5</v>
      </c>
      <c r="D1573" s="85">
        <v>44690</v>
      </c>
      <c r="E1573" s="31">
        <v>0</v>
      </c>
      <c r="F1573" s="31">
        <v>7000</v>
      </c>
      <c r="G1573" s="31">
        <v>0</v>
      </c>
      <c r="H1573" s="31">
        <v>0</v>
      </c>
      <c r="I1573" s="31" t="s">
        <v>88</v>
      </c>
      <c r="J1573" s="5" t="s">
        <v>89</v>
      </c>
      <c r="K1573" s="8"/>
    </row>
    <row r="1574" spans="1:11" x14ac:dyDescent="0.2">
      <c r="A1574" s="8">
        <v>1573</v>
      </c>
      <c r="B1574" s="8">
        <f t="shared" si="50"/>
        <v>2022</v>
      </c>
      <c r="C1574" s="8">
        <f t="shared" si="51"/>
        <v>5</v>
      </c>
      <c r="D1574" s="85">
        <v>44691</v>
      </c>
      <c r="E1574" s="31">
        <v>0</v>
      </c>
      <c r="F1574" s="31">
        <v>20000</v>
      </c>
      <c r="G1574" s="31">
        <v>0</v>
      </c>
      <c r="H1574" s="31">
        <v>0</v>
      </c>
      <c r="I1574" s="31" t="s">
        <v>88</v>
      </c>
      <c r="J1574" s="5" t="s">
        <v>1399</v>
      </c>
      <c r="K1574" s="8"/>
    </row>
    <row r="1575" spans="1:11" x14ac:dyDescent="0.2">
      <c r="A1575" s="8">
        <v>1574</v>
      </c>
      <c r="B1575" s="8">
        <f t="shared" si="50"/>
        <v>2022</v>
      </c>
      <c r="C1575" s="8">
        <f t="shared" si="51"/>
        <v>5</v>
      </c>
      <c r="D1575" s="85">
        <v>44691</v>
      </c>
      <c r="E1575" s="31">
        <v>0</v>
      </c>
      <c r="F1575" s="31">
        <v>16000</v>
      </c>
      <c r="G1575" s="31">
        <v>0</v>
      </c>
      <c r="H1575" s="31">
        <v>0</v>
      </c>
      <c r="I1575" s="31" t="s">
        <v>88</v>
      </c>
      <c r="J1575" s="5" t="s">
        <v>1400</v>
      </c>
      <c r="K1575" s="8"/>
    </row>
    <row r="1576" spans="1:11" x14ac:dyDescent="0.2">
      <c r="A1576" s="8">
        <v>1575</v>
      </c>
      <c r="B1576" s="8">
        <f t="shared" si="50"/>
        <v>2022</v>
      </c>
      <c r="C1576" s="8">
        <f t="shared" si="51"/>
        <v>5</v>
      </c>
      <c r="D1576" s="85">
        <v>44691</v>
      </c>
      <c r="E1576" s="31">
        <v>0</v>
      </c>
      <c r="F1576" s="31">
        <v>426000</v>
      </c>
      <c r="G1576" s="31">
        <v>0</v>
      </c>
      <c r="H1576" s="31">
        <v>0</v>
      </c>
      <c r="I1576" s="31" t="s">
        <v>99</v>
      </c>
      <c r="J1576" s="5" t="s">
        <v>1401</v>
      </c>
      <c r="K1576" s="8"/>
    </row>
    <row r="1577" spans="1:11" x14ac:dyDescent="0.2">
      <c r="A1577" s="8">
        <v>1576</v>
      </c>
      <c r="B1577" s="8">
        <f t="shared" si="50"/>
        <v>2022</v>
      </c>
      <c r="C1577" s="8">
        <f t="shared" si="51"/>
        <v>5</v>
      </c>
      <c r="D1577" s="85">
        <v>44691</v>
      </c>
      <c r="E1577" s="31">
        <v>0</v>
      </c>
      <c r="F1577" s="31">
        <v>20000</v>
      </c>
      <c r="G1577" s="31">
        <v>0</v>
      </c>
      <c r="H1577" s="31">
        <v>0</v>
      </c>
      <c r="I1577" s="31" t="s">
        <v>1350</v>
      </c>
      <c r="J1577" s="5" t="s">
        <v>1402</v>
      </c>
      <c r="K1577" s="8"/>
    </row>
    <row r="1578" spans="1:11" x14ac:dyDescent="0.2">
      <c r="A1578" s="8">
        <v>1577</v>
      </c>
      <c r="B1578" s="8">
        <f t="shared" si="50"/>
        <v>2022</v>
      </c>
      <c r="C1578" s="8">
        <f t="shared" si="51"/>
        <v>5</v>
      </c>
      <c r="D1578" s="85">
        <v>44692</v>
      </c>
      <c r="E1578" s="31">
        <v>0</v>
      </c>
      <c r="F1578" s="31">
        <v>5000</v>
      </c>
      <c r="G1578" s="31">
        <v>0</v>
      </c>
      <c r="H1578" s="31">
        <v>0</v>
      </c>
      <c r="I1578" s="31" t="s">
        <v>88</v>
      </c>
      <c r="J1578" s="5" t="s">
        <v>89</v>
      </c>
      <c r="K1578" s="8"/>
    </row>
    <row r="1579" spans="1:11" x14ac:dyDescent="0.2">
      <c r="A1579" s="8">
        <v>1578</v>
      </c>
      <c r="B1579" s="8">
        <f t="shared" si="50"/>
        <v>2022</v>
      </c>
      <c r="C1579" s="8">
        <f t="shared" si="51"/>
        <v>5</v>
      </c>
      <c r="D1579" s="85">
        <v>44693</v>
      </c>
      <c r="E1579" s="31">
        <v>11200000</v>
      </c>
      <c r="F1579" s="31">
        <v>0</v>
      </c>
      <c r="G1579" s="31">
        <v>0</v>
      </c>
      <c r="H1579" s="31">
        <v>0</v>
      </c>
      <c r="I1579" s="31" t="s">
        <v>109</v>
      </c>
      <c r="J1579" s="5" t="s">
        <v>1403</v>
      </c>
      <c r="K1579" s="8"/>
    </row>
    <row r="1580" spans="1:11" x14ac:dyDescent="0.2">
      <c r="A1580" s="8">
        <v>1579</v>
      </c>
      <c r="B1580" s="8">
        <f t="shared" si="50"/>
        <v>2022</v>
      </c>
      <c r="C1580" s="8">
        <f t="shared" si="51"/>
        <v>5</v>
      </c>
      <c r="D1580" s="85">
        <v>44695</v>
      </c>
      <c r="E1580" s="31">
        <v>0</v>
      </c>
      <c r="F1580" s="31">
        <v>100000</v>
      </c>
      <c r="G1580" s="31">
        <v>0</v>
      </c>
      <c r="H1580" s="31">
        <v>0</v>
      </c>
      <c r="I1580" s="31" t="s">
        <v>299</v>
      </c>
      <c r="J1580" s="5" t="s">
        <v>299</v>
      </c>
      <c r="K1580" s="8"/>
    </row>
    <row r="1581" spans="1:11" x14ac:dyDescent="0.2">
      <c r="A1581" s="8">
        <v>1580</v>
      </c>
      <c r="B1581" s="8">
        <f t="shared" si="50"/>
        <v>2022</v>
      </c>
      <c r="C1581" s="8">
        <f t="shared" si="51"/>
        <v>5</v>
      </c>
      <c r="D1581" s="85">
        <v>44695</v>
      </c>
      <c r="E1581" s="31">
        <v>0</v>
      </c>
      <c r="F1581" s="31">
        <v>60000</v>
      </c>
      <c r="G1581" s="31">
        <v>0</v>
      </c>
      <c r="H1581" s="31">
        <v>0</v>
      </c>
      <c r="I1581" s="31" t="s">
        <v>99</v>
      </c>
      <c r="J1581" s="5" t="s">
        <v>1404</v>
      </c>
      <c r="K1581" s="8"/>
    </row>
    <row r="1582" spans="1:11" x14ac:dyDescent="0.2">
      <c r="A1582" s="8">
        <v>1581</v>
      </c>
      <c r="B1582" s="8">
        <f t="shared" si="50"/>
        <v>2022</v>
      </c>
      <c r="C1582" s="8">
        <f t="shared" si="51"/>
        <v>5</v>
      </c>
      <c r="D1582" s="85">
        <v>44695</v>
      </c>
      <c r="E1582" s="31">
        <v>0</v>
      </c>
      <c r="F1582" s="31">
        <v>50000</v>
      </c>
      <c r="G1582" s="31">
        <v>0</v>
      </c>
      <c r="H1582" s="31">
        <v>0</v>
      </c>
      <c r="I1582" s="31" t="s">
        <v>1255</v>
      </c>
      <c r="J1582" s="5" t="s">
        <v>1405</v>
      </c>
      <c r="K1582" s="8"/>
    </row>
    <row r="1583" spans="1:11" x14ac:dyDescent="0.2">
      <c r="A1583" s="8">
        <v>1582</v>
      </c>
      <c r="B1583" s="8">
        <f t="shared" si="50"/>
        <v>2022</v>
      </c>
      <c r="C1583" s="8">
        <f t="shared" si="51"/>
        <v>5</v>
      </c>
      <c r="D1583" s="85">
        <v>44695</v>
      </c>
      <c r="E1583" s="31">
        <v>0</v>
      </c>
      <c r="F1583" s="31">
        <v>100000</v>
      </c>
      <c r="G1583" s="31">
        <v>0</v>
      </c>
      <c r="H1583" s="31">
        <v>0</v>
      </c>
      <c r="I1583" s="31" t="s">
        <v>1350</v>
      </c>
      <c r="J1583" s="5" t="s">
        <v>1406</v>
      </c>
      <c r="K1583" s="8"/>
    </row>
    <row r="1584" spans="1:11" x14ac:dyDescent="0.2">
      <c r="A1584" s="8">
        <v>1583</v>
      </c>
      <c r="B1584" s="8">
        <f t="shared" si="50"/>
        <v>2022</v>
      </c>
      <c r="C1584" s="8">
        <f t="shared" si="51"/>
        <v>5</v>
      </c>
      <c r="D1584" s="85">
        <v>44695</v>
      </c>
      <c r="E1584" s="31">
        <v>0</v>
      </c>
      <c r="F1584" s="31">
        <v>50000</v>
      </c>
      <c r="G1584" s="31">
        <v>0</v>
      </c>
      <c r="H1584" s="31">
        <v>0</v>
      </c>
      <c r="I1584" s="31" t="s">
        <v>88</v>
      </c>
      <c r="J1584" s="5" t="s">
        <v>1407</v>
      </c>
      <c r="K1584" s="8"/>
    </row>
    <row r="1585" spans="1:11" x14ac:dyDescent="0.2">
      <c r="A1585" s="8">
        <v>1584</v>
      </c>
      <c r="B1585" s="8">
        <f t="shared" si="50"/>
        <v>2022</v>
      </c>
      <c r="C1585" s="8">
        <f t="shared" si="51"/>
        <v>5</v>
      </c>
      <c r="D1585" s="85">
        <v>44696</v>
      </c>
      <c r="E1585" s="31">
        <v>0</v>
      </c>
      <c r="F1585" s="31">
        <v>30000</v>
      </c>
      <c r="G1585" s="31">
        <v>0</v>
      </c>
      <c r="H1585" s="31">
        <v>0</v>
      </c>
      <c r="I1585" s="31" t="s">
        <v>88</v>
      </c>
      <c r="J1585" s="5" t="s">
        <v>1408</v>
      </c>
      <c r="K1585" s="8"/>
    </row>
    <row r="1586" spans="1:11" x14ac:dyDescent="0.2">
      <c r="A1586" s="8">
        <v>1585</v>
      </c>
      <c r="B1586" s="8">
        <f t="shared" si="50"/>
        <v>2022</v>
      </c>
      <c r="C1586" s="8">
        <f t="shared" si="51"/>
        <v>5</v>
      </c>
      <c r="D1586" s="85">
        <v>44696</v>
      </c>
      <c r="E1586" s="31">
        <v>0</v>
      </c>
      <c r="F1586" s="31">
        <v>20000</v>
      </c>
      <c r="G1586" s="31">
        <v>0</v>
      </c>
      <c r="H1586" s="31">
        <v>0</v>
      </c>
      <c r="I1586" s="31" t="s">
        <v>88</v>
      </c>
      <c r="J1586" s="5" t="s">
        <v>1409</v>
      </c>
      <c r="K1586" s="8"/>
    </row>
    <row r="1587" spans="1:11" x14ac:dyDescent="0.2">
      <c r="A1587" s="8">
        <v>1586</v>
      </c>
      <c r="B1587" s="8">
        <f t="shared" si="50"/>
        <v>2022</v>
      </c>
      <c r="C1587" s="8">
        <f t="shared" si="51"/>
        <v>5</v>
      </c>
      <c r="D1587" s="85">
        <v>44696</v>
      </c>
      <c r="E1587" s="31">
        <v>0</v>
      </c>
      <c r="F1587" s="31">
        <v>5000</v>
      </c>
      <c r="G1587" s="31">
        <v>0</v>
      </c>
      <c r="H1587" s="31">
        <v>0</v>
      </c>
      <c r="I1587" s="31" t="s">
        <v>1255</v>
      </c>
      <c r="J1587" s="5" t="s">
        <v>1363</v>
      </c>
      <c r="K1587" s="8"/>
    </row>
    <row r="1588" spans="1:11" x14ac:dyDescent="0.2">
      <c r="A1588" s="8">
        <v>1587</v>
      </c>
      <c r="B1588" s="8">
        <f t="shared" si="50"/>
        <v>2022</v>
      </c>
      <c r="C1588" s="8">
        <f t="shared" si="51"/>
        <v>5</v>
      </c>
      <c r="D1588" s="85">
        <v>44697</v>
      </c>
      <c r="E1588" s="31">
        <v>0</v>
      </c>
      <c r="F1588" s="31">
        <v>100000</v>
      </c>
      <c r="G1588" s="31">
        <v>0</v>
      </c>
      <c r="H1588" s="31">
        <v>0</v>
      </c>
      <c r="I1588" s="31" t="s">
        <v>1255</v>
      </c>
      <c r="J1588" s="5" t="s">
        <v>1410</v>
      </c>
      <c r="K1588" s="8"/>
    </row>
    <row r="1589" spans="1:11" x14ac:dyDescent="0.2">
      <c r="A1589" s="8">
        <v>1588</v>
      </c>
      <c r="B1589" s="8">
        <f t="shared" si="50"/>
        <v>2022</v>
      </c>
      <c r="C1589" s="8">
        <f t="shared" si="51"/>
        <v>5</v>
      </c>
      <c r="D1589" s="85">
        <v>44700</v>
      </c>
      <c r="E1589" s="31">
        <v>0</v>
      </c>
      <c r="F1589" s="31">
        <v>0</v>
      </c>
      <c r="G1589" s="31">
        <v>0</v>
      </c>
      <c r="H1589" s="31">
        <v>269000</v>
      </c>
      <c r="I1589" s="31" t="s">
        <v>74</v>
      </c>
      <c r="J1589" s="5" t="s">
        <v>1411</v>
      </c>
      <c r="K1589" s="8"/>
    </row>
    <row r="1590" spans="1:11" x14ac:dyDescent="0.2">
      <c r="A1590" s="8">
        <v>1589</v>
      </c>
      <c r="B1590" s="8">
        <f t="shared" si="50"/>
        <v>2022</v>
      </c>
      <c r="C1590" s="8">
        <f t="shared" si="51"/>
        <v>5</v>
      </c>
      <c r="D1590" s="85">
        <v>44700</v>
      </c>
      <c r="E1590" s="31">
        <v>0</v>
      </c>
      <c r="F1590" s="31">
        <v>50000</v>
      </c>
      <c r="G1590" s="31">
        <v>0</v>
      </c>
      <c r="H1590" s="31">
        <v>0</v>
      </c>
      <c r="I1590" s="31" t="s">
        <v>88</v>
      </c>
      <c r="J1590" s="5" t="s">
        <v>1412</v>
      </c>
      <c r="K1590" s="8"/>
    </row>
    <row r="1591" spans="1:11" x14ac:dyDescent="0.2">
      <c r="A1591" s="8">
        <v>1590</v>
      </c>
      <c r="B1591" s="8">
        <f t="shared" si="50"/>
        <v>2022</v>
      </c>
      <c r="C1591" s="8">
        <f t="shared" si="51"/>
        <v>5</v>
      </c>
      <c r="D1591" s="85">
        <v>44700</v>
      </c>
      <c r="E1591" s="31">
        <v>0</v>
      </c>
      <c r="F1591" s="31">
        <v>50000</v>
      </c>
      <c r="G1591" s="31">
        <v>0</v>
      </c>
      <c r="H1591" s="31">
        <v>0</v>
      </c>
      <c r="I1591" s="31" t="s">
        <v>88</v>
      </c>
      <c r="J1591" s="5" t="s">
        <v>1413</v>
      </c>
      <c r="K1591" s="8"/>
    </row>
    <row r="1592" spans="1:11" x14ac:dyDescent="0.2">
      <c r="A1592" s="8">
        <v>1591</v>
      </c>
      <c r="B1592" s="8">
        <f t="shared" si="50"/>
        <v>2022</v>
      </c>
      <c r="C1592" s="8">
        <f t="shared" si="51"/>
        <v>5</v>
      </c>
      <c r="D1592" s="85">
        <v>44700</v>
      </c>
      <c r="E1592" s="31">
        <v>0</v>
      </c>
      <c r="F1592" s="31">
        <v>150000</v>
      </c>
      <c r="G1592" s="31">
        <v>0</v>
      </c>
      <c r="H1592" s="31">
        <v>0</v>
      </c>
      <c r="I1592" s="31" t="s">
        <v>390</v>
      </c>
      <c r="J1592" s="5" t="s">
        <v>1414</v>
      </c>
      <c r="K1592" s="8"/>
    </row>
    <row r="1593" spans="1:11" x14ac:dyDescent="0.2">
      <c r="A1593" s="8">
        <v>1592</v>
      </c>
      <c r="B1593" s="8">
        <f t="shared" si="50"/>
        <v>2022</v>
      </c>
      <c r="C1593" s="8">
        <f t="shared" si="51"/>
        <v>5</v>
      </c>
      <c r="D1593" s="85">
        <v>44701</v>
      </c>
      <c r="E1593" s="31">
        <v>0</v>
      </c>
      <c r="F1593" s="31">
        <v>0</v>
      </c>
      <c r="G1593" s="31">
        <v>0</v>
      </c>
      <c r="H1593" s="31">
        <v>7000</v>
      </c>
      <c r="I1593" s="31" t="s">
        <v>74</v>
      </c>
      <c r="J1593" s="5" t="s">
        <v>1415</v>
      </c>
      <c r="K1593" s="8"/>
    </row>
    <row r="1594" spans="1:11" x14ac:dyDescent="0.2">
      <c r="A1594" s="8">
        <v>1593</v>
      </c>
      <c r="B1594" s="8">
        <f t="shared" si="50"/>
        <v>2022</v>
      </c>
      <c r="C1594" s="8">
        <f t="shared" si="51"/>
        <v>5</v>
      </c>
      <c r="D1594" s="85">
        <v>44701</v>
      </c>
      <c r="E1594" s="31">
        <v>0</v>
      </c>
      <c r="F1594" s="31">
        <v>0</v>
      </c>
      <c r="G1594" s="31">
        <v>0</v>
      </c>
      <c r="H1594" s="31">
        <v>20000</v>
      </c>
      <c r="I1594" s="31" t="s">
        <v>74</v>
      </c>
      <c r="J1594" s="5" t="s">
        <v>1416</v>
      </c>
      <c r="K1594" s="8"/>
    </row>
    <row r="1595" spans="1:11" x14ac:dyDescent="0.2">
      <c r="A1595" s="8">
        <v>1594</v>
      </c>
      <c r="B1595" s="8">
        <f t="shared" si="50"/>
        <v>2022</v>
      </c>
      <c r="C1595" s="8">
        <f t="shared" si="51"/>
        <v>5</v>
      </c>
      <c r="D1595" s="85">
        <v>44701</v>
      </c>
      <c r="E1595" s="31">
        <v>0</v>
      </c>
      <c r="F1595" s="31">
        <v>16000</v>
      </c>
      <c r="G1595" s="31">
        <v>0</v>
      </c>
      <c r="H1595" s="31">
        <v>0</v>
      </c>
      <c r="I1595" s="31" t="s">
        <v>1377</v>
      </c>
      <c r="J1595" s="5" t="s">
        <v>1417</v>
      </c>
      <c r="K1595" s="8"/>
    </row>
    <row r="1596" spans="1:11" x14ac:dyDescent="0.2">
      <c r="A1596" s="8">
        <v>1595</v>
      </c>
      <c r="B1596" s="8">
        <f t="shared" si="50"/>
        <v>2022</v>
      </c>
      <c r="C1596" s="8">
        <f t="shared" si="51"/>
        <v>5</v>
      </c>
      <c r="D1596" s="85">
        <v>44701</v>
      </c>
      <c r="E1596" s="31">
        <v>0</v>
      </c>
      <c r="F1596" s="31">
        <v>110000</v>
      </c>
      <c r="G1596" s="31">
        <v>0</v>
      </c>
      <c r="H1596" s="31">
        <v>0</v>
      </c>
      <c r="I1596" s="31" t="s">
        <v>1377</v>
      </c>
      <c r="J1596" s="5" t="s">
        <v>1418</v>
      </c>
      <c r="K1596" s="8"/>
    </row>
    <row r="1597" spans="1:11" x14ac:dyDescent="0.2">
      <c r="A1597" s="8">
        <v>1596</v>
      </c>
      <c r="B1597" s="8">
        <f t="shared" si="50"/>
        <v>2022</v>
      </c>
      <c r="C1597" s="8">
        <f t="shared" si="51"/>
        <v>5</v>
      </c>
      <c r="D1597" s="85">
        <v>44701</v>
      </c>
      <c r="E1597" s="31">
        <v>0</v>
      </c>
      <c r="F1597" s="31">
        <v>0</v>
      </c>
      <c r="G1597" s="31">
        <v>0</v>
      </c>
      <c r="H1597" s="31">
        <v>56000</v>
      </c>
      <c r="I1597" s="31" t="s">
        <v>74</v>
      </c>
      <c r="J1597" s="5" t="s">
        <v>1419</v>
      </c>
      <c r="K1597" s="8"/>
    </row>
    <row r="1598" spans="1:11" x14ac:dyDescent="0.2">
      <c r="A1598" s="8">
        <v>1597</v>
      </c>
      <c r="B1598" s="8">
        <f t="shared" si="50"/>
        <v>2022</v>
      </c>
      <c r="C1598" s="8">
        <f t="shared" si="51"/>
        <v>5</v>
      </c>
      <c r="D1598" s="85">
        <v>44702</v>
      </c>
      <c r="E1598" s="31">
        <v>0</v>
      </c>
      <c r="F1598" s="31">
        <v>0</v>
      </c>
      <c r="G1598" s="31">
        <v>0</v>
      </c>
      <c r="H1598" s="31">
        <v>24000</v>
      </c>
      <c r="I1598" s="31" t="s">
        <v>74</v>
      </c>
      <c r="J1598" s="5" t="s">
        <v>1420</v>
      </c>
      <c r="K1598" s="8"/>
    </row>
    <row r="1599" spans="1:11" x14ac:dyDescent="0.2">
      <c r="A1599" s="8">
        <v>1598</v>
      </c>
      <c r="B1599" s="8">
        <f t="shared" si="50"/>
        <v>2022</v>
      </c>
      <c r="C1599" s="8">
        <f t="shared" si="51"/>
        <v>5</v>
      </c>
      <c r="D1599" s="85">
        <v>44702</v>
      </c>
      <c r="E1599" s="31">
        <v>0</v>
      </c>
      <c r="F1599" s="31">
        <v>0</v>
      </c>
      <c r="G1599" s="31">
        <v>0</v>
      </c>
      <c r="H1599" s="31">
        <v>20000</v>
      </c>
      <c r="I1599" s="31" t="s">
        <v>74</v>
      </c>
      <c r="J1599" s="5" t="s">
        <v>1421</v>
      </c>
      <c r="K1599" s="8"/>
    </row>
    <row r="1600" spans="1:11" x14ac:dyDescent="0.2">
      <c r="A1600" s="8">
        <v>1599</v>
      </c>
      <c r="B1600" s="8">
        <f t="shared" si="50"/>
        <v>2022</v>
      </c>
      <c r="C1600" s="8">
        <f t="shared" si="51"/>
        <v>5</v>
      </c>
      <c r="D1600" s="85">
        <v>44702</v>
      </c>
      <c r="E1600" s="31">
        <v>0</v>
      </c>
      <c r="F1600" s="31">
        <v>120000</v>
      </c>
      <c r="G1600" s="31">
        <v>0</v>
      </c>
      <c r="H1600" s="31">
        <v>0</v>
      </c>
      <c r="I1600" s="31" t="s">
        <v>99</v>
      </c>
      <c r="J1600" s="5" t="s">
        <v>1422</v>
      </c>
      <c r="K1600" s="8"/>
    </row>
    <row r="1601" spans="1:11" x14ac:dyDescent="0.2">
      <c r="A1601" s="8">
        <v>1600</v>
      </c>
      <c r="B1601" s="8">
        <f t="shared" si="50"/>
        <v>2022</v>
      </c>
      <c r="C1601" s="8">
        <f t="shared" si="51"/>
        <v>5</v>
      </c>
      <c r="D1601" s="85">
        <v>44702</v>
      </c>
      <c r="E1601" s="31">
        <v>0</v>
      </c>
      <c r="F1601" s="31">
        <v>0</v>
      </c>
      <c r="G1601" s="31">
        <v>0</v>
      </c>
      <c r="H1601" s="31">
        <v>18000</v>
      </c>
      <c r="I1601" s="31" t="s">
        <v>74</v>
      </c>
      <c r="J1601" s="5" t="s">
        <v>1423</v>
      </c>
      <c r="K1601" s="8"/>
    </row>
    <row r="1602" spans="1:11" x14ac:dyDescent="0.2">
      <c r="A1602" s="8">
        <v>1601</v>
      </c>
      <c r="B1602" s="8">
        <f t="shared" si="50"/>
        <v>2022</v>
      </c>
      <c r="C1602" s="8">
        <f t="shared" si="51"/>
        <v>5</v>
      </c>
      <c r="D1602" s="85">
        <v>44702</v>
      </c>
      <c r="E1602" s="31">
        <v>0</v>
      </c>
      <c r="F1602" s="31">
        <v>0</v>
      </c>
      <c r="G1602" s="31">
        <v>0</v>
      </c>
      <c r="H1602" s="31">
        <v>10000</v>
      </c>
      <c r="I1602" s="31" t="s">
        <v>74</v>
      </c>
      <c r="J1602" s="5" t="s">
        <v>1424</v>
      </c>
      <c r="K1602" s="8"/>
    </row>
    <row r="1603" spans="1:11" x14ac:dyDescent="0.2">
      <c r="A1603" s="8">
        <v>1602</v>
      </c>
      <c r="B1603" s="8">
        <f t="shared" si="50"/>
        <v>2022</v>
      </c>
      <c r="C1603" s="8">
        <f t="shared" si="51"/>
        <v>5</v>
      </c>
      <c r="D1603" s="85">
        <v>44703</v>
      </c>
      <c r="E1603" s="31">
        <v>0</v>
      </c>
      <c r="F1603" s="31">
        <v>130000</v>
      </c>
      <c r="G1603" s="31">
        <v>0</v>
      </c>
      <c r="H1603" s="31">
        <v>0</v>
      </c>
      <c r="I1603" s="31" t="s">
        <v>1255</v>
      </c>
      <c r="J1603" s="5" t="s">
        <v>1425</v>
      </c>
      <c r="K1603" s="8"/>
    </row>
    <row r="1604" spans="1:11" x14ac:dyDescent="0.2">
      <c r="A1604" s="8">
        <v>1603</v>
      </c>
      <c r="B1604" s="8">
        <f t="shared" si="50"/>
        <v>2022</v>
      </c>
      <c r="C1604" s="8">
        <f t="shared" si="51"/>
        <v>5</v>
      </c>
      <c r="D1604" s="85">
        <v>44706</v>
      </c>
      <c r="E1604" s="31">
        <v>105000</v>
      </c>
      <c r="F1604" s="31">
        <v>0</v>
      </c>
      <c r="G1604" s="31">
        <v>0</v>
      </c>
      <c r="H1604" s="31">
        <v>0</v>
      </c>
      <c r="I1604" s="31" t="s">
        <v>109</v>
      </c>
      <c r="J1604" s="5" t="s">
        <v>1383</v>
      </c>
      <c r="K1604" s="8"/>
    </row>
    <row r="1605" spans="1:11" x14ac:dyDescent="0.2">
      <c r="A1605" s="8">
        <v>1604</v>
      </c>
      <c r="B1605" s="8">
        <f t="shared" si="50"/>
        <v>2022</v>
      </c>
      <c r="C1605" s="8">
        <f t="shared" si="51"/>
        <v>5</v>
      </c>
      <c r="D1605" s="85">
        <v>44706</v>
      </c>
      <c r="E1605" s="31">
        <v>50000</v>
      </c>
      <c r="F1605" s="31">
        <v>0</v>
      </c>
      <c r="G1605" s="31">
        <v>0</v>
      </c>
      <c r="H1605" s="31">
        <v>0</v>
      </c>
      <c r="I1605" s="31" t="s">
        <v>109</v>
      </c>
      <c r="J1605" s="5" t="s">
        <v>1384</v>
      </c>
      <c r="K1605" s="8"/>
    </row>
    <row r="1606" spans="1:11" x14ac:dyDescent="0.2">
      <c r="A1606" s="8">
        <v>1605</v>
      </c>
      <c r="B1606" s="8">
        <f t="shared" ref="B1606:B1669" si="52">YEAR(D1606)</f>
        <v>2022</v>
      </c>
      <c r="C1606" s="8">
        <f t="shared" ref="C1606:C1669" si="53">MONTH(D1606)</f>
        <v>5</v>
      </c>
      <c r="D1606" s="85">
        <v>44706</v>
      </c>
      <c r="E1606" s="31">
        <v>250000</v>
      </c>
      <c r="F1606" s="31">
        <v>0</v>
      </c>
      <c r="G1606" s="31">
        <v>0</v>
      </c>
      <c r="H1606" s="31">
        <v>0</v>
      </c>
      <c r="I1606" s="31" t="s">
        <v>109</v>
      </c>
      <c r="J1606" s="5" t="s">
        <v>1385</v>
      </c>
      <c r="K1606" s="8"/>
    </row>
    <row r="1607" spans="1:11" x14ac:dyDescent="0.2">
      <c r="A1607" s="8">
        <v>1606</v>
      </c>
      <c r="B1607" s="8">
        <f t="shared" si="52"/>
        <v>2022</v>
      </c>
      <c r="C1607" s="8">
        <f t="shared" si="53"/>
        <v>5</v>
      </c>
      <c r="D1607" s="85">
        <v>44706</v>
      </c>
      <c r="E1607" s="31">
        <v>135000</v>
      </c>
      <c r="F1607" s="31">
        <v>0</v>
      </c>
      <c r="G1607" s="31">
        <v>0</v>
      </c>
      <c r="H1607" s="31">
        <v>0</v>
      </c>
      <c r="I1607" s="31" t="s">
        <v>109</v>
      </c>
      <c r="J1607" s="5" t="s">
        <v>1426</v>
      </c>
      <c r="K1607" s="8"/>
    </row>
    <row r="1608" spans="1:11" x14ac:dyDescent="0.2">
      <c r="A1608" s="8">
        <v>1607</v>
      </c>
      <c r="B1608" s="8">
        <f t="shared" si="52"/>
        <v>2022</v>
      </c>
      <c r="C1608" s="8">
        <f t="shared" si="53"/>
        <v>5</v>
      </c>
      <c r="D1608" s="85">
        <v>44706</v>
      </c>
      <c r="E1608" s="31">
        <v>720000</v>
      </c>
      <c r="F1608" s="31">
        <v>0</v>
      </c>
      <c r="G1608" s="31">
        <v>0</v>
      </c>
      <c r="H1608" s="31">
        <v>0</v>
      </c>
      <c r="I1608" s="31" t="s">
        <v>109</v>
      </c>
      <c r="J1608" s="5" t="s">
        <v>1427</v>
      </c>
      <c r="K1608" s="8"/>
    </row>
    <row r="1609" spans="1:11" x14ac:dyDescent="0.2">
      <c r="A1609" s="8">
        <v>1608</v>
      </c>
      <c r="B1609" s="8">
        <f t="shared" si="52"/>
        <v>2022</v>
      </c>
      <c r="C1609" s="8">
        <f t="shared" si="53"/>
        <v>5</v>
      </c>
      <c r="D1609" s="85">
        <v>44704</v>
      </c>
      <c r="E1609" s="31">
        <v>0</v>
      </c>
      <c r="F1609" s="31">
        <v>80000</v>
      </c>
      <c r="G1609" s="31">
        <v>0</v>
      </c>
      <c r="H1609" s="31">
        <v>0</v>
      </c>
      <c r="I1609" s="31" t="s">
        <v>1331</v>
      </c>
      <c r="J1609" s="5" t="s">
        <v>1428</v>
      </c>
      <c r="K1609" s="8"/>
    </row>
    <row r="1610" spans="1:11" x14ac:dyDescent="0.2">
      <c r="A1610" s="8">
        <v>1609</v>
      </c>
      <c r="B1610" s="8">
        <f t="shared" si="52"/>
        <v>2022</v>
      </c>
      <c r="C1610" s="8">
        <f t="shared" si="53"/>
        <v>5</v>
      </c>
      <c r="D1610" s="85">
        <v>44704</v>
      </c>
      <c r="E1610" s="31">
        <v>0</v>
      </c>
      <c r="F1610" s="31">
        <v>100000</v>
      </c>
      <c r="G1610" s="31">
        <v>0</v>
      </c>
      <c r="H1610" s="31">
        <v>0</v>
      </c>
      <c r="I1610" s="31" t="s">
        <v>299</v>
      </c>
      <c r="J1610" s="5" t="s">
        <v>83</v>
      </c>
      <c r="K1610" s="8"/>
    </row>
    <row r="1611" spans="1:11" x14ac:dyDescent="0.2">
      <c r="A1611" s="8">
        <v>1610</v>
      </c>
      <c r="B1611" s="8">
        <f t="shared" si="52"/>
        <v>2022</v>
      </c>
      <c r="C1611" s="8">
        <f t="shared" si="53"/>
        <v>5</v>
      </c>
      <c r="D1611" s="85">
        <v>44704</v>
      </c>
      <c r="E1611" s="31">
        <v>0</v>
      </c>
      <c r="F1611" s="31">
        <v>0</v>
      </c>
      <c r="G1611" s="31">
        <v>0</v>
      </c>
      <c r="H1611" s="31">
        <v>85000</v>
      </c>
      <c r="I1611" s="31" t="s">
        <v>74</v>
      </c>
      <c r="J1611" s="5" t="s">
        <v>1429</v>
      </c>
      <c r="K1611" s="8"/>
    </row>
    <row r="1612" spans="1:11" x14ac:dyDescent="0.2">
      <c r="A1612" s="8">
        <v>1611</v>
      </c>
      <c r="B1612" s="8">
        <f t="shared" si="52"/>
        <v>2022</v>
      </c>
      <c r="C1612" s="8">
        <f t="shared" si="53"/>
        <v>5</v>
      </c>
      <c r="D1612" s="85">
        <v>44705</v>
      </c>
      <c r="E1612" s="31">
        <v>70000</v>
      </c>
      <c r="F1612" s="31">
        <v>0</v>
      </c>
      <c r="G1612" s="31">
        <v>0</v>
      </c>
      <c r="H1612" s="31">
        <v>0</v>
      </c>
      <c r="I1612" s="31" t="s">
        <v>109</v>
      </c>
      <c r="J1612" s="5" t="s">
        <v>1430</v>
      </c>
      <c r="K1612" s="8"/>
    </row>
    <row r="1613" spans="1:11" x14ac:dyDescent="0.2">
      <c r="A1613" s="8">
        <v>1612</v>
      </c>
      <c r="B1613" s="8">
        <f t="shared" si="52"/>
        <v>2022</v>
      </c>
      <c r="C1613" s="8">
        <f t="shared" si="53"/>
        <v>5</v>
      </c>
      <c r="D1613" s="85">
        <v>44708</v>
      </c>
      <c r="E1613" s="31">
        <v>0</v>
      </c>
      <c r="F1613" s="31">
        <v>50000</v>
      </c>
      <c r="G1613" s="31">
        <v>0</v>
      </c>
      <c r="H1613" s="31">
        <v>0</v>
      </c>
      <c r="I1613" s="31" t="s">
        <v>88</v>
      </c>
      <c r="J1613" s="5" t="s">
        <v>1431</v>
      </c>
      <c r="K1613" s="8"/>
    </row>
    <row r="1614" spans="1:11" x14ac:dyDescent="0.2">
      <c r="A1614" s="8">
        <v>1613</v>
      </c>
      <c r="B1614" s="8">
        <f t="shared" si="52"/>
        <v>2022</v>
      </c>
      <c r="C1614" s="8">
        <f t="shared" si="53"/>
        <v>5</v>
      </c>
      <c r="D1614" s="85">
        <v>44708</v>
      </c>
      <c r="E1614" s="31">
        <v>0</v>
      </c>
      <c r="F1614" s="31">
        <v>49000</v>
      </c>
      <c r="G1614" s="31">
        <v>0</v>
      </c>
      <c r="H1614" s="31">
        <v>0</v>
      </c>
      <c r="I1614" s="31" t="s">
        <v>99</v>
      </c>
      <c r="J1614" s="5" t="s">
        <v>1432</v>
      </c>
      <c r="K1614" s="8"/>
    </row>
    <row r="1615" spans="1:11" x14ac:dyDescent="0.2">
      <c r="A1615" s="8">
        <v>1614</v>
      </c>
      <c r="B1615" s="8">
        <f t="shared" si="52"/>
        <v>2022</v>
      </c>
      <c r="C1615" s="8">
        <f t="shared" si="53"/>
        <v>5</v>
      </c>
      <c r="D1615" s="85">
        <v>44709</v>
      </c>
      <c r="E1615" s="31">
        <v>0</v>
      </c>
      <c r="F1615" s="31">
        <v>20000</v>
      </c>
      <c r="G1615" s="31">
        <v>0</v>
      </c>
      <c r="H1615" s="31">
        <v>0</v>
      </c>
      <c r="I1615" s="31" t="s">
        <v>85</v>
      </c>
      <c r="J1615" s="5"/>
      <c r="K1615" s="8"/>
    </row>
    <row r="1616" spans="1:11" x14ac:dyDescent="0.2">
      <c r="A1616" s="8">
        <v>1615</v>
      </c>
      <c r="B1616" s="8">
        <f t="shared" si="52"/>
        <v>2022</v>
      </c>
      <c r="C1616" s="8">
        <f t="shared" si="53"/>
        <v>5</v>
      </c>
      <c r="D1616" s="85">
        <v>44709</v>
      </c>
      <c r="E1616" s="31">
        <v>0</v>
      </c>
      <c r="F1616" s="31">
        <v>70000</v>
      </c>
      <c r="G1616" s="31">
        <v>0</v>
      </c>
      <c r="H1616" s="31">
        <v>0</v>
      </c>
      <c r="I1616" s="31" t="s">
        <v>99</v>
      </c>
      <c r="J1616" s="5" t="s">
        <v>1433</v>
      </c>
      <c r="K1616" s="8"/>
    </row>
    <row r="1617" spans="1:11" x14ac:dyDescent="0.2">
      <c r="A1617" s="8">
        <v>1616</v>
      </c>
      <c r="B1617" s="8">
        <f t="shared" si="52"/>
        <v>2022</v>
      </c>
      <c r="C1617" s="8">
        <f t="shared" si="53"/>
        <v>5</v>
      </c>
      <c r="D1617" s="85">
        <v>44710</v>
      </c>
      <c r="E1617" s="31">
        <v>0</v>
      </c>
      <c r="F1617" s="31">
        <v>0</v>
      </c>
      <c r="G1617" s="31">
        <v>0</v>
      </c>
      <c r="H1617" s="31">
        <v>85000</v>
      </c>
      <c r="I1617" s="31" t="s">
        <v>74</v>
      </c>
      <c r="J1617" s="5" t="s">
        <v>1434</v>
      </c>
      <c r="K1617" s="8"/>
    </row>
    <row r="1618" spans="1:11" x14ac:dyDescent="0.2">
      <c r="A1618" s="8">
        <v>1617</v>
      </c>
      <c r="B1618" s="8">
        <f t="shared" si="52"/>
        <v>2022</v>
      </c>
      <c r="C1618" s="8">
        <f t="shared" si="53"/>
        <v>5</v>
      </c>
      <c r="D1618" s="85">
        <v>44710</v>
      </c>
      <c r="E1618" s="31">
        <v>0</v>
      </c>
      <c r="F1618" s="31">
        <v>10000</v>
      </c>
      <c r="G1618" s="31">
        <v>0</v>
      </c>
      <c r="H1618" s="31">
        <v>0</v>
      </c>
      <c r="I1618" s="31" t="s">
        <v>88</v>
      </c>
      <c r="J1618" s="5" t="s">
        <v>89</v>
      </c>
      <c r="K1618" s="8"/>
    </row>
    <row r="1619" spans="1:11" x14ac:dyDescent="0.2">
      <c r="A1619" s="8">
        <v>1618</v>
      </c>
      <c r="B1619" s="8">
        <f t="shared" si="52"/>
        <v>2022</v>
      </c>
      <c r="C1619" s="8">
        <f t="shared" si="53"/>
        <v>5</v>
      </c>
      <c r="D1619" s="85">
        <v>44711</v>
      </c>
      <c r="E1619" s="31">
        <v>0</v>
      </c>
      <c r="F1619" s="31">
        <v>0</v>
      </c>
      <c r="G1619" s="31">
        <v>0</v>
      </c>
      <c r="H1619" s="31">
        <v>220000</v>
      </c>
      <c r="I1619" s="31" t="s">
        <v>74</v>
      </c>
      <c r="J1619" s="5" t="s">
        <v>1435</v>
      </c>
      <c r="K1619" s="8"/>
    </row>
    <row r="1620" spans="1:11" x14ac:dyDescent="0.2">
      <c r="A1620" s="8">
        <v>1619</v>
      </c>
      <c r="B1620" s="8">
        <f t="shared" si="52"/>
        <v>2022</v>
      </c>
      <c r="C1620" s="8">
        <f t="shared" si="53"/>
        <v>5</v>
      </c>
      <c r="D1620" s="85">
        <v>44712</v>
      </c>
      <c r="E1620" s="31">
        <v>0</v>
      </c>
      <c r="F1620" s="31">
        <v>338000</v>
      </c>
      <c r="G1620" s="31">
        <v>0</v>
      </c>
      <c r="H1620" s="31">
        <v>0</v>
      </c>
      <c r="I1620" s="31" t="s">
        <v>1331</v>
      </c>
      <c r="J1620" s="5" t="s">
        <v>1436</v>
      </c>
      <c r="K1620" s="8"/>
    </row>
    <row r="1621" spans="1:11" x14ac:dyDescent="0.2">
      <c r="A1621" s="8">
        <v>1620</v>
      </c>
      <c r="B1621" s="8">
        <f t="shared" si="52"/>
        <v>2022</v>
      </c>
      <c r="C1621" s="8">
        <f t="shared" si="53"/>
        <v>5</v>
      </c>
      <c r="D1621" s="85">
        <v>44712</v>
      </c>
      <c r="E1621" s="31">
        <v>0</v>
      </c>
      <c r="F1621" s="31">
        <v>20000</v>
      </c>
      <c r="G1621" s="31">
        <v>0</v>
      </c>
      <c r="H1621" s="31">
        <v>0</v>
      </c>
      <c r="I1621" s="31" t="s">
        <v>88</v>
      </c>
      <c r="J1621" s="5" t="s">
        <v>729</v>
      </c>
      <c r="K1621" s="8"/>
    </row>
    <row r="1622" spans="1:11" x14ac:dyDescent="0.2">
      <c r="A1622" s="8">
        <v>1621</v>
      </c>
      <c r="B1622" s="8">
        <f t="shared" si="52"/>
        <v>2022</v>
      </c>
      <c r="C1622" s="8">
        <f t="shared" si="53"/>
        <v>5</v>
      </c>
      <c r="D1622" s="93">
        <v>44712</v>
      </c>
      <c r="E1622" s="35">
        <v>0</v>
      </c>
      <c r="F1622" s="35">
        <v>255000</v>
      </c>
      <c r="G1622" s="35">
        <v>0</v>
      </c>
      <c r="H1622" s="35">
        <v>0</v>
      </c>
      <c r="I1622" s="35" t="s">
        <v>92</v>
      </c>
      <c r="J1622" s="36" t="s">
        <v>1437</v>
      </c>
      <c r="K1622" s="8"/>
    </row>
    <row r="1623" spans="1:11" x14ac:dyDescent="0.2">
      <c r="A1623" s="8">
        <v>1622</v>
      </c>
      <c r="B1623" s="8">
        <f t="shared" si="52"/>
        <v>2022</v>
      </c>
      <c r="C1623" s="8">
        <f t="shared" si="53"/>
        <v>5</v>
      </c>
      <c r="D1623" s="93">
        <v>44686</v>
      </c>
      <c r="E1623" s="35">
        <v>0</v>
      </c>
      <c r="F1623" s="35">
        <v>250000</v>
      </c>
      <c r="G1623" s="35">
        <v>0</v>
      </c>
      <c r="H1623" s="35">
        <v>0</v>
      </c>
      <c r="I1623" s="35" t="s">
        <v>92</v>
      </c>
      <c r="J1623" s="36" t="s">
        <v>1438</v>
      </c>
      <c r="K1623" s="8"/>
    </row>
    <row r="1624" spans="1:11" x14ac:dyDescent="0.2">
      <c r="A1624" s="8">
        <v>1623</v>
      </c>
      <c r="B1624" s="8">
        <f t="shared" si="52"/>
        <v>2022</v>
      </c>
      <c r="C1624" s="8">
        <f t="shared" si="53"/>
        <v>5</v>
      </c>
      <c r="D1624" s="85">
        <v>44683</v>
      </c>
      <c r="E1624" s="31">
        <v>0</v>
      </c>
      <c r="F1624" s="31">
        <v>221000</v>
      </c>
      <c r="G1624" s="31">
        <v>0</v>
      </c>
      <c r="H1624" s="31">
        <v>0</v>
      </c>
      <c r="I1624" s="31" t="s">
        <v>571</v>
      </c>
      <c r="J1624" s="5" t="s">
        <v>1439</v>
      </c>
      <c r="K1624" s="8"/>
    </row>
    <row r="1625" spans="1:11" x14ac:dyDescent="0.2">
      <c r="A1625" s="8">
        <v>1624</v>
      </c>
      <c r="B1625" s="8">
        <f t="shared" si="52"/>
        <v>2022</v>
      </c>
      <c r="C1625" s="8">
        <f t="shared" si="53"/>
        <v>10</v>
      </c>
      <c r="D1625" s="85">
        <v>44844</v>
      </c>
      <c r="E1625" s="31">
        <v>0</v>
      </c>
      <c r="F1625" s="31">
        <v>28000</v>
      </c>
      <c r="G1625" s="31">
        <v>0</v>
      </c>
      <c r="H1625" s="31">
        <v>0</v>
      </c>
      <c r="I1625" s="31" t="s">
        <v>85</v>
      </c>
      <c r="J1625" s="5" t="s">
        <v>1440</v>
      </c>
      <c r="K1625" s="8"/>
    </row>
    <row r="1626" spans="1:11" x14ac:dyDescent="0.2">
      <c r="A1626" s="8">
        <v>1625</v>
      </c>
      <c r="B1626" s="8">
        <f t="shared" si="52"/>
        <v>2022</v>
      </c>
      <c r="C1626" s="8">
        <f t="shared" si="53"/>
        <v>10</v>
      </c>
      <c r="D1626" s="85">
        <v>44844</v>
      </c>
      <c r="E1626" s="31">
        <v>0</v>
      </c>
      <c r="F1626" s="31">
        <v>0</v>
      </c>
      <c r="G1626" s="31">
        <v>0</v>
      </c>
      <c r="H1626" s="31">
        <v>200000</v>
      </c>
      <c r="I1626" s="31" t="s">
        <v>74</v>
      </c>
      <c r="J1626" s="5" t="s">
        <v>1441</v>
      </c>
      <c r="K1626" s="8"/>
    </row>
    <row r="1627" spans="1:11" x14ac:dyDescent="0.2">
      <c r="A1627" s="8">
        <v>1626</v>
      </c>
      <c r="B1627" s="8">
        <f t="shared" si="52"/>
        <v>2022</v>
      </c>
      <c r="C1627" s="8">
        <f t="shared" si="53"/>
        <v>5</v>
      </c>
      <c r="D1627" s="85">
        <v>44693</v>
      </c>
      <c r="E1627" s="31">
        <v>0</v>
      </c>
      <c r="F1627" s="31">
        <v>0</v>
      </c>
      <c r="G1627" s="31">
        <v>0</v>
      </c>
      <c r="H1627" s="31">
        <v>22500</v>
      </c>
      <c r="I1627" s="31" t="s">
        <v>74</v>
      </c>
      <c r="J1627" s="5" t="s">
        <v>1442</v>
      </c>
      <c r="K1627" s="8"/>
    </row>
    <row r="1628" spans="1:11" x14ac:dyDescent="0.2">
      <c r="A1628" s="8">
        <v>1627</v>
      </c>
      <c r="B1628" s="8">
        <f t="shared" si="52"/>
        <v>2022</v>
      </c>
      <c r="C1628" s="8">
        <f t="shared" si="53"/>
        <v>5</v>
      </c>
      <c r="D1628" s="85">
        <v>44694</v>
      </c>
      <c r="E1628" s="31">
        <v>0</v>
      </c>
      <c r="F1628" s="31">
        <v>16000</v>
      </c>
      <c r="G1628" s="31">
        <v>0</v>
      </c>
      <c r="H1628" s="31">
        <v>0</v>
      </c>
      <c r="I1628" s="31" t="s">
        <v>571</v>
      </c>
      <c r="J1628" s="5" t="s">
        <v>1443</v>
      </c>
      <c r="K1628" s="8"/>
    </row>
    <row r="1629" spans="1:11" x14ac:dyDescent="0.2">
      <c r="A1629" s="8">
        <v>1628</v>
      </c>
      <c r="B1629" s="8">
        <f t="shared" si="52"/>
        <v>2022</v>
      </c>
      <c r="C1629" s="8">
        <f t="shared" si="53"/>
        <v>5</v>
      </c>
      <c r="D1629" s="85">
        <v>44698</v>
      </c>
      <c r="E1629" s="31">
        <v>0</v>
      </c>
      <c r="F1629" s="31">
        <v>0</v>
      </c>
      <c r="G1629" s="31">
        <v>0</v>
      </c>
      <c r="H1629" s="31">
        <v>100000</v>
      </c>
      <c r="I1629" s="31" t="s">
        <v>74</v>
      </c>
      <c r="J1629" s="5" t="s">
        <v>1444</v>
      </c>
      <c r="K1629" s="8"/>
    </row>
    <row r="1630" spans="1:11" x14ac:dyDescent="0.2">
      <c r="A1630" s="8">
        <v>1629</v>
      </c>
      <c r="B1630" s="8">
        <f t="shared" si="52"/>
        <v>2022</v>
      </c>
      <c r="C1630" s="8">
        <f t="shared" si="53"/>
        <v>5</v>
      </c>
      <c r="D1630" s="85">
        <v>44699</v>
      </c>
      <c r="E1630" s="31">
        <v>0</v>
      </c>
      <c r="F1630" s="31">
        <v>0</v>
      </c>
      <c r="G1630" s="31">
        <v>0</v>
      </c>
      <c r="H1630" s="31">
        <v>257000</v>
      </c>
      <c r="I1630" s="31" t="s">
        <v>74</v>
      </c>
      <c r="J1630" s="5" t="s">
        <v>1445</v>
      </c>
      <c r="K1630" s="8"/>
    </row>
    <row r="1631" spans="1:11" x14ac:dyDescent="0.2">
      <c r="A1631" s="8">
        <v>1630</v>
      </c>
      <c r="B1631" s="8">
        <f t="shared" si="52"/>
        <v>2022</v>
      </c>
      <c r="C1631" s="8">
        <f t="shared" si="53"/>
        <v>5</v>
      </c>
      <c r="D1631" s="85">
        <v>44701</v>
      </c>
      <c r="E1631" s="31">
        <v>0</v>
      </c>
      <c r="F1631" s="31">
        <v>80000</v>
      </c>
      <c r="G1631" s="31">
        <v>0</v>
      </c>
      <c r="H1631" s="31">
        <v>0</v>
      </c>
      <c r="I1631" s="31" t="s">
        <v>1331</v>
      </c>
      <c r="J1631" s="5" t="s">
        <v>1446</v>
      </c>
      <c r="K1631" s="8"/>
    </row>
    <row r="1632" spans="1:11" x14ac:dyDescent="0.2">
      <c r="A1632" s="8">
        <v>1631</v>
      </c>
      <c r="B1632" s="8">
        <f t="shared" si="52"/>
        <v>2022</v>
      </c>
      <c r="C1632" s="8">
        <f t="shared" si="53"/>
        <v>5</v>
      </c>
      <c r="D1632" s="85">
        <v>44706</v>
      </c>
      <c r="E1632" s="31">
        <v>0</v>
      </c>
      <c r="F1632" s="31">
        <v>12000</v>
      </c>
      <c r="G1632" s="31">
        <v>0</v>
      </c>
      <c r="H1632" s="31">
        <v>0</v>
      </c>
      <c r="I1632" s="31" t="s">
        <v>88</v>
      </c>
      <c r="J1632" s="5" t="s">
        <v>1447</v>
      </c>
      <c r="K1632" s="8"/>
    </row>
    <row r="1633" spans="1:11" x14ac:dyDescent="0.2">
      <c r="A1633" s="8">
        <v>1632</v>
      </c>
      <c r="B1633" s="8">
        <f t="shared" si="52"/>
        <v>2022</v>
      </c>
      <c r="C1633" s="8">
        <f t="shared" si="53"/>
        <v>5</v>
      </c>
      <c r="D1633" s="85">
        <v>44706</v>
      </c>
      <c r="E1633" s="31">
        <v>0</v>
      </c>
      <c r="F1633" s="31">
        <v>0</v>
      </c>
      <c r="G1633" s="31">
        <v>0</v>
      </c>
      <c r="H1633" s="31">
        <v>82000</v>
      </c>
      <c r="I1633" s="31" t="s">
        <v>74</v>
      </c>
      <c r="J1633" s="5" t="s">
        <v>1448</v>
      </c>
      <c r="K1633" s="8"/>
    </row>
    <row r="1634" spans="1:11" x14ac:dyDescent="0.2">
      <c r="A1634" s="8">
        <v>1633</v>
      </c>
      <c r="B1634" s="8">
        <f t="shared" si="52"/>
        <v>2022</v>
      </c>
      <c r="C1634" s="8">
        <f t="shared" si="53"/>
        <v>5</v>
      </c>
      <c r="D1634" s="85">
        <v>44706</v>
      </c>
      <c r="E1634" s="31">
        <v>0</v>
      </c>
      <c r="F1634" s="31">
        <v>10000</v>
      </c>
      <c r="G1634" s="31">
        <v>0</v>
      </c>
      <c r="H1634" s="31">
        <v>0</v>
      </c>
      <c r="I1634" s="31" t="s">
        <v>88</v>
      </c>
      <c r="J1634" s="5" t="s">
        <v>827</v>
      </c>
      <c r="K1634" s="8"/>
    </row>
    <row r="1635" spans="1:11" x14ac:dyDescent="0.2">
      <c r="A1635" s="8">
        <v>1634</v>
      </c>
      <c r="B1635" s="8">
        <f t="shared" si="52"/>
        <v>2022</v>
      </c>
      <c r="C1635" s="8">
        <f t="shared" si="53"/>
        <v>5</v>
      </c>
      <c r="D1635" s="85">
        <v>44705</v>
      </c>
      <c r="E1635" s="31">
        <v>0</v>
      </c>
      <c r="F1635" s="31">
        <v>0</v>
      </c>
      <c r="G1635" s="31">
        <v>0</v>
      </c>
      <c r="H1635" s="31">
        <v>39000</v>
      </c>
      <c r="I1635" s="31" t="s">
        <v>74</v>
      </c>
      <c r="J1635" s="5" t="s">
        <v>1449</v>
      </c>
      <c r="K1635" s="8"/>
    </row>
    <row r="1636" spans="1:11" x14ac:dyDescent="0.2">
      <c r="A1636" s="8">
        <v>1635</v>
      </c>
      <c r="B1636" s="8">
        <f t="shared" si="52"/>
        <v>2022</v>
      </c>
      <c r="C1636" s="8">
        <f t="shared" si="53"/>
        <v>5</v>
      </c>
      <c r="D1636" s="85">
        <v>44707</v>
      </c>
      <c r="E1636" s="31">
        <v>0</v>
      </c>
      <c r="F1636" s="31">
        <v>0</v>
      </c>
      <c r="G1636" s="31">
        <v>0</v>
      </c>
      <c r="H1636" s="31">
        <v>16000</v>
      </c>
      <c r="I1636" s="31" t="s">
        <v>74</v>
      </c>
      <c r="J1636" s="5" t="s">
        <v>1450</v>
      </c>
      <c r="K1636" s="8"/>
    </row>
    <row r="1637" spans="1:11" x14ac:dyDescent="0.2">
      <c r="A1637" s="8">
        <v>1636</v>
      </c>
      <c r="B1637" s="8">
        <f t="shared" si="52"/>
        <v>2022</v>
      </c>
      <c r="C1637" s="8">
        <f t="shared" si="53"/>
        <v>5</v>
      </c>
      <c r="D1637" s="85">
        <v>44707</v>
      </c>
      <c r="E1637" s="31">
        <v>0</v>
      </c>
      <c r="F1637" s="31">
        <v>0</v>
      </c>
      <c r="G1637" s="31">
        <v>0</v>
      </c>
      <c r="H1637" s="31">
        <v>50000</v>
      </c>
      <c r="I1637" s="31" t="s">
        <v>74</v>
      </c>
      <c r="J1637" s="5" t="s">
        <v>1451</v>
      </c>
      <c r="K1637" s="8"/>
    </row>
    <row r="1638" spans="1:11" x14ac:dyDescent="0.2">
      <c r="A1638" s="8">
        <v>1637</v>
      </c>
      <c r="B1638" s="8">
        <f t="shared" si="52"/>
        <v>2022</v>
      </c>
      <c r="C1638" s="8">
        <f t="shared" si="53"/>
        <v>6</v>
      </c>
      <c r="D1638" s="123">
        <v>44713</v>
      </c>
      <c r="E1638" s="31">
        <v>0</v>
      </c>
      <c r="F1638" s="31">
        <v>0</v>
      </c>
      <c r="G1638" s="31">
        <v>0</v>
      </c>
      <c r="H1638" s="31">
        <v>2000000</v>
      </c>
      <c r="I1638" s="31" t="s">
        <v>74</v>
      </c>
      <c r="J1638" s="5" t="s">
        <v>1452</v>
      </c>
      <c r="K1638" s="8"/>
    </row>
    <row r="1639" spans="1:11" x14ac:dyDescent="0.2">
      <c r="A1639" s="8">
        <v>1638</v>
      </c>
      <c r="B1639" s="8">
        <f t="shared" si="52"/>
        <v>2022</v>
      </c>
      <c r="C1639" s="8">
        <f t="shared" si="53"/>
        <v>6</v>
      </c>
      <c r="D1639" s="85">
        <v>44713</v>
      </c>
      <c r="E1639" s="31">
        <v>0</v>
      </c>
      <c r="F1639" s="31">
        <v>253000</v>
      </c>
      <c r="G1639" s="31">
        <v>0</v>
      </c>
      <c r="H1639" s="31">
        <v>0</v>
      </c>
      <c r="I1639" s="31" t="s">
        <v>1377</v>
      </c>
      <c r="J1639" s="5" t="s">
        <v>1453</v>
      </c>
      <c r="K1639" s="8"/>
    </row>
    <row r="1640" spans="1:11" x14ac:dyDescent="0.2">
      <c r="A1640" s="8">
        <v>1639</v>
      </c>
      <c r="B1640" s="8">
        <f t="shared" si="52"/>
        <v>2022</v>
      </c>
      <c r="C1640" s="8">
        <f t="shared" si="53"/>
        <v>6</v>
      </c>
      <c r="D1640" s="85">
        <v>44713</v>
      </c>
      <c r="E1640" s="31">
        <v>0</v>
      </c>
      <c r="F1640" s="31">
        <v>400000</v>
      </c>
      <c r="G1640" s="31">
        <v>0</v>
      </c>
      <c r="H1640" s="31">
        <v>0</v>
      </c>
      <c r="I1640" s="31" t="s">
        <v>1350</v>
      </c>
      <c r="J1640" s="5" t="s">
        <v>1454</v>
      </c>
      <c r="K1640" s="8"/>
    </row>
    <row r="1641" spans="1:11" x14ac:dyDescent="0.2">
      <c r="A1641" s="8">
        <v>1640</v>
      </c>
      <c r="B1641" s="8">
        <f t="shared" si="52"/>
        <v>2022</v>
      </c>
      <c r="C1641" s="8">
        <f t="shared" si="53"/>
        <v>6</v>
      </c>
      <c r="D1641" s="85">
        <v>44713</v>
      </c>
      <c r="E1641" s="31">
        <v>0</v>
      </c>
      <c r="F1641" s="31">
        <v>100000</v>
      </c>
      <c r="G1641" s="31">
        <v>0</v>
      </c>
      <c r="H1641" s="31">
        <v>0</v>
      </c>
      <c r="I1641" s="31" t="s">
        <v>299</v>
      </c>
      <c r="J1641" s="5" t="s">
        <v>299</v>
      </c>
      <c r="K1641" s="8"/>
    </row>
    <row r="1642" spans="1:11" x14ac:dyDescent="0.2">
      <c r="A1642" s="8">
        <v>1641</v>
      </c>
      <c r="B1642" s="8">
        <f t="shared" si="52"/>
        <v>2022</v>
      </c>
      <c r="C1642" s="8">
        <f t="shared" si="53"/>
        <v>6</v>
      </c>
      <c r="D1642" s="85">
        <v>44713</v>
      </c>
      <c r="E1642" s="31">
        <v>0</v>
      </c>
      <c r="F1642" s="31">
        <v>625000</v>
      </c>
      <c r="G1642" s="31">
        <v>0</v>
      </c>
      <c r="H1642" s="31">
        <v>0</v>
      </c>
      <c r="I1642" s="31" t="s">
        <v>1377</v>
      </c>
      <c r="J1642" s="5" t="s">
        <v>1455</v>
      </c>
      <c r="K1642" s="8"/>
    </row>
    <row r="1643" spans="1:11" x14ac:dyDescent="0.2">
      <c r="A1643" s="8">
        <v>1642</v>
      </c>
      <c r="B1643" s="8">
        <f t="shared" si="52"/>
        <v>2022</v>
      </c>
      <c r="C1643" s="8">
        <f t="shared" si="53"/>
        <v>6</v>
      </c>
      <c r="D1643" s="85">
        <v>44714</v>
      </c>
      <c r="E1643" s="31">
        <v>0</v>
      </c>
      <c r="F1643" s="31">
        <v>80000</v>
      </c>
      <c r="G1643" s="31">
        <v>0</v>
      </c>
      <c r="H1643" s="31">
        <v>0</v>
      </c>
      <c r="I1643" s="31" t="s">
        <v>299</v>
      </c>
      <c r="J1643" s="5" t="s">
        <v>985</v>
      </c>
      <c r="K1643" s="8"/>
    </row>
    <row r="1644" spans="1:11" x14ac:dyDescent="0.2">
      <c r="A1644" s="8">
        <v>1643</v>
      </c>
      <c r="B1644" s="8">
        <f t="shared" si="52"/>
        <v>2022</v>
      </c>
      <c r="C1644" s="8">
        <f t="shared" si="53"/>
        <v>6</v>
      </c>
      <c r="D1644" s="85">
        <v>44714</v>
      </c>
      <c r="E1644" s="31">
        <v>0</v>
      </c>
      <c r="F1644" s="31">
        <v>30000</v>
      </c>
      <c r="G1644" s="31">
        <v>0</v>
      </c>
      <c r="H1644" s="31">
        <v>0</v>
      </c>
      <c r="I1644" s="31" t="s">
        <v>99</v>
      </c>
      <c r="J1644" s="5" t="s">
        <v>1456</v>
      </c>
      <c r="K1644" s="8"/>
    </row>
    <row r="1645" spans="1:11" x14ac:dyDescent="0.2">
      <c r="A1645" s="8">
        <v>1644</v>
      </c>
      <c r="B1645" s="8">
        <f t="shared" si="52"/>
        <v>2022</v>
      </c>
      <c r="C1645" s="8">
        <f t="shared" si="53"/>
        <v>6</v>
      </c>
      <c r="D1645" s="85">
        <v>44715</v>
      </c>
      <c r="E1645" s="31">
        <v>0</v>
      </c>
      <c r="F1645" s="31">
        <v>400000</v>
      </c>
      <c r="G1645" s="31">
        <v>0</v>
      </c>
      <c r="H1645" s="31">
        <v>0</v>
      </c>
      <c r="I1645" s="188" t="s">
        <v>4137</v>
      </c>
      <c r="J1645" s="5" t="s">
        <v>1457</v>
      </c>
      <c r="K1645" s="8"/>
    </row>
    <row r="1646" spans="1:11" x14ac:dyDescent="0.2">
      <c r="A1646" s="8">
        <v>1645</v>
      </c>
      <c r="B1646" s="8">
        <f t="shared" si="52"/>
        <v>2022</v>
      </c>
      <c r="C1646" s="8">
        <f t="shared" si="53"/>
        <v>6</v>
      </c>
      <c r="D1646" s="85">
        <v>44715</v>
      </c>
      <c r="E1646" s="31">
        <v>0</v>
      </c>
      <c r="F1646" s="31">
        <v>145000</v>
      </c>
      <c r="G1646" s="31">
        <v>0</v>
      </c>
      <c r="H1646" s="31">
        <v>0</v>
      </c>
      <c r="I1646" s="188" t="s">
        <v>4137</v>
      </c>
      <c r="J1646" s="5" t="s">
        <v>1458</v>
      </c>
      <c r="K1646" s="8"/>
    </row>
    <row r="1647" spans="1:11" x14ac:dyDescent="0.2">
      <c r="A1647" s="8">
        <v>1646</v>
      </c>
      <c r="B1647" s="8">
        <f t="shared" si="52"/>
        <v>2022</v>
      </c>
      <c r="C1647" s="8">
        <f t="shared" si="53"/>
        <v>6</v>
      </c>
      <c r="D1647" s="85">
        <v>44715</v>
      </c>
      <c r="E1647" s="31">
        <v>0</v>
      </c>
      <c r="F1647" s="31">
        <v>0</v>
      </c>
      <c r="G1647" s="31">
        <v>0</v>
      </c>
      <c r="H1647" s="31">
        <v>0</v>
      </c>
      <c r="I1647" s="31" t="s">
        <v>92</v>
      </c>
      <c r="J1647" s="5" t="s">
        <v>1459</v>
      </c>
      <c r="K1647" s="8"/>
    </row>
    <row r="1648" spans="1:11" x14ac:dyDescent="0.2">
      <c r="A1648" s="8">
        <v>1647</v>
      </c>
      <c r="B1648" s="8">
        <f t="shared" si="52"/>
        <v>2022</v>
      </c>
      <c r="C1648" s="8">
        <f t="shared" si="53"/>
        <v>6</v>
      </c>
      <c r="D1648" s="85">
        <v>44715</v>
      </c>
      <c r="E1648" s="31">
        <v>0</v>
      </c>
      <c r="F1648" s="31">
        <v>170000</v>
      </c>
      <c r="G1648" s="31">
        <v>0</v>
      </c>
      <c r="H1648" s="31">
        <v>0</v>
      </c>
      <c r="I1648" s="31" t="s">
        <v>85</v>
      </c>
      <c r="J1648" s="5" t="s">
        <v>1460</v>
      </c>
      <c r="K1648" s="8"/>
    </row>
    <row r="1649" spans="1:11" x14ac:dyDescent="0.2">
      <c r="A1649" s="8">
        <v>1648</v>
      </c>
      <c r="B1649" s="8">
        <f t="shared" si="52"/>
        <v>2022</v>
      </c>
      <c r="C1649" s="8">
        <f t="shared" si="53"/>
        <v>6</v>
      </c>
      <c r="D1649" s="85">
        <v>44715</v>
      </c>
      <c r="E1649" s="31">
        <v>0</v>
      </c>
      <c r="F1649" s="31">
        <v>30000</v>
      </c>
      <c r="G1649" s="31">
        <v>0</v>
      </c>
      <c r="H1649" s="31">
        <v>0</v>
      </c>
      <c r="I1649" s="31" t="s">
        <v>88</v>
      </c>
      <c r="J1649" s="5" t="s">
        <v>356</v>
      </c>
      <c r="K1649" s="8"/>
    </row>
    <row r="1650" spans="1:11" x14ac:dyDescent="0.2">
      <c r="A1650" s="8">
        <v>1649</v>
      </c>
      <c r="B1650" s="8">
        <f t="shared" si="52"/>
        <v>2022</v>
      </c>
      <c r="C1650" s="8">
        <f t="shared" si="53"/>
        <v>6</v>
      </c>
      <c r="D1650" s="85">
        <v>44716</v>
      </c>
      <c r="E1650" s="31">
        <v>0</v>
      </c>
      <c r="F1650" s="31">
        <v>76000</v>
      </c>
      <c r="G1650" s="31">
        <v>0</v>
      </c>
      <c r="H1650" s="31">
        <v>0</v>
      </c>
      <c r="I1650" s="31" t="s">
        <v>99</v>
      </c>
      <c r="J1650" s="5" t="s">
        <v>1461</v>
      </c>
      <c r="K1650" s="8"/>
    </row>
    <row r="1651" spans="1:11" x14ac:dyDescent="0.2">
      <c r="A1651" s="8">
        <v>1650</v>
      </c>
      <c r="B1651" s="8">
        <f t="shared" si="52"/>
        <v>2022</v>
      </c>
      <c r="C1651" s="8">
        <f t="shared" si="53"/>
        <v>6</v>
      </c>
      <c r="D1651" s="85">
        <v>44717</v>
      </c>
      <c r="E1651" s="31">
        <v>0</v>
      </c>
      <c r="F1651" s="31">
        <v>20000</v>
      </c>
      <c r="G1651" s="31">
        <v>0</v>
      </c>
      <c r="H1651" s="31">
        <v>0</v>
      </c>
      <c r="I1651" s="31" t="s">
        <v>99</v>
      </c>
      <c r="J1651" s="5" t="s">
        <v>1456</v>
      </c>
      <c r="K1651" s="8"/>
    </row>
    <row r="1652" spans="1:11" x14ac:dyDescent="0.2">
      <c r="A1652" s="8">
        <v>1651</v>
      </c>
      <c r="B1652" s="8">
        <f t="shared" si="52"/>
        <v>2022</v>
      </c>
      <c r="C1652" s="8">
        <f t="shared" si="53"/>
        <v>6</v>
      </c>
      <c r="D1652" s="85">
        <v>44718</v>
      </c>
      <c r="E1652" s="31">
        <v>0</v>
      </c>
      <c r="F1652" s="31">
        <v>11000</v>
      </c>
      <c r="G1652" s="31">
        <v>0</v>
      </c>
      <c r="H1652" s="31">
        <v>0</v>
      </c>
      <c r="I1652" s="31" t="s">
        <v>88</v>
      </c>
      <c r="J1652" s="5" t="s">
        <v>91</v>
      </c>
      <c r="K1652" s="8"/>
    </row>
    <row r="1653" spans="1:11" x14ac:dyDescent="0.2">
      <c r="A1653" s="8">
        <v>1652</v>
      </c>
      <c r="B1653" s="8">
        <f t="shared" si="52"/>
        <v>2022</v>
      </c>
      <c r="C1653" s="8">
        <f t="shared" si="53"/>
        <v>6</v>
      </c>
      <c r="D1653" s="85">
        <v>44718</v>
      </c>
      <c r="E1653" s="31">
        <v>0</v>
      </c>
      <c r="F1653" s="31">
        <v>10000</v>
      </c>
      <c r="G1653" s="31">
        <v>0</v>
      </c>
      <c r="H1653" s="31">
        <v>0</v>
      </c>
      <c r="I1653" s="31" t="s">
        <v>88</v>
      </c>
      <c r="J1653" s="5" t="s">
        <v>1462</v>
      </c>
      <c r="K1653" s="8"/>
    </row>
    <row r="1654" spans="1:11" x14ac:dyDescent="0.2">
      <c r="A1654" s="8">
        <v>1653</v>
      </c>
      <c r="B1654" s="8">
        <f t="shared" si="52"/>
        <v>2022</v>
      </c>
      <c r="C1654" s="8">
        <f t="shared" si="53"/>
        <v>6</v>
      </c>
      <c r="D1654" s="85">
        <v>44718</v>
      </c>
      <c r="E1654" s="31">
        <v>0</v>
      </c>
      <c r="F1654" s="31">
        <v>45000</v>
      </c>
      <c r="G1654" s="31">
        <v>0</v>
      </c>
      <c r="H1654" s="31">
        <v>0</v>
      </c>
      <c r="I1654" s="31" t="s">
        <v>85</v>
      </c>
      <c r="J1654" s="5" t="s">
        <v>1463</v>
      </c>
      <c r="K1654" s="8"/>
    </row>
    <row r="1655" spans="1:11" x14ac:dyDescent="0.2">
      <c r="A1655" s="8">
        <v>1654</v>
      </c>
      <c r="B1655" s="8">
        <f t="shared" si="52"/>
        <v>2022</v>
      </c>
      <c r="C1655" s="8">
        <f t="shared" si="53"/>
        <v>6</v>
      </c>
      <c r="D1655" s="85">
        <v>44719</v>
      </c>
      <c r="E1655" s="31">
        <v>0</v>
      </c>
      <c r="F1655" s="31">
        <v>15000</v>
      </c>
      <c r="G1655" s="31">
        <v>0</v>
      </c>
      <c r="H1655" s="31">
        <v>0</v>
      </c>
      <c r="I1655" s="31" t="s">
        <v>88</v>
      </c>
      <c r="J1655" s="5" t="s">
        <v>1464</v>
      </c>
      <c r="K1655" s="8"/>
    </row>
    <row r="1656" spans="1:11" x14ac:dyDescent="0.2">
      <c r="A1656" s="8">
        <v>1655</v>
      </c>
      <c r="B1656" s="8">
        <f t="shared" si="52"/>
        <v>2022</v>
      </c>
      <c r="C1656" s="8">
        <f t="shared" si="53"/>
        <v>6</v>
      </c>
      <c r="D1656" s="85">
        <v>44720</v>
      </c>
      <c r="E1656" s="31">
        <v>0</v>
      </c>
      <c r="F1656" s="31">
        <v>15000</v>
      </c>
      <c r="G1656" s="31">
        <v>0</v>
      </c>
      <c r="H1656" s="31">
        <v>0</v>
      </c>
      <c r="I1656" s="31" t="s">
        <v>88</v>
      </c>
      <c r="J1656" s="5" t="s">
        <v>1464</v>
      </c>
      <c r="K1656" s="8"/>
    </row>
    <row r="1657" spans="1:11" x14ac:dyDescent="0.2">
      <c r="A1657" s="8">
        <v>1656</v>
      </c>
      <c r="B1657" s="8">
        <f t="shared" si="52"/>
        <v>2022</v>
      </c>
      <c r="C1657" s="8">
        <f t="shared" si="53"/>
        <v>6</v>
      </c>
      <c r="D1657" s="85">
        <v>44721</v>
      </c>
      <c r="E1657" s="31">
        <v>0</v>
      </c>
      <c r="F1657" s="31">
        <v>15000</v>
      </c>
      <c r="G1657" s="31">
        <v>0</v>
      </c>
      <c r="H1657" s="31">
        <v>0</v>
      </c>
      <c r="I1657" s="31" t="s">
        <v>88</v>
      </c>
      <c r="J1657" s="5" t="s">
        <v>1464</v>
      </c>
      <c r="K1657" s="8"/>
    </row>
    <row r="1658" spans="1:11" x14ac:dyDescent="0.2">
      <c r="A1658" s="8">
        <v>1657</v>
      </c>
      <c r="B1658" s="8">
        <f t="shared" si="52"/>
        <v>2022</v>
      </c>
      <c r="C1658" s="8">
        <f t="shared" si="53"/>
        <v>6</v>
      </c>
      <c r="D1658" s="85">
        <v>44722</v>
      </c>
      <c r="E1658" s="31">
        <v>0</v>
      </c>
      <c r="F1658" s="31">
        <v>500000</v>
      </c>
      <c r="G1658" s="31">
        <v>0</v>
      </c>
      <c r="H1658" s="31">
        <v>0</v>
      </c>
      <c r="I1658" s="31" t="s">
        <v>99</v>
      </c>
      <c r="J1658" s="5" t="s">
        <v>1465</v>
      </c>
      <c r="K1658" s="8"/>
    </row>
    <row r="1659" spans="1:11" x14ac:dyDescent="0.2">
      <c r="A1659" s="8">
        <v>1658</v>
      </c>
      <c r="B1659" s="8">
        <f t="shared" si="52"/>
        <v>2022</v>
      </c>
      <c r="C1659" s="8">
        <f t="shared" si="53"/>
        <v>6</v>
      </c>
      <c r="D1659" s="85">
        <v>44722</v>
      </c>
      <c r="E1659" s="31">
        <v>0</v>
      </c>
      <c r="F1659" s="31">
        <v>100000</v>
      </c>
      <c r="G1659" s="31">
        <v>0</v>
      </c>
      <c r="H1659" s="31">
        <v>0</v>
      </c>
      <c r="I1659" s="31" t="s">
        <v>1331</v>
      </c>
      <c r="J1659" s="5" t="s">
        <v>1466</v>
      </c>
      <c r="K1659" s="8"/>
    </row>
    <row r="1660" spans="1:11" x14ac:dyDescent="0.2">
      <c r="A1660" s="8">
        <v>1659</v>
      </c>
      <c r="B1660" s="8">
        <f t="shared" si="52"/>
        <v>2022</v>
      </c>
      <c r="C1660" s="8">
        <f t="shared" si="53"/>
        <v>6</v>
      </c>
      <c r="D1660" s="85">
        <v>44723</v>
      </c>
      <c r="E1660" s="31">
        <v>0</v>
      </c>
      <c r="F1660" s="31">
        <v>0</v>
      </c>
      <c r="G1660" s="31">
        <v>0</v>
      </c>
      <c r="H1660" s="31">
        <v>150000</v>
      </c>
      <c r="I1660" s="31" t="s">
        <v>74</v>
      </c>
      <c r="J1660" s="5" t="s">
        <v>1467</v>
      </c>
      <c r="K1660" s="8"/>
    </row>
    <row r="1661" spans="1:11" x14ac:dyDescent="0.2">
      <c r="A1661" s="8">
        <v>1660</v>
      </c>
      <c r="B1661" s="8">
        <f t="shared" si="52"/>
        <v>2022</v>
      </c>
      <c r="C1661" s="8">
        <f t="shared" si="53"/>
        <v>6</v>
      </c>
      <c r="D1661" s="85">
        <v>44724</v>
      </c>
      <c r="E1661" s="31">
        <v>0</v>
      </c>
      <c r="F1661" s="31">
        <v>0</v>
      </c>
      <c r="G1661" s="31">
        <v>0</v>
      </c>
      <c r="H1661" s="31">
        <v>6000</v>
      </c>
      <c r="I1661" s="31" t="s">
        <v>74</v>
      </c>
      <c r="J1661" s="5" t="s">
        <v>1468</v>
      </c>
      <c r="K1661" s="8"/>
    </row>
    <row r="1662" spans="1:11" x14ac:dyDescent="0.2">
      <c r="A1662" s="8">
        <v>1661</v>
      </c>
      <c r="B1662" s="8">
        <f t="shared" si="52"/>
        <v>2022</v>
      </c>
      <c r="C1662" s="8">
        <f t="shared" si="53"/>
        <v>6</v>
      </c>
      <c r="D1662" s="85">
        <v>44724</v>
      </c>
      <c r="E1662" s="31">
        <v>0</v>
      </c>
      <c r="F1662" s="31">
        <v>600000</v>
      </c>
      <c r="G1662" s="31">
        <v>0</v>
      </c>
      <c r="H1662" s="31">
        <v>0</v>
      </c>
      <c r="I1662" s="31" t="s">
        <v>316</v>
      </c>
      <c r="J1662" s="5" t="s">
        <v>316</v>
      </c>
      <c r="K1662" s="8"/>
    </row>
    <row r="1663" spans="1:11" x14ac:dyDescent="0.2">
      <c r="A1663" s="8">
        <v>1662</v>
      </c>
      <c r="B1663" s="8">
        <f t="shared" si="52"/>
        <v>2022</v>
      </c>
      <c r="C1663" s="8">
        <f t="shared" si="53"/>
        <v>6</v>
      </c>
      <c r="D1663" s="85">
        <v>44724</v>
      </c>
      <c r="E1663" s="31">
        <v>0</v>
      </c>
      <c r="F1663" s="31">
        <v>18000</v>
      </c>
      <c r="G1663" s="31">
        <v>0</v>
      </c>
      <c r="H1663" s="31">
        <v>0</v>
      </c>
      <c r="I1663" s="31" t="s">
        <v>88</v>
      </c>
      <c r="J1663" s="5" t="s">
        <v>89</v>
      </c>
      <c r="K1663" s="8"/>
    </row>
    <row r="1664" spans="1:11" x14ac:dyDescent="0.2">
      <c r="A1664" s="8">
        <v>1663</v>
      </c>
      <c r="B1664" s="8">
        <f t="shared" si="52"/>
        <v>2022</v>
      </c>
      <c r="C1664" s="8">
        <f t="shared" si="53"/>
        <v>6</v>
      </c>
      <c r="D1664" s="85">
        <v>44724</v>
      </c>
      <c r="E1664" s="31">
        <v>0</v>
      </c>
      <c r="F1664" s="31">
        <v>27000</v>
      </c>
      <c r="G1664" s="31">
        <v>0</v>
      </c>
      <c r="H1664" s="31">
        <v>0</v>
      </c>
      <c r="I1664" s="31" t="s">
        <v>88</v>
      </c>
      <c r="J1664" s="5" t="s">
        <v>1469</v>
      </c>
      <c r="K1664" s="8"/>
    </row>
    <row r="1665" spans="1:11" x14ac:dyDescent="0.2">
      <c r="A1665" s="8">
        <v>1664</v>
      </c>
      <c r="B1665" s="8">
        <f t="shared" si="52"/>
        <v>2022</v>
      </c>
      <c r="C1665" s="8">
        <f t="shared" si="53"/>
        <v>6</v>
      </c>
      <c r="D1665" s="85">
        <v>44724</v>
      </c>
      <c r="E1665" s="31">
        <v>0</v>
      </c>
      <c r="F1665" s="31">
        <v>40000</v>
      </c>
      <c r="G1665" s="31">
        <v>0</v>
      </c>
      <c r="H1665" s="31">
        <v>0</v>
      </c>
      <c r="I1665" s="31" t="s">
        <v>85</v>
      </c>
      <c r="J1665" s="5" t="s">
        <v>1470</v>
      </c>
      <c r="K1665" s="8"/>
    </row>
    <row r="1666" spans="1:11" x14ac:dyDescent="0.2">
      <c r="A1666" s="8">
        <v>1665</v>
      </c>
      <c r="B1666" s="8">
        <f t="shared" si="52"/>
        <v>2022</v>
      </c>
      <c r="C1666" s="8">
        <f t="shared" si="53"/>
        <v>6</v>
      </c>
      <c r="D1666" s="85">
        <v>44724</v>
      </c>
      <c r="E1666" s="31">
        <v>0</v>
      </c>
      <c r="F1666" s="31">
        <v>30000</v>
      </c>
      <c r="G1666" s="31">
        <v>0</v>
      </c>
      <c r="H1666" s="31">
        <v>0</v>
      </c>
      <c r="I1666" s="31" t="s">
        <v>85</v>
      </c>
      <c r="J1666" s="5" t="s">
        <v>1471</v>
      </c>
      <c r="K1666" s="8"/>
    </row>
    <row r="1667" spans="1:11" x14ac:dyDescent="0.2">
      <c r="A1667" s="8">
        <v>1666</v>
      </c>
      <c r="B1667" s="8">
        <f t="shared" si="52"/>
        <v>2022</v>
      </c>
      <c r="C1667" s="8">
        <f t="shared" si="53"/>
        <v>6</v>
      </c>
      <c r="D1667" s="85">
        <v>44724</v>
      </c>
      <c r="E1667" s="31">
        <v>0</v>
      </c>
      <c r="F1667" s="31">
        <v>14000</v>
      </c>
      <c r="G1667" s="31">
        <v>0</v>
      </c>
      <c r="H1667" s="31">
        <v>0</v>
      </c>
      <c r="I1667" s="31" t="s">
        <v>299</v>
      </c>
      <c r="J1667" s="5" t="s">
        <v>1102</v>
      </c>
      <c r="K1667" s="8"/>
    </row>
    <row r="1668" spans="1:11" x14ac:dyDescent="0.2">
      <c r="A1668" s="8">
        <v>1667</v>
      </c>
      <c r="B1668" s="8">
        <f t="shared" si="52"/>
        <v>2022</v>
      </c>
      <c r="C1668" s="8">
        <f t="shared" si="53"/>
        <v>6</v>
      </c>
      <c r="D1668" s="85">
        <v>44724</v>
      </c>
      <c r="E1668" s="31">
        <v>0</v>
      </c>
      <c r="F1668" s="31">
        <v>86000</v>
      </c>
      <c r="G1668" s="31">
        <v>0</v>
      </c>
      <c r="H1668" s="31">
        <v>0</v>
      </c>
      <c r="I1668" s="31" t="s">
        <v>299</v>
      </c>
      <c r="J1668" s="5" t="s">
        <v>299</v>
      </c>
      <c r="K1668" s="8"/>
    </row>
    <row r="1669" spans="1:11" x14ac:dyDescent="0.2">
      <c r="A1669" s="8">
        <v>1668</v>
      </c>
      <c r="B1669" s="8">
        <f t="shared" si="52"/>
        <v>2022</v>
      </c>
      <c r="C1669" s="8">
        <f t="shared" si="53"/>
        <v>6</v>
      </c>
      <c r="D1669" s="85">
        <v>44725</v>
      </c>
      <c r="E1669" s="31">
        <v>0</v>
      </c>
      <c r="F1669" s="31">
        <v>10000</v>
      </c>
      <c r="G1669" s="31">
        <v>0</v>
      </c>
      <c r="H1669" s="31">
        <v>0</v>
      </c>
      <c r="I1669" s="31" t="s">
        <v>1255</v>
      </c>
      <c r="J1669" s="5" t="s">
        <v>1472</v>
      </c>
      <c r="K1669" s="8"/>
    </row>
    <row r="1670" spans="1:11" x14ac:dyDescent="0.2">
      <c r="A1670" s="8">
        <v>1669</v>
      </c>
      <c r="B1670" s="8">
        <f t="shared" ref="B1670:B1733" si="54">YEAR(D1670)</f>
        <v>2022</v>
      </c>
      <c r="C1670" s="8">
        <f t="shared" ref="C1670:C1733" si="55">MONTH(D1670)</f>
        <v>6</v>
      </c>
      <c r="D1670" s="85">
        <v>44725</v>
      </c>
      <c r="E1670" s="31">
        <v>0</v>
      </c>
      <c r="F1670" s="31">
        <v>5000</v>
      </c>
      <c r="G1670" s="31">
        <v>0</v>
      </c>
      <c r="H1670" s="31">
        <v>0</v>
      </c>
      <c r="I1670" s="31" t="s">
        <v>1255</v>
      </c>
      <c r="J1670" s="5" t="s">
        <v>1473</v>
      </c>
      <c r="K1670" s="8"/>
    </row>
    <row r="1671" spans="1:11" x14ac:dyDescent="0.2">
      <c r="A1671" s="8">
        <v>1670</v>
      </c>
      <c r="B1671" s="8">
        <f t="shared" si="54"/>
        <v>2022</v>
      </c>
      <c r="C1671" s="8">
        <f t="shared" si="55"/>
        <v>6</v>
      </c>
      <c r="D1671" s="85">
        <v>44725</v>
      </c>
      <c r="E1671" s="31">
        <v>0</v>
      </c>
      <c r="F1671" s="31">
        <v>60000</v>
      </c>
      <c r="G1671" s="31">
        <v>0</v>
      </c>
      <c r="H1671" s="31">
        <v>0</v>
      </c>
      <c r="I1671" s="31" t="s">
        <v>1350</v>
      </c>
      <c r="J1671" s="5" t="s">
        <v>1474</v>
      </c>
      <c r="K1671" s="8"/>
    </row>
    <row r="1672" spans="1:11" x14ac:dyDescent="0.2">
      <c r="A1672" s="8">
        <v>1671</v>
      </c>
      <c r="B1672" s="8">
        <f t="shared" si="54"/>
        <v>2022</v>
      </c>
      <c r="C1672" s="8">
        <f t="shared" si="55"/>
        <v>6</v>
      </c>
      <c r="D1672" s="85">
        <v>44726</v>
      </c>
      <c r="E1672" s="31">
        <v>0</v>
      </c>
      <c r="F1672" s="31">
        <v>13000</v>
      </c>
      <c r="G1672" s="31">
        <v>0</v>
      </c>
      <c r="H1672" s="31">
        <v>0</v>
      </c>
      <c r="I1672" s="31" t="s">
        <v>88</v>
      </c>
      <c r="J1672" s="5" t="s">
        <v>89</v>
      </c>
      <c r="K1672" s="8"/>
    </row>
    <row r="1673" spans="1:11" x14ac:dyDescent="0.2">
      <c r="A1673" s="8">
        <v>1672</v>
      </c>
      <c r="B1673" s="8">
        <f t="shared" si="54"/>
        <v>2022</v>
      </c>
      <c r="C1673" s="8">
        <f t="shared" si="55"/>
        <v>6</v>
      </c>
      <c r="D1673" s="123">
        <v>44726</v>
      </c>
      <c r="E1673" s="31">
        <v>0</v>
      </c>
      <c r="F1673" s="31">
        <v>0</v>
      </c>
      <c r="G1673" s="31">
        <v>0</v>
      </c>
      <c r="H1673" s="31">
        <v>1400000</v>
      </c>
      <c r="I1673" s="31" t="s">
        <v>74</v>
      </c>
      <c r="J1673" s="5" t="s">
        <v>86</v>
      </c>
      <c r="K1673" s="8"/>
    </row>
    <row r="1674" spans="1:11" x14ac:dyDescent="0.2">
      <c r="A1674" s="8">
        <v>1673</v>
      </c>
      <c r="B1674" s="8">
        <f t="shared" si="54"/>
        <v>2022</v>
      </c>
      <c r="C1674" s="8">
        <f t="shared" si="55"/>
        <v>6</v>
      </c>
      <c r="D1674" s="85">
        <v>44726</v>
      </c>
      <c r="E1674" s="31">
        <v>0</v>
      </c>
      <c r="F1674" s="31">
        <v>110000</v>
      </c>
      <c r="G1674" s="31">
        <v>0</v>
      </c>
      <c r="H1674" s="31">
        <v>0</v>
      </c>
      <c r="I1674" s="31" t="s">
        <v>85</v>
      </c>
      <c r="J1674" s="5" t="s">
        <v>1475</v>
      </c>
      <c r="K1674" s="8"/>
    </row>
    <row r="1675" spans="1:11" x14ac:dyDescent="0.2">
      <c r="A1675" s="8">
        <v>1674</v>
      </c>
      <c r="B1675" s="8">
        <f t="shared" si="54"/>
        <v>2022</v>
      </c>
      <c r="C1675" s="8">
        <f t="shared" si="55"/>
        <v>6</v>
      </c>
      <c r="D1675" s="85">
        <v>44727</v>
      </c>
      <c r="E1675" s="31">
        <v>0</v>
      </c>
      <c r="F1675" s="31">
        <v>16000</v>
      </c>
      <c r="G1675" s="31">
        <v>0</v>
      </c>
      <c r="H1675" s="31">
        <v>0</v>
      </c>
      <c r="I1675" s="31" t="s">
        <v>88</v>
      </c>
      <c r="J1675" s="5" t="s">
        <v>89</v>
      </c>
      <c r="K1675" s="8"/>
    </row>
    <row r="1676" spans="1:11" x14ac:dyDescent="0.2">
      <c r="A1676" s="8">
        <v>1675</v>
      </c>
      <c r="B1676" s="8">
        <f t="shared" si="54"/>
        <v>2022</v>
      </c>
      <c r="C1676" s="8">
        <f t="shared" si="55"/>
        <v>6</v>
      </c>
      <c r="D1676" s="85">
        <v>44727</v>
      </c>
      <c r="E1676" s="31">
        <v>0</v>
      </c>
      <c r="F1676" s="31">
        <v>21000</v>
      </c>
      <c r="G1676" s="31">
        <v>0</v>
      </c>
      <c r="H1676" s="31">
        <v>0</v>
      </c>
      <c r="I1676" s="31" t="s">
        <v>88</v>
      </c>
      <c r="J1676" s="5" t="s">
        <v>356</v>
      </c>
      <c r="K1676" s="8"/>
    </row>
    <row r="1677" spans="1:11" x14ac:dyDescent="0.2">
      <c r="A1677" s="8">
        <v>1676</v>
      </c>
      <c r="B1677" s="8">
        <f t="shared" si="54"/>
        <v>2022</v>
      </c>
      <c r="C1677" s="8">
        <f t="shared" si="55"/>
        <v>6</v>
      </c>
      <c r="D1677" s="85">
        <v>44727</v>
      </c>
      <c r="E1677" s="31">
        <v>0</v>
      </c>
      <c r="F1677" s="31">
        <v>10000</v>
      </c>
      <c r="G1677" s="31">
        <v>0</v>
      </c>
      <c r="H1677" s="31">
        <v>0</v>
      </c>
      <c r="I1677" s="31" t="s">
        <v>1255</v>
      </c>
      <c r="J1677" s="5" t="s">
        <v>1476</v>
      </c>
      <c r="K1677" s="8"/>
    </row>
    <row r="1678" spans="1:11" x14ac:dyDescent="0.2">
      <c r="A1678" s="8">
        <v>1677</v>
      </c>
      <c r="B1678" s="8">
        <f t="shared" si="54"/>
        <v>2022</v>
      </c>
      <c r="C1678" s="8">
        <f t="shared" si="55"/>
        <v>6</v>
      </c>
      <c r="D1678" s="85">
        <v>44727</v>
      </c>
      <c r="E1678" s="31">
        <v>0</v>
      </c>
      <c r="F1678" s="31">
        <v>500000</v>
      </c>
      <c r="G1678" s="31">
        <v>0</v>
      </c>
      <c r="H1678" s="31">
        <v>0</v>
      </c>
      <c r="I1678" s="31" t="s">
        <v>287</v>
      </c>
      <c r="J1678" s="5" t="s">
        <v>1477</v>
      </c>
      <c r="K1678" s="8"/>
    </row>
    <row r="1679" spans="1:11" x14ac:dyDescent="0.2">
      <c r="A1679" s="8">
        <v>1678</v>
      </c>
      <c r="B1679" s="8">
        <f t="shared" si="54"/>
        <v>2022</v>
      </c>
      <c r="C1679" s="8">
        <f t="shared" si="55"/>
        <v>6</v>
      </c>
      <c r="D1679" s="85">
        <v>44727</v>
      </c>
      <c r="E1679" s="31">
        <v>0</v>
      </c>
      <c r="F1679" s="31">
        <v>10000</v>
      </c>
      <c r="G1679" s="31">
        <v>0</v>
      </c>
      <c r="H1679" s="31">
        <v>0</v>
      </c>
      <c r="I1679" s="31" t="s">
        <v>88</v>
      </c>
      <c r="J1679" s="5" t="s">
        <v>1478</v>
      </c>
      <c r="K1679" s="8"/>
    </row>
    <row r="1680" spans="1:11" x14ac:dyDescent="0.2">
      <c r="A1680" s="8">
        <v>1679</v>
      </c>
      <c r="B1680" s="8">
        <f t="shared" si="54"/>
        <v>2022</v>
      </c>
      <c r="C1680" s="8">
        <f t="shared" si="55"/>
        <v>6</v>
      </c>
      <c r="D1680" s="85">
        <v>44727</v>
      </c>
      <c r="E1680" s="31">
        <v>0</v>
      </c>
      <c r="F1680" s="31">
        <v>11000</v>
      </c>
      <c r="G1680" s="31">
        <v>0</v>
      </c>
      <c r="H1680" s="31">
        <v>0</v>
      </c>
      <c r="I1680" s="31" t="s">
        <v>88</v>
      </c>
      <c r="J1680" s="5" t="s">
        <v>1479</v>
      </c>
      <c r="K1680" s="8"/>
    </row>
    <row r="1681" spans="1:11" x14ac:dyDescent="0.2">
      <c r="A1681" s="8">
        <v>1680</v>
      </c>
      <c r="B1681" s="8">
        <f t="shared" si="54"/>
        <v>2022</v>
      </c>
      <c r="C1681" s="8">
        <f t="shared" si="55"/>
        <v>6</v>
      </c>
      <c r="D1681" s="85">
        <v>44728</v>
      </c>
      <c r="E1681" s="31">
        <v>0</v>
      </c>
      <c r="F1681" s="31">
        <v>15000</v>
      </c>
      <c r="G1681" s="31">
        <v>0</v>
      </c>
      <c r="H1681" s="31">
        <v>0</v>
      </c>
      <c r="I1681" s="31" t="s">
        <v>88</v>
      </c>
      <c r="J1681" s="5" t="s">
        <v>89</v>
      </c>
      <c r="K1681" s="8"/>
    </row>
    <row r="1682" spans="1:11" x14ac:dyDescent="0.2">
      <c r="A1682" s="8">
        <v>1681</v>
      </c>
      <c r="B1682" s="8">
        <f t="shared" si="54"/>
        <v>2022</v>
      </c>
      <c r="C1682" s="8">
        <f t="shared" si="55"/>
        <v>6</v>
      </c>
      <c r="D1682" s="85">
        <v>44728</v>
      </c>
      <c r="E1682" s="31">
        <v>0</v>
      </c>
      <c r="F1682" s="31">
        <v>50000</v>
      </c>
      <c r="G1682" s="31">
        <v>0</v>
      </c>
      <c r="H1682" s="31">
        <v>0</v>
      </c>
      <c r="I1682" s="31" t="s">
        <v>1350</v>
      </c>
      <c r="J1682" s="5" t="s">
        <v>1480</v>
      </c>
      <c r="K1682" s="8"/>
    </row>
    <row r="1683" spans="1:11" x14ac:dyDescent="0.2">
      <c r="A1683" s="8">
        <v>1682</v>
      </c>
      <c r="B1683" s="8">
        <f t="shared" si="54"/>
        <v>2022</v>
      </c>
      <c r="C1683" s="8">
        <f t="shared" si="55"/>
        <v>6</v>
      </c>
      <c r="D1683" s="85">
        <v>44728</v>
      </c>
      <c r="E1683" s="31">
        <v>0</v>
      </c>
      <c r="F1683" s="31">
        <v>0</v>
      </c>
      <c r="G1683" s="31">
        <v>0</v>
      </c>
      <c r="H1683" s="31">
        <v>148000</v>
      </c>
      <c r="I1683" s="31" t="s">
        <v>74</v>
      </c>
      <c r="J1683" s="5" t="s">
        <v>1481</v>
      </c>
      <c r="K1683" s="8"/>
    </row>
    <row r="1684" spans="1:11" x14ac:dyDescent="0.2">
      <c r="A1684" s="8">
        <v>1683</v>
      </c>
      <c r="B1684" s="8">
        <f t="shared" si="54"/>
        <v>2022</v>
      </c>
      <c r="C1684" s="8">
        <f t="shared" si="55"/>
        <v>6</v>
      </c>
      <c r="D1684" s="123">
        <v>44728</v>
      </c>
      <c r="E1684" s="31">
        <v>0</v>
      </c>
      <c r="F1684" s="31">
        <v>0</v>
      </c>
      <c r="G1684" s="31">
        <v>0</v>
      </c>
      <c r="H1684" s="31">
        <v>700000</v>
      </c>
      <c r="I1684" s="31" t="s">
        <v>74</v>
      </c>
      <c r="J1684" s="5" t="s">
        <v>1482</v>
      </c>
      <c r="K1684" s="8"/>
    </row>
    <row r="1685" spans="1:11" x14ac:dyDescent="0.2">
      <c r="A1685" s="8">
        <v>1684</v>
      </c>
      <c r="B1685" s="8">
        <f t="shared" si="54"/>
        <v>2022</v>
      </c>
      <c r="C1685" s="8">
        <f t="shared" si="55"/>
        <v>6</v>
      </c>
      <c r="D1685" s="123">
        <v>44728</v>
      </c>
      <c r="E1685" s="31">
        <v>0</v>
      </c>
      <c r="F1685" s="31">
        <v>0</v>
      </c>
      <c r="G1685" s="31">
        <v>0</v>
      </c>
      <c r="H1685" s="31">
        <v>625000</v>
      </c>
      <c r="I1685" s="31" t="s">
        <v>74</v>
      </c>
      <c r="J1685" s="5" t="s">
        <v>1483</v>
      </c>
      <c r="K1685" s="8"/>
    </row>
    <row r="1686" spans="1:11" x14ac:dyDescent="0.2">
      <c r="A1686" s="8">
        <v>1685</v>
      </c>
      <c r="B1686" s="8">
        <f t="shared" si="54"/>
        <v>2022</v>
      </c>
      <c r="C1686" s="8">
        <f t="shared" si="55"/>
        <v>6</v>
      </c>
      <c r="D1686" s="85">
        <v>44728</v>
      </c>
      <c r="E1686" s="31">
        <v>0</v>
      </c>
      <c r="F1686" s="31">
        <v>10000</v>
      </c>
      <c r="G1686" s="31">
        <v>0</v>
      </c>
      <c r="H1686" s="31">
        <v>0</v>
      </c>
      <c r="I1686" s="31" t="s">
        <v>1377</v>
      </c>
      <c r="J1686" s="5" t="s">
        <v>1484</v>
      </c>
      <c r="K1686" s="8"/>
    </row>
    <row r="1687" spans="1:11" x14ac:dyDescent="0.2">
      <c r="A1687" s="8">
        <v>1686</v>
      </c>
      <c r="B1687" s="8">
        <f t="shared" si="54"/>
        <v>2022</v>
      </c>
      <c r="C1687" s="8">
        <f t="shared" si="55"/>
        <v>6</v>
      </c>
      <c r="D1687" s="85">
        <v>44728</v>
      </c>
      <c r="E1687" s="31">
        <v>0</v>
      </c>
      <c r="F1687" s="31">
        <v>14000</v>
      </c>
      <c r="G1687" s="31">
        <v>0</v>
      </c>
      <c r="H1687" s="31">
        <v>0</v>
      </c>
      <c r="I1687" s="31" t="s">
        <v>85</v>
      </c>
      <c r="J1687" s="5" t="s">
        <v>475</v>
      </c>
      <c r="K1687" s="8"/>
    </row>
    <row r="1688" spans="1:11" x14ac:dyDescent="0.2">
      <c r="A1688" s="8">
        <v>1687</v>
      </c>
      <c r="B1688" s="8">
        <f t="shared" si="54"/>
        <v>2022</v>
      </c>
      <c r="C1688" s="8">
        <f t="shared" si="55"/>
        <v>6</v>
      </c>
      <c r="D1688" s="123">
        <v>44728</v>
      </c>
      <c r="E1688" s="31">
        <v>0</v>
      </c>
      <c r="F1688" s="31">
        <v>0</v>
      </c>
      <c r="G1688" s="31">
        <v>0</v>
      </c>
      <c r="H1688" s="31">
        <v>200000</v>
      </c>
      <c r="I1688" s="31" t="s">
        <v>74</v>
      </c>
      <c r="J1688" s="5" t="s">
        <v>1485</v>
      </c>
      <c r="K1688" s="8"/>
    </row>
    <row r="1689" spans="1:11" x14ac:dyDescent="0.2">
      <c r="A1689" s="8">
        <v>1688</v>
      </c>
      <c r="B1689" s="8">
        <f t="shared" si="54"/>
        <v>2022</v>
      </c>
      <c r="C1689" s="8">
        <f t="shared" si="55"/>
        <v>6</v>
      </c>
      <c r="D1689" s="123">
        <v>44728</v>
      </c>
      <c r="E1689" s="31">
        <v>0</v>
      </c>
      <c r="F1689" s="31">
        <v>0</v>
      </c>
      <c r="G1689" s="31">
        <v>0</v>
      </c>
      <c r="H1689" s="31">
        <v>500000</v>
      </c>
      <c r="I1689" s="31" t="s">
        <v>74</v>
      </c>
      <c r="J1689" s="5" t="s">
        <v>1486</v>
      </c>
      <c r="K1689" s="8"/>
    </row>
    <row r="1690" spans="1:11" x14ac:dyDescent="0.2">
      <c r="A1690" s="8">
        <v>1689</v>
      </c>
      <c r="B1690" s="8">
        <f t="shared" si="54"/>
        <v>2022</v>
      </c>
      <c r="C1690" s="8">
        <f t="shared" si="55"/>
        <v>6</v>
      </c>
      <c r="D1690" s="85">
        <v>44728</v>
      </c>
      <c r="E1690" s="31">
        <v>0</v>
      </c>
      <c r="F1690" s="31">
        <v>103000</v>
      </c>
      <c r="G1690" s="31">
        <v>0</v>
      </c>
      <c r="H1690" s="31">
        <v>0</v>
      </c>
      <c r="I1690" s="31" t="s">
        <v>85</v>
      </c>
      <c r="J1690" s="5" t="s">
        <v>1487</v>
      </c>
      <c r="K1690" s="8"/>
    </row>
    <row r="1691" spans="1:11" x14ac:dyDescent="0.2">
      <c r="A1691" s="8">
        <v>1690</v>
      </c>
      <c r="B1691" s="8">
        <f t="shared" si="54"/>
        <v>2022</v>
      </c>
      <c r="C1691" s="8">
        <f t="shared" si="55"/>
        <v>6</v>
      </c>
      <c r="D1691" s="85">
        <v>44729</v>
      </c>
      <c r="E1691" s="31">
        <v>0</v>
      </c>
      <c r="F1691" s="31">
        <v>70000</v>
      </c>
      <c r="G1691" s="31">
        <v>0</v>
      </c>
      <c r="H1691" s="31">
        <v>0</v>
      </c>
      <c r="I1691" s="31" t="s">
        <v>1350</v>
      </c>
      <c r="J1691" s="5" t="s">
        <v>1390</v>
      </c>
      <c r="K1691" s="8"/>
    </row>
    <row r="1692" spans="1:11" x14ac:dyDescent="0.2">
      <c r="A1692" s="8">
        <v>1691</v>
      </c>
      <c r="B1692" s="8">
        <f t="shared" si="54"/>
        <v>2022</v>
      </c>
      <c r="C1692" s="8">
        <f t="shared" si="55"/>
        <v>6</v>
      </c>
      <c r="D1692" s="85">
        <v>44729</v>
      </c>
      <c r="E1692" s="31">
        <v>110000</v>
      </c>
      <c r="F1692" s="31">
        <v>0</v>
      </c>
      <c r="G1692" s="31">
        <v>0</v>
      </c>
      <c r="H1692" s="31">
        <v>0</v>
      </c>
      <c r="I1692" s="31" t="s">
        <v>109</v>
      </c>
      <c r="J1692" s="5" t="s">
        <v>1488</v>
      </c>
      <c r="K1692" s="8"/>
    </row>
    <row r="1693" spans="1:11" x14ac:dyDescent="0.2">
      <c r="A1693" s="8">
        <v>1692</v>
      </c>
      <c r="B1693" s="8">
        <f t="shared" si="54"/>
        <v>2022</v>
      </c>
      <c r="C1693" s="8">
        <f t="shared" si="55"/>
        <v>6</v>
      </c>
      <c r="D1693" s="85">
        <v>44730</v>
      </c>
      <c r="E1693" s="31">
        <v>0</v>
      </c>
      <c r="F1693" s="31">
        <v>110000</v>
      </c>
      <c r="G1693" s="31">
        <v>0</v>
      </c>
      <c r="H1693" s="31">
        <v>0</v>
      </c>
      <c r="I1693" s="31" t="s">
        <v>299</v>
      </c>
      <c r="J1693" s="5" t="s">
        <v>299</v>
      </c>
      <c r="K1693" s="8"/>
    </row>
    <row r="1694" spans="1:11" x14ac:dyDescent="0.2">
      <c r="A1694" s="8">
        <v>1693</v>
      </c>
      <c r="B1694" s="8">
        <f t="shared" si="54"/>
        <v>2022</v>
      </c>
      <c r="C1694" s="8">
        <f t="shared" si="55"/>
        <v>6</v>
      </c>
      <c r="D1694" s="85">
        <v>44731</v>
      </c>
      <c r="E1694" s="31">
        <v>0</v>
      </c>
      <c r="F1694" s="31">
        <v>135000</v>
      </c>
      <c r="G1694" s="31">
        <v>0</v>
      </c>
      <c r="H1694" s="31">
        <v>0</v>
      </c>
      <c r="I1694" s="31" t="s">
        <v>85</v>
      </c>
      <c r="J1694" s="5" t="s">
        <v>1489</v>
      </c>
      <c r="K1694" s="8"/>
    </row>
    <row r="1695" spans="1:11" x14ac:dyDescent="0.2">
      <c r="A1695" s="8">
        <v>1694</v>
      </c>
      <c r="B1695" s="8">
        <f t="shared" si="54"/>
        <v>2022</v>
      </c>
      <c r="C1695" s="8">
        <f t="shared" si="55"/>
        <v>6</v>
      </c>
      <c r="D1695" s="85">
        <v>44732</v>
      </c>
      <c r="E1695" s="31">
        <v>0</v>
      </c>
      <c r="F1695" s="31">
        <v>30000</v>
      </c>
      <c r="G1695" s="31">
        <v>0</v>
      </c>
      <c r="H1695" s="31">
        <v>0</v>
      </c>
      <c r="I1695" s="31" t="s">
        <v>99</v>
      </c>
      <c r="J1695" s="5" t="s">
        <v>1490</v>
      </c>
      <c r="K1695" s="8"/>
    </row>
    <row r="1696" spans="1:11" x14ac:dyDescent="0.2">
      <c r="A1696" s="8">
        <v>1695</v>
      </c>
      <c r="B1696" s="8">
        <f t="shared" si="54"/>
        <v>2022</v>
      </c>
      <c r="C1696" s="8">
        <f t="shared" si="55"/>
        <v>6</v>
      </c>
      <c r="D1696" s="85">
        <v>44732</v>
      </c>
      <c r="E1696" s="31">
        <v>0</v>
      </c>
      <c r="F1696" s="31">
        <v>25000</v>
      </c>
      <c r="G1696" s="31">
        <v>0</v>
      </c>
      <c r="H1696" s="31">
        <v>0</v>
      </c>
      <c r="I1696" s="31" t="s">
        <v>88</v>
      </c>
      <c r="J1696" s="5" t="s">
        <v>1491</v>
      </c>
      <c r="K1696" s="8"/>
    </row>
    <row r="1697" spans="1:11" x14ac:dyDescent="0.2">
      <c r="A1697" s="8">
        <v>1696</v>
      </c>
      <c r="B1697" s="8">
        <f t="shared" si="54"/>
        <v>2022</v>
      </c>
      <c r="C1697" s="8">
        <f t="shared" si="55"/>
        <v>6</v>
      </c>
      <c r="D1697" s="85">
        <v>44733</v>
      </c>
      <c r="E1697" s="31">
        <v>0</v>
      </c>
      <c r="F1697" s="31">
        <v>20000</v>
      </c>
      <c r="G1697" s="31">
        <v>0</v>
      </c>
      <c r="H1697" s="31">
        <v>0</v>
      </c>
      <c r="I1697" s="31" t="s">
        <v>88</v>
      </c>
      <c r="J1697" s="5" t="s">
        <v>1492</v>
      </c>
      <c r="K1697" s="8"/>
    </row>
    <row r="1698" spans="1:11" x14ac:dyDescent="0.2">
      <c r="A1698" s="8">
        <v>1697</v>
      </c>
      <c r="B1698" s="8">
        <f t="shared" si="54"/>
        <v>2022</v>
      </c>
      <c r="C1698" s="8">
        <f t="shared" si="55"/>
        <v>6</v>
      </c>
      <c r="D1698" s="85">
        <v>44733</v>
      </c>
      <c r="E1698" s="31">
        <v>0</v>
      </c>
      <c r="F1698" s="31">
        <v>70000</v>
      </c>
      <c r="G1698" s="31">
        <v>0</v>
      </c>
      <c r="H1698" s="31">
        <v>0</v>
      </c>
      <c r="I1698" s="31" t="s">
        <v>85</v>
      </c>
      <c r="J1698" s="5" t="s">
        <v>1493</v>
      </c>
      <c r="K1698" s="8"/>
    </row>
    <row r="1699" spans="1:11" x14ac:dyDescent="0.2">
      <c r="A1699" s="8">
        <v>1698</v>
      </c>
      <c r="B1699" s="8">
        <f t="shared" si="54"/>
        <v>2022</v>
      </c>
      <c r="C1699" s="8">
        <f t="shared" si="55"/>
        <v>6</v>
      </c>
      <c r="D1699" s="85">
        <v>44733</v>
      </c>
      <c r="E1699" s="31">
        <v>0</v>
      </c>
      <c r="F1699" s="31">
        <v>60000</v>
      </c>
      <c r="G1699" s="31">
        <v>0</v>
      </c>
      <c r="H1699" s="31">
        <v>0</v>
      </c>
      <c r="I1699" s="31" t="s">
        <v>85</v>
      </c>
      <c r="J1699" s="5" t="s">
        <v>1494</v>
      </c>
      <c r="K1699" s="8"/>
    </row>
    <row r="1700" spans="1:11" x14ac:dyDescent="0.2">
      <c r="A1700" s="8">
        <v>1699</v>
      </c>
      <c r="B1700" s="8">
        <f t="shared" si="54"/>
        <v>2022</v>
      </c>
      <c r="C1700" s="8">
        <f t="shared" si="55"/>
        <v>6</v>
      </c>
      <c r="D1700" s="85">
        <v>44734</v>
      </c>
      <c r="E1700" s="31">
        <v>0</v>
      </c>
      <c r="F1700" s="31">
        <v>20000</v>
      </c>
      <c r="G1700" s="31">
        <v>0</v>
      </c>
      <c r="H1700" s="31">
        <v>0</v>
      </c>
      <c r="I1700" s="31" t="s">
        <v>85</v>
      </c>
      <c r="J1700" s="5" t="s">
        <v>1245</v>
      </c>
      <c r="K1700" s="8"/>
    </row>
    <row r="1701" spans="1:11" x14ac:dyDescent="0.2">
      <c r="A1701" s="8">
        <v>1700</v>
      </c>
      <c r="B1701" s="8">
        <f t="shared" si="54"/>
        <v>2022</v>
      </c>
      <c r="C1701" s="8">
        <f t="shared" si="55"/>
        <v>6</v>
      </c>
      <c r="D1701" s="85">
        <v>44735</v>
      </c>
      <c r="E1701" s="31">
        <v>0</v>
      </c>
      <c r="F1701" s="31">
        <v>20000</v>
      </c>
      <c r="G1701" s="31">
        <v>0</v>
      </c>
      <c r="H1701" s="31">
        <v>0</v>
      </c>
      <c r="I1701" s="31" t="s">
        <v>85</v>
      </c>
      <c r="J1701" s="5" t="s">
        <v>1245</v>
      </c>
      <c r="K1701" s="8"/>
    </row>
    <row r="1702" spans="1:11" x14ac:dyDescent="0.2">
      <c r="A1702" s="8">
        <v>1701</v>
      </c>
      <c r="B1702" s="8">
        <f t="shared" si="54"/>
        <v>2022</v>
      </c>
      <c r="C1702" s="8">
        <f t="shared" si="55"/>
        <v>6</v>
      </c>
      <c r="D1702" s="85">
        <v>44736</v>
      </c>
      <c r="E1702" s="31">
        <v>0</v>
      </c>
      <c r="F1702" s="31">
        <v>20000</v>
      </c>
      <c r="G1702" s="31">
        <v>0</v>
      </c>
      <c r="H1702" s="31">
        <v>0</v>
      </c>
      <c r="I1702" s="31" t="s">
        <v>85</v>
      </c>
      <c r="J1702" s="5" t="s">
        <v>1245</v>
      </c>
      <c r="K1702" s="8"/>
    </row>
    <row r="1703" spans="1:11" x14ac:dyDescent="0.2">
      <c r="A1703" s="8">
        <v>1702</v>
      </c>
      <c r="B1703" s="8">
        <f t="shared" si="54"/>
        <v>2022</v>
      </c>
      <c r="C1703" s="8">
        <f t="shared" si="55"/>
        <v>6</v>
      </c>
      <c r="D1703" s="85">
        <v>44737</v>
      </c>
      <c r="E1703" s="31">
        <v>0</v>
      </c>
      <c r="F1703" s="31">
        <v>20000</v>
      </c>
      <c r="G1703" s="31">
        <v>0</v>
      </c>
      <c r="H1703" s="31">
        <v>0</v>
      </c>
      <c r="I1703" s="31" t="s">
        <v>85</v>
      </c>
      <c r="J1703" s="5" t="s">
        <v>1245</v>
      </c>
      <c r="K1703" s="8"/>
    </row>
    <row r="1704" spans="1:11" x14ac:dyDescent="0.2">
      <c r="A1704" s="8">
        <v>1703</v>
      </c>
      <c r="B1704" s="8">
        <f t="shared" si="54"/>
        <v>2022</v>
      </c>
      <c r="C1704" s="8">
        <f t="shared" si="55"/>
        <v>6</v>
      </c>
      <c r="D1704" s="85">
        <v>44738</v>
      </c>
      <c r="E1704" s="31">
        <v>0</v>
      </c>
      <c r="F1704" s="31">
        <v>20000</v>
      </c>
      <c r="G1704" s="31">
        <v>0</v>
      </c>
      <c r="H1704" s="31">
        <v>0</v>
      </c>
      <c r="I1704" s="31" t="s">
        <v>85</v>
      </c>
      <c r="J1704" s="5" t="s">
        <v>1245</v>
      </c>
      <c r="K1704" s="8"/>
    </row>
    <row r="1705" spans="1:11" x14ac:dyDescent="0.2">
      <c r="A1705" s="8">
        <v>1704</v>
      </c>
      <c r="B1705" s="8">
        <f t="shared" si="54"/>
        <v>2022</v>
      </c>
      <c r="C1705" s="8">
        <f t="shared" si="55"/>
        <v>6</v>
      </c>
      <c r="D1705" s="85">
        <v>44739</v>
      </c>
      <c r="E1705" s="31">
        <v>0</v>
      </c>
      <c r="F1705" s="31">
        <v>20000</v>
      </c>
      <c r="G1705" s="31">
        <v>0</v>
      </c>
      <c r="H1705" s="31">
        <v>0</v>
      </c>
      <c r="I1705" s="31" t="s">
        <v>85</v>
      </c>
      <c r="J1705" s="5" t="s">
        <v>1245</v>
      </c>
      <c r="K1705" s="8"/>
    </row>
    <row r="1706" spans="1:11" x14ac:dyDescent="0.2">
      <c r="A1706" s="8">
        <v>1705</v>
      </c>
      <c r="B1706" s="8">
        <f t="shared" si="54"/>
        <v>2022</v>
      </c>
      <c r="C1706" s="8">
        <f t="shared" si="55"/>
        <v>6</v>
      </c>
      <c r="D1706" s="85">
        <v>44740</v>
      </c>
      <c r="E1706" s="31">
        <v>0</v>
      </c>
      <c r="F1706" s="31">
        <v>210000</v>
      </c>
      <c r="G1706" s="31">
        <v>0</v>
      </c>
      <c r="H1706" s="31">
        <v>0</v>
      </c>
      <c r="I1706" s="31" t="s">
        <v>85</v>
      </c>
      <c r="J1706" s="5" t="s">
        <v>1495</v>
      </c>
      <c r="K1706" s="8"/>
    </row>
    <row r="1707" spans="1:11" x14ac:dyDescent="0.2">
      <c r="A1707" s="8">
        <v>1706</v>
      </c>
      <c r="B1707" s="8">
        <f t="shared" si="54"/>
        <v>2022</v>
      </c>
      <c r="C1707" s="8">
        <f t="shared" si="55"/>
        <v>6</v>
      </c>
      <c r="D1707" s="85">
        <v>44740</v>
      </c>
      <c r="E1707" s="31">
        <v>0</v>
      </c>
      <c r="F1707" s="31">
        <v>86000</v>
      </c>
      <c r="G1707" s="31">
        <v>0</v>
      </c>
      <c r="H1707" s="31">
        <v>0</v>
      </c>
      <c r="I1707" s="31" t="s">
        <v>571</v>
      </c>
      <c r="J1707" s="5" t="s">
        <v>1496</v>
      </c>
      <c r="K1707" s="8"/>
    </row>
    <row r="1708" spans="1:11" x14ac:dyDescent="0.2">
      <c r="A1708" s="8">
        <v>1707</v>
      </c>
      <c r="B1708" s="8">
        <f t="shared" si="54"/>
        <v>2022</v>
      </c>
      <c r="C1708" s="8">
        <f t="shared" si="55"/>
        <v>6</v>
      </c>
      <c r="D1708" s="85">
        <v>44740</v>
      </c>
      <c r="E1708" s="31">
        <v>0</v>
      </c>
      <c r="F1708" s="31">
        <v>17000</v>
      </c>
      <c r="G1708" s="31">
        <v>0</v>
      </c>
      <c r="H1708" s="31">
        <v>0</v>
      </c>
      <c r="I1708" s="31" t="s">
        <v>88</v>
      </c>
      <c r="J1708" s="5" t="s">
        <v>151</v>
      </c>
      <c r="K1708" s="8"/>
    </row>
    <row r="1709" spans="1:11" x14ac:dyDescent="0.2">
      <c r="A1709" s="8">
        <v>1708</v>
      </c>
      <c r="B1709" s="8">
        <f t="shared" si="54"/>
        <v>2022</v>
      </c>
      <c r="C1709" s="8">
        <f t="shared" si="55"/>
        <v>6</v>
      </c>
      <c r="D1709" s="85">
        <v>44741</v>
      </c>
      <c r="E1709" s="31">
        <v>0</v>
      </c>
      <c r="F1709" s="31">
        <v>98000</v>
      </c>
      <c r="G1709" s="31">
        <v>0</v>
      </c>
      <c r="H1709" s="31">
        <v>0</v>
      </c>
      <c r="I1709" s="31" t="s">
        <v>1350</v>
      </c>
      <c r="J1709" s="5" t="s">
        <v>1497</v>
      </c>
      <c r="K1709" s="8"/>
    </row>
    <row r="1710" spans="1:11" x14ac:dyDescent="0.2">
      <c r="A1710" s="8">
        <v>1709</v>
      </c>
      <c r="B1710" s="8">
        <f t="shared" si="54"/>
        <v>2022</v>
      </c>
      <c r="C1710" s="8">
        <f t="shared" si="55"/>
        <v>6</v>
      </c>
      <c r="D1710" s="85">
        <v>44741</v>
      </c>
      <c r="E1710" s="31">
        <v>0</v>
      </c>
      <c r="F1710" s="31">
        <v>219000</v>
      </c>
      <c r="G1710" s="31">
        <v>0</v>
      </c>
      <c r="H1710" s="31">
        <v>0</v>
      </c>
      <c r="I1710" s="31" t="s">
        <v>571</v>
      </c>
      <c r="J1710" s="5" t="s">
        <v>1498</v>
      </c>
      <c r="K1710" s="8"/>
    </row>
    <row r="1711" spans="1:11" x14ac:dyDescent="0.2">
      <c r="A1711" s="8">
        <v>1710</v>
      </c>
      <c r="B1711" s="8">
        <f t="shared" si="54"/>
        <v>2022</v>
      </c>
      <c r="C1711" s="8">
        <f t="shared" si="55"/>
        <v>6</v>
      </c>
      <c r="D1711" s="85">
        <v>44741</v>
      </c>
      <c r="E1711" s="31">
        <v>0</v>
      </c>
      <c r="F1711" s="31">
        <v>0</v>
      </c>
      <c r="G1711" s="31">
        <v>0</v>
      </c>
      <c r="H1711" s="31">
        <v>42000</v>
      </c>
      <c r="I1711" s="31" t="s">
        <v>1377</v>
      </c>
      <c r="J1711" s="5" t="s">
        <v>1499</v>
      </c>
      <c r="K1711" s="8"/>
    </row>
    <row r="1712" spans="1:11" x14ac:dyDescent="0.2">
      <c r="A1712" s="8">
        <v>1711</v>
      </c>
      <c r="B1712" s="8">
        <f t="shared" si="54"/>
        <v>2022</v>
      </c>
      <c r="C1712" s="8">
        <f t="shared" si="55"/>
        <v>6</v>
      </c>
      <c r="D1712" s="85">
        <v>44741</v>
      </c>
      <c r="E1712" s="31">
        <v>0</v>
      </c>
      <c r="F1712" s="31">
        <v>7000</v>
      </c>
      <c r="G1712" s="31">
        <v>0</v>
      </c>
      <c r="H1712" s="31">
        <v>0</v>
      </c>
      <c r="I1712" s="31" t="s">
        <v>1377</v>
      </c>
      <c r="J1712" s="5" t="s">
        <v>416</v>
      </c>
      <c r="K1712" s="8"/>
    </row>
    <row r="1713" spans="1:11" x14ac:dyDescent="0.2">
      <c r="A1713" s="8">
        <v>1712</v>
      </c>
      <c r="B1713" s="8">
        <f t="shared" si="54"/>
        <v>2022</v>
      </c>
      <c r="C1713" s="8">
        <f t="shared" si="55"/>
        <v>6</v>
      </c>
      <c r="D1713" s="85">
        <v>44741</v>
      </c>
      <c r="E1713" s="31">
        <v>0</v>
      </c>
      <c r="F1713" s="31">
        <v>20000</v>
      </c>
      <c r="G1713" s="31">
        <v>0</v>
      </c>
      <c r="H1713" s="31">
        <v>0</v>
      </c>
      <c r="I1713" s="31" t="s">
        <v>85</v>
      </c>
      <c r="J1713" s="5" t="s">
        <v>1500</v>
      </c>
      <c r="K1713" s="8"/>
    </row>
    <row r="1714" spans="1:11" x14ac:dyDescent="0.2">
      <c r="A1714" s="8">
        <v>1713</v>
      </c>
      <c r="B1714" s="8">
        <f t="shared" si="54"/>
        <v>2022</v>
      </c>
      <c r="C1714" s="8">
        <f t="shared" si="55"/>
        <v>6</v>
      </c>
      <c r="D1714" s="85">
        <v>44741</v>
      </c>
      <c r="E1714" s="31">
        <v>200000</v>
      </c>
      <c r="F1714" s="31">
        <v>0</v>
      </c>
      <c r="G1714" s="31">
        <v>0</v>
      </c>
      <c r="H1714" s="31">
        <v>0</v>
      </c>
      <c r="I1714" s="31" t="s">
        <v>109</v>
      </c>
      <c r="J1714" s="5" t="s">
        <v>1501</v>
      </c>
      <c r="K1714" s="8"/>
    </row>
    <row r="1715" spans="1:11" x14ac:dyDescent="0.2">
      <c r="A1715" s="8">
        <v>1714</v>
      </c>
      <c r="B1715" s="8">
        <f t="shared" si="54"/>
        <v>2022</v>
      </c>
      <c r="C1715" s="8">
        <f t="shared" si="55"/>
        <v>7</v>
      </c>
      <c r="D1715" s="85">
        <v>44745</v>
      </c>
      <c r="E1715" s="31">
        <v>0</v>
      </c>
      <c r="F1715" s="31">
        <v>1100000</v>
      </c>
      <c r="G1715" s="31">
        <v>0</v>
      </c>
      <c r="H1715" s="31">
        <v>0</v>
      </c>
      <c r="I1715" s="31" t="s">
        <v>99</v>
      </c>
      <c r="J1715" s="5" t="s">
        <v>1502</v>
      </c>
      <c r="K1715" s="8"/>
    </row>
    <row r="1716" spans="1:11" x14ac:dyDescent="0.2">
      <c r="A1716" s="8">
        <v>1715</v>
      </c>
      <c r="B1716" s="8">
        <f t="shared" si="54"/>
        <v>2022</v>
      </c>
      <c r="C1716" s="8">
        <f t="shared" si="55"/>
        <v>7</v>
      </c>
      <c r="D1716" s="85">
        <v>44748</v>
      </c>
      <c r="E1716" s="31">
        <v>0</v>
      </c>
      <c r="F1716" s="31">
        <v>625000</v>
      </c>
      <c r="G1716" s="31">
        <v>0</v>
      </c>
      <c r="H1716" s="31">
        <v>0</v>
      </c>
      <c r="I1716" s="31" t="s">
        <v>85</v>
      </c>
      <c r="J1716" s="5" t="s">
        <v>768</v>
      </c>
      <c r="K1716" s="8"/>
    </row>
    <row r="1717" spans="1:11" x14ac:dyDescent="0.2">
      <c r="A1717" s="8">
        <v>1716</v>
      </c>
      <c r="B1717" s="8">
        <f t="shared" si="54"/>
        <v>2022</v>
      </c>
      <c r="C1717" s="8">
        <f t="shared" si="55"/>
        <v>7</v>
      </c>
      <c r="D1717" s="85">
        <v>44748</v>
      </c>
      <c r="E1717" s="31">
        <v>160000</v>
      </c>
      <c r="F1717" s="31">
        <v>0</v>
      </c>
      <c r="G1717" s="31">
        <v>0</v>
      </c>
      <c r="H1717" s="31">
        <v>0</v>
      </c>
      <c r="I1717" s="31" t="s">
        <v>109</v>
      </c>
      <c r="J1717" s="5" t="s">
        <v>1503</v>
      </c>
      <c r="K1717" s="8"/>
    </row>
    <row r="1718" spans="1:11" x14ac:dyDescent="0.2">
      <c r="A1718" s="8">
        <v>1717</v>
      </c>
      <c r="B1718" s="8">
        <f t="shared" si="54"/>
        <v>2022</v>
      </c>
      <c r="C1718" s="8">
        <f t="shared" si="55"/>
        <v>7</v>
      </c>
      <c r="D1718" s="85">
        <v>44749</v>
      </c>
      <c r="E1718" s="31">
        <v>0</v>
      </c>
      <c r="F1718" s="31">
        <v>105000</v>
      </c>
      <c r="G1718" s="31">
        <v>0</v>
      </c>
      <c r="H1718" s="31">
        <v>0</v>
      </c>
      <c r="I1718" s="31" t="s">
        <v>299</v>
      </c>
      <c r="J1718" s="65" t="s">
        <v>299</v>
      </c>
      <c r="K1718" s="8"/>
    </row>
    <row r="1719" spans="1:11" x14ac:dyDescent="0.2">
      <c r="A1719" s="8">
        <v>1718</v>
      </c>
      <c r="B1719" s="8">
        <f t="shared" si="54"/>
        <v>2022</v>
      </c>
      <c r="C1719" s="8">
        <f t="shared" si="55"/>
        <v>7</v>
      </c>
      <c r="D1719" s="85">
        <v>44749</v>
      </c>
      <c r="E1719" s="31">
        <v>0</v>
      </c>
      <c r="F1719" s="31">
        <v>0</v>
      </c>
      <c r="G1719" s="31">
        <v>0</v>
      </c>
      <c r="H1719" s="31">
        <v>122000</v>
      </c>
      <c r="I1719" s="31" t="s">
        <v>1377</v>
      </c>
      <c r="J1719" s="5" t="s">
        <v>1504</v>
      </c>
      <c r="K1719" s="8"/>
    </row>
    <row r="1720" spans="1:11" x14ac:dyDescent="0.2">
      <c r="A1720" s="8">
        <v>1719</v>
      </c>
      <c r="B1720" s="8">
        <f t="shared" si="54"/>
        <v>2022</v>
      </c>
      <c r="C1720" s="8">
        <f t="shared" si="55"/>
        <v>7</v>
      </c>
      <c r="D1720" s="85">
        <v>44749</v>
      </c>
      <c r="E1720" s="31">
        <v>0</v>
      </c>
      <c r="F1720" s="31">
        <v>175000</v>
      </c>
      <c r="G1720" s="31">
        <v>0</v>
      </c>
      <c r="H1720" s="31">
        <v>0</v>
      </c>
      <c r="I1720" s="31" t="s">
        <v>85</v>
      </c>
      <c r="J1720" s="5" t="s">
        <v>1505</v>
      </c>
      <c r="K1720" s="8"/>
    </row>
    <row r="1721" spans="1:11" x14ac:dyDescent="0.2">
      <c r="A1721" s="8">
        <v>1720</v>
      </c>
      <c r="B1721" s="8">
        <f t="shared" si="54"/>
        <v>2022</v>
      </c>
      <c r="C1721" s="8">
        <f t="shared" si="55"/>
        <v>7</v>
      </c>
      <c r="D1721" s="85">
        <v>44750</v>
      </c>
      <c r="E1721" s="31">
        <v>0</v>
      </c>
      <c r="F1721" s="31">
        <v>0</v>
      </c>
      <c r="G1721" s="31">
        <v>0</v>
      </c>
      <c r="H1721" s="31">
        <v>200000</v>
      </c>
      <c r="I1721" s="31" t="s">
        <v>74</v>
      </c>
      <c r="J1721" s="65" t="s">
        <v>1506</v>
      </c>
      <c r="K1721" s="8"/>
    </row>
    <row r="1722" spans="1:11" x14ac:dyDescent="0.2">
      <c r="A1722" s="8">
        <v>1721</v>
      </c>
      <c r="B1722" s="8">
        <f t="shared" si="54"/>
        <v>2022</v>
      </c>
      <c r="C1722" s="8">
        <f t="shared" si="55"/>
        <v>7</v>
      </c>
      <c r="D1722" s="85">
        <v>44750</v>
      </c>
      <c r="E1722" s="31">
        <v>0</v>
      </c>
      <c r="F1722" s="31">
        <v>0</v>
      </c>
      <c r="G1722" s="31">
        <v>0</v>
      </c>
      <c r="H1722" s="31">
        <v>200000</v>
      </c>
      <c r="I1722" s="31" t="s">
        <v>74</v>
      </c>
      <c r="J1722" s="65" t="s">
        <v>1507</v>
      </c>
      <c r="K1722" s="8"/>
    </row>
    <row r="1723" spans="1:11" x14ac:dyDescent="0.2">
      <c r="A1723" s="8">
        <v>1722</v>
      </c>
      <c r="B1723" s="8">
        <f t="shared" si="54"/>
        <v>2022</v>
      </c>
      <c r="C1723" s="8">
        <f t="shared" si="55"/>
        <v>7</v>
      </c>
      <c r="D1723" s="85">
        <v>44750</v>
      </c>
      <c r="E1723" s="31">
        <v>0</v>
      </c>
      <c r="F1723" s="31">
        <v>0</v>
      </c>
      <c r="G1723" s="31">
        <v>0</v>
      </c>
      <c r="H1723" s="31">
        <v>510000</v>
      </c>
      <c r="I1723" s="31" t="s">
        <v>74</v>
      </c>
      <c r="J1723" s="65" t="s">
        <v>1508</v>
      </c>
      <c r="K1723" s="8"/>
    </row>
    <row r="1724" spans="1:11" x14ac:dyDescent="0.2">
      <c r="A1724" s="8">
        <v>1723</v>
      </c>
      <c r="B1724" s="8">
        <f t="shared" si="54"/>
        <v>2022</v>
      </c>
      <c r="C1724" s="8">
        <f t="shared" si="55"/>
        <v>7</v>
      </c>
      <c r="D1724" s="85">
        <v>44750</v>
      </c>
      <c r="E1724" s="31">
        <v>0</v>
      </c>
      <c r="F1724" s="31">
        <v>0</v>
      </c>
      <c r="G1724" s="31">
        <v>0</v>
      </c>
      <c r="H1724" s="31">
        <v>60000</v>
      </c>
      <c r="I1724" s="31" t="s">
        <v>74</v>
      </c>
      <c r="J1724" s="65" t="s">
        <v>1509</v>
      </c>
      <c r="K1724" s="8"/>
    </row>
    <row r="1725" spans="1:11" x14ac:dyDescent="0.2">
      <c r="A1725" s="8">
        <v>1724</v>
      </c>
      <c r="B1725" s="8">
        <f t="shared" si="54"/>
        <v>2022</v>
      </c>
      <c r="C1725" s="8">
        <f t="shared" si="55"/>
        <v>7</v>
      </c>
      <c r="D1725" s="85">
        <v>44750</v>
      </c>
      <c r="E1725" s="31">
        <v>1500000</v>
      </c>
      <c r="F1725" s="31">
        <v>0</v>
      </c>
      <c r="G1725" s="31">
        <v>0</v>
      </c>
      <c r="H1725" s="31">
        <v>0</v>
      </c>
      <c r="I1725" s="31" t="s">
        <v>109</v>
      </c>
      <c r="J1725" s="5" t="s">
        <v>1510</v>
      </c>
      <c r="K1725" s="8"/>
    </row>
    <row r="1726" spans="1:11" x14ac:dyDescent="0.2">
      <c r="A1726" s="8">
        <v>1725</v>
      </c>
      <c r="B1726" s="8">
        <f t="shared" si="54"/>
        <v>2022</v>
      </c>
      <c r="C1726" s="8">
        <f t="shared" si="55"/>
        <v>7</v>
      </c>
      <c r="D1726" s="85">
        <v>44751</v>
      </c>
      <c r="E1726" s="31">
        <v>0</v>
      </c>
      <c r="F1726" s="31">
        <v>100000</v>
      </c>
      <c r="G1726" s="31">
        <v>0</v>
      </c>
      <c r="H1726" s="31">
        <v>0</v>
      </c>
      <c r="I1726" s="31" t="s">
        <v>99</v>
      </c>
      <c r="J1726" s="54" t="s">
        <v>1511</v>
      </c>
      <c r="K1726" s="8"/>
    </row>
    <row r="1727" spans="1:11" x14ac:dyDescent="0.2">
      <c r="A1727" s="8">
        <v>1726</v>
      </c>
      <c r="B1727" s="8">
        <f t="shared" si="54"/>
        <v>2022</v>
      </c>
      <c r="C1727" s="8">
        <f t="shared" si="55"/>
        <v>7</v>
      </c>
      <c r="D1727" s="85">
        <v>44751</v>
      </c>
      <c r="E1727" s="31">
        <v>0</v>
      </c>
      <c r="F1727" s="31">
        <v>50000</v>
      </c>
      <c r="G1727" s="31">
        <v>0</v>
      </c>
      <c r="H1727" s="31">
        <v>0</v>
      </c>
      <c r="I1727" s="31" t="s">
        <v>88</v>
      </c>
      <c r="J1727" s="5" t="s">
        <v>300</v>
      </c>
      <c r="K1727" s="8"/>
    </row>
    <row r="1728" spans="1:11" x14ac:dyDescent="0.2">
      <c r="A1728" s="8">
        <v>1727</v>
      </c>
      <c r="B1728" s="8">
        <f t="shared" si="54"/>
        <v>2022</v>
      </c>
      <c r="C1728" s="8">
        <f t="shared" si="55"/>
        <v>7</v>
      </c>
      <c r="D1728" s="85">
        <v>44751</v>
      </c>
      <c r="E1728" s="31">
        <v>0</v>
      </c>
      <c r="F1728" s="31">
        <v>120000</v>
      </c>
      <c r="G1728" s="31">
        <v>0</v>
      </c>
      <c r="H1728" s="31">
        <v>0</v>
      </c>
      <c r="I1728" s="31" t="s">
        <v>1255</v>
      </c>
      <c r="J1728" s="5" t="s">
        <v>1512</v>
      </c>
      <c r="K1728" s="8"/>
    </row>
    <row r="1729" spans="1:11" x14ac:dyDescent="0.2">
      <c r="A1729" s="8">
        <v>1728</v>
      </c>
      <c r="B1729" s="8">
        <f t="shared" si="54"/>
        <v>2022</v>
      </c>
      <c r="C1729" s="8">
        <f t="shared" si="55"/>
        <v>7</v>
      </c>
      <c r="D1729" s="85">
        <v>44751</v>
      </c>
      <c r="E1729" s="31">
        <v>0</v>
      </c>
      <c r="F1729" s="31">
        <v>0</v>
      </c>
      <c r="G1729" s="31">
        <v>0</v>
      </c>
      <c r="H1729" s="31">
        <v>50000</v>
      </c>
      <c r="I1729" s="31" t="s">
        <v>74</v>
      </c>
      <c r="J1729" s="5" t="s">
        <v>1513</v>
      </c>
      <c r="K1729" s="8"/>
    </row>
    <row r="1730" spans="1:11" x14ac:dyDescent="0.2">
      <c r="A1730" s="8">
        <v>1729</v>
      </c>
      <c r="B1730" s="8">
        <f t="shared" si="54"/>
        <v>2022</v>
      </c>
      <c r="C1730" s="8">
        <f t="shared" si="55"/>
        <v>7</v>
      </c>
      <c r="D1730" s="85">
        <v>44752</v>
      </c>
      <c r="E1730" s="31">
        <v>0</v>
      </c>
      <c r="F1730" s="31">
        <v>400000</v>
      </c>
      <c r="G1730" s="31">
        <v>0</v>
      </c>
      <c r="H1730" s="31">
        <v>0</v>
      </c>
      <c r="I1730" s="31" t="s">
        <v>1350</v>
      </c>
      <c r="J1730" s="5" t="s">
        <v>1387</v>
      </c>
      <c r="K1730" s="8"/>
    </row>
    <row r="1731" spans="1:11" x14ac:dyDescent="0.2">
      <c r="A1731" s="8">
        <v>1730</v>
      </c>
      <c r="B1731" s="8">
        <f t="shared" si="54"/>
        <v>2022</v>
      </c>
      <c r="C1731" s="8">
        <f t="shared" si="55"/>
        <v>7</v>
      </c>
      <c r="D1731" s="85">
        <v>44757</v>
      </c>
      <c r="E1731" s="31">
        <v>0</v>
      </c>
      <c r="F1731" s="31">
        <v>850000</v>
      </c>
      <c r="G1731" s="31">
        <v>0</v>
      </c>
      <c r="H1731" s="31">
        <v>0</v>
      </c>
      <c r="I1731" s="31" t="s">
        <v>99</v>
      </c>
      <c r="J1731" s="5" t="s">
        <v>1514</v>
      </c>
      <c r="K1731" s="8"/>
    </row>
    <row r="1732" spans="1:11" x14ac:dyDescent="0.2">
      <c r="A1732" s="8">
        <v>1731</v>
      </c>
      <c r="B1732" s="8">
        <f t="shared" si="54"/>
        <v>2022</v>
      </c>
      <c r="C1732" s="8">
        <f t="shared" si="55"/>
        <v>7</v>
      </c>
      <c r="D1732" s="85">
        <v>44758</v>
      </c>
      <c r="E1732" s="31">
        <v>0</v>
      </c>
      <c r="F1732" s="31">
        <v>25000</v>
      </c>
      <c r="G1732" s="31">
        <v>0</v>
      </c>
      <c r="H1732" s="31">
        <v>0</v>
      </c>
      <c r="I1732" s="31" t="s">
        <v>1350</v>
      </c>
      <c r="J1732" s="5" t="s">
        <v>1515</v>
      </c>
      <c r="K1732" s="8"/>
    </row>
    <row r="1733" spans="1:11" x14ac:dyDescent="0.2">
      <c r="A1733" s="8">
        <v>1732</v>
      </c>
      <c r="B1733" s="8">
        <f t="shared" si="54"/>
        <v>2022</v>
      </c>
      <c r="C1733" s="8">
        <f t="shared" si="55"/>
        <v>7</v>
      </c>
      <c r="D1733" s="85">
        <v>44758</v>
      </c>
      <c r="E1733" s="31">
        <v>0</v>
      </c>
      <c r="F1733" s="31">
        <v>150000</v>
      </c>
      <c r="G1733" s="31">
        <v>0</v>
      </c>
      <c r="H1733" s="31">
        <v>0</v>
      </c>
      <c r="I1733" s="31" t="s">
        <v>390</v>
      </c>
      <c r="J1733" s="5" t="s">
        <v>1516</v>
      </c>
      <c r="K1733" s="8"/>
    </row>
    <row r="1734" spans="1:11" x14ac:dyDescent="0.2">
      <c r="A1734" s="8">
        <v>1733</v>
      </c>
      <c r="B1734" s="8">
        <f t="shared" ref="B1734:B1797" si="56">YEAR(D1734)</f>
        <v>2022</v>
      </c>
      <c r="C1734" s="8">
        <f t="shared" ref="C1734:C1797" si="57">MONTH(D1734)</f>
        <v>7</v>
      </c>
      <c r="D1734" s="85">
        <v>44757</v>
      </c>
      <c r="E1734" s="31">
        <v>0</v>
      </c>
      <c r="F1734" s="31">
        <v>150000</v>
      </c>
      <c r="G1734" s="31">
        <v>0</v>
      </c>
      <c r="H1734" s="31">
        <v>0</v>
      </c>
      <c r="I1734" s="31" t="s">
        <v>92</v>
      </c>
      <c r="J1734" s="5" t="s">
        <v>1517</v>
      </c>
      <c r="K1734" s="8"/>
    </row>
    <row r="1735" spans="1:11" x14ac:dyDescent="0.2">
      <c r="A1735" s="8">
        <v>1734</v>
      </c>
      <c r="B1735" s="8">
        <f t="shared" si="56"/>
        <v>2022</v>
      </c>
      <c r="C1735" s="8">
        <f t="shared" si="57"/>
        <v>7</v>
      </c>
      <c r="D1735" s="85">
        <v>44757</v>
      </c>
      <c r="E1735" s="31">
        <v>0</v>
      </c>
      <c r="F1735" s="31">
        <v>0</v>
      </c>
      <c r="G1735" s="31">
        <v>0</v>
      </c>
      <c r="H1735" s="31">
        <v>0</v>
      </c>
      <c r="I1735" s="31" t="s">
        <v>92</v>
      </c>
      <c r="J1735" s="5" t="s">
        <v>1518</v>
      </c>
      <c r="K1735" s="8"/>
    </row>
    <row r="1736" spans="1:11" x14ac:dyDescent="0.2">
      <c r="A1736" s="8">
        <v>1735</v>
      </c>
      <c r="B1736" s="8">
        <f t="shared" si="56"/>
        <v>2022</v>
      </c>
      <c r="C1736" s="8">
        <f t="shared" si="57"/>
        <v>7</v>
      </c>
      <c r="D1736" s="85">
        <v>44758</v>
      </c>
      <c r="E1736" s="31">
        <v>0</v>
      </c>
      <c r="F1736" s="31">
        <v>0</v>
      </c>
      <c r="G1736" s="31"/>
      <c r="H1736" s="31">
        <v>0</v>
      </c>
      <c r="I1736" s="31" t="s">
        <v>92</v>
      </c>
      <c r="J1736" s="5" t="s">
        <v>1519</v>
      </c>
      <c r="K1736" s="8"/>
    </row>
    <row r="1737" spans="1:11" x14ac:dyDescent="0.2">
      <c r="A1737" s="8">
        <v>1736</v>
      </c>
      <c r="B1737" s="8">
        <f t="shared" si="56"/>
        <v>2022</v>
      </c>
      <c r="C1737" s="8">
        <f t="shared" si="57"/>
        <v>7</v>
      </c>
      <c r="D1737" s="85">
        <v>44759</v>
      </c>
      <c r="E1737" s="31">
        <v>0</v>
      </c>
      <c r="F1737" s="31">
        <v>30000</v>
      </c>
      <c r="G1737" s="31">
        <v>0</v>
      </c>
      <c r="H1737" s="31">
        <v>0</v>
      </c>
      <c r="I1737" s="31" t="s">
        <v>88</v>
      </c>
      <c r="J1737" s="5" t="s">
        <v>356</v>
      </c>
      <c r="K1737" s="8"/>
    </row>
    <row r="1738" spans="1:11" x14ac:dyDescent="0.2">
      <c r="A1738" s="8">
        <v>1737</v>
      </c>
      <c r="B1738" s="8">
        <f t="shared" si="56"/>
        <v>2022</v>
      </c>
      <c r="C1738" s="8">
        <f t="shared" si="57"/>
        <v>7</v>
      </c>
      <c r="D1738" s="85">
        <v>44764</v>
      </c>
      <c r="E1738" s="31">
        <v>0</v>
      </c>
      <c r="F1738" s="31">
        <v>0</v>
      </c>
      <c r="G1738" s="31">
        <v>0</v>
      </c>
      <c r="H1738" s="31">
        <v>100000</v>
      </c>
      <c r="I1738" s="31" t="s">
        <v>74</v>
      </c>
      <c r="J1738" s="5" t="s">
        <v>1520</v>
      </c>
      <c r="K1738" s="8"/>
    </row>
    <row r="1739" spans="1:11" x14ac:dyDescent="0.2">
      <c r="A1739" s="8">
        <v>1738</v>
      </c>
      <c r="B1739" s="8">
        <f t="shared" si="56"/>
        <v>2022</v>
      </c>
      <c r="C1739" s="8">
        <f t="shared" si="57"/>
        <v>7</v>
      </c>
      <c r="D1739" s="85">
        <v>44763</v>
      </c>
      <c r="E1739" s="31">
        <v>0</v>
      </c>
      <c r="F1739" s="31">
        <v>110000</v>
      </c>
      <c r="G1739" s="31">
        <v>0</v>
      </c>
      <c r="H1739" s="31">
        <v>0</v>
      </c>
      <c r="I1739" s="31" t="s">
        <v>299</v>
      </c>
      <c r="J1739" s="5" t="s">
        <v>299</v>
      </c>
      <c r="K1739" s="8"/>
    </row>
    <row r="1740" spans="1:11" x14ac:dyDescent="0.2">
      <c r="A1740" s="8">
        <v>1739</v>
      </c>
      <c r="B1740" s="8">
        <f t="shared" si="56"/>
        <v>2022</v>
      </c>
      <c r="C1740" s="8">
        <f t="shared" si="57"/>
        <v>7</v>
      </c>
      <c r="D1740" s="85">
        <v>44764</v>
      </c>
      <c r="E1740" s="31">
        <v>0</v>
      </c>
      <c r="F1740" s="31">
        <v>80000</v>
      </c>
      <c r="G1740" s="31">
        <v>0</v>
      </c>
      <c r="H1740" s="31">
        <v>0</v>
      </c>
      <c r="I1740" s="31" t="s">
        <v>1255</v>
      </c>
      <c r="J1740" s="5" t="s">
        <v>1521</v>
      </c>
      <c r="K1740" s="8"/>
    </row>
    <row r="1741" spans="1:11" x14ac:dyDescent="0.2">
      <c r="A1741" s="8">
        <v>1740</v>
      </c>
      <c r="B1741" s="8">
        <f t="shared" si="56"/>
        <v>2022</v>
      </c>
      <c r="C1741" s="8">
        <f t="shared" si="57"/>
        <v>7</v>
      </c>
      <c r="D1741" s="85">
        <v>44759</v>
      </c>
      <c r="E1741" s="31">
        <v>0</v>
      </c>
      <c r="F1741" s="31">
        <v>600000</v>
      </c>
      <c r="G1741" s="31">
        <v>0</v>
      </c>
      <c r="H1741" s="31">
        <v>0</v>
      </c>
      <c r="I1741" s="31" t="s">
        <v>316</v>
      </c>
      <c r="J1741" s="5" t="s">
        <v>1522</v>
      </c>
      <c r="K1741" s="8"/>
    </row>
    <row r="1742" spans="1:11" x14ac:dyDescent="0.2">
      <c r="A1742" s="8">
        <v>1741</v>
      </c>
      <c r="B1742" s="8">
        <f t="shared" si="56"/>
        <v>2022</v>
      </c>
      <c r="C1742" s="8">
        <f t="shared" si="57"/>
        <v>7</v>
      </c>
      <c r="D1742" s="85">
        <v>44771</v>
      </c>
      <c r="E1742" s="31">
        <v>0</v>
      </c>
      <c r="F1742" s="31">
        <v>0</v>
      </c>
      <c r="G1742" s="31">
        <v>0</v>
      </c>
      <c r="H1742" s="31">
        <v>12500</v>
      </c>
      <c r="I1742" s="31" t="s">
        <v>74</v>
      </c>
      <c r="J1742" s="5" t="s">
        <v>1523</v>
      </c>
      <c r="K1742" s="8"/>
    </row>
    <row r="1743" spans="1:11" x14ac:dyDescent="0.2">
      <c r="A1743" s="8">
        <v>1742</v>
      </c>
      <c r="B1743" s="8">
        <f t="shared" si="56"/>
        <v>2022</v>
      </c>
      <c r="C1743" s="8">
        <f t="shared" si="57"/>
        <v>7</v>
      </c>
      <c r="D1743" s="85">
        <v>44771</v>
      </c>
      <c r="E1743" s="31">
        <v>0</v>
      </c>
      <c r="F1743" s="31">
        <v>0</v>
      </c>
      <c r="G1743" s="31">
        <v>0</v>
      </c>
      <c r="H1743" s="31">
        <v>20000</v>
      </c>
      <c r="I1743" s="31" t="s">
        <v>74</v>
      </c>
      <c r="J1743" s="5" t="s">
        <v>1524</v>
      </c>
      <c r="K1743" s="8"/>
    </row>
    <row r="1744" spans="1:11" x14ac:dyDescent="0.2">
      <c r="A1744" s="8">
        <v>1743</v>
      </c>
      <c r="B1744" s="8">
        <f t="shared" si="56"/>
        <v>2022</v>
      </c>
      <c r="C1744" s="8">
        <f t="shared" si="57"/>
        <v>7</v>
      </c>
      <c r="D1744" s="85">
        <v>44771</v>
      </c>
      <c r="E1744" s="31">
        <v>0</v>
      </c>
      <c r="F1744" s="31">
        <v>0</v>
      </c>
      <c r="G1744" s="31">
        <v>0</v>
      </c>
      <c r="H1744" s="31">
        <v>12000</v>
      </c>
      <c r="I1744" s="31" t="s">
        <v>74</v>
      </c>
      <c r="J1744" s="5" t="s">
        <v>1525</v>
      </c>
      <c r="K1744" s="8"/>
    </row>
    <row r="1745" spans="1:11" x14ac:dyDescent="0.2">
      <c r="A1745" s="8">
        <v>1744</v>
      </c>
      <c r="B1745" s="8">
        <f t="shared" si="56"/>
        <v>2022</v>
      </c>
      <c r="C1745" s="8">
        <f t="shared" si="57"/>
        <v>7</v>
      </c>
      <c r="D1745" s="85">
        <v>44771</v>
      </c>
      <c r="E1745" s="31">
        <v>0</v>
      </c>
      <c r="F1745" s="31">
        <v>237000</v>
      </c>
      <c r="G1745" s="31">
        <v>0</v>
      </c>
      <c r="H1745" s="31">
        <v>0</v>
      </c>
      <c r="I1745" s="31" t="s">
        <v>571</v>
      </c>
      <c r="J1745" s="5" t="s">
        <v>1526</v>
      </c>
      <c r="K1745" s="8"/>
    </row>
    <row r="1746" spans="1:11" x14ac:dyDescent="0.2">
      <c r="A1746" s="8">
        <v>1745</v>
      </c>
      <c r="B1746" s="8">
        <f t="shared" si="56"/>
        <v>2022</v>
      </c>
      <c r="C1746" s="8">
        <f t="shared" si="57"/>
        <v>7</v>
      </c>
      <c r="D1746" s="85">
        <v>44771</v>
      </c>
      <c r="E1746" s="31">
        <v>0</v>
      </c>
      <c r="F1746" s="31">
        <v>0</v>
      </c>
      <c r="G1746" s="31">
        <v>0</v>
      </c>
      <c r="H1746" s="31">
        <v>200000</v>
      </c>
      <c r="I1746" s="31" t="s">
        <v>74</v>
      </c>
      <c r="J1746" s="5" t="s">
        <v>1527</v>
      </c>
      <c r="K1746" s="8"/>
    </row>
    <row r="1747" spans="1:11" x14ac:dyDescent="0.2">
      <c r="A1747" s="8">
        <v>1746</v>
      </c>
      <c r="B1747" s="8">
        <f t="shared" si="56"/>
        <v>2022</v>
      </c>
      <c r="C1747" s="8">
        <f t="shared" si="57"/>
        <v>7</v>
      </c>
      <c r="D1747" s="85">
        <v>44771</v>
      </c>
      <c r="E1747" s="31">
        <v>0</v>
      </c>
      <c r="F1747" s="31">
        <v>50000</v>
      </c>
      <c r="G1747" s="31">
        <v>0</v>
      </c>
      <c r="H1747" s="31">
        <v>0</v>
      </c>
      <c r="I1747" s="31" t="s">
        <v>1255</v>
      </c>
      <c r="J1747" s="5" t="s">
        <v>1528</v>
      </c>
      <c r="K1747" s="8"/>
    </row>
    <row r="1748" spans="1:11" x14ac:dyDescent="0.2">
      <c r="A1748" s="8">
        <v>1747</v>
      </c>
      <c r="B1748" s="8">
        <f t="shared" si="56"/>
        <v>2022</v>
      </c>
      <c r="C1748" s="8">
        <f t="shared" si="57"/>
        <v>7</v>
      </c>
      <c r="D1748" s="85">
        <v>44771</v>
      </c>
      <c r="E1748" s="31">
        <v>0</v>
      </c>
      <c r="F1748" s="31">
        <v>0</v>
      </c>
      <c r="G1748" s="31">
        <v>0</v>
      </c>
      <c r="H1748" s="31">
        <v>200000</v>
      </c>
      <c r="I1748" s="31" t="s">
        <v>74</v>
      </c>
      <c r="J1748" s="5" t="s">
        <v>1529</v>
      </c>
      <c r="K1748" s="8"/>
    </row>
    <row r="1749" spans="1:11" x14ac:dyDescent="0.2">
      <c r="A1749" s="8">
        <v>1748</v>
      </c>
      <c r="B1749" s="8">
        <f t="shared" si="56"/>
        <v>2022</v>
      </c>
      <c r="C1749" s="8">
        <f t="shared" si="57"/>
        <v>7</v>
      </c>
      <c r="D1749" s="85">
        <v>44771</v>
      </c>
      <c r="E1749" s="31">
        <v>0</v>
      </c>
      <c r="F1749" s="31">
        <v>150000</v>
      </c>
      <c r="G1749" s="31">
        <v>0</v>
      </c>
      <c r="H1749" s="31">
        <v>0</v>
      </c>
      <c r="I1749" s="31" t="s">
        <v>571</v>
      </c>
      <c r="J1749" s="5" t="s">
        <v>1530</v>
      </c>
      <c r="K1749" s="8"/>
    </row>
    <row r="1750" spans="1:11" x14ac:dyDescent="0.2">
      <c r="A1750" s="8">
        <v>1749</v>
      </c>
      <c r="B1750" s="8">
        <f t="shared" si="56"/>
        <v>2022</v>
      </c>
      <c r="C1750" s="8">
        <f t="shared" si="57"/>
        <v>8</v>
      </c>
      <c r="D1750" s="85">
        <v>44779</v>
      </c>
      <c r="E1750" s="31">
        <v>0</v>
      </c>
      <c r="F1750" s="31">
        <v>0</v>
      </c>
      <c r="G1750" s="31">
        <v>0</v>
      </c>
      <c r="H1750" s="31">
        <v>640000</v>
      </c>
      <c r="I1750" s="31" t="s">
        <v>74</v>
      </c>
      <c r="J1750" s="5" t="s">
        <v>1531</v>
      </c>
      <c r="K1750" s="8"/>
    </row>
    <row r="1751" spans="1:11" x14ac:dyDescent="0.2">
      <c r="A1751" s="8">
        <v>1750</v>
      </c>
      <c r="B1751" s="8">
        <f t="shared" si="56"/>
        <v>2022</v>
      </c>
      <c r="C1751" s="8">
        <f t="shared" si="57"/>
        <v>8</v>
      </c>
      <c r="D1751" s="85">
        <v>44780</v>
      </c>
      <c r="E1751" s="31">
        <v>0</v>
      </c>
      <c r="F1751" s="31">
        <v>600000</v>
      </c>
      <c r="G1751" s="31">
        <v>0</v>
      </c>
      <c r="H1751" s="31">
        <v>0</v>
      </c>
      <c r="I1751" s="31" t="s">
        <v>316</v>
      </c>
      <c r="J1751" s="5" t="s">
        <v>889</v>
      </c>
      <c r="K1751" s="8"/>
    </row>
    <row r="1752" spans="1:11" x14ac:dyDescent="0.2">
      <c r="A1752" s="8">
        <v>1751</v>
      </c>
      <c r="B1752" s="8">
        <f t="shared" si="56"/>
        <v>2022</v>
      </c>
      <c r="C1752" s="8">
        <f t="shared" si="57"/>
        <v>8</v>
      </c>
      <c r="D1752" s="85">
        <v>44780</v>
      </c>
      <c r="E1752" s="31">
        <v>0</v>
      </c>
      <c r="F1752" s="31">
        <v>48000</v>
      </c>
      <c r="G1752" s="31">
        <v>0</v>
      </c>
      <c r="H1752" s="31">
        <v>0</v>
      </c>
      <c r="I1752" s="31" t="s">
        <v>99</v>
      </c>
      <c r="J1752" s="5" t="s">
        <v>1532</v>
      </c>
      <c r="K1752" s="8"/>
    </row>
    <row r="1753" spans="1:11" x14ac:dyDescent="0.2">
      <c r="A1753" s="8">
        <v>1752</v>
      </c>
      <c r="B1753" s="8">
        <f t="shared" si="56"/>
        <v>2022</v>
      </c>
      <c r="C1753" s="8">
        <f t="shared" si="57"/>
        <v>8</v>
      </c>
      <c r="D1753" s="85">
        <v>44781</v>
      </c>
      <c r="E1753" s="31">
        <v>0</v>
      </c>
      <c r="F1753" s="31">
        <v>625000</v>
      </c>
      <c r="G1753" s="31">
        <v>0</v>
      </c>
      <c r="H1753" s="31">
        <v>0</v>
      </c>
      <c r="I1753" s="31" t="s">
        <v>571</v>
      </c>
      <c r="J1753" s="5" t="s">
        <v>1310</v>
      </c>
      <c r="K1753" s="8"/>
    </row>
    <row r="1754" spans="1:11" x14ac:dyDescent="0.2">
      <c r="A1754" s="8">
        <v>1753</v>
      </c>
      <c r="B1754" s="8">
        <f t="shared" si="56"/>
        <v>2022</v>
      </c>
      <c r="C1754" s="8">
        <f t="shared" si="57"/>
        <v>8</v>
      </c>
      <c r="D1754" s="85">
        <v>44778</v>
      </c>
      <c r="E1754" s="31">
        <v>0</v>
      </c>
      <c r="F1754" s="31">
        <v>750000</v>
      </c>
      <c r="G1754" s="31">
        <v>0</v>
      </c>
      <c r="H1754" s="31">
        <v>0</v>
      </c>
      <c r="I1754" s="31" t="s">
        <v>99</v>
      </c>
      <c r="J1754" s="5" t="s">
        <v>1533</v>
      </c>
      <c r="K1754" s="8"/>
    </row>
    <row r="1755" spans="1:11" x14ac:dyDescent="0.2">
      <c r="A1755" s="8">
        <v>1754</v>
      </c>
      <c r="B1755" s="8">
        <f t="shared" si="56"/>
        <v>2022</v>
      </c>
      <c r="C1755" s="8">
        <f t="shared" si="57"/>
        <v>8</v>
      </c>
      <c r="D1755" s="85">
        <v>44778</v>
      </c>
      <c r="E1755" s="31">
        <v>0</v>
      </c>
      <c r="F1755" s="31">
        <v>300000</v>
      </c>
      <c r="G1755" s="31">
        <v>0</v>
      </c>
      <c r="H1755" s="31">
        <v>0</v>
      </c>
      <c r="I1755" s="31" t="s">
        <v>571</v>
      </c>
      <c r="J1755" s="5" t="s">
        <v>192</v>
      </c>
      <c r="K1755" s="8"/>
    </row>
    <row r="1756" spans="1:11" x14ac:dyDescent="0.2">
      <c r="A1756" s="8">
        <v>1755</v>
      </c>
      <c r="B1756" s="8">
        <f t="shared" si="56"/>
        <v>2022</v>
      </c>
      <c r="C1756" s="8">
        <f t="shared" si="57"/>
        <v>7</v>
      </c>
      <c r="D1756" s="85">
        <v>44744</v>
      </c>
      <c r="E1756" s="31">
        <v>180000</v>
      </c>
      <c r="F1756" s="31">
        <v>0</v>
      </c>
      <c r="G1756" s="31">
        <v>0</v>
      </c>
      <c r="H1756" s="31">
        <v>0</v>
      </c>
      <c r="I1756" s="31" t="s">
        <v>109</v>
      </c>
      <c r="J1756" s="5" t="s">
        <v>1534</v>
      </c>
      <c r="K1756" s="8"/>
    </row>
    <row r="1757" spans="1:11" x14ac:dyDescent="0.2">
      <c r="A1757" s="8">
        <v>1756</v>
      </c>
      <c r="B1757" s="8">
        <f t="shared" si="56"/>
        <v>2022</v>
      </c>
      <c r="C1757" s="8">
        <f t="shared" si="57"/>
        <v>7</v>
      </c>
      <c r="D1757" s="85">
        <v>44744</v>
      </c>
      <c r="E1757" s="31">
        <v>80000</v>
      </c>
      <c r="F1757" s="31">
        <v>0</v>
      </c>
      <c r="G1757" s="31">
        <v>0</v>
      </c>
      <c r="H1757" s="31">
        <v>0</v>
      </c>
      <c r="I1757" s="31" t="s">
        <v>109</v>
      </c>
      <c r="J1757" s="5" t="s">
        <v>1535</v>
      </c>
      <c r="K1757" s="8"/>
    </row>
    <row r="1758" spans="1:11" x14ac:dyDescent="0.2">
      <c r="A1758" s="8">
        <v>1757</v>
      </c>
      <c r="B1758" s="8">
        <f t="shared" si="56"/>
        <v>2022</v>
      </c>
      <c r="C1758" s="8">
        <f t="shared" si="57"/>
        <v>8</v>
      </c>
      <c r="D1758" s="85">
        <v>44785</v>
      </c>
      <c r="E1758" s="31">
        <v>0</v>
      </c>
      <c r="F1758" s="31">
        <v>0</v>
      </c>
      <c r="G1758" s="31">
        <v>0</v>
      </c>
      <c r="H1758" s="31">
        <v>78000</v>
      </c>
      <c r="I1758" s="31" t="s">
        <v>74</v>
      </c>
      <c r="J1758" s="5" t="s">
        <v>1536</v>
      </c>
      <c r="K1758" s="8"/>
    </row>
    <row r="1759" spans="1:11" x14ac:dyDescent="0.2">
      <c r="A1759" s="8">
        <v>1758</v>
      </c>
      <c r="B1759" s="8">
        <f t="shared" si="56"/>
        <v>2022</v>
      </c>
      <c r="C1759" s="8">
        <f t="shared" si="57"/>
        <v>8</v>
      </c>
      <c r="D1759" s="85">
        <v>44785</v>
      </c>
      <c r="E1759" s="31">
        <v>0</v>
      </c>
      <c r="F1759" s="31">
        <v>0</v>
      </c>
      <c r="G1759" s="31">
        <v>0</v>
      </c>
      <c r="H1759" s="31">
        <v>78000</v>
      </c>
      <c r="I1759" s="31" t="s">
        <v>74</v>
      </c>
      <c r="J1759" s="5" t="s">
        <v>1537</v>
      </c>
      <c r="K1759" s="8"/>
    </row>
    <row r="1760" spans="1:11" x14ac:dyDescent="0.2">
      <c r="A1760" s="8">
        <v>1759</v>
      </c>
      <c r="B1760" s="8">
        <f t="shared" si="56"/>
        <v>2022</v>
      </c>
      <c r="C1760" s="8">
        <f t="shared" si="57"/>
        <v>8</v>
      </c>
      <c r="D1760" s="85">
        <v>44785</v>
      </c>
      <c r="E1760" s="31">
        <v>0</v>
      </c>
      <c r="F1760" s="31">
        <v>110000</v>
      </c>
      <c r="G1760" s="31">
        <v>0</v>
      </c>
      <c r="H1760" s="31">
        <v>0</v>
      </c>
      <c r="I1760" s="31" t="s">
        <v>299</v>
      </c>
      <c r="J1760" s="5" t="s">
        <v>299</v>
      </c>
      <c r="K1760" s="8"/>
    </row>
    <row r="1761" spans="1:11" x14ac:dyDescent="0.2">
      <c r="A1761" s="8">
        <v>1760</v>
      </c>
      <c r="B1761" s="8">
        <f t="shared" si="56"/>
        <v>2022</v>
      </c>
      <c r="C1761" s="8">
        <f t="shared" si="57"/>
        <v>8</v>
      </c>
      <c r="D1761" s="85">
        <v>44785</v>
      </c>
      <c r="E1761" s="31">
        <v>0</v>
      </c>
      <c r="F1761" s="31">
        <v>70000</v>
      </c>
      <c r="G1761" s="31">
        <v>0</v>
      </c>
      <c r="H1761" s="31">
        <v>0</v>
      </c>
      <c r="I1761" s="31" t="s">
        <v>287</v>
      </c>
      <c r="J1761" s="5" t="s">
        <v>1538</v>
      </c>
      <c r="K1761" s="8"/>
    </row>
    <row r="1762" spans="1:11" x14ac:dyDescent="0.2">
      <c r="A1762" s="8">
        <v>1761</v>
      </c>
      <c r="B1762" s="8">
        <f t="shared" si="56"/>
        <v>2022</v>
      </c>
      <c r="C1762" s="8">
        <f t="shared" si="57"/>
        <v>8</v>
      </c>
      <c r="D1762" s="85">
        <v>44783</v>
      </c>
      <c r="E1762" s="31">
        <v>0</v>
      </c>
      <c r="F1762" s="31">
        <v>15000</v>
      </c>
      <c r="G1762" s="31">
        <v>0</v>
      </c>
      <c r="H1762" s="31">
        <v>0</v>
      </c>
      <c r="I1762" s="31" t="s">
        <v>88</v>
      </c>
      <c r="J1762" s="5" t="s">
        <v>300</v>
      </c>
      <c r="K1762" s="8"/>
    </row>
    <row r="1763" spans="1:11" x14ac:dyDescent="0.2">
      <c r="A1763" s="8">
        <v>1762</v>
      </c>
      <c r="B1763" s="8">
        <f t="shared" si="56"/>
        <v>2022</v>
      </c>
      <c r="C1763" s="8">
        <f t="shared" si="57"/>
        <v>8</v>
      </c>
      <c r="D1763" s="85">
        <v>44783</v>
      </c>
      <c r="E1763" s="31">
        <v>0</v>
      </c>
      <c r="F1763" s="31">
        <v>110000</v>
      </c>
      <c r="G1763" s="31">
        <v>0</v>
      </c>
      <c r="H1763" s="31">
        <v>0</v>
      </c>
      <c r="I1763" s="31" t="s">
        <v>287</v>
      </c>
      <c r="J1763" s="5" t="s">
        <v>1262</v>
      </c>
      <c r="K1763" s="8"/>
    </row>
    <row r="1764" spans="1:11" x14ac:dyDescent="0.2">
      <c r="A1764" s="8">
        <v>1763</v>
      </c>
      <c r="B1764" s="8">
        <f t="shared" si="56"/>
        <v>2022</v>
      </c>
      <c r="C1764" s="8">
        <f t="shared" si="57"/>
        <v>8</v>
      </c>
      <c r="D1764" s="85">
        <v>44783</v>
      </c>
      <c r="E1764" s="31">
        <v>0</v>
      </c>
      <c r="F1764" s="31">
        <v>20000</v>
      </c>
      <c r="G1764" s="31">
        <v>0</v>
      </c>
      <c r="H1764" s="31">
        <v>0</v>
      </c>
      <c r="I1764" s="31" t="s">
        <v>88</v>
      </c>
      <c r="J1764" s="5" t="s">
        <v>300</v>
      </c>
      <c r="K1764" s="8"/>
    </row>
    <row r="1765" spans="1:11" x14ac:dyDescent="0.2">
      <c r="A1765" s="8">
        <v>1764</v>
      </c>
      <c r="B1765" s="8">
        <f t="shared" si="56"/>
        <v>2022</v>
      </c>
      <c r="C1765" s="8">
        <f t="shared" si="57"/>
        <v>8</v>
      </c>
      <c r="D1765" s="85">
        <v>44793</v>
      </c>
      <c r="E1765" s="31">
        <v>0</v>
      </c>
      <c r="F1765" s="31">
        <v>0</v>
      </c>
      <c r="G1765" s="31">
        <v>0</v>
      </c>
      <c r="H1765" s="31">
        <v>70000</v>
      </c>
      <c r="I1765" s="31" t="s">
        <v>74</v>
      </c>
      <c r="J1765" s="5" t="s">
        <v>361</v>
      </c>
      <c r="K1765" s="8"/>
    </row>
    <row r="1766" spans="1:11" x14ac:dyDescent="0.2">
      <c r="A1766" s="8">
        <v>1765</v>
      </c>
      <c r="B1766" s="8">
        <f t="shared" si="56"/>
        <v>2022</v>
      </c>
      <c r="C1766" s="8">
        <f t="shared" si="57"/>
        <v>8</v>
      </c>
      <c r="D1766" s="85">
        <v>44793</v>
      </c>
      <c r="E1766" s="31">
        <v>0</v>
      </c>
      <c r="F1766" s="31">
        <v>0</v>
      </c>
      <c r="G1766" s="31">
        <v>0</v>
      </c>
      <c r="H1766" s="31">
        <v>21000</v>
      </c>
      <c r="I1766" s="31" t="s">
        <v>74</v>
      </c>
      <c r="J1766" s="5" t="s">
        <v>475</v>
      </c>
      <c r="K1766" s="8"/>
    </row>
    <row r="1767" spans="1:11" x14ac:dyDescent="0.2">
      <c r="A1767" s="8">
        <v>1766</v>
      </c>
      <c r="B1767" s="8">
        <f t="shared" si="56"/>
        <v>2022</v>
      </c>
      <c r="C1767" s="8">
        <f t="shared" si="57"/>
        <v>8</v>
      </c>
      <c r="D1767" s="85">
        <v>44793</v>
      </c>
      <c r="E1767" s="31">
        <v>0</v>
      </c>
      <c r="F1767" s="31">
        <v>0</v>
      </c>
      <c r="G1767" s="31">
        <v>0</v>
      </c>
      <c r="H1767" s="31">
        <v>122000</v>
      </c>
      <c r="I1767" s="31" t="s">
        <v>74</v>
      </c>
      <c r="J1767" s="5" t="s">
        <v>1539</v>
      </c>
      <c r="K1767" s="8"/>
    </row>
    <row r="1768" spans="1:11" x14ac:dyDescent="0.2">
      <c r="A1768" s="8">
        <v>1767</v>
      </c>
      <c r="B1768" s="8">
        <f t="shared" si="56"/>
        <v>2022</v>
      </c>
      <c r="C1768" s="8">
        <f t="shared" si="57"/>
        <v>8</v>
      </c>
      <c r="D1768" s="85">
        <v>44793</v>
      </c>
      <c r="E1768" s="31">
        <v>0</v>
      </c>
      <c r="F1768" s="31">
        <v>50000</v>
      </c>
      <c r="G1768" s="31">
        <v>0</v>
      </c>
      <c r="H1768" s="31">
        <v>0</v>
      </c>
      <c r="I1768" s="31" t="s">
        <v>1350</v>
      </c>
      <c r="J1768" s="5" t="s">
        <v>1540</v>
      </c>
      <c r="K1768" s="8"/>
    </row>
    <row r="1769" spans="1:11" x14ac:dyDescent="0.2">
      <c r="A1769" s="8">
        <v>1768</v>
      </c>
      <c r="B1769" s="8">
        <f t="shared" si="56"/>
        <v>2022</v>
      </c>
      <c r="C1769" s="8">
        <f t="shared" si="57"/>
        <v>8</v>
      </c>
      <c r="D1769" s="85">
        <v>44799</v>
      </c>
      <c r="E1769" s="31">
        <v>0</v>
      </c>
      <c r="F1769" s="31">
        <v>0</v>
      </c>
      <c r="G1769" s="31">
        <v>0</v>
      </c>
      <c r="H1769" s="31">
        <v>540000</v>
      </c>
      <c r="I1769" s="31" t="s">
        <v>74</v>
      </c>
      <c r="J1769" s="5" t="s">
        <v>1541</v>
      </c>
      <c r="K1769" s="8"/>
    </row>
    <row r="1770" spans="1:11" x14ac:dyDescent="0.2">
      <c r="A1770" s="8">
        <v>1769</v>
      </c>
      <c r="B1770" s="8">
        <f t="shared" si="56"/>
        <v>2022</v>
      </c>
      <c r="C1770" s="8">
        <f t="shared" si="57"/>
        <v>8</v>
      </c>
      <c r="D1770" s="85">
        <v>44799</v>
      </c>
      <c r="E1770" s="31">
        <v>0</v>
      </c>
      <c r="F1770" s="31">
        <v>75000</v>
      </c>
      <c r="G1770" s="31">
        <v>0</v>
      </c>
      <c r="H1770" s="31">
        <v>0</v>
      </c>
      <c r="I1770" s="31" t="s">
        <v>99</v>
      </c>
      <c r="J1770" s="5" t="s">
        <v>1542</v>
      </c>
      <c r="K1770" s="8"/>
    </row>
    <row r="1771" spans="1:11" x14ac:dyDescent="0.2">
      <c r="A1771" s="8">
        <v>1770</v>
      </c>
      <c r="B1771" s="8">
        <f t="shared" si="56"/>
        <v>2022</v>
      </c>
      <c r="C1771" s="8">
        <f t="shared" si="57"/>
        <v>8</v>
      </c>
      <c r="D1771" s="85">
        <v>44802</v>
      </c>
      <c r="E1771" s="31">
        <v>0</v>
      </c>
      <c r="F1771" s="31">
        <v>200000</v>
      </c>
      <c r="G1771" s="31">
        <v>0</v>
      </c>
      <c r="H1771" s="31">
        <v>0</v>
      </c>
      <c r="I1771" s="31" t="s">
        <v>85</v>
      </c>
      <c r="J1771" s="5" t="s">
        <v>1543</v>
      </c>
      <c r="K1771" s="8"/>
    </row>
    <row r="1772" spans="1:11" x14ac:dyDescent="0.2">
      <c r="A1772" s="8">
        <v>1771</v>
      </c>
      <c r="B1772" s="8">
        <f t="shared" si="56"/>
        <v>2022</v>
      </c>
      <c r="C1772" s="8">
        <f t="shared" si="57"/>
        <v>8</v>
      </c>
      <c r="D1772" s="85">
        <v>44802</v>
      </c>
      <c r="E1772" s="31">
        <v>0</v>
      </c>
      <c r="F1772" s="31">
        <v>0</v>
      </c>
      <c r="G1772" s="31">
        <v>0</v>
      </c>
      <c r="H1772" s="31">
        <v>310000</v>
      </c>
      <c r="I1772" s="31" t="s">
        <v>74</v>
      </c>
      <c r="J1772" s="5" t="s">
        <v>1544</v>
      </c>
      <c r="K1772" s="8"/>
    </row>
    <row r="1773" spans="1:11" x14ac:dyDescent="0.2">
      <c r="A1773" s="8">
        <v>1772</v>
      </c>
      <c r="B1773" s="8">
        <f t="shared" si="56"/>
        <v>2022</v>
      </c>
      <c r="C1773" s="8">
        <f t="shared" si="57"/>
        <v>8</v>
      </c>
      <c r="D1773" s="85">
        <v>44799</v>
      </c>
      <c r="E1773" s="31">
        <v>0</v>
      </c>
      <c r="F1773" s="31">
        <v>100000</v>
      </c>
      <c r="G1773" s="31">
        <v>0</v>
      </c>
      <c r="H1773" s="31">
        <v>0</v>
      </c>
      <c r="I1773" s="31" t="s">
        <v>299</v>
      </c>
      <c r="J1773" s="5" t="s">
        <v>299</v>
      </c>
      <c r="K1773" s="8"/>
    </row>
    <row r="1774" spans="1:11" x14ac:dyDescent="0.2">
      <c r="A1774" s="8">
        <v>1773</v>
      </c>
      <c r="B1774" s="8">
        <f t="shared" si="56"/>
        <v>2022</v>
      </c>
      <c r="C1774" s="8">
        <f t="shared" si="57"/>
        <v>8</v>
      </c>
      <c r="D1774" s="85">
        <v>44798</v>
      </c>
      <c r="E1774" s="31">
        <v>0</v>
      </c>
      <c r="F1774" s="31">
        <v>60000</v>
      </c>
      <c r="G1774" s="31">
        <v>0</v>
      </c>
      <c r="H1774" s="31">
        <v>0</v>
      </c>
      <c r="I1774" s="31" t="s">
        <v>1255</v>
      </c>
      <c r="J1774" s="5" t="s">
        <v>1545</v>
      </c>
      <c r="K1774" s="8"/>
    </row>
    <row r="1775" spans="1:11" x14ac:dyDescent="0.2">
      <c r="A1775" s="8">
        <v>1774</v>
      </c>
      <c r="B1775" s="8">
        <f t="shared" si="56"/>
        <v>2022</v>
      </c>
      <c r="C1775" s="8">
        <f t="shared" si="57"/>
        <v>8</v>
      </c>
      <c r="D1775" s="85">
        <v>44803</v>
      </c>
      <c r="E1775" s="31">
        <v>1800000</v>
      </c>
      <c r="F1775" s="31">
        <v>0</v>
      </c>
      <c r="G1775" s="31">
        <v>0</v>
      </c>
      <c r="H1775" s="31">
        <v>0</v>
      </c>
      <c r="I1775" s="31" t="s">
        <v>109</v>
      </c>
      <c r="J1775" s="5" t="s">
        <v>1546</v>
      </c>
      <c r="K1775" s="8"/>
    </row>
    <row r="1776" spans="1:11" x14ac:dyDescent="0.2">
      <c r="A1776" s="8">
        <v>1775</v>
      </c>
      <c r="B1776" s="8">
        <f t="shared" si="56"/>
        <v>2022</v>
      </c>
      <c r="C1776" s="8">
        <f t="shared" si="57"/>
        <v>8</v>
      </c>
      <c r="D1776" s="85">
        <v>44803</v>
      </c>
      <c r="E1776" s="31">
        <v>3420000</v>
      </c>
      <c r="F1776" s="31">
        <v>0</v>
      </c>
      <c r="G1776" s="31">
        <v>0</v>
      </c>
      <c r="H1776" s="31">
        <v>0</v>
      </c>
      <c r="I1776" s="31" t="s">
        <v>109</v>
      </c>
      <c r="J1776" s="5" t="s">
        <v>1547</v>
      </c>
      <c r="K1776" s="8"/>
    </row>
    <row r="1777" spans="1:11" x14ac:dyDescent="0.2">
      <c r="A1777" s="8">
        <v>1776</v>
      </c>
      <c r="B1777" s="8">
        <f t="shared" si="56"/>
        <v>2022</v>
      </c>
      <c r="C1777" s="8">
        <f t="shared" si="57"/>
        <v>8</v>
      </c>
      <c r="D1777" s="85">
        <v>44803</v>
      </c>
      <c r="E1777" s="31">
        <v>500000</v>
      </c>
      <c r="F1777" s="31">
        <v>0</v>
      </c>
      <c r="G1777" s="31">
        <v>0</v>
      </c>
      <c r="H1777" s="31">
        <v>0</v>
      </c>
      <c r="I1777" s="31" t="s">
        <v>109</v>
      </c>
      <c r="J1777" s="5" t="s">
        <v>1548</v>
      </c>
      <c r="K1777" s="8"/>
    </row>
    <row r="1778" spans="1:11" x14ac:dyDescent="0.2">
      <c r="A1778" s="8">
        <v>1777</v>
      </c>
      <c r="B1778" s="8">
        <f t="shared" si="56"/>
        <v>2022</v>
      </c>
      <c r="C1778" s="8">
        <f t="shared" si="57"/>
        <v>8</v>
      </c>
      <c r="D1778" s="85">
        <v>44803</v>
      </c>
      <c r="E1778" s="31">
        <v>300000</v>
      </c>
      <c r="F1778" s="31">
        <v>0</v>
      </c>
      <c r="G1778" s="31">
        <v>0</v>
      </c>
      <c r="H1778" s="31">
        <v>0</v>
      </c>
      <c r="I1778" s="31" t="s">
        <v>109</v>
      </c>
      <c r="J1778" s="5" t="s">
        <v>1549</v>
      </c>
      <c r="K1778" s="8"/>
    </row>
    <row r="1779" spans="1:11" x14ac:dyDescent="0.2">
      <c r="A1779" s="8">
        <v>1778</v>
      </c>
      <c r="B1779" s="8">
        <f t="shared" si="56"/>
        <v>2022</v>
      </c>
      <c r="C1779" s="8">
        <f t="shared" si="57"/>
        <v>8</v>
      </c>
      <c r="D1779" s="93">
        <v>44803</v>
      </c>
      <c r="E1779" s="35">
        <v>0</v>
      </c>
      <c r="F1779" s="35">
        <v>5000000</v>
      </c>
      <c r="G1779" s="35">
        <v>0</v>
      </c>
      <c r="H1779" s="35">
        <v>0</v>
      </c>
      <c r="I1779" s="35" t="s">
        <v>85</v>
      </c>
      <c r="J1779" s="36" t="s">
        <v>1550</v>
      </c>
      <c r="K1779" s="8"/>
    </row>
    <row r="1780" spans="1:11" x14ac:dyDescent="0.2">
      <c r="A1780" s="8">
        <v>1779</v>
      </c>
      <c r="B1780" s="8">
        <f t="shared" si="56"/>
        <v>2022</v>
      </c>
      <c r="C1780" s="8">
        <f t="shared" si="57"/>
        <v>8</v>
      </c>
      <c r="D1780" s="85">
        <v>44804</v>
      </c>
      <c r="E1780" s="31">
        <v>0</v>
      </c>
      <c r="F1780" s="31">
        <v>33000</v>
      </c>
      <c r="G1780" s="31">
        <v>0</v>
      </c>
      <c r="H1780" s="31">
        <v>0</v>
      </c>
      <c r="I1780" s="31" t="s">
        <v>85</v>
      </c>
      <c r="J1780" s="5" t="s">
        <v>1551</v>
      </c>
      <c r="K1780" s="8"/>
    </row>
    <row r="1781" spans="1:11" x14ac:dyDescent="0.2">
      <c r="A1781" s="8">
        <v>1780</v>
      </c>
      <c r="B1781" s="8">
        <f t="shared" si="56"/>
        <v>2022</v>
      </c>
      <c r="C1781" s="8">
        <f t="shared" si="57"/>
        <v>8</v>
      </c>
      <c r="D1781" s="85">
        <v>44804</v>
      </c>
      <c r="E1781" s="31">
        <v>0</v>
      </c>
      <c r="F1781" s="31">
        <v>49000</v>
      </c>
      <c r="G1781" s="31">
        <v>0</v>
      </c>
      <c r="H1781" s="31">
        <v>0</v>
      </c>
      <c r="I1781" s="31" t="s">
        <v>85</v>
      </c>
      <c r="J1781" s="5" t="s">
        <v>1552</v>
      </c>
      <c r="K1781" s="8"/>
    </row>
    <row r="1782" spans="1:11" x14ac:dyDescent="0.2">
      <c r="A1782" s="8">
        <v>1781</v>
      </c>
      <c r="B1782" s="8">
        <f t="shared" si="56"/>
        <v>2022</v>
      </c>
      <c r="C1782" s="8">
        <f t="shared" si="57"/>
        <v>8</v>
      </c>
      <c r="D1782" s="85">
        <v>44804</v>
      </c>
      <c r="E1782" s="31">
        <v>0</v>
      </c>
      <c r="F1782" s="31">
        <v>50000</v>
      </c>
      <c r="G1782" s="31">
        <v>0</v>
      </c>
      <c r="H1782" s="31">
        <v>0</v>
      </c>
      <c r="I1782" s="31" t="s">
        <v>85</v>
      </c>
      <c r="J1782" s="5" t="s">
        <v>1553</v>
      </c>
      <c r="K1782" s="8"/>
    </row>
    <row r="1783" spans="1:11" x14ac:dyDescent="0.2">
      <c r="A1783" s="8">
        <v>1782</v>
      </c>
      <c r="B1783" s="8">
        <f t="shared" si="56"/>
        <v>2022</v>
      </c>
      <c r="C1783" s="8">
        <f t="shared" si="57"/>
        <v>8</v>
      </c>
      <c r="D1783" s="85">
        <v>44804</v>
      </c>
      <c r="E1783" s="31">
        <v>525000</v>
      </c>
      <c r="F1783" s="31">
        <v>0</v>
      </c>
      <c r="G1783" s="31">
        <v>0</v>
      </c>
      <c r="H1783" s="31">
        <v>0</v>
      </c>
      <c r="I1783" s="31" t="s">
        <v>109</v>
      </c>
      <c r="J1783" s="5" t="s">
        <v>1554</v>
      </c>
      <c r="K1783" s="8"/>
    </row>
    <row r="1784" spans="1:11" x14ac:dyDescent="0.2">
      <c r="A1784" s="8">
        <v>1783</v>
      </c>
      <c r="B1784" s="8">
        <f t="shared" si="56"/>
        <v>2022</v>
      </c>
      <c r="C1784" s="8">
        <f t="shared" si="57"/>
        <v>8</v>
      </c>
      <c r="D1784" s="85">
        <v>44804</v>
      </c>
      <c r="E1784" s="31">
        <v>0</v>
      </c>
      <c r="F1784" s="31">
        <v>100000</v>
      </c>
      <c r="G1784" s="31">
        <v>0</v>
      </c>
      <c r="H1784" s="31">
        <v>0</v>
      </c>
      <c r="I1784" s="31" t="s">
        <v>85</v>
      </c>
      <c r="J1784" s="5" t="s">
        <v>1046</v>
      </c>
      <c r="K1784" s="8"/>
    </row>
    <row r="1785" spans="1:11" x14ac:dyDescent="0.2">
      <c r="A1785" s="8">
        <v>1784</v>
      </c>
      <c r="B1785" s="8">
        <f t="shared" si="56"/>
        <v>2022</v>
      </c>
      <c r="C1785" s="8">
        <f t="shared" si="57"/>
        <v>8</v>
      </c>
      <c r="D1785" s="85">
        <v>44804</v>
      </c>
      <c r="E1785" s="31">
        <v>0</v>
      </c>
      <c r="F1785" s="31">
        <v>0</v>
      </c>
      <c r="G1785" s="31">
        <v>0</v>
      </c>
      <c r="H1785" s="31">
        <v>450000</v>
      </c>
      <c r="I1785" s="31" t="s">
        <v>74</v>
      </c>
      <c r="J1785" s="5" t="s">
        <v>1555</v>
      </c>
      <c r="K1785" s="8"/>
    </row>
    <row r="1786" spans="1:11" x14ac:dyDescent="0.2">
      <c r="A1786" s="8">
        <v>1785</v>
      </c>
      <c r="B1786" s="8">
        <f t="shared" si="56"/>
        <v>2022</v>
      </c>
      <c r="C1786" s="8">
        <f t="shared" si="57"/>
        <v>8</v>
      </c>
      <c r="D1786" s="85">
        <v>44774</v>
      </c>
      <c r="E1786" s="31">
        <v>0</v>
      </c>
      <c r="F1786" s="31">
        <v>0</v>
      </c>
      <c r="G1786" s="31">
        <v>0</v>
      </c>
      <c r="H1786" s="31">
        <v>0</v>
      </c>
      <c r="I1786" s="31" t="s">
        <v>92</v>
      </c>
      <c r="J1786" s="5" t="s">
        <v>1556</v>
      </c>
      <c r="K1786" s="8"/>
    </row>
    <row r="1787" spans="1:11" x14ac:dyDescent="0.2">
      <c r="A1787" s="8">
        <v>1786</v>
      </c>
      <c r="B1787" s="8">
        <f t="shared" si="56"/>
        <v>2022</v>
      </c>
      <c r="C1787" s="8">
        <f t="shared" si="57"/>
        <v>8</v>
      </c>
      <c r="D1787" s="85">
        <v>44788</v>
      </c>
      <c r="E1787" s="31">
        <v>0</v>
      </c>
      <c r="F1787" s="31">
        <v>250000</v>
      </c>
      <c r="G1787" s="31">
        <v>0</v>
      </c>
      <c r="H1787" s="31">
        <v>0</v>
      </c>
      <c r="I1787" s="31" t="s">
        <v>1350</v>
      </c>
      <c r="J1787" s="5" t="s">
        <v>1163</v>
      </c>
      <c r="K1787" s="8"/>
    </row>
    <row r="1788" spans="1:11" x14ac:dyDescent="0.2">
      <c r="A1788" s="8">
        <v>1787</v>
      </c>
      <c r="B1788" s="8">
        <f t="shared" si="56"/>
        <v>2022</v>
      </c>
      <c r="C1788" s="8">
        <f t="shared" si="57"/>
        <v>8</v>
      </c>
      <c r="D1788" s="85">
        <v>44804</v>
      </c>
      <c r="E1788" s="31">
        <v>0</v>
      </c>
      <c r="F1788" s="31">
        <v>275000</v>
      </c>
      <c r="G1788" s="31">
        <v>0</v>
      </c>
      <c r="H1788" s="31">
        <v>0</v>
      </c>
      <c r="I1788" s="31" t="s">
        <v>1350</v>
      </c>
      <c r="J1788" s="5" t="s">
        <v>1163</v>
      </c>
      <c r="K1788" s="8"/>
    </row>
    <row r="1789" spans="1:11" x14ac:dyDescent="0.2">
      <c r="A1789" s="8">
        <v>1788</v>
      </c>
      <c r="B1789" s="8">
        <f t="shared" si="56"/>
        <v>2022</v>
      </c>
      <c r="C1789" s="8">
        <f t="shared" si="57"/>
        <v>9</v>
      </c>
      <c r="D1789" s="85">
        <v>44806</v>
      </c>
      <c r="E1789" s="31">
        <v>0</v>
      </c>
      <c r="F1789" s="31">
        <v>0</v>
      </c>
      <c r="G1789" s="31">
        <v>0</v>
      </c>
      <c r="H1789" s="31">
        <v>105000</v>
      </c>
      <c r="I1789" s="31" t="s">
        <v>74</v>
      </c>
      <c r="J1789" s="5" t="s">
        <v>1557</v>
      </c>
      <c r="K1789" s="8"/>
    </row>
    <row r="1790" spans="1:11" x14ac:dyDescent="0.2">
      <c r="A1790" s="8">
        <v>1789</v>
      </c>
      <c r="B1790" s="8">
        <f t="shared" si="56"/>
        <v>2022</v>
      </c>
      <c r="C1790" s="8">
        <f t="shared" si="57"/>
        <v>9</v>
      </c>
      <c r="D1790" s="85">
        <v>44806</v>
      </c>
      <c r="E1790" s="31">
        <v>0</v>
      </c>
      <c r="F1790" s="31">
        <v>20000</v>
      </c>
      <c r="G1790" s="31">
        <v>0</v>
      </c>
      <c r="H1790" s="31">
        <v>0</v>
      </c>
      <c r="I1790" s="31" t="s">
        <v>88</v>
      </c>
      <c r="J1790" s="5" t="s">
        <v>1558</v>
      </c>
      <c r="K1790" s="8"/>
    </row>
    <row r="1791" spans="1:11" x14ac:dyDescent="0.2">
      <c r="A1791" s="8">
        <v>1790</v>
      </c>
      <c r="B1791" s="8">
        <f t="shared" si="56"/>
        <v>2022</v>
      </c>
      <c r="C1791" s="8">
        <f t="shared" si="57"/>
        <v>9</v>
      </c>
      <c r="D1791" s="85">
        <v>44806</v>
      </c>
      <c r="E1791" s="31">
        <v>0</v>
      </c>
      <c r="F1791" s="31">
        <v>0</v>
      </c>
      <c r="G1791" s="31">
        <v>0</v>
      </c>
      <c r="H1791" s="31">
        <v>405000</v>
      </c>
      <c r="I1791" s="31" t="s">
        <v>74</v>
      </c>
      <c r="J1791" s="5" t="s">
        <v>1559</v>
      </c>
      <c r="K1791" s="8"/>
    </row>
    <row r="1792" spans="1:11" x14ac:dyDescent="0.2">
      <c r="A1792" s="8">
        <v>1791</v>
      </c>
      <c r="B1792" s="8">
        <f t="shared" si="56"/>
        <v>2022</v>
      </c>
      <c r="C1792" s="8">
        <f t="shared" si="57"/>
        <v>9</v>
      </c>
      <c r="D1792" s="85">
        <v>44806</v>
      </c>
      <c r="E1792" s="31">
        <v>0</v>
      </c>
      <c r="F1792" s="31">
        <v>350000</v>
      </c>
      <c r="G1792" s="31">
        <v>0</v>
      </c>
      <c r="H1792" s="31">
        <v>0</v>
      </c>
      <c r="I1792" s="31" t="s">
        <v>85</v>
      </c>
      <c r="J1792" s="5" t="s">
        <v>1560</v>
      </c>
      <c r="K1792" s="8"/>
    </row>
    <row r="1793" spans="1:11" x14ac:dyDescent="0.2">
      <c r="A1793" s="8">
        <v>1792</v>
      </c>
      <c r="B1793" s="8">
        <f t="shared" si="56"/>
        <v>2022</v>
      </c>
      <c r="C1793" s="8">
        <f t="shared" si="57"/>
        <v>9</v>
      </c>
      <c r="D1793" s="85">
        <v>44806</v>
      </c>
      <c r="E1793" s="31">
        <v>0</v>
      </c>
      <c r="F1793" s="31">
        <v>140000</v>
      </c>
      <c r="G1793" s="31">
        <v>0</v>
      </c>
      <c r="H1793" s="31">
        <v>0</v>
      </c>
      <c r="I1793" s="31" t="s">
        <v>1350</v>
      </c>
      <c r="J1793" s="5" t="s">
        <v>1561</v>
      </c>
      <c r="K1793" s="8"/>
    </row>
    <row r="1794" spans="1:11" x14ac:dyDescent="0.2">
      <c r="A1794" s="8">
        <v>1793</v>
      </c>
      <c r="B1794" s="8">
        <f t="shared" si="56"/>
        <v>2022</v>
      </c>
      <c r="C1794" s="8">
        <f t="shared" si="57"/>
        <v>9</v>
      </c>
      <c r="D1794" s="85">
        <v>44807</v>
      </c>
      <c r="E1794" s="31">
        <v>0</v>
      </c>
      <c r="F1794" s="31">
        <v>50000</v>
      </c>
      <c r="G1794" s="31">
        <v>0</v>
      </c>
      <c r="H1794" s="31">
        <v>0</v>
      </c>
      <c r="I1794" s="31" t="s">
        <v>85</v>
      </c>
      <c r="J1794" s="5" t="s">
        <v>1562</v>
      </c>
      <c r="K1794" s="8"/>
    </row>
    <row r="1795" spans="1:11" x14ac:dyDescent="0.2">
      <c r="A1795" s="8">
        <v>1794</v>
      </c>
      <c r="B1795" s="8">
        <f t="shared" si="56"/>
        <v>2022</v>
      </c>
      <c r="C1795" s="8">
        <f t="shared" si="57"/>
        <v>9</v>
      </c>
      <c r="D1795" s="85">
        <v>44807</v>
      </c>
      <c r="E1795" s="31">
        <v>0</v>
      </c>
      <c r="F1795" s="31">
        <v>40000</v>
      </c>
      <c r="G1795" s="31">
        <v>0</v>
      </c>
      <c r="H1795" s="31">
        <v>0</v>
      </c>
      <c r="I1795" s="31" t="s">
        <v>85</v>
      </c>
      <c r="J1795" s="5" t="s">
        <v>1563</v>
      </c>
      <c r="K1795" s="8"/>
    </row>
    <row r="1796" spans="1:11" x14ac:dyDescent="0.2">
      <c r="A1796" s="8">
        <v>1795</v>
      </c>
      <c r="B1796" s="8">
        <f t="shared" si="56"/>
        <v>2022</v>
      </c>
      <c r="C1796" s="8">
        <f t="shared" si="57"/>
        <v>9</v>
      </c>
      <c r="D1796" s="85">
        <v>44807</v>
      </c>
      <c r="E1796" s="31">
        <v>0</v>
      </c>
      <c r="F1796" s="31">
        <v>100000</v>
      </c>
      <c r="G1796" s="31">
        <v>0</v>
      </c>
      <c r="H1796" s="31">
        <v>0</v>
      </c>
      <c r="I1796" s="31" t="s">
        <v>299</v>
      </c>
      <c r="J1796" s="5" t="s">
        <v>83</v>
      </c>
      <c r="K1796" s="8"/>
    </row>
    <row r="1797" spans="1:11" x14ac:dyDescent="0.2">
      <c r="A1797" s="8">
        <v>1796</v>
      </c>
      <c r="B1797" s="8">
        <f t="shared" si="56"/>
        <v>2022</v>
      </c>
      <c r="C1797" s="8">
        <f t="shared" si="57"/>
        <v>9</v>
      </c>
      <c r="D1797" s="85">
        <v>44811</v>
      </c>
      <c r="E1797" s="31">
        <v>0</v>
      </c>
      <c r="F1797" s="31">
        <v>0</v>
      </c>
      <c r="G1797" s="31">
        <v>0</v>
      </c>
      <c r="H1797" s="31">
        <v>30000</v>
      </c>
      <c r="I1797" s="31" t="s">
        <v>74</v>
      </c>
      <c r="J1797" s="5" t="s">
        <v>1564</v>
      </c>
      <c r="K1797" s="8"/>
    </row>
    <row r="1798" spans="1:11" x14ac:dyDescent="0.2">
      <c r="A1798" s="8">
        <v>1797</v>
      </c>
      <c r="B1798" s="8">
        <f t="shared" ref="B1798:B1861" si="58">YEAR(D1798)</f>
        <v>2022</v>
      </c>
      <c r="C1798" s="8">
        <f t="shared" ref="C1798:C1861" si="59">MONTH(D1798)</f>
        <v>9</v>
      </c>
      <c r="D1798" s="85">
        <v>44811</v>
      </c>
      <c r="E1798" s="31">
        <v>0</v>
      </c>
      <c r="F1798" s="31">
        <v>0</v>
      </c>
      <c r="G1798" s="31">
        <v>0</v>
      </c>
      <c r="H1798" s="31">
        <v>125000</v>
      </c>
      <c r="I1798" s="31" t="s">
        <v>74</v>
      </c>
      <c r="J1798" s="5" t="s">
        <v>1565</v>
      </c>
      <c r="K1798" s="8"/>
    </row>
    <row r="1799" spans="1:11" x14ac:dyDescent="0.2">
      <c r="A1799" s="8">
        <v>1798</v>
      </c>
      <c r="B1799" s="8">
        <f t="shared" si="58"/>
        <v>2022</v>
      </c>
      <c r="C1799" s="8">
        <f t="shared" si="59"/>
        <v>9</v>
      </c>
      <c r="D1799" s="85">
        <v>44811</v>
      </c>
      <c r="E1799" s="31">
        <v>0</v>
      </c>
      <c r="F1799" s="31">
        <v>0</v>
      </c>
      <c r="G1799" s="31">
        <v>0</v>
      </c>
      <c r="H1799" s="31">
        <v>90000</v>
      </c>
      <c r="I1799" s="31" t="s">
        <v>74</v>
      </c>
      <c r="J1799" s="5" t="s">
        <v>1566</v>
      </c>
      <c r="K1799" s="8"/>
    </row>
    <row r="1800" spans="1:11" x14ac:dyDescent="0.2">
      <c r="A1800" s="8">
        <v>1799</v>
      </c>
      <c r="B1800" s="8">
        <f t="shared" si="58"/>
        <v>2022</v>
      </c>
      <c r="C1800" s="8">
        <f t="shared" si="59"/>
        <v>9</v>
      </c>
      <c r="D1800" s="85">
        <v>44812</v>
      </c>
      <c r="E1800" s="31">
        <v>0</v>
      </c>
      <c r="F1800" s="31">
        <v>0</v>
      </c>
      <c r="G1800" s="31">
        <v>0</v>
      </c>
      <c r="H1800" s="31">
        <v>125000</v>
      </c>
      <c r="I1800" s="31" t="s">
        <v>85</v>
      </c>
      <c r="J1800" s="5" t="s">
        <v>1567</v>
      </c>
      <c r="K1800" s="8"/>
    </row>
    <row r="1801" spans="1:11" x14ac:dyDescent="0.2">
      <c r="A1801" s="8">
        <v>1800</v>
      </c>
      <c r="B1801" s="8">
        <f t="shared" si="58"/>
        <v>2022</v>
      </c>
      <c r="C1801" s="8">
        <f t="shared" si="59"/>
        <v>9</v>
      </c>
      <c r="D1801" s="85">
        <v>44812</v>
      </c>
      <c r="E1801" s="31">
        <v>0</v>
      </c>
      <c r="F1801" s="31">
        <v>800000</v>
      </c>
      <c r="G1801" s="31">
        <v>0</v>
      </c>
      <c r="H1801" s="31">
        <v>0</v>
      </c>
      <c r="I1801" s="31" t="s">
        <v>85</v>
      </c>
      <c r="J1801" s="5" t="s">
        <v>1568</v>
      </c>
      <c r="K1801" s="8"/>
    </row>
    <row r="1802" spans="1:11" x14ac:dyDescent="0.2">
      <c r="A1802" s="8">
        <v>1801</v>
      </c>
      <c r="B1802" s="8">
        <f t="shared" si="58"/>
        <v>2022</v>
      </c>
      <c r="C1802" s="8">
        <f t="shared" si="59"/>
        <v>9</v>
      </c>
      <c r="D1802" s="85">
        <v>44812</v>
      </c>
      <c r="E1802" s="31">
        <v>0</v>
      </c>
      <c r="F1802" s="31">
        <v>25000</v>
      </c>
      <c r="G1802" s="31">
        <v>0</v>
      </c>
      <c r="H1802" s="31">
        <v>0</v>
      </c>
      <c r="I1802" s="31" t="s">
        <v>85</v>
      </c>
      <c r="J1802" s="5" t="s">
        <v>1046</v>
      </c>
      <c r="K1802" s="8"/>
    </row>
    <row r="1803" spans="1:11" x14ac:dyDescent="0.2">
      <c r="A1803" s="8">
        <v>1802</v>
      </c>
      <c r="B1803" s="8">
        <f t="shared" si="58"/>
        <v>2022</v>
      </c>
      <c r="C1803" s="8">
        <f t="shared" si="59"/>
        <v>9</v>
      </c>
      <c r="D1803" s="85">
        <v>44812</v>
      </c>
      <c r="E1803" s="31">
        <v>0</v>
      </c>
      <c r="F1803" s="31">
        <v>400000</v>
      </c>
      <c r="G1803" s="31">
        <v>0</v>
      </c>
      <c r="H1803" s="31">
        <v>0</v>
      </c>
      <c r="I1803" s="31" t="s">
        <v>85</v>
      </c>
      <c r="J1803" s="5" t="s">
        <v>1569</v>
      </c>
      <c r="K1803" s="8"/>
    </row>
    <row r="1804" spans="1:11" x14ac:dyDescent="0.2">
      <c r="A1804" s="8">
        <v>1803</v>
      </c>
      <c r="B1804" s="8">
        <f t="shared" si="58"/>
        <v>2022</v>
      </c>
      <c r="C1804" s="8">
        <f t="shared" si="59"/>
        <v>9</v>
      </c>
      <c r="D1804" s="85">
        <v>44812</v>
      </c>
      <c r="E1804" s="31">
        <v>0</v>
      </c>
      <c r="F1804" s="31">
        <v>125000</v>
      </c>
      <c r="G1804" s="31">
        <v>0</v>
      </c>
      <c r="H1804" s="31">
        <v>0</v>
      </c>
      <c r="I1804" s="31" t="s">
        <v>85</v>
      </c>
      <c r="J1804" s="5" t="s">
        <v>1570</v>
      </c>
      <c r="K1804" s="8"/>
    </row>
    <row r="1805" spans="1:11" x14ac:dyDescent="0.2">
      <c r="A1805" s="8">
        <v>1804</v>
      </c>
      <c r="B1805" s="8">
        <f t="shared" si="58"/>
        <v>2022</v>
      </c>
      <c r="C1805" s="8">
        <f t="shared" si="59"/>
        <v>9</v>
      </c>
      <c r="D1805" s="85">
        <v>44813</v>
      </c>
      <c r="E1805" s="31">
        <v>4798058</v>
      </c>
      <c r="F1805" s="31">
        <v>0</v>
      </c>
      <c r="G1805" s="31">
        <v>0</v>
      </c>
      <c r="H1805" s="31">
        <v>0</v>
      </c>
      <c r="I1805" s="31" t="s">
        <v>704</v>
      </c>
      <c r="J1805" s="5" t="s">
        <v>1571</v>
      </c>
      <c r="K1805" s="8"/>
    </row>
    <row r="1806" spans="1:11" x14ac:dyDescent="0.2">
      <c r="A1806" s="8">
        <v>1805</v>
      </c>
      <c r="B1806" s="8">
        <f t="shared" si="58"/>
        <v>2022</v>
      </c>
      <c r="C1806" s="8">
        <f t="shared" si="59"/>
        <v>9</v>
      </c>
      <c r="D1806" s="85">
        <v>44813</v>
      </c>
      <c r="E1806" s="31">
        <v>900000</v>
      </c>
      <c r="F1806" s="31">
        <v>0</v>
      </c>
      <c r="G1806" s="31">
        <v>0</v>
      </c>
      <c r="H1806" s="31">
        <v>0</v>
      </c>
      <c r="I1806" s="31" t="s">
        <v>109</v>
      </c>
      <c r="J1806" s="5" t="s">
        <v>1572</v>
      </c>
      <c r="K1806" s="8"/>
    </row>
    <row r="1807" spans="1:11" x14ac:dyDescent="0.2">
      <c r="A1807" s="8">
        <v>1806</v>
      </c>
      <c r="B1807" s="8">
        <f t="shared" si="58"/>
        <v>2022</v>
      </c>
      <c r="C1807" s="8">
        <f t="shared" si="59"/>
        <v>9</v>
      </c>
      <c r="D1807" s="85">
        <v>44813</v>
      </c>
      <c r="E1807" s="31">
        <v>0</v>
      </c>
      <c r="F1807" s="31">
        <v>38000</v>
      </c>
      <c r="G1807" s="31">
        <v>0</v>
      </c>
      <c r="H1807" s="31">
        <v>0</v>
      </c>
      <c r="I1807" s="31" t="s">
        <v>287</v>
      </c>
      <c r="J1807" s="5" t="s">
        <v>1573</v>
      </c>
      <c r="K1807" s="8"/>
    </row>
    <row r="1808" spans="1:11" x14ac:dyDescent="0.2">
      <c r="A1808" s="8">
        <v>1807</v>
      </c>
      <c r="B1808" s="8">
        <f t="shared" si="58"/>
        <v>2022</v>
      </c>
      <c r="C1808" s="8">
        <f t="shared" si="59"/>
        <v>9</v>
      </c>
      <c r="D1808" s="85">
        <v>44813</v>
      </c>
      <c r="E1808" s="31">
        <v>0</v>
      </c>
      <c r="F1808" s="31">
        <v>0</v>
      </c>
      <c r="G1808" s="31">
        <v>0</v>
      </c>
      <c r="H1808" s="31">
        <v>75000</v>
      </c>
      <c r="I1808" s="31" t="s">
        <v>74</v>
      </c>
      <c r="J1808" s="5" t="s">
        <v>1574</v>
      </c>
      <c r="K1808" s="8"/>
    </row>
    <row r="1809" spans="1:11" x14ac:dyDescent="0.2">
      <c r="A1809" s="8">
        <v>1808</v>
      </c>
      <c r="B1809" s="8">
        <f t="shared" si="58"/>
        <v>2022</v>
      </c>
      <c r="C1809" s="8">
        <f t="shared" si="59"/>
        <v>9</v>
      </c>
      <c r="D1809" s="85">
        <v>44813</v>
      </c>
      <c r="E1809" s="31">
        <v>0</v>
      </c>
      <c r="F1809" s="31">
        <v>240000</v>
      </c>
      <c r="G1809" s="31">
        <v>0</v>
      </c>
      <c r="H1809" s="31">
        <v>0</v>
      </c>
      <c r="I1809" s="31" t="s">
        <v>571</v>
      </c>
      <c r="J1809" s="5" t="s">
        <v>1575</v>
      </c>
      <c r="K1809" s="8"/>
    </row>
    <row r="1810" spans="1:11" x14ac:dyDescent="0.2">
      <c r="A1810" s="8">
        <v>1809</v>
      </c>
      <c r="B1810" s="8">
        <f t="shared" si="58"/>
        <v>2022</v>
      </c>
      <c r="C1810" s="8">
        <f t="shared" si="59"/>
        <v>9</v>
      </c>
      <c r="D1810" s="85">
        <v>44813</v>
      </c>
      <c r="E1810" s="31">
        <v>0</v>
      </c>
      <c r="F1810" s="31">
        <v>15000</v>
      </c>
      <c r="G1810" s="31">
        <v>0</v>
      </c>
      <c r="H1810" s="31">
        <v>0</v>
      </c>
      <c r="I1810" s="31" t="s">
        <v>571</v>
      </c>
      <c r="J1810" s="5" t="s">
        <v>1576</v>
      </c>
      <c r="K1810" s="8"/>
    </row>
    <row r="1811" spans="1:11" x14ac:dyDescent="0.2">
      <c r="A1811" s="8">
        <v>1810</v>
      </c>
      <c r="B1811" s="8">
        <f t="shared" si="58"/>
        <v>2022</v>
      </c>
      <c r="C1811" s="8">
        <f t="shared" si="59"/>
        <v>9</v>
      </c>
      <c r="D1811" s="85">
        <v>44813</v>
      </c>
      <c r="E1811" s="31">
        <v>0</v>
      </c>
      <c r="F1811" s="31">
        <v>122000</v>
      </c>
      <c r="G1811" s="31">
        <v>0</v>
      </c>
      <c r="H1811" s="31">
        <v>0</v>
      </c>
      <c r="I1811" s="31" t="s">
        <v>287</v>
      </c>
      <c r="J1811" s="5" t="s">
        <v>1539</v>
      </c>
      <c r="K1811" s="8"/>
    </row>
    <row r="1812" spans="1:11" x14ac:dyDescent="0.2">
      <c r="A1812" s="8">
        <v>1811</v>
      </c>
      <c r="B1812" s="8">
        <f t="shared" si="58"/>
        <v>2022</v>
      </c>
      <c r="C1812" s="8">
        <f t="shared" si="59"/>
        <v>9</v>
      </c>
      <c r="D1812" s="85">
        <v>44813</v>
      </c>
      <c r="E1812" s="31">
        <v>0</v>
      </c>
      <c r="F1812" s="31">
        <v>10000</v>
      </c>
      <c r="G1812" s="31">
        <v>0</v>
      </c>
      <c r="H1812" s="31">
        <v>0</v>
      </c>
      <c r="I1812" s="31" t="s">
        <v>287</v>
      </c>
      <c r="J1812" s="5" t="s">
        <v>287</v>
      </c>
      <c r="K1812" s="8"/>
    </row>
    <row r="1813" spans="1:11" x14ac:dyDescent="0.2">
      <c r="A1813" s="8">
        <v>1812</v>
      </c>
      <c r="B1813" s="8">
        <f t="shared" si="58"/>
        <v>2022</v>
      </c>
      <c r="C1813" s="8">
        <f t="shared" si="59"/>
        <v>9</v>
      </c>
      <c r="D1813" s="85">
        <v>44813</v>
      </c>
      <c r="E1813" s="31">
        <v>0</v>
      </c>
      <c r="F1813" s="31">
        <v>0</v>
      </c>
      <c r="G1813" s="31">
        <v>0</v>
      </c>
      <c r="H1813" s="31">
        <v>70000</v>
      </c>
      <c r="I1813" s="31" t="s">
        <v>74</v>
      </c>
      <c r="J1813" s="5" t="s">
        <v>1577</v>
      </c>
      <c r="K1813" s="8"/>
    </row>
    <row r="1814" spans="1:11" x14ac:dyDescent="0.2">
      <c r="A1814" s="8">
        <v>1813</v>
      </c>
      <c r="B1814" s="8">
        <f t="shared" si="58"/>
        <v>2022</v>
      </c>
      <c r="C1814" s="8">
        <f t="shared" si="59"/>
        <v>9</v>
      </c>
      <c r="D1814" s="85">
        <v>44813</v>
      </c>
      <c r="E1814" s="31">
        <v>0</v>
      </c>
      <c r="F1814" s="31">
        <v>30000</v>
      </c>
      <c r="G1814" s="31">
        <v>0</v>
      </c>
      <c r="H1814" s="31">
        <v>0</v>
      </c>
      <c r="I1814" s="31" t="s">
        <v>571</v>
      </c>
      <c r="J1814" s="5" t="s">
        <v>1578</v>
      </c>
      <c r="K1814" s="8"/>
    </row>
    <row r="1815" spans="1:11" x14ac:dyDescent="0.2">
      <c r="A1815" s="8">
        <v>1814</v>
      </c>
      <c r="B1815" s="8">
        <f t="shared" si="58"/>
        <v>2022</v>
      </c>
      <c r="C1815" s="8">
        <f t="shared" si="59"/>
        <v>9</v>
      </c>
      <c r="D1815" s="85">
        <v>44813</v>
      </c>
      <c r="E1815" s="31">
        <v>0</v>
      </c>
      <c r="F1815" s="31">
        <v>60000</v>
      </c>
      <c r="G1815" s="31">
        <v>0</v>
      </c>
      <c r="H1815" s="31">
        <v>0</v>
      </c>
      <c r="I1815" s="31" t="s">
        <v>287</v>
      </c>
      <c r="J1815" s="5" t="s">
        <v>1579</v>
      </c>
      <c r="K1815" s="8"/>
    </row>
    <row r="1816" spans="1:11" x14ac:dyDescent="0.2">
      <c r="A1816" s="8">
        <v>1815</v>
      </c>
      <c r="B1816" s="8">
        <f t="shared" si="58"/>
        <v>2022</v>
      </c>
      <c r="C1816" s="8">
        <f t="shared" si="59"/>
        <v>9</v>
      </c>
      <c r="D1816" s="85">
        <v>44813</v>
      </c>
      <c r="E1816" s="31">
        <v>0</v>
      </c>
      <c r="F1816" s="31">
        <v>40000</v>
      </c>
      <c r="G1816" s="31">
        <v>0</v>
      </c>
      <c r="H1816" s="31">
        <v>0</v>
      </c>
      <c r="I1816" s="31" t="s">
        <v>287</v>
      </c>
      <c r="J1816" s="5" t="s">
        <v>1580</v>
      </c>
      <c r="K1816" s="8"/>
    </row>
    <row r="1817" spans="1:11" x14ac:dyDescent="0.2">
      <c r="A1817" s="8">
        <v>1816</v>
      </c>
      <c r="B1817" s="8">
        <f t="shared" si="58"/>
        <v>2022</v>
      </c>
      <c r="C1817" s="8">
        <f t="shared" si="59"/>
        <v>9</v>
      </c>
      <c r="D1817" s="85">
        <v>44813</v>
      </c>
      <c r="E1817" s="31">
        <v>0</v>
      </c>
      <c r="F1817" s="31">
        <v>150000</v>
      </c>
      <c r="G1817" s="31">
        <v>0</v>
      </c>
      <c r="H1817" s="31">
        <v>0</v>
      </c>
      <c r="I1817" s="31" t="s">
        <v>287</v>
      </c>
      <c r="J1817" s="5" t="s">
        <v>1581</v>
      </c>
      <c r="K1817" s="8"/>
    </row>
    <row r="1818" spans="1:11" x14ac:dyDescent="0.2">
      <c r="A1818" s="8">
        <v>1817</v>
      </c>
      <c r="B1818" s="8">
        <f t="shared" si="58"/>
        <v>2022</v>
      </c>
      <c r="C1818" s="8">
        <f t="shared" si="59"/>
        <v>9</v>
      </c>
      <c r="D1818" s="85">
        <v>44814</v>
      </c>
      <c r="E1818" s="31">
        <v>0</v>
      </c>
      <c r="F1818" s="31">
        <v>15000</v>
      </c>
      <c r="G1818" s="31">
        <v>0</v>
      </c>
      <c r="H1818" s="31">
        <v>0</v>
      </c>
      <c r="I1818" s="31" t="s">
        <v>287</v>
      </c>
      <c r="J1818" s="5" t="s">
        <v>1582</v>
      </c>
      <c r="K1818" s="8"/>
    </row>
    <row r="1819" spans="1:11" x14ac:dyDescent="0.2">
      <c r="A1819" s="8">
        <v>1818</v>
      </c>
      <c r="B1819" s="8">
        <f t="shared" si="58"/>
        <v>2022</v>
      </c>
      <c r="C1819" s="8">
        <f t="shared" si="59"/>
        <v>9</v>
      </c>
      <c r="D1819" s="85">
        <v>44815</v>
      </c>
      <c r="E1819" s="31">
        <v>0</v>
      </c>
      <c r="F1819" s="31">
        <v>50000</v>
      </c>
      <c r="G1819" s="31">
        <v>0</v>
      </c>
      <c r="H1819" s="31">
        <v>0</v>
      </c>
      <c r="I1819" s="31" t="s">
        <v>287</v>
      </c>
      <c r="J1819" s="5" t="s">
        <v>1583</v>
      </c>
      <c r="K1819" s="8"/>
    </row>
    <row r="1820" spans="1:11" x14ac:dyDescent="0.2">
      <c r="A1820" s="8">
        <v>1819</v>
      </c>
      <c r="B1820" s="8">
        <f t="shared" si="58"/>
        <v>2022</v>
      </c>
      <c r="C1820" s="8">
        <f t="shared" si="59"/>
        <v>9</v>
      </c>
      <c r="D1820" s="85">
        <v>44815</v>
      </c>
      <c r="E1820" s="31">
        <v>0</v>
      </c>
      <c r="F1820" s="31">
        <v>30000</v>
      </c>
      <c r="G1820" s="31">
        <v>0</v>
      </c>
      <c r="H1820" s="31">
        <v>0</v>
      </c>
      <c r="I1820" s="31" t="s">
        <v>287</v>
      </c>
      <c r="J1820" s="5" t="s">
        <v>300</v>
      </c>
      <c r="K1820" s="8"/>
    </row>
    <row r="1821" spans="1:11" x14ac:dyDescent="0.2">
      <c r="A1821" s="8">
        <v>1820</v>
      </c>
      <c r="B1821" s="8">
        <f t="shared" si="58"/>
        <v>2022</v>
      </c>
      <c r="C1821" s="8">
        <f t="shared" si="59"/>
        <v>9</v>
      </c>
      <c r="D1821" s="85">
        <v>44815</v>
      </c>
      <c r="E1821" s="31">
        <v>0</v>
      </c>
      <c r="F1821" s="31">
        <v>105000</v>
      </c>
      <c r="G1821" s="31">
        <v>0</v>
      </c>
      <c r="H1821" s="31">
        <v>0</v>
      </c>
      <c r="I1821" s="31" t="s">
        <v>299</v>
      </c>
      <c r="J1821" s="5" t="s">
        <v>299</v>
      </c>
      <c r="K1821" s="8"/>
    </row>
    <row r="1822" spans="1:11" x14ac:dyDescent="0.2">
      <c r="A1822" s="8">
        <v>1821</v>
      </c>
      <c r="B1822" s="8">
        <f t="shared" si="58"/>
        <v>2022</v>
      </c>
      <c r="C1822" s="8">
        <f t="shared" si="59"/>
        <v>9</v>
      </c>
      <c r="D1822" s="85">
        <v>44815</v>
      </c>
      <c r="E1822" s="31">
        <v>0</v>
      </c>
      <c r="F1822" s="31">
        <v>15000</v>
      </c>
      <c r="G1822" s="31">
        <v>0</v>
      </c>
      <c r="H1822" s="31">
        <v>0</v>
      </c>
      <c r="I1822" s="31" t="s">
        <v>287</v>
      </c>
      <c r="J1822" s="5" t="s">
        <v>89</v>
      </c>
      <c r="K1822" s="8"/>
    </row>
    <row r="1823" spans="1:11" x14ac:dyDescent="0.2">
      <c r="A1823" s="8">
        <v>1822</v>
      </c>
      <c r="B1823" s="8">
        <f t="shared" si="58"/>
        <v>2022</v>
      </c>
      <c r="C1823" s="8">
        <f t="shared" si="59"/>
        <v>9</v>
      </c>
      <c r="D1823" s="85">
        <v>44816</v>
      </c>
      <c r="E1823" s="31">
        <v>0</v>
      </c>
      <c r="F1823" s="31">
        <v>0</v>
      </c>
      <c r="G1823" s="31">
        <v>0</v>
      </c>
      <c r="H1823" s="31">
        <v>500000</v>
      </c>
      <c r="I1823" s="31" t="s">
        <v>74</v>
      </c>
      <c r="J1823" s="5" t="s">
        <v>1584</v>
      </c>
      <c r="K1823" s="8"/>
    </row>
    <row r="1824" spans="1:11" x14ac:dyDescent="0.2">
      <c r="A1824" s="8">
        <v>1823</v>
      </c>
      <c r="B1824" s="8">
        <f t="shared" si="58"/>
        <v>2022</v>
      </c>
      <c r="C1824" s="8">
        <f t="shared" si="59"/>
        <v>9</v>
      </c>
      <c r="D1824" s="85">
        <v>44816</v>
      </c>
      <c r="E1824" s="31">
        <v>0</v>
      </c>
      <c r="F1824" s="31">
        <v>20000</v>
      </c>
      <c r="G1824" s="31">
        <v>0</v>
      </c>
      <c r="H1824" s="31">
        <v>0</v>
      </c>
      <c r="I1824" s="31" t="s">
        <v>287</v>
      </c>
      <c r="J1824" s="5" t="s">
        <v>356</v>
      </c>
      <c r="K1824" s="8"/>
    </row>
    <row r="1825" spans="1:11" x14ac:dyDescent="0.2">
      <c r="A1825" s="8">
        <v>1824</v>
      </c>
      <c r="B1825" s="8">
        <f t="shared" si="58"/>
        <v>2022</v>
      </c>
      <c r="C1825" s="8">
        <f t="shared" si="59"/>
        <v>9</v>
      </c>
      <c r="D1825" s="85">
        <v>44819</v>
      </c>
      <c r="E1825" s="31">
        <v>0</v>
      </c>
      <c r="F1825" s="31">
        <v>50000</v>
      </c>
      <c r="G1825" s="31">
        <v>0</v>
      </c>
      <c r="H1825" s="31">
        <v>0</v>
      </c>
      <c r="I1825" s="31" t="s">
        <v>287</v>
      </c>
      <c r="J1825" s="5" t="s">
        <v>1585</v>
      </c>
      <c r="K1825" s="8"/>
    </row>
    <row r="1826" spans="1:11" x14ac:dyDescent="0.2">
      <c r="A1826" s="8">
        <v>1825</v>
      </c>
      <c r="B1826" s="8">
        <f t="shared" si="58"/>
        <v>2022</v>
      </c>
      <c r="C1826" s="8">
        <f t="shared" si="59"/>
        <v>9</v>
      </c>
      <c r="D1826" s="85">
        <v>44819</v>
      </c>
      <c r="E1826" s="31">
        <v>0</v>
      </c>
      <c r="F1826" s="31">
        <v>50000</v>
      </c>
      <c r="G1826" s="31">
        <v>0</v>
      </c>
      <c r="H1826" s="31">
        <v>0</v>
      </c>
      <c r="I1826" s="31" t="s">
        <v>287</v>
      </c>
      <c r="J1826" s="5" t="s">
        <v>1586</v>
      </c>
      <c r="K1826" s="8"/>
    </row>
    <row r="1827" spans="1:11" x14ac:dyDescent="0.2">
      <c r="A1827" s="8">
        <v>1826</v>
      </c>
      <c r="B1827" s="8">
        <f t="shared" si="58"/>
        <v>2022</v>
      </c>
      <c r="C1827" s="8">
        <f t="shared" si="59"/>
        <v>9</v>
      </c>
      <c r="D1827" s="85">
        <v>44820</v>
      </c>
      <c r="E1827" s="31">
        <v>0</v>
      </c>
      <c r="F1827" s="31">
        <v>170000</v>
      </c>
      <c r="G1827" s="31">
        <v>0</v>
      </c>
      <c r="H1827" s="31">
        <v>0</v>
      </c>
      <c r="I1827" s="31" t="s">
        <v>99</v>
      </c>
      <c r="J1827" s="5" t="s">
        <v>1587</v>
      </c>
      <c r="K1827" s="8"/>
    </row>
    <row r="1828" spans="1:11" x14ac:dyDescent="0.2">
      <c r="A1828" s="8">
        <v>1827</v>
      </c>
      <c r="B1828" s="8">
        <f t="shared" si="58"/>
        <v>2022</v>
      </c>
      <c r="C1828" s="8">
        <f t="shared" si="59"/>
        <v>9</v>
      </c>
      <c r="D1828" s="85">
        <v>44820</v>
      </c>
      <c r="E1828" s="31">
        <v>0</v>
      </c>
      <c r="F1828" s="31">
        <v>90000</v>
      </c>
      <c r="G1828" s="31">
        <v>0</v>
      </c>
      <c r="H1828" s="31">
        <v>0</v>
      </c>
      <c r="I1828" s="31" t="s">
        <v>287</v>
      </c>
      <c r="J1828" s="5" t="s">
        <v>1588</v>
      </c>
      <c r="K1828" s="8"/>
    </row>
    <row r="1829" spans="1:11" x14ac:dyDescent="0.2">
      <c r="A1829" s="8">
        <v>1828</v>
      </c>
      <c r="B1829" s="8">
        <f t="shared" si="58"/>
        <v>2022</v>
      </c>
      <c r="C1829" s="8">
        <f t="shared" si="59"/>
        <v>9</v>
      </c>
      <c r="D1829" s="85">
        <v>44820</v>
      </c>
      <c r="E1829" s="31">
        <v>0</v>
      </c>
      <c r="F1829" s="31">
        <v>0</v>
      </c>
      <c r="G1829" s="31">
        <v>0</v>
      </c>
      <c r="H1829" s="31">
        <v>211000</v>
      </c>
      <c r="I1829" s="31" t="s">
        <v>74</v>
      </c>
      <c r="J1829" s="5" t="s">
        <v>1589</v>
      </c>
      <c r="K1829" s="8"/>
    </row>
    <row r="1830" spans="1:11" x14ac:dyDescent="0.2">
      <c r="A1830" s="8">
        <v>1829</v>
      </c>
      <c r="B1830" s="8">
        <f t="shared" si="58"/>
        <v>2022</v>
      </c>
      <c r="C1830" s="8">
        <f t="shared" si="59"/>
        <v>9</v>
      </c>
      <c r="D1830" s="85">
        <v>44820</v>
      </c>
      <c r="E1830" s="31">
        <v>0</v>
      </c>
      <c r="F1830" s="31">
        <v>80000</v>
      </c>
      <c r="G1830" s="31">
        <v>0</v>
      </c>
      <c r="H1830" s="31">
        <v>0</v>
      </c>
      <c r="I1830" s="31" t="s">
        <v>287</v>
      </c>
      <c r="J1830" s="5" t="s">
        <v>1590</v>
      </c>
      <c r="K1830" s="8"/>
    </row>
    <row r="1831" spans="1:11" x14ac:dyDescent="0.2">
      <c r="A1831" s="8">
        <v>1830</v>
      </c>
      <c r="B1831" s="8">
        <f t="shared" si="58"/>
        <v>2022</v>
      </c>
      <c r="C1831" s="8">
        <f t="shared" si="59"/>
        <v>9</v>
      </c>
      <c r="D1831" s="85">
        <v>44820</v>
      </c>
      <c r="E1831" s="31">
        <v>0</v>
      </c>
      <c r="F1831" s="31">
        <v>30000</v>
      </c>
      <c r="G1831" s="31">
        <v>0</v>
      </c>
      <c r="H1831" s="31">
        <v>0</v>
      </c>
      <c r="I1831" s="31" t="s">
        <v>571</v>
      </c>
      <c r="J1831" s="5" t="s">
        <v>1591</v>
      </c>
      <c r="K1831" s="8"/>
    </row>
    <row r="1832" spans="1:11" x14ac:dyDescent="0.2">
      <c r="A1832" s="8">
        <v>1831</v>
      </c>
      <c r="B1832" s="8">
        <f t="shared" si="58"/>
        <v>2022</v>
      </c>
      <c r="C1832" s="8">
        <f t="shared" si="59"/>
        <v>9</v>
      </c>
      <c r="D1832" s="85">
        <v>44820</v>
      </c>
      <c r="E1832" s="31">
        <v>0</v>
      </c>
      <c r="F1832" s="31">
        <v>57000</v>
      </c>
      <c r="G1832" s="31">
        <v>0</v>
      </c>
      <c r="H1832" s="31">
        <v>0</v>
      </c>
      <c r="I1832" s="31" t="s">
        <v>287</v>
      </c>
      <c r="J1832" s="5" t="s">
        <v>1592</v>
      </c>
      <c r="K1832" s="8"/>
    </row>
    <row r="1833" spans="1:11" x14ac:dyDescent="0.2">
      <c r="A1833" s="8">
        <v>1832</v>
      </c>
      <c r="B1833" s="8">
        <f t="shared" si="58"/>
        <v>2022</v>
      </c>
      <c r="C1833" s="8">
        <f t="shared" si="59"/>
        <v>9</v>
      </c>
      <c r="D1833" s="85">
        <v>44820</v>
      </c>
      <c r="E1833" s="31">
        <v>350000</v>
      </c>
      <c r="F1833" s="31">
        <v>0</v>
      </c>
      <c r="G1833" s="31">
        <v>0</v>
      </c>
      <c r="H1833" s="31">
        <v>450000</v>
      </c>
      <c r="I1833" s="31" t="s">
        <v>287</v>
      </c>
      <c r="J1833" s="5" t="s">
        <v>1593</v>
      </c>
      <c r="K1833" s="8"/>
    </row>
    <row r="1834" spans="1:11" x14ac:dyDescent="0.2">
      <c r="A1834" s="8">
        <v>1833</v>
      </c>
      <c r="B1834" s="8">
        <f t="shared" si="58"/>
        <v>2022</v>
      </c>
      <c r="C1834" s="8">
        <f t="shared" si="59"/>
        <v>9</v>
      </c>
      <c r="D1834" s="85">
        <v>44821</v>
      </c>
      <c r="E1834" s="31">
        <v>0</v>
      </c>
      <c r="F1834" s="31">
        <v>270000</v>
      </c>
      <c r="G1834" s="31">
        <v>0</v>
      </c>
      <c r="H1834" s="31">
        <v>0</v>
      </c>
      <c r="I1834" s="31" t="s">
        <v>287</v>
      </c>
      <c r="J1834" s="5" t="s">
        <v>1594</v>
      </c>
      <c r="K1834" s="8"/>
    </row>
    <row r="1835" spans="1:11" x14ac:dyDescent="0.2">
      <c r="A1835" s="8">
        <v>1834</v>
      </c>
      <c r="B1835" s="8">
        <f t="shared" si="58"/>
        <v>2022</v>
      </c>
      <c r="C1835" s="8">
        <f t="shared" si="59"/>
        <v>9</v>
      </c>
      <c r="D1835" s="85">
        <v>44822</v>
      </c>
      <c r="E1835" s="31">
        <v>0</v>
      </c>
      <c r="F1835" s="31">
        <v>88000</v>
      </c>
      <c r="G1835" s="31">
        <v>0</v>
      </c>
      <c r="H1835" s="31">
        <v>0</v>
      </c>
      <c r="I1835" s="31" t="s">
        <v>299</v>
      </c>
      <c r="J1835" s="5" t="s">
        <v>299</v>
      </c>
      <c r="K1835" s="8"/>
    </row>
    <row r="1836" spans="1:11" x14ac:dyDescent="0.2">
      <c r="A1836" s="8">
        <v>1835</v>
      </c>
      <c r="B1836" s="8">
        <f t="shared" si="58"/>
        <v>2022</v>
      </c>
      <c r="C1836" s="8">
        <f t="shared" si="59"/>
        <v>9</v>
      </c>
      <c r="D1836" s="85">
        <v>44823</v>
      </c>
      <c r="E1836" s="31">
        <v>0</v>
      </c>
      <c r="F1836" s="31">
        <v>15000</v>
      </c>
      <c r="G1836" s="31">
        <v>0</v>
      </c>
      <c r="H1836" s="31">
        <v>0</v>
      </c>
      <c r="I1836" s="31" t="s">
        <v>88</v>
      </c>
      <c r="J1836" s="5" t="s">
        <v>1273</v>
      </c>
      <c r="K1836" s="8"/>
    </row>
    <row r="1837" spans="1:11" x14ac:dyDescent="0.2">
      <c r="A1837" s="8">
        <v>1836</v>
      </c>
      <c r="B1837" s="8">
        <f t="shared" si="58"/>
        <v>2022</v>
      </c>
      <c r="C1837" s="8">
        <f t="shared" si="59"/>
        <v>9</v>
      </c>
      <c r="D1837" s="85">
        <v>44823</v>
      </c>
      <c r="E1837" s="31">
        <v>0</v>
      </c>
      <c r="F1837" s="31">
        <v>10000</v>
      </c>
      <c r="G1837" s="31">
        <v>0</v>
      </c>
      <c r="H1837" s="31">
        <v>0</v>
      </c>
      <c r="I1837" s="31" t="s">
        <v>88</v>
      </c>
      <c r="J1837" s="5" t="s">
        <v>91</v>
      </c>
      <c r="K1837" s="8"/>
    </row>
    <row r="1838" spans="1:11" x14ac:dyDescent="0.2">
      <c r="A1838" s="8">
        <v>1837</v>
      </c>
      <c r="B1838" s="8">
        <f t="shared" si="58"/>
        <v>2022</v>
      </c>
      <c r="C1838" s="8">
        <f t="shared" si="59"/>
        <v>9</v>
      </c>
      <c r="D1838" s="85">
        <v>44823</v>
      </c>
      <c r="E1838" s="31">
        <v>0</v>
      </c>
      <c r="F1838" s="31">
        <v>20000</v>
      </c>
      <c r="G1838" s="31">
        <v>0</v>
      </c>
      <c r="H1838" s="31">
        <v>0</v>
      </c>
      <c r="I1838" s="31" t="s">
        <v>287</v>
      </c>
      <c r="J1838" s="5" t="s">
        <v>1595</v>
      </c>
      <c r="K1838" s="8"/>
    </row>
    <row r="1839" spans="1:11" x14ac:dyDescent="0.2">
      <c r="A1839" s="8">
        <v>1838</v>
      </c>
      <c r="B1839" s="8">
        <f t="shared" si="58"/>
        <v>2022</v>
      </c>
      <c r="C1839" s="8">
        <f t="shared" si="59"/>
        <v>9</v>
      </c>
      <c r="D1839" s="85">
        <v>44824</v>
      </c>
      <c r="E1839" s="31">
        <v>0</v>
      </c>
      <c r="F1839" s="31">
        <v>400000</v>
      </c>
      <c r="G1839" s="31">
        <v>0</v>
      </c>
      <c r="H1839" s="31">
        <v>0</v>
      </c>
      <c r="I1839" s="31" t="s">
        <v>88</v>
      </c>
      <c r="J1839" s="5" t="s">
        <v>192</v>
      </c>
      <c r="K1839" s="8"/>
    </row>
    <row r="1840" spans="1:11" x14ac:dyDescent="0.2">
      <c r="A1840" s="8">
        <v>1839</v>
      </c>
      <c r="B1840" s="8">
        <f t="shared" si="58"/>
        <v>2022</v>
      </c>
      <c r="C1840" s="8">
        <f t="shared" si="59"/>
        <v>9</v>
      </c>
      <c r="D1840" s="85">
        <v>44824</v>
      </c>
      <c r="E1840" s="31">
        <v>0</v>
      </c>
      <c r="F1840" s="31">
        <v>260000</v>
      </c>
      <c r="G1840" s="31">
        <v>0</v>
      </c>
      <c r="H1840" s="31">
        <v>0</v>
      </c>
      <c r="I1840" s="31" t="s">
        <v>85</v>
      </c>
      <c r="J1840" s="5" t="s">
        <v>1596</v>
      </c>
      <c r="K1840" s="8"/>
    </row>
    <row r="1841" spans="1:11" x14ac:dyDescent="0.2">
      <c r="A1841" s="8">
        <v>1840</v>
      </c>
      <c r="B1841" s="8">
        <f t="shared" si="58"/>
        <v>2022</v>
      </c>
      <c r="C1841" s="8">
        <f t="shared" si="59"/>
        <v>9</v>
      </c>
      <c r="D1841" s="85">
        <v>44827</v>
      </c>
      <c r="E1841" s="31">
        <v>0</v>
      </c>
      <c r="F1841" s="31">
        <v>80000</v>
      </c>
      <c r="G1841" s="31">
        <v>0</v>
      </c>
      <c r="H1841" s="31">
        <v>0</v>
      </c>
      <c r="I1841" s="31" t="s">
        <v>287</v>
      </c>
      <c r="J1841" s="5" t="s">
        <v>1597</v>
      </c>
      <c r="K1841" s="8"/>
    </row>
    <row r="1842" spans="1:11" x14ac:dyDescent="0.2">
      <c r="A1842" s="8">
        <v>1841</v>
      </c>
      <c r="B1842" s="8">
        <f t="shared" si="58"/>
        <v>2022</v>
      </c>
      <c r="C1842" s="8">
        <f t="shared" si="59"/>
        <v>9</v>
      </c>
      <c r="D1842" s="85">
        <v>44827</v>
      </c>
      <c r="E1842" s="31">
        <v>0</v>
      </c>
      <c r="F1842" s="31">
        <v>50000</v>
      </c>
      <c r="G1842" s="31">
        <v>0</v>
      </c>
      <c r="H1842" s="31">
        <v>0</v>
      </c>
      <c r="I1842" s="31" t="s">
        <v>287</v>
      </c>
      <c r="J1842" s="5" t="s">
        <v>1598</v>
      </c>
      <c r="K1842" s="8"/>
    </row>
    <row r="1843" spans="1:11" x14ac:dyDescent="0.2">
      <c r="A1843" s="8">
        <v>1842</v>
      </c>
      <c r="B1843" s="8">
        <f t="shared" si="58"/>
        <v>2022</v>
      </c>
      <c r="C1843" s="8">
        <f t="shared" si="59"/>
        <v>9</v>
      </c>
      <c r="D1843" s="85">
        <v>44828</v>
      </c>
      <c r="E1843" s="31">
        <v>0</v>
      </c>
      <c r="F1843" s="31">
        <v>500000</v>
      </c>
      <c r="G1843" s="31">
        <v>0</v>
      </c>
      <c r="H1843" s="31">
        <v>0</v>
      </c>
      <c r="I1843" s="31" t="s">
        <v>85</v>
      </c>
      <c r="J1843" s="5" t="s">
        <v>1599</v>
      </c>
      <c r="K1843" s="8"/>
    </row>
    <row r="1844" spans="1:11" x14ac:dyDescent="0.2">
      <c r="A1844" s="8">
        <v>1843</v>
      </c>
      <c r="B1844" s="8">
        <f t="shared" si="58"/>
        <v>2022</v>
      </c>
      <c r="C1844" s="8">
        <f t="shared" si="59"/>
        <v>9</v>
      </c>
      <c r="D1844" s="85">
        <v>44828</v>
      </c>
      <c r="E1844" s="31">
        <v>0</v>
      </c>
      <c r="F1844" s="31">
        <v>10000</v>
      </c>
      <c r="G1844" s="31">
        <v>0</v>
      </c>
      <c r="H1844" s="31">
        <v>0</v>
      </c>
      <c r="I1844" s="31" t="s">
        <v>85</v>
      </c>
      <c r="J1844" s="5" t="s">
        <v>475</v>
      </c>
      <c r="K1844" s="8"/>
    </row>
    <row r="1845" spans="1:11" x14ac:dyDescent="0.2">
      <c r="A1845" s="8">
        <v>1844</v>
      </c>
      <c r="B1845" s="8">
        <f t="shared" si="58"/>
        <v>2022</v>
      </c>
      <c r="C1845" s="8">
        <f t="shared" si="59"/>
        <v>9</v>
      </c>
      <c r="D1845" s="85">
        <v>44828</v>
      </c>
      <c r="E1845" s="31">
        <v>0</v>
      </c>
      <c r="F1845" s="31">
        <v>30000</v>
      </c>
      <c r="G1845" s="31">
        <v>0</v>
      </c>
      <c r="H1845" s="31">
        <v>0</v>
      </c>
      <c r="I1845" s="31" t="s">
        <v>85</v>
      </c>
      <c r="J1845" s="5" t="s">
        <v>1600</v>
      </c>
      <c r="K1845" s="8"/>
    </row>
    <row r="1846" spans="1:11" x14ac:dyDescent="0.2">
      <c r="A1846" s="8">
        <v>1845</v>
      </c>
      <c r="B1846" s="8">
        <f t="shared" si="58"/>
        <v>2022</v>
      </c>
      <c r="C1846" s="8">
        <f t="shared" si="59"/>
        <v>9</v>
      </c>
      <c r="D1846" s="85">
        <v>44828</v>
      </c>
      <c r="E1846" s="31">
        <v>0</v>
      </c>
      <c r="F1846" s="31">
        <v>12000</v>
      </c>
      <c r="G1846" s="31">
        <v>0</v>
      </c>
      <c r="H1846" s="31">
        <v>0</v>
      </c>
      <c r="I1846" s="31" t="s">
        <v>85</v>
      </c>
      <c r="J1846" s="5" t="s">
        <v>1601</v>
      </c>
      <c r="K1846" s="8"/>
    </row>
    <row r="1847" spans="1:11" x14ac:dyDescent="0.2">
      <c r="A1847" s="8">
        <v>1846</v>
      </c>
      <c r="B1847" s="8">
        <f t="shared" si="58"/>
        <v>2022</v>
      </c>
      <c r="C1847" s="8">
        <f t="shared" si="59"/>
        <v>9</v>
      </c>
      <c r="D1847" s="85">
        <v>44829</v>
      </c>
      <c r="E1847" s="31">
        <v>0</v>
      </c>
      <c r="F1847" s="31">
        <v>32000</v>
      </c>
      <c r="G1847" s="31">
        <v>0</v>
      </c>
      <c r="H1847" s="31">
        <v>0</v>
      </c>
      <c r="I1847" s="31" t="s">
        <v>99</v>
      </c>
      <c r="J1847" s="5" t="s">
        <v>1602</v>
      </c>
      <c r="K1847" s="8"/>
    </row>
    <row r="1848" spans="1:11" x14ac:dyDescent="0.2">
      <c r="A1848" s="8">
        <v>1847</v>
      </c>
      <c r="B1848" s="8">
        <f t="shared" si="58"/>
        <v>2022</v>
      </c>
      <c r="C1848" s="8">
        <f t="shared" si="59"/>
        <v>9</v>
      </c>
      <c r="D1848" s="85">
        <v>44829</v>
      </c>
      <c r="E1848" s="31">
        <v>0</v>
      </c>
      <c r="F1848" s="31">
        <v>600000</v>
      </c>
      <c r="G1848" s="31">
        <v>0</v>
      </c>
      <c r="H1848" s="31">
        <v>0</v>
      </c>
      <c r="I1848" s="31" t="s">
        <v>316</v>
      </c>
      <c r="J1848" s="5" t="s">
        <v>201</v>
      </c>
      <c r="K1848" s="8"/>
    </row>
    <row r="1849" spans="1:11" x14ac:dyDescent="0.2">
      <c r="A1849" s="8">
        <v>1848</v>
      </c>
      <c r="B1849" s="8">
        <f t="shared" si="58"/>
        <v>2022</v>
      </c>
      <c r="C1849" s="8">
        <f t="shared" si="59"/>
        <v>9</v>
      </c>
      <c r="D1849" s="85">
        <v>44829</v>
      </c>
      <c r="E1849" s="31">
        <v>0</v>
      </c>
      <c r="F1849" s="31">
        <v>60000</v>
      </c>
      <c r="G1849" s="31">
        <v>0</v>
      </c>
      <c r="H1849" s="31">
        <v>0</v>
      </c>
      <c r="I1849" s="31" t="s">
        <v>88</v>
      </c>
      <c r="J1849" s="5" t="s">
        <v>1603</v>
      </c>
      <c r="K1849" s="8"/>
    </row>
    <row r="1850" spans="1:11" x14ac:dyDescent="0.2">
      <c r="A1850" s="8">
        <v>1849</v>
      </c>
      <c r="B1850" s="8">
        <f t="shared" si="58"/>
        <v>2022</v>
      </c>
      <c r="C1850" s="8">
        <f t="shared" si="59"/>
        <v>9</v>
      </c>
      <c r="D1850" s="85">
        <v>44829</v>
      </c>
      <c r="E1850" s="31">
        <v>0</v>
      </c>
      <c r="F1850" s="31">
        <v>20000</v>
      </c>
      <c r="G1850" s="31">
        <v>0</v>
      </c>
      <c r="H1850" s="31">
        <v>0</v>
      </c>
      <c r="I1850" s="31" t="s">
        <v>88</v>
      </c>
      <c r="J1850" s="5" t="s">
        <v>1604</v>
      </c>
      <c r="K1850" s="8"/>
    </row>
    <row r="1851" spans="1:11" x14ac:dyDescent="0.2">
      <c r="A1851" s="8">
        <v>1850</v>
      </c>
      <c r="B1851" s="8">
        <f t="shared" si="58"/>
        <v>2022</v>
      </c>
      <c r="C1851" s="8">
        <f t="shared" si="59"/>
        <v>9</v>
      </c>
      <c r="D1851" s="85">
        <v>44829</v>
      </c>
      <c r="E1851" s="31">
        <v>0</v>
      </c>
      <c r="F1851" s="31">
        <v>34000</v>
      </c>
      <c r="G1851" s="31">
        <v>0</v>
      </c>
      <c r="H1851" s="31">
        <v>0</v>
      </c>
      <c r="I1851" s="31" t="s">
        <v>88</v>
      </c>
      <c r="J1851" s="5" t="s">
        <v>1605</v>
      </c>
      <c r="K1851" s="8"/>
    </row>
    <row r="1852" spans="1:11" x14ac:dyDescent="0.2">
      <c r="A1852" s="8">
        <v>1851</v>
      </c>
      <c r="B1852" s="8">
        <f t="shared" si="58"/>
        <v>2022</v>
      </c>
      <c r="C1852" s="8">
        <f t="shared" si="59"/>
        <v>9</v>
      </c>
      <c r="D1852" s="85">
        <v>44829</v>
      </c>
      <c r="E1852" s="31">
        <v>0</v>
      </c>
      <c r="F1852" s="31">
        <v>230000</v>
      </c>
      <c r="G1852" s="31">
        <v>0</v>
      </c>
      <c r="H1852" s="31">
        <v>0</v>
      </c>
      <c r="I1852" s="31" t="s">
        <v>85</v>
      </c>
      <c r="J1852" s="5" t="s">
        <v>1563</v>
      </c>
      <c r="K1852" s="8"/>
    </row>
    <row r="1853" spans="1:11" x14ac:dyDescent="0.2">
      <c r="A1853" s="8">
        <v>1852</v>
      </c>
      <c r="B1853" s="8">
        <f t="shared" si="58"/>
        <v>2022</v>
      </c>
      <c r="C1853" s="8">
        <f t="shared" si="59"/>
        <v>9</v>
      </c>
      <c r="D1853" s="85">
        <v>44829</v>
      </c>
      <c r="E1853" s="31">
        <v>0</v>
      </c>
      <c r="F1853" s="31">
        <v>33000</v>
      </c>
      <c r="G1853" s="31">
        <v>0</v>
      </c>
      <c r="H1853" s="31">
        <v>0</v>
      </c>
      <c r="I1853" s="31" t="s">
        <v>85</v>
      </c>
      <c r="J1853" s="5" t="s">
        <v>1606</v>
      </c>
      <c r="K1853" s="8"/>
    </row>
    <row r="1854" spans="1:11" x14ac:dyDescent="0.2">
      <c r="A1854" s="8">
        <v>1853</v>
      </c>
      <c r="B1854" s="8">
        <f t="shared" si="58"/>
        <v>2022</v>
      </c>
      <c r="C1854" s="8">
        <f t="shared" si="59"/>
        <v>9</v>
      </c>
      <c r="D1854" s="85">
        <v>44829</v>
      </c>
      <c r="E1854" s="31">
        <v>0</v>
      </c>
      <c r="F1854" s="31">
        <v>20000</v>
      </c>
      <c r="G1854" s="31">
        <v>0</v>
      </c>
      <c r="H1854" s="31">
        <v>0</v>
      </c>
      <c r="I1854" s="31" t="s">
        <v>99</v>
      </c>
      <c r="J1854" s="5" t="s">
        <v>1607</v>
      </c>
      <c r="K1854" s="8"/>
    </row>
    <row r="1855" spans="1:11" x14ac:dyDescent="0.2">
      <c r="A1855" s="8">
        <v>1854</v>
      </c>
      <c r="B1855" s="8">
        <f t="shared" si="58"/>
        <v>2022</v>
      </c>
      <c r="C1855" s="8">
        <f t="shared" si="59"/>
        <v>9</v>
      </c>
      <c r="D1855" s="85">
        <v>44830</v>
      </c>
      <c r="E1855" s="31">
        <v>0</v>
      </c>
      <c r="F1855" s="31">
        <v>45000</v>
      </c>
      <c r="G1855" s="31">
        <v>0</v>
      </c>
      <c r="H1855" s="31">
        <v>0</v>
      </c>
      <c r="I1855" s="31" t="s">
        <v>287</v>
      </c>
      <c r="J1855" s="5" t="s">
        <v>1608</v>
      </c>
      <c r="K1855" s="8"/>
    </row>
    <row r="1856" spans="1:11" x14ac:dyDescent="0.2">
      <c r="A1856" s="8">
        <v>1855</v>
      </c>
      <c r="B1856" s="8">
        <f t="shared" si="58"/>
        <v>2022</v>
      </c>
      <c r="C1856" s="8">
        <f t="shared" si="59"/>
        <v>9</v>
      </c>
      <c r="D1856" s="85">
        <v>44830</v>
      </c>
      <c r="E1856" s="31">
        <v>0</v>
      </c>
      <c r="F1856" s="31">
        <v>30000</v>
      </c>
      <c r="G1856" s="31">
        <v>0</v>
      </c>
      <c r="H1856" s="31">
        <v>0</v>
      </c>
      <c r="I1856" s="31" t="s">
        <v>287</v>
      </c>
      <c r="J1856" s="5" t="s">
        <v>1609</v>
      </c>
      <c r="K1856" s="8"/>
    </row>
    <row r="1857" spans="1:11" x14ac:dyDescent="0.2">
      <c r="A1857" s="8">
        <v>1856</v>
      </c>
      <c r="B1857" s="8">
        <f t="shared" si="58"/>
        <v>2022</v>
      </c>
      <c r="C1857" s="8">
        <f t="shared" si="59"/>
        <v>9</v>
      </c>
      <c r="D1857" s="85">
        <v>44830</v>
      </c>
      <c r="E1857" s="31">
        <v>0</v>
      </c>
      <c r="F1857" s="31">
        <v>10000</v>
      </c>
      <c r="G1857" s="31">
        <v>0</v>
      </c>
      <c r="H1857" s="31">
        <v>0</v>
      </c>
      <c r="I1857" s="31" t="s">
        <v>287</v>
      </c>
      <c r="J1857" s="5" t="s">
        <v>91</v>
      </c>
      <c r="K1857" s="8"/>
    </row>
    <row r="1858" spans="1:11" x14ac:dyDescent="0.2">
      <c r="A1858" s="8">
        <v>1857</v>
      </c>
      <c r="B1858" s="8">
        <f t="shared" si="58"/>
        <v>2022</v>
      </c>
      <c r="C1858" s="8">
        <f t="shared" si="59"/>
        <v>9</v>
      </c>
      <c r="D1858" s="85">
        <v>44830</v>
      </c>
      <c r="E1858" s="31">
        <v>0</v>
      </c>
      <c r="F1858" s="31">
        <v>10000</v>
      </c>
      <c r="G1858" s="31">
        <v>0</v>
      </c>
      <c r="H1858" s="31">
        <v>0</v>
      </c>
      <c r="I1858" s="31" t="s">
        <v>287</v>
      </c>
      <c r="J1858" s="5" t="s">
        <v>287</v>
      </c>
      <c r="K1858" s="8"/>
    </row>
    <row r="1859" spans="1:11" x14ac:dyDescent="0.2">
      <c r="A1859" s="8">
        <v>1858</v>
      </c>
      <c r="B1859" s="8">
        <f t="shared" si="58"/>
        <v>2022</v>
      </c>
      <c r="C1859" s="8">
        <f t="shared" si="59"/>
        <v>9</v>
      </c>
      <c r="D1859" s="85">
        <v>44830</v>
      </c>
      <c r="E1859" s="31">
        <v>0</v>
      </c>
      <c r="F1859" s="31">
        <v>100000</v>
      </c>
      <c r="G1859" s="31">
        <v>0</v>
      </c>
      <c r="H1859" s="31">
        <v>0</v>
      </c>
      <c r="I1859" s="31" t="s">
        <v>299</v>
      </c>
      <c r="J1859" s="5" t="s">
        <v>299</v>
      </c>
      <c r="K1859" s="8"/>
    </row>
    <row r="1860" spans="1:11" x14ac:dyDescent="0.2">
      <c r="A1860" s="8">
        <v>1859</v>
      </c>
      <c r="B1860" s="8">
        <f t="shared" si="58"/>
        <v>2022</v>
      </c>
      <c r="C1860" s="8">
        <f t="shared" si="59"/>
        <v>9</v>
      </c>
      <c r="D1860" s="85">
        <v>44831</v>
      </c>
      <c r="E1860" s="31">
        <v>0</v>
      </c>
      <c r="F1860" s="31">
        <v>25000</v>
      </c>
      <c r="G1860" s="31">
        <v>0</v>
      </c>
      <c r="H1860" s="31">
        <v>0</v>
      </c>
      <c r="I1860" s="31" t="s">
        <v>85</v>
      </c>
      <c r="J1860" s="5" t="s">
        <v>1610</v>
      </c>
      <c r="K1860" s="8"/>
    </row>
    <row r="1861" spans="1:11" x14ac:dyDescent="0.2">
      <c r="A1861" s="8">
        <v>1860</v>
      </c>
      <c r="B1861" s="8">
        <f t="shared" si="58"/>
        <v>2022</v>
      </c>
      <c r="C1861" s="8">
        <f t="shared" si="59"/>
        <v>9</v>
      </c>
      <c r="D1861" s="85">
        <v>44831</v>
      </c>
      <c r="E1861" s="31">
        <v>0</v>
      </c>
      <c r="F1861" s="31">
        <v>11000</v>
      </c>
      <c r="G1861" s="31">
        <v>0</v>
      </c>
      <c r="H1861" s="31">
        <v>0</v>
      </c>
      <c r="I1861" s="31" t="s">
        <v>85</v>
      </c>
      <c r="J1861" s="5" t="s">
        <v>91</v>
      </c>
      <c r="K1861" s="8"/>
    </row>
    <row r="1862" spans="1:11" x14ac:dyDescent="0.2">
      <c r="A1862" s="8">
        <v>1861</v>
      </c>
      <c r="B1862" s="8">
        <f t="shared" ref="B1862:B1925" si="60">YEAR(D1862)</f>
        <v>2022</v>
      </c>
      <c r="C1862" s="8">
        <f t="shared" ref="C1862:C1925" si="61">MONTH(D1862)</f>
        <v>9</v>
      </c>
      <c r="D1862" s="85">
        <v>44832</v>
      </c>
      <c r="E1862" s="31">
        <v>0</v>
      </c>
      <c r="F1862" s="31">
        <v>0</v>
      </c>
      <c r="G1862" s="31">
        <v>0</v>
      </c>
      <c r="H1862" s="31">
        <v>0</v>
      </c>
      <c r="I1862" s="31" t="s">
        <v>85</v>
      </c>
      <c r="J1862" s="5" t="s">
        <v>1611</v>
      </c>
      <c r="K1862" s="8"/>
    </row>
    <row r="1863" spans="1:11" x14ac:dyDescent="0.2">
      <c r="A1863" s="8">
        <v>1862</v>
      </c>
      <c r="B1863" s="8">
        <f t="shared" si="60"/>
        <v>2022</v>
      </c>
      <c r="C1863" s="8">
        <f t="shared" si="61"/>
        <v>9</v>
      </c>
      <c r="D1863" s="85">
        <v>44834</v>
      </c>
      <c r="E1863" s="31">
        <v>0</v>
      </c>
      <c r="F1863" s="31">
        <v>97000</v>
      </c>
      <c r="G1863" s="31">
        <v>0</v>
      </c>
      <c r="H1863" s="31">
        <v>0</v>
      </c>
      <c r="I1863" s="31" t="s">
        <v>85</v>
      </c>
      <c r="J1863" s="5" t="s">
        <v>1612</v>
      </c>
      <c r="K1863" s="8"/>
    </row>
    <row r="1864" spans="1:11" x14ac:dyDescent="0.2">
      <c r="A1864" s="8">
        <v>1863</v>
      </c>
      <c r="B1864" s="8">
        <f t="shared" si="60"/>
        <v>2022</v>
      </c>
      <c r="C1864" s="8">
        <f t="shared" si="61"/>
        <v>9</v>
      </c>
      <c r="D1864" s="85">
        <v>44834</v>
      </c>
      <c r="E1864" s="31">
        <v>0</v>
      </c>
      <c r="F1864" s="31">
        <v>50000</v>
      </c>
      <c r="G1864" s="31">
        <v>0</v>
      </c>
      <c r="H1864" s="31">
        <v>0</v>
      </c>
      <c r="I1864" s="31" t="s">
        <v>85</v>
      </c>
      <c r="J1864" s="5" t="s">
        <v>1613</v>
      </c>
      <c r="K1864" s="8"/>
    </row>
    <row r="1865" spans="1:11" x14ac:dyDescent="0.2">
      <c r="A1865" s="8">
        <v>1864</v>
      </c>
      <c r="B1865" s="8">
        <f t="shared" si="60"/>
        <v>2022</v>
      </c>
      <c r="C1865" s="8">
        <f t="shared" si="61"/>
        <v>9</v>
      </c>
      <c r="D1865" s="85">
        <v>44834</v>
      </c>
      <c r="E1865" s="31">
        <v>0</v>
      </c>
      <c r="F1865" s="31">
        <v>50000</v>
      </c>
      <c r="G1865" s="31">
        <v>0</v>
      </c>
      <c r="H1865" s="31">
        <v>0</v>
      </c>
      <c r="I1865" s="31" t="s">
        <v>85</v>
      </c>
      <c r="J1865" s="5" t="s">
        <v>126</v>
      </c>
      <c r="K1865" s="8"/>
    </row>
    <row r="1866" spans="1:11" x14ac:dyDescent="0.2">
      <c r="A1866" s="8">
        <v>1865</v>
      </c>
      <c r="B1866" s="8">
        <f t="shared" si="60"/>
        <v>2022</v>
      </c>
      <c r="C1866" s="8">
        <f t="shared" si="61"/>
        <v>9</v>
      </c>
      <c r="D1866" s="85">
        <v>44834</v>
      </c>
      <c r="E1866" s="31">
        <v>0</v>
      </c>
      <c r="F1866" s="31">
        <v>250000</v>
      </c>
      <c r="G1866" s="31">
        <v>0</v>
      </c>
      <c r="H1866" s="31">
        <v>0</v>
      </c>
      <c r="I1866" s="31" t="s">
        <v>85</v>
      </c>
      <c r="J1866" s="5" t="s">
        <v>1614</v>
      </c>
      <c r="K1866" s="8"/>
    </row>
    <row r="1867" spans="1:11" x14ac:dyDescent="0.2">
      <c r="A1867" s="8">
        <v>1866</v>
      </c>
      <c r="B1867" s="8">
        <f t="shared" si="60"/>
        <v>2022</v>
      </c>
      <c r="C1867" s="8">
        <f t="shared" si="61"/>
        <v>10</v>
      </c>
      <c r="D1867" s="85">
        <v>44835</v>
      </c>
      <c r="E1867" s="31">
        <v>0</v>
      </c>
      <c r="F1867" s="31">
        <v>0</v>
      </c>
      <c r="G1867" s="31">
        <v>0</v>
      </c>
      <c r="H1867" s="31">
        <v>300000</v>
      </c>
      <c r="I1867" s="31" t="s">
        <v>85</v>
      </c>
      <c r="J1867" s="5" t="s">
        <v>1615</v>
      </c>
      <c r="K1867" s="8"/>
    </row>
    <row r="1868" spans="1:11" x14ac:dyDescent="0.2">
      <c r="A1868" s="8">
        <v>1867</v>
      </c>
      <c r="B1868" s="8">
        <f t="shared" si="60"/>
        <v>2022</v>
      </c>
      <c r="C1868" s="8">
        <f t="shared" si="61"/>
        <v>10</v>
      </c>
      <c r="D1868" s="85">
        <v>44835</v>
      </c>
      <c r="E1868" s="31">
        <v>0</v>
      </c>
      <c r="F1868" s="31">
        <v>21000</v>
      </c>
      <c r="G1868" s="31">
        <v>0</v>
      </c>
      <c r="H1868" s="31">
        <v>0</v>
      </c>
      <c r="I1868" s="31" t="s">
        <v>85</v>
      </c>
      <c r="J1868" s="5" t="s">
        <v>1616</v>
      </c>
      <c r="K1868" s="8"/>
    </row>
    <row r="1869" spans="1:11" x14ac:dyDescent="0.2">
      <c r="A1869" s="8">
        <v>1868</v>
      </c>
      <c r="B1869" s="8">
        <f t="shared" si="60"/>
        <v>2022</v>
      </c>
      <c r="C1869" s="8">
        <f t="shared" si="61"/>
        <v>10</v>
      </c>
      <c r="D1869" s="85">
        <v>44835</v>
      </c>
      <c r="E1869" s="31">
        <v>0</v>
      </c>
      <c r="F1869" s="31">
        <v>290000</v>
      </c>
      <c r="G1869" s="31">
        <v>0</v>
      </c>
      <c r="H1869" s="31">
        <v>0</v>
      </c>
      <c r="I1869" s="31" t="s">
        <v>85</v>
      </c>
      <c r="J1869" s="5" t="s">
        <v>1617</v>
      </c>
      <c r="K1869" s="8"/>
    </row>
    <row r="1870" spans="1:11" x14ac:dyDescent="0.2">
      <c r="A1870" s="8">
        <v>1869</v>
      </c>
      <c r="B1870" s="8">
        <f t="shared" si="60"/>
        <v>2022</v>
      </c>
      <c r="C1870" s="8">
        <f t="shared" si="61"/>
        <v>10</v>
      </c>
      <c r="D1870" s="85">
        <v>44835</v>
      </c>
      <c r="E1870" s="31">
        <v>0</v>
      </c>
      <c r="F1870" s="32">
        <v>0</v>
      </c>
      <c r="G1870" s="31">
        <v>0</v>
      </c>
      <c r="H1870" s="31">
        <v>170000</v>
      </c>
      <c r="I1870" s="31" t="s">
        <v>85</v>
      </c>
      <c r="J1870" s="5" t="s">
        <v>1618</v>
      </c>
      <c r="K1870" s="8"/>
    </row>
    <row r="1871" spans="1:11" x14ac:dyDescent="0.2">
      <c r="A1871" s="8">
        <v>1870</v>
      </c>
      <c r="B1871" s="8">
        <f t="shared" si="60"/>
        <v>2022</v>
      </c>
      <c r="C1871" s="8">
        <f t="shared" si="61"/>
        <v>10</v>
      </c>
      <c r="D1871" s="85">
        <v>44835</v>
      </c>
      <c r="E1871" s="31">
        <v>0</v>
      </c>
      <c r="F1871" s="31">
        <v>1000000</v>
      </c>
      <c r="G1871" s="31">
        <v>0</v>
      </c>
      <c r="H1871" s="31">
        <v>0</v>
      </c>
      <c r="I1871" s="31" t="s">
        <v>85</v>
      </c>
      <c r="J1871" s="5" t="s">
        <v>1619</v>
      </c>
      <c r="K1871" s="8"/>
    </row>
    <row r="1872" spans="1:11" x14ac:dyDescent="0.2">
      <c r="A1872" s="8">
        <v>1871</v>
      </c>
      <c r="B1872" s="8">
        <f t="shared" si="60"/>
        <v>2022</v>
      </c>
      <c r="C1872" s="8">
        <f t="shared" si="61"/>
        <v>10</v>
      </c>
      <c r="D1872" s="85">
        <v>44836</v>
      </c>
      <c r="E1872" s="31">
        <v>0</v>
      </c>
      <c r="F1872" s="31">
        <v>50000</v>
      </c>
      <c r="G1872" s="31">
        <v>0</v>
      </c>
      <c r="H1872" s="31">
        <v>0</v>
      </c>
      <c r="I1872" s="31" t="s">
        <v>85</v>
      </c>
      <c r="J1872" s="5" t="s">
        <v>1620</v>
      </c>
      <c r="K1872" s="8"/>
    </row>
    <row r="1873" spans="1:11" x14ac:dyDescent="0.2">
      <c r="A1873" s="8">
        <v>1872</v>
      </c>
      <c r="B1873" s="8">
        <f t="shared" si="60"/>
        <v>2022</v>
      </c>
      <c r="C1873" s="8">
        <f t="shared" si="61"/>
        <v>10</v>
      </c>
      <c r="D1873" s="85">
        <v>44837</v>
      </c>
      <c r="E1873" s="31">
        <v>0</v>
      </c>
      <c r="F1873" s="31">
        <v>100000</v>
      </c>
      <c r="G1873" s="31">
        <v>0</v>
      </c>
      <c r="H1873" s="31">
        <v>0</v>
      </c>
      <c r="I1873" s="31" t="s">
        <v>85</v>
      </c>
      <c r="J1873" s="5" t="s">
        <v>1621</v>
      </c>
      <c r="K1873" s="8"/>
    </row>
    <row r="1874" spans="1:11" x14ac:dyDescent="0.2">
      <c r="A1874" s="8">
        <v>1873</v>
      </c>
      <c r="B1874" s="8">
        <f t="shared" si="60"/>
        <v>2022</v>
      </c>
      <c r="C1874" s="8">
        <f t="shared" si="61"/>
        <v>10</v>
      </c>
      <c r="D1874" s="85">
        <v>44836</v>
      </c>
      <c r="E1874" s="31">
        <v>0</v>
      </c>
      <c r="F1874" s="31">
        <v>200000</v>
      </c>
      <c r="G1874" s="31">
        <v>0</v>
      </c>
      <c r="H1874" s="31">
        <v>0</v>
      </c>
      <c r="I1874" s="31" t="s">
        <v>85</v>
      </c>
      <c r="J1874" s="5" t="s">
        <v>1622</v>
      </c>
      <c r="K1874" s="8"/>
    </row>
    <row r="1875" spans="1:11" x14ac:dyDescent="0.2">
      <c r="A1875" s="8">
        <v>1874</v>
      </c>
      <c r="B1875" s="8">
        <f t="shared" si="60"/>
        <v>2022</v>
      </c>
      <c r="C1875" s="8">
        <f t="shared" si="61"/>
        <v>10</v>
      </c>
      <c r="D1875" s="85">
        <v>44837</v>
      </c>
      <c r="E1875" s="31">
        <v>0</v>
      </c>
      <c r="F1875" s="31">
        <v>50000</v>
      </c>
      <c r="G1875" s="31">
        <v>0</v>
      </c>
      <c r="H1875" s="31">
        <v>0</v>
      </c>
      <c r="I1875" s="31" t="s">
        <v>85</v>
      </c>
      <c r="J1875" s="5" t="s">
        <v>1621</v>
      </c>
      <c r="K1875" s="8"/>
    </row>
    <row r="1876" spans="1:11" x14ac:dyDescent="0.2">
      <c r="A1876" s="8">
        <v>1875</v>
      </c>
      <c r="B1876" s="8">
        <f t="shared" si="60"/>
        <v>2022</v>
      </c>
      <c r="C1876" s="8">
        <f t="shared" si="61"/>
        <v>10</v>
      </c>
      <c r="D1876" s="85">
        <v>44838</v>
      </c>
      <c r="E1876" s="31">
        <v>0</v>
      </c>
      <c r="F1876" s="31">
        <v>20000</v>
      </c>
      <c r="G1876" s="31">
        <v>0</v>
      </c>
      <c r="H1876" s="31">
        <v>0</v>
      </c>
      <c r="I1876" s="31" t="s">
        <v>85</v>
      </c>
      <c r="J1876" s="5" t="s">
        <v>1623</v>
      </c>
      <c r="K1876" s="8"/>
    </row>
    <row r="1877" spans="1:11" x14ac:dyDescent="0.2">
      <c r="A1877" s="8">
        <v>1876</v>
      </c>
      <c r="B1877" s="8">
        <f t="shared" si="60"/>
        <v>2022</v>
      </c>
      <c r="C1877" s="8">
        <f t="shared" si="61"/>
        <v>10</v>
      </c>
      <c r="D1877" s="85">
        <v>44839</v>
      </c>
      <c r="E1877" s="31">
        <v>0</v>
      </c>
      <c r="F1877" s="31">
        <v>54000</v>
      </c>
      <c r="G1877" s="31">
        <v>0</v>
      </c>
      <c r="H1877" s="31">
        <v>0</v>
      </c>
      <c r="I1877" s="31" t="s">
        <v>85</v>
      </c>
      <c r="J1877" s="5" t="s">
        <v>1624</v>
      </c>
      <c r="K1877" s="8"/>
    </row>
    <row r="1878" spans="1:11" x14ac:dyDescent="0.2">
      <c r="A1878" s="8">
        <v>1877</v>
      </c>
      <c r="B1878" s="8">
        <f t="shared" si="60"/>
        <v>2022</v>
      </c>
      <c r="C1878" s="8">
        <f t="shared" si="61"/>
        <v>10</v>
      </c>
      <c r="D1878" s="85">
        <v>44839</v>
      </c>
      <c r="E1878" s="31">
        <v>0</v>
      </c>
      <c r="F1878" s="31">
        <v>14000</v>
      </c>
      <c r="G1878" s="31">
        <v>0</v>
      </c>
      <c r="H1878" s="31">
        <v>0</v>
      </c>
      <c r="I1878" s="31" t="s">
        <v>85</v>
      </c>
      <c r="J1878" s="5" t="s">
        <v>1625</v>
      </c>
      <c r="K1878" s="8"/>
    </row>
    <row r="1879" spans="1:11" x14ac:dyDescent="0.2">
      <c r="A1879" s="8">
        <v>1878</v>
      </c>
      <c r="B1879" s="8">
        <f t="shared" si="60"/>
        <v>2022</v>
      </c>
      <c r="C1879" s="8">
        <f t="shared" si="61"/>
        <v>10</v>
      </c>
      <c r="D1879" s="85">
        <v>44839</v>
      </c>
      <c r="E1879" s="31">
        <v>0</v>
      </c>
      <c r="F1879" s="31">
        <v>625000</v>
      </c>
      <c r="G1879" s="31">
        <v>0</v>
      </c>
      <c r="H1879" s="31">
        <v>0</v>
      </c>
      <c r="I1879" s="31" t="s">
        <v>571</v>
      </c>
      <c r="J1879" s="5" t="s">
        <v>1626</v>
      </c>
      <c r="K1879" s="8"/>
    </row>
    <row r="1880" spans="1:11" x14ac:dyDescent="0.2">
      <c r="A1880" s="8">
        <v>1879</v>
      </c>
      <c r="B1880" s="8">
        <f t="shared" si="60"/>
        <v>2022</v>
      </c>
      <c r="C1880" s="8">
        <f t="shared" si="61"/>
        <v>10</v>
      </c>
      <c r="D1880" s="85">
        <v>44839</v>
      </c>
      <c r="E1880" s="31">
        <v>0</v>
      </c>
      <c r="F1880" s="31">
        <v>20000</v>
      </c>
      <c r="G1880" s="31">
        <v>0</v>
      </c>
      <c r="H1880" s="31">
        <v>0</v>
      </c>
      <c r="I1880" s="31" t="s">
        <v>85</v>
      </c>
      <c r="J1880" s="5" t="s">
        <v>1627</v>
      </c>
      <c r="K1880" s="8"/>
    </row>
    <row r="1881" spans="1:11" x14ac:dyDescent="0.2">
      <c r="A1881" s="8">
        <v>1880</v>
      </c>
      <c r="B1881" s="8">
        <f t="shared" si="60"/>
        <v>2022</v>
      </c>
      <c r="C1881" s="8">
        <f t="shared" si="61"/>
        <v>10</v>
      </c>
      <c r="D1881" s="85">
        <v>44840</v>
      </c>
      <c r="E1881" s="31">
        <v>0</v>
      </c>
      <c r="F1881" s="31">
        <v>115000</v>
      </c>
      <c r="G1881" s="31">
        <v>0</v>
      </c>
      <c r="H1881" s="31">
        <v>0</v>
      </c>
      <c r="I1881" s="31" t="s">
        <v>299</v>
      </c>
      <c r="J1881" s="5" t="s">
        <v>299</v>
      </c>
      <c r="K1881" s="8"/>
    </row>
    <row r="1882" spans="1:11" x14ac:dyDescent="0.2">
      <c r="A1882" s="8">
        <v>1881</v>
      </c>
      <c r="B1882" s="8">
        <f t="shared" si="60"/>
        <v>2022</v>
      </c>
      <c r="C1882" s="8">
        <f t="shared" si="61"/>
        <v>10</v>
      </c>
      <c r="D1882" s="85">
        <v>44840</v>
      </c>
      <c r="E1882" s="31">
        <v>0</v>
      </c>
      <c r="F1882" s="31">
        <v>20000</v>
      </c>
      <c r="G1882" s="31">
        <v>0</v>
      </c>
      <c r="H1882" s="31">
        <v>0</v>
      </c>
      <c r="I1882" s="31" t="s">
        <v>88</v>
      </c>
      <c r="J1882" s="5" t="s">
        <v>1613</v>
      </c>
      <c r="K1882" s="8"/>
    </row>
    <row r="1883" spans="1:11" x14ac:dyDescent="0.2">
      <c r="A1883" s="8">
        <v>1882</v>
      </c>
      <c r="B1883" s="8">
        <f t="shared" si="60"/>
        <v>2022</v>
      </c>
      <c r="C1883" s="8">
        <f t="shared" si="61"/>
        <v>10</v>
      </c>
      <c r="D1883" s="85">
        <v>44841</v>
      </c>
      <c r="E1883" s="31">
        <v>0</v>
      </c>
      <c r="F1883" s="31">
        <v>0</v>
      </c>
      <c r="G1883" s="31">
        <v>0</v>
      </c>
      <c r="H1883" s="31">
        <v>296000</v>
      </c>
      <c r="I1883" s="31" t="s">
        <v>85</v>
      </c>
      <c r="J1883" s="5" t="s">
        <v>1628</v>
      </c>
      <c r="K1883" s="8"/>
    </row>
    <row r="1884" spans="1:11" x14ac:dyDescent="0.2">
      <c r="A1884" s="8">
        <v>1883</v>
      </c>
      <c r="B1884" s="8">
        <f t="shared" si="60"/>
        <v>2022</v>
      </c>
      <c r="C1884" s="8">
        <f t="shared" si="61"/>
        <v>10</v>
      </c>
      <c r="D1884" s="85">
        <v>44842</v>
      </c>
      <c r="E1884" s="31">
        <v>0</v>
      </c>
      <c r="F1884" s="31">
        <v>27000</v>
      </c>
      <c r="G1884" s="31">
        <v>0</v>
      </c>
      <c r="H1884" s="31">
        <v>0</v>
      </c>
      <c r="I1884" s="31" t="s">
        <v>85</v>
      </c>
      <c r="J1884" s="5" t="s">
        <v>356</v>
      </c>
      <c r="K1884" s="8"/>
    </row>
    <row r="1885" spans="1:11" x14ac:dyDescent="0.2">
      <c r="A1885" s="8">
        <v>1884</v>
      </c>
      <c r="B1885" s="8">
        <f t="shared" si="60"/>
        <v>2022</v>
      </c>
      <c r="C1885" s="8">
        <f t="shared" si="61"/>
        <v>10</v>
      </c>
      <c r="D1885" s="85">
        <v>44842</v>
      </c>
      <c r="E1885" s="31">
        <v>0</v>
      </c>
      <c r="F1885" s="31">
        <v>150000</v>
      </c>
      <c r="G1885" s="31">
        <v>0</v>
      </c>
      <c r="H1885" s="31">
        <v>0</v>
      </c>
      <c r="I1885" s="31" t="s">
        <v>85</v>
      </c>
      <c r="J1885" s="5" t="s">
        <v>1629</v>
      </c>
      <c r="K1885" s="8"/>
    </row>
    <row r="1886" spans="1:11" x14ac:dyDescent="0.2">
      <c r="A1886" s="8">
        <v>1885</v>
      </c>
      <c r="B1886" s="8">
        <f t="shared" si="60"/>
        <v>2022</v>
      </c>
      <c r="C1886" s="8">
        <f t="shared" si="61"/>
        <v>10</v>
      </c>
      <c r="D1886" s="85">
        <v>44843</v>
      </c>
      <c r="E1886" s="31">
        <v>0</v>
      </c>
      <c r="F1886" s="31">
        <v>202000</v>
      </c>
      <c r="G1886" s="31">
        <v>0</v>
      </c>
      <c r="H1886" s="31">
        <v>0</v>
      </c>
      <c r="I1886" s="31" t="s">
        <v>85</v>
      </c>
      <c r="J1886" s="5" t="s">
        <v>192</v>
      </c>
      <c r="K1886" s="8"/>
    </row>
    <row r="1887" spans="1:11" x14ac:dyDescent="0.2">
      <c r="A1887" s="8">
        <v>1886</v>
      </c>
      <c r="B1887" s="8">
        <f t="shared" si="60"/>
        <v>2022</v>
      </c>
      <c r="C1887" s="8">
        <f t="shared" si="61"/>
        <v>10</v>
      </c>
      <c r="D1887" s="85">
        <v>44844</v>
      </c>
      <c r="E1887" s="31">
        <v>2600000</v>
      </c>
      <c r="F1887" s="31">
        <v>0</v>
      </c>
      <c r="G1887" s="31">
        <v>0</v>
      </c>
      <c r="H1887" s="30">
        <v>2259000</v>
      </c>
      <c r="I1887" s="31" t="s">
        <v>74</v>
      </c>
      <c r="J1887" s="5" t="s">
        <v>1630</v>
      </c>
      <c r="K1887" s="8"/>
    </row>
    <row r="1888" spans="1:11" x14ac:dyDescent="0.2">
      <c r="A1888" s="8">
        <v>1887</v>
      </c>
      <c r="B1888" s="8">
        <f t="shared" si="60"/>
        <v>2022</v>
      </c>
      <c r="C1888" s="8">
        <f t="shared" si="61"/>
        <v>10</v>
      </c>
      <c r="D1888" s="85">
        <v>44844</v>
      </c>
      <c r="E1888" s="31">
        <v>700000</v>
      </c>
      <c r="F1888" s="31">
        <v>0</v>
      </c>
      <c r="G1888" s="31">
        <v>0</v>
      </c>
      <c r="H1888" s="30">
        <v>615000</v>
      </c>
      <c r="I1888" s="31" t="s">
        <v>74</v>
      </c>
      <c r="J1888" s="5" t="s">
        <v>1631</v>
      </c>
      <c r="K1888" s="8"/>
    </row>
    <row r="1889" spans="1:11" x14ac:dyDescent="0.2">
      <c r="A1889" s="8">
        <v>1888</v>
      </c>
      <c r="B1889" s="8">
        <f t="shared" si="60"/>
        <v>2022</v>
      </c>
      <c r="C1889" s="8">
        <f t="shared" si="61"/>
        <v>10</v>
      </c>
      <c r="D1889" s="85">
        <v>44844</v>
      </c>
      <c r="E1889" s="31">
        <v>1400000</v>
      </c>
      <c r="F1889" s="31">
        <v>0</v>
      </c>
      <c r="G1889" s="31">
        <v>0</v>
      </c>
      <c r="H1889" s="31">
        <v>585000</v>
      </c>
      <c r="I1889" s="31" t="s">
        <v>74</v>
      </c>
      <c r="J1889" s="5" t="s">
        <v>1632</v>
      </c>
      <c r="K1889" s="8"/>
    </row>
    <row r="1890" spans="1:11" x14ac:dyDescent="0.2">
      <c r="A1890" s="8">
        <v>1889</v>
      </c>
      <c r="B1890" s="8">
        <f t="shared" si="60"/>
        <v>2022</v>
      </c>
      <c r="C1890" s="8">
        <f t="shared" si="61"/>
        <v>10</v>
      </c>
      <c r="D1890" s="85">
        <v>44845</v>
      </c>
      <c r="E1890" s="31">
        <v>166000</v>
      </c>
      <c r="F1890" s="31">
        <v>0</v>
      </c>
      <c r="G1890" s="31">
        <v>0</v>
      </c>
      <c r="H1890" s="31">
        <v>100000</v>
      </c>
      <c r="I1890" s="31" t="s">
        <v>74</v>
      </c>
      <c r="J1890" s="5" t="s">
        <v>1633</v>
      </c>
      <c r="K1890" s="8"/>
    </row>
    <row r="1891" spans="1:11" x14ac:dyDescent="0.2">
      <c r="A1891" s="8">
        <v>1890</v>
      </c>
      <c r="B1891" s="8">
        <f t="shared" si="60"/>
        <v>2022</v>
      </c>
      <c r="C1891" s="8">
        <f t="shared" si="61"/>
        <v>10</v>
      </c>
      <c r="D1891" s="85">
        <v>44846</v>
      </c>
      <c r="E1891" s="31">
        <v>0</v>
      </c>
      <c r="F1891" s="31">
        <v>175000</v>
      </c>
      <c r="G1891" s="31">
        <v>0</v>
      </c>
      <c r="H1891" s="31">
        <v>0</v>
      </c>
      <c r="I1891" s="31" t="s">
        <v>287</v>
      </c>
      <c r="J1891" s="5" t="s">
        <v>1634</v>
      </c>
      <c r="K1891" s="8"/>
    </row>
    <row r="1892" spans="1:11" x14ac:dyDescent="0.2">
      <c r="A1892" s="8">
        <v>1891</v>
      </c>
      <c r="B1892" s="8">
        <f t="shared" si="60"/>
        <v>2022</v>
      </c>
      <c r="C1892" s="8">
        <f t="shared" si="61"/>
        <v>10</v>
      </c>
      <c r="D1892" s="85">
        <v>44847</v>
      </c>
      <c r="E1892" s="31">
        <v>0</v>
      </c>
      <c r="F1892" s="31">
        <v>750000</v>
      </c>
      <c r="G1892" s="31">
        <v>0</v>
      </c>
      <c r="H1892" s="31">
        <v>0</v>
      </c>
      <c r="I1892" s="31" t="s">
        <v>287</v>
      </c>
      <c r="J1892" s="5" t="s">
        <v>1635</v>
      </c>
      <c r="K1892" s="8"/>
    </row>
    <row r="1893" spans="1:11" x14ac:dyDescent="0.2">
      <c r="A1893" s="8">
        <v>1892</v>
      </c>
      <c r="B1893" s="8">
        <f t="shared" si="60"/>
        <v>2022</v>
      </c>
      <c r="C1893" s="8">
        <f t="shared" si="61"/>
        <v>10</v>
      </c>
      <c r="D1893" s="85">
        <v>44849</v>
      </c>
      <c r="E1893" s="31">
        <v>0</v>
      </c>
      <c r="F1893" s="31">
        <v>48000</v>
      </c>
      <c r="G1893" s="31">
        <v>0</v>
      </c>
      <c r="H1893" s="31">
        <v>0</v>
      </c>
      <c r="I1893" s="31" t="s">
        <v>287</v>
      </c>
      <c r="J1893" s="5" t="s">
        <v>1636</v>
      </c>
      <c r="K1893" s="8"/>
    </row>
    <row r="1894" spans="1:11" x14ac:dyDescent="0.2">
      <c r="A1894" s="8">
        <v>1893</v>
      </c>
      <c r="B1894" s="8">
        <f t="shared" si="60"/>
        <v>2022</v>
      </c>
      <c r="C1894" s="8">
        <f t="shared" si="61"/>
        <v>10</v>
      </c>
      <c r="D1894" s="85">
        <v>44849</v>
      </c>
      <c r="E1894" s="31">
        <v>0</v>
      </c>
      <c r="F1894" s="31">
        <v>170000</v>
      </c>
      <c r="G1894" s="31">
        <v>0</v>
      </c>
      <c r="H1894" s="31">
        <v>0</v>
      </c>
      <c r="I1894" s="31" t="s">
        <v>287</v>
      </c>
      <c r="J1894" s="5" t="s">
        <v>1637</v>
      </c>
      <c r="K1894" s="8"/>
    </row>
    <row r="1895" spans="1:11" x14ac:dyDescent="0.2">
      <c r="A1895" s="8">
        <v>1894</v>
      </c>
      <c r="B1895" s="8">
        <f t="shared" si="60"/>
        <v>2022</v>
      </c>
      <c r="C1895" s="8">
        <f t="shared" si="61"/>
        <v>10</v>
      </c>
      <c r="D1895" s="85">
        <v>44849</v>
      </c>
      <c r="E1895" s="31">
        <v>0</v>
      </c>
      <c r="F1895" s="31">
        <v>7000</v>
      </c>
      <c r="G1895" s="31">
        <v>0</v>
      </c>
      <c r="H1895" s="31">
        <v>0</v>
      </c>
      <c r="I1895" s="31" t="s">
        <v>287</v>
      </c>
      <c r="J1895" s="5" t="s">
        <v>1638</v>
      </c>
      <c r="K1895" s="8"/>
    </row>
    <row r="1896" spans="1:11" x14ac:dyDescent="0.2">
      <c r="A1896" s="8">
        <v>1895</v>
      </c>
      <c r="B1896" s="8">
        <f t="shared" si="60"/>
        <v>2022</v>
      </c>
      <c r="C1896" s="8">
        <f t="shared" si="61"/>
        <v>10</v>
      </c>
      <c r="D1896" s="85">
        <v>44849</v>
      </c>
      <c r="E1896" s="31">
        <v>0</v>
      </c>
      <c r="F1896" s="31">
        <v>7000</v>
      </c>
      <c r="G1896" s="31">
        <v>0</v>
      </c>
      <c r="H1896" s="31">
        <v>0</v>
      </c>
      <c r="I1896" s="31" t="s">
        <v>287</v>
      </c>
      <c r="J1896" s="5" t="s">
        <v>1639</v>
      </c>
      <c r="K1896" s="8"/>
    </row>
    <row r="1897" spans="1:11" x14ac:dyDescent="0.2">
      <c r="A1897" s="8">
        <v>1896</v>
      </c>
      <c r="B1897" s="8">
        <f t="shared" si="60"/>
        <v>2022</v>
      </c>
      <c r="C1897" s="8">
        <f t="shared" si="61"/>
        <v>10</v>
      </c>
      <c r="D1897" s="85">
        <v>44849</v>
      </c>
      <c r="E1897" s="31">
        <v>0</v>
      </c>
      <c r="F1897" s="31">
        <v>122000</v>
      </c>
      <c r="G1897" s="31">
        <v>0</v>
      </c>
      <c r="H1897" s="31">
        <v>0</v>
      </c>
      <c r="I1897" s="31" t="s">
        <v>287</v>
      </c>
      <c r="J1897" s="5" t="s">
        <v>1640</v>
      </c>
      <c r="K1897" s="8"/>
    </row>
    <row r="1898" spans="1:11" x14ac:dyDescent="0.2">
      <c r="A1898" s="8">
        <v>1897</v>
      </c>
      <c r="B1898" s="8">
        <f t="shared" si="60"/>
        <v>2022</v>
      </c>
      <c r="C1898" s="8">
        <f t="shared" si="61"/>
        <v>10</v>
      </c>
      <c r="D1898" s="85">
        <v>44865</v>
      </c>
      <c r="E1898" s="31">
        <v>0</v>
      </c>
      <c r="F1898" s="31">
        <v>100000</v>
      </c>
      <c r="G1898" s="31">
        <v>0</v>
      </c>
      <c r="H1898" s="31">
        <v>0</v>
      </c>
      <c r="I1898" s="31" t="s">
        <v>287</v>
      </c>
      <c r="J1898" s="5" t="s">
        <v>458</v>
      </c>
      <c r="K1898" s="8"/>
    </row>
    <row r="1899" spans="1:11" x14ac:dyDescent="0.2">
      <c r="A1899" s="8">
        <v>1898</v>
      </c>
      <c r="B1899" s="8">
        <f t="shared" si="60"/>
        <v>2022</v>
      </c>
      <c r="C1899" s="8">
        <f t="shared" si="61"/>
        <v>10</v>
      </c>
      <c r="D1899" s="85">
        <v>44849</v>
      </c>
      <c r="E1899" s="31">
        <v>0</v>
      </c>
      <c r="F1899" s="31">
        <v>50000</v>
      </c>
      <c r="G1899" s="31">
        <v>0</v>
      </c>
      <c r="H1899" s="31">
        <v>0</v>
      </c>
      <c r="I1899" s="31" t="s">
        <v>287</v>
      </c>
      <c r="J1899" s="5" t="s">
        <v>1641</v>
      </c>
      <c r="K1899" s="8"/>
    </row>
    <row r="1900" spans="1:11" x14ac:dyDescent="0.2">
      <c r="A1900" s="8">
        <v>1899</v>
      </c>
      <c r="B1900" s="8">
        <f t="shared" si="60"/>
        <v>2022</v>
      </c>
      <c r="C1900" s="8">
        <f t="shared" si="61"/>
        <v>10</v>
      </c>
      <c r="D1900" s="85">
        <v>44849</v>
      </c>
      <c r="E1900" s="31">
        <v>0</v>
      </c>
      <c r="F1900" s="31">
        <v>2500000</v>
      </c>
      <c r="G1900" s="31">
        <v>0</v>
      </c>
      <c r="H1900" s="31">
        <v>0</v>
      </c>
      <c r="I1900" s="31" t="s">
        <v>287</v>
      </c>
      <c r="J1900" s="5" t="s">
        <v>1642</v>
      </c>
      <c r="K1900" s="8"/>
    </row>
    <row r="1901" spans="1:11" x14ac:dyDescent="0.2">
      <c r="A1901" s="8">
        <v>1900</v>
      </c>
      <c r="B1901" s="8">
        <f t="shared" si="60"/>
        <v>2022</v>
      </c>
      <c r="C1901" s="8">
        <f t="shared" si="61"/>
        <v>10</v>
      </c>
      <c r="D1901" s="85">
        <v>44849</v>
      </c>
      <c r="E1901" s="31">
        <v>0</v>
      </c>
      <c r="F1901" s="31">
        <v>100000</v>
      </c>
      <c r="G1901" s="31">
        <v>0</v>
      </c>
      <c r="H1901" s="31">
        <v>0</v>
      </c>
      <c r="I1901" s="31" t="s">
        <v>287</v>
      </c>
      <c r="J1901" s="5" t="s">
        <v>83</v>
      </c>
      <c r="K1901" s="8"/>
    </row>
    <row r="1902" spans="1:11" x14ac:dyDescent="0.2">
      <c r="A1902" s="8">
        <v>1901</v>
      </c>
      <c r="B1902" s="8">
        <f t="shared" si="60"/>
        <v>2022</v>
      </c>
      <c r="C1902" s="8">
        <f t="shared" si="61"/>
        <v>10</v>
      </c>
      <c r="D1902" s="85">
        <v>44849</v>
      </c>
      <c r="E1902" s="31">
        <v>0</v>
      </c>
      <c r="F1902" s="31">
        <v>36000</v>
      </c>
      <c r="G1902" s="31">
        <v>0</v>
      </c>
      <c r="H1902" s="31">
        <v>0</v>
      </c>
      <c r="I1902" s="31" t="s">
        <v>287</v>
      </c>
      <c r="J1902" s="5" t="s">
        <v>1643</v>
      </c>
      <c r="K1902" s="8"/>
    </row>
    <row r="1903" spans="1:11" x14ac:dyDescent="0.2">
      <c r="A1903" s="8">
        <v>1902</v>
      </c>
      <c r="B1903" s="8">
        <f t="shared" si="60"/>
        <v>2022</v>
      </c>
      <c r="C1903" s="8">
        <f t="shared" si="61"/>
        <v>10</v>
      </c>
      <c r="D1903" s="85">
        <v>44849</v>
      </c>
      <c r="E1903" s="31">
        <v>0</v>
      </c>
      <c r="F1903" s="31">
        <v>35000</v>
      </c>
      <c r="G1903" s="31">
        <v>0</v>
      </c>
      <c r="H1903" s="31">
        <v>0</v>
      </c>
      <c r="I1903" s="31" t="s">
        <v>287</v>
      </c>
      <c r="J1903" s="5" t="s">
        <v>88</v>
      </c>
      <c r="K1903" s="8"/>
    </row>
    <row r="1904" spans="1:11" x14ac:dyDescent="0.2">
      <c r="A1904" s="8">
        <v>1903</v>
      </c>
      <c r="B1904" s="8">
        <f t="shared" si="60"/>
        <v>2022</v>
      </c>
      <c r="C1904" s="8">
        <f t="shared" si="61"/>
        <v>10</v>
      </c>
      <c r="D1904" s="85">
        <v>44849</v>
      </c>
      <c r="E1904" s="31">
        <v>0</v>
      </c>
      <c r="F1904" s="31">
        <v>19000</v>
      </c>
      <c r="G1904" s="31">
        <v>0</v>
      </c>
      <c r="H1904" s="31">
        <v>0</v>
      </c>
      <c r="I1904" s="31" t="s">
        <v>287</v>
      </c>
      <c r="J1904" s="5" t="s">
        <v>1644</v>
      </c>
      <c r="K1904" s="8"/>
    </row>
    <row r="1905" spans="1:11" x14ac:dyDescent="0.2">
      <c r="A1905" s="8">
        <v>1904</v>
      </c>
      <c r="B1905" s="8">
        <f t="shared" si="60"/>
        <v>2022</v>
      </c>
      <c r="C1905" s="8">
        <f t="shared" si="61"/>
        <v>10</v>
      </c>
      <c r="D1905" s="85">
        <v>44849</v>
      </c>
      <c r="E1905" s="31">
        <v>0</v>
      </c>
      <c r="F1905" s="31">
        <v>43000</v>
      </c>
      <c r="G1905" s="31">
        <v>0</v>
      </c>
      <c r="H1905" s="31">
        <v>0</v>
      </c>
      <c r="I1905" s="31" t="s">
        <v>287</v>
      </c>
      <c r="J1905" s="5" t="s">
        <v>458</v>
      </c>
      <c r="K1905" s="8"/>
    </row>
    <row r="1906" spans="1:11" x14ac:dyDescent="0.2">
      <c r="A1906" s="8">
        <v>1905</v>
      </c>
      <c r="B1906" s="8">
        <f t="shared" si="60"/>
        <v>2022</v>
      </c>
      <c r="C1906" s="8">
        <f t="shared" si="61"/>
        <v>10</v>
      </c>
      <c r="D1906" s="85">
        <v>44849</v>
      </c>
      <c r="E1906" s="31">
        <v>0</v>
      </c>
      <c r="F1906" s="31">
        <v>0</v>
      </c>
      <c r="G1906" s="31">
        <v>0</v>
      </c>
      <c r="H1906" s="31">
        <v>277000</v>
      </c>
      <c r="I1906" s="31" t="s">
        <v>287</v>
      </c>
      <c r="J1906" s="5" t="s">
        <v>1645</v>
      </c>
      <c r="K1906" s="8"/>
    </row>
    <row r="1907" spans="1:11" x14ac:dyDescent="0.2">
      <c r="A1907" s="8">
        <v>1906</v>
      </c>
      <c r="B1907" s="8">
        <f t="shared" si="60"/>
        <v>2022</v>
      </c>
      <c r="C1907" s="8">
        <f t="shared" si="61"/>
        <v>10</v>
      </c>
      <c r="D1907" s="85">
        <v>44849</v>
      </c>
      <c r="E1907" s="31">
        <v>0</v>
      </c>
      <c r="F1907" s="31">
        <v>50000</v>
      </c>
      <c r="G1907" s="31">
        <v>0</v>
      </c>
      <c r="H1907" s="31">
        <v>0</v>
      </c>
      <c r="I1907" s="31" t="s">
        <v>287</v>
      </c>
      <c r="J1907" s="5" t="s">
        <v>1646</v>
      </c>
      <c r="K1907" s="8"/>
    </row>
    <row r="1908" spans="1:11" x14ac:dyDescent="0.2">
      <c r="A1908" s="8">
        <v>1907</v>
      </c>
      <c r="B1908" s="8">
        <f t="shared" si="60"/>
        <v>2022</v>
      </c>
      <c r="C1908" s="8">
        <f t="shared" si="61"/>
        <v>10</v>
      </c>
      <c r="D1908" s="85">
        <v>44858</v>
      </c>
      <c r="E1908" s="31">
        <v>0</v>
      </c>
      <c r="F1908" s="31">
        <v>46000</v>
      </c>
      <c r="G1908" s="31">
        <v>0</v>
      </c>
      <c r="H1908" s="31">
        <v>0</v>
      </c>
      <c r="I1908" s="31" t="s">
        <v>287</v>
      </c>
      <c r="J1908" s="5" t="s">
        <v>1647</v>
      </c>
      <c r="K1908" s="8"/>
    </row>
    <row r="1909" spans="1:11" x14ac:dyDescent="0.2">
      <c r="A1909" s="8">
        <v>1908</v>
      </c>
      <c r="B1909" s="8">
        <f t="shared" si="60"/>
        <v>2022</v>
      </c>
      <c r="C1909" s="8">
        <f t="shared" si="61"/>
        <v>10</v>
      </c>
      <c r="D1909" s="85">
        <v>44865</v>
      </c>
      <c r="E1909" s="31">
        <v>0</v>
      </c>
      <c r="F1909" s="31">
        <v>100000</v>
      </c>
      <c r="G1909" s="31">
        <v>0</v>
      </c>
      <c r="H1909" s="31">
        <v>0</v>
      </c>
      <c r="I1909" s="31" t="s">
        <v>1648</v>
      </c>
      <c r="J1909" s="5" t="s">
        <v>1649</v>
      </c>
      <c r="K1909" s="8"/>
    </row>
    <row r="1910" spans="1:11" x14ac:dyDescent="0.2">
      <c r="A1910" s="8">
        <v>1909</v>
      </c>
      <c r="B1910" s="8">
        <f t="shared" si="60"/>
        <v>2022</v>
      </c>
      <c r="C1910" s="8">
        <f t="shared" si="61"/>
        <v>10</v>
      </c>
      <c r="D1910" s="85">
        <v>44865</v>
      </c>
      <c r="E1910" s="31">
        <v>0</v>
      </c>
      <c r="F1910" s="31">
        <v>70000</v>
      </c>
      <c r="G1910" s="31">
        <v>0</v>
      </c>
      <c r="H1910" s="31">
        <v>0</v>
      </c>
      <c r="I1910" s="31" t="s">
        <v>1648</v>
      </c>
      <c r="J1910" s="5" t="s">
        <v>1650</v>
      </c>
      <c r="K1910" s="8"/>
    </row>
    <row r="1911" spans="1:11" x14ac:dyDescent="0.2">
      <c r="A1911" s="8">
        <v>1910</v>
      </c>
      <c r="B1911" s="8">
        <f t="shared" si="60"/>
        <v>2022</v>
      </c>
      <c r="C1911" s="8">
        <f t="shared" si="61"/>
        <v>10</v>
      </c>
      <c r="D1911" s="85">
        <v>44865</v>
      </c>
      <c r="E1911" s="31">
        <v>0</v>
      </c>
      <c r="F1911" s="31">
        <v>60000</v>
      </c>
      <c r="G1911" s="31">
        <v>0</v>
      </c>
      <c r="H1911" s="31">
        <v>0</v>
      </c>
      <c r="I1911" s="31" t="s">
        <v>1648</v>
      </c>
      <c r="J1911" s="5" t="s">
        <v>1651</v>
      </c>
      <c r="K1911" s="8"/>
    </row>
    <row r="1912" spans="1:11" x14ac:dyDescent="0.2">
      <c r="A1912" s="8">
        <v>1911</v>
      </c>
      <c r="B1912" s="8">
        <f t="shared" si="60"/>
        <v>2022</v>
      </c>
      <c r="C1912" s="8">
        <f t="shared" si="61"/>
        <v>10</v>
      </c>
      <c r="D1912" s="85">
        <v>44865</v>
      </c>
      <c r="E1912" s="31">
        <v>0</v>
      </c>
      <c r="F1912" s="31">
        <v>94000</v>
      </c>
      <c r="G1912" s="31">
        <v>0</v>
      </c>
      <c r="H1912" s="31">
        <v>0</v>
      </c>
      <c r="I1912" s="31" t="s">
        <v>1648</v>
      </c>
      <c r="J1912" s="5" t="s">
        <v>1652</v>
      </c>
      <c r="K1912" s="8"/>
    </row>
    <row r="1913" spans="1:11" x14ac:dyDescent="0.2">
      <c r="A1913" s="8">
        <v>1912</v>
      </c>
      <c r="B1913" s="8">
        <f t="shared" si="60"/>
        <v>2022</v>
      </c>
      <c r="C1913" s="8">
        <f t="shared" si="61"/>
        <v>10</v>
      </c>
      <c r="D1913" s="85">
        <v>44865</v>
      </c>
      <c r="E1913" s="31">
        <v>0</v>
      </c>
      <c r="F1913" s="31">
        <v>52000</v>
      </c>
      <c r="G1913" s="31">
        <v>0</v>
      </c>
      <c r="H1913" s="31">
        <v>0</v>
      </c>
      <c r="I1913" s="31" t="s">
        <v>1648</v>
      </c>
      <c r="J1913" s="5" t="s">
        <v>1653</v>
      </c>
      <c r="K1913" s="8"/>
    </row>
    <row r="1914" spans="1:11" x14ac:dyDescent="0.2">
      <c r="A1914" s="8">
        <v>1913</v>
      </c>
      <c r="B1914" s="8">
        <f t="shared" si="60"/>
        <v>2022</v>
      </c>
      <c r="C1914" s="8">
        <f t="shared" si="61"/>
        <v>10</v>
      </c>
      <c r="D1914" s="85">
        <v>44865</v>
      </c>
      <c r="E1914" s="31">
        <v>0</v>
      </c>
      <c r="F1914" s="31">
        <v>250000</v>
      </c>
      <c r="G1914" s="31">
        <v>0</v>
      </c>
      <c r="H1914" s="31">
        <v>0</v>
      </c>
      <c r="I1914" s="31" t="s">
        <v>1648</v>
      </c>
      <c r="J1914" s="5" t="s">
        <v>1654</v>
      </c>
      <c r="K1914" s="8"/>
    </row>
    <row r="1915" spans="1:11" x14ac:dyDescent="0.2">
      <c r="A1915" s="8">
        <v>1914</v>
      </c>
      <c r="B1915" s="8">
        <f t="shared" si="60"/>
        <v>2022</v>
      </c>
      <c r="C1915" s="8">
        <f t="shared" si="61"/>
        <v>10</v>
      </c>
      <c r="D1915" s="85">
        <v>44849</v>
      </c>
      <c r="E1915" s="31">
        <v>0</v>
      </c>
      <c r="F1915" s="31">
        <v>750000</v>
      </c>
      <c r="G1915" s="31">
        <v>0</v>
      </c>
      <c r="H1915" s="31">
        <v>0</v>
      </c>
      <c r="I1915" s="31" t="s">
        <v>1648</v>
      </c>
      <c r="J1915" s="5" t="s">
        <v>1655</v>
      </c>
      <c r="K1915" s="8"/>
    </row>
    <row r="1916" spans="1:11" x14ac:dyDescent="0.2">
      <c r="A1916" s="8">
        <v>1915</v>
      </c>
      <c r="B1916" s="8">
        <f t="shared" si="60"/>
        <v>2022</v>
      </c>
      <c r="C1916" s="8">
        <f t="shared" si="61"/>
        <v>10</v>
      </c>
      <c r="D1916" s="85">
        <v>44848</v>
      </c>
      <c r="E1916" s="31">
        <v>0</v>
      </c>
      <c r="F1916" s="31">
        <v>100000</v>
      </c>
      <c r="G1916" s="31">
        <v>0</v>
      </c>
      <c r="H1916" s="31">
        <v>0</v>
      </c>
      <c r="I1916" s="31" t="s">
        <v>1648</v>
      </c>
      <c r="J1916" s="5" t="s">
        <v>1656</v>
      </c>
      <c r="K1916" s="8"/>
    </row>
    <row r="1917" spans="1:11" x14ac:dyDescent="0.2">
      <c r="A1917" s="8">
        <v>1916</v>
      </c>
      <c r="B1917" s="8">
        <f t="shared" si="60"/>
        <v>2022</v>
      </c>
      <c r="C1917" s="8">
        <f t="shared" si="61"/>
        <v>10</v>
      </c>
      <c r="D1917" s="85">
        <v>44849</v>
      </c>
      <c r="E1917" s="31">
        <v>0</v>
      </c>
      <c r="F1917" s="31">
        <v>100000</v>
      </c>
      <c r="G1917" s="31">
        <v>0</v>
      </c>
      <c r="H1917" s="31">
        <v>0</v>
      </c>
      <c r="I1917" s="31" t="s">
        <v>1648</v>
      </c>
      <c r="J1917" s="5" t="s">
        <v>1657</v>
      </c>
      <c r="K1917" s="8"/>
    </row>
    <row r="1918" spans="1:11" x14ac:dyDescent="0.2">
      <c r="A1918" s="8">
        <v>1917</v>
      </c>
      <c r="B1918" s="8">
        <f t="shared" si="60"/>
        <v>2022</v>
      </c>
      <c r="C1918" s="8">
        <f t="shared" si="61"/>
        <v>10</v>
      </c>
      <c r="D1918" s="85">
        <v>44861</v>
      </c>
      <c r="E1918" s="31">
        <v>0</v>
      </c>
      <c r="F1918" s="31">
        <v>0</v>
      </c>
      <c r="G1918" s="31"/>
      <c r="H1918" s="31">
        <v>0</v>
      </c>
      <c r="I1918" s="31" t="s">
        <v>1658</v>
      </c>
      <c r="J1918" s="5" t="s">
        <v>1659</v>
      </c>
      <c r="K1918" s="8"/>
    </row>
    <row r="1919" spans="1:11" x14ac:dyDescent="0.2">
      <c r="A1919" s="8">
        <v>1918</v>
      </c>
      <c r="B1919" s="8">
        <f t="shared" si="60"/>
        <v>2022</v>
      </c>
      <c r="C1919" s="8">
        <f t="shared" si="61"/>
        <v>10</v>
      </c>
      <c r="D1919" s="85">
        <v>44865</v>
      </c>
      <c r="E1919" s="31">
        <v>0</v>
      </c>
      <c r="F1919" s="31">
        <v>545000</v>
      </c>
      <c r="G1919" s="31">
        <v>0</v>
      </c>
      <c r="H1919" s="31">
        <v>0</v>
      </c>
      <c r="I1919" s="31" t="s">
        <v>1648</v>
      </c>
      <c r="J1919" s="5" t="s">
        <v>1660</v>
      </c>
      <c r="K1919" s="8"/>
    </row>
    <row r="1920" spans="1:11" x14ac:dyDescent="0.2">
      <c r="A1920" s="8">
        <v>1919</v>
      </c>
      <c r="B1920" s="8">
        <f t="shared" si="60"/>
        <v>2022</v>
      </c>
      <c r="C1920" s="8">
        <f t="shared" si="61"/>
        <v>10</v>
      </c>
      <c r="D1920" s="85">
        <v>44865</v>
      </c>
      <c r="E1920" s="31">
        <v>0</v>
      </c>
      <c r="F1920" s="31">
        <v>300000</v>
      </c>
      <c r="G1920" s="31">
        <v>0</v>
      </c>
      <c r="H1920" s="31">
        <v>0</v>
      </c>
      <c r="I1920" s="31" t="s">
        <v>1648</v>
      </c>
      <c r="J1920" s="5" t="s">
        <v>1661</v>
      </c>
      <c r="K1920" s="8"/>
    </row>
    <row r="1921" spans="1:11" x14ac:dyDescent="0.2">
      <c r="A1921" s="8">
        <v>1920</v>
      </c>
      <c r="B1921" s="8">
        <f t="shared" si="60"/>
        <v>2022</v>
      </c>
      <c r="C1921" s="8">
        <f t="shared" si="61"/>
        <v>10</v>
      </c>
      <c r="D1921" s="85">
        <v>44858</v>
      </c>
      <c r="E1921" s="31">
        <v>0</v>
      </c>
      <c r="F1921" s="31">
        <v>200000</v>
      </c>
      <c r="G1921" s="31">
        <v>0</v>
      </c>
      <c r="H1921" s="31">
        <v>0</v>
      </c>
      <c r="I1921" s="31" t="s">
        <v>1648</v>
      </c>
      <c r="J1921" s="5" t="s">
        <v>1662</v>
      </c>
      <c r="K1921" s="8"/>
    </row>
    <row r="1922" spans="1:11" x14ac:dyDescent="0.2">
      <c r="A1922" s="8">
        <v>1921</v>
      </c>
      <c r="B1922" s="8">
        <f t="shared" si="60"/>
        <v>2022</v>
      </c>
      <c r="C1922" s="8">
        <f t="shared" si="61"/>
        <v>10</v>
      </c>
      <c r="D1922" s="85">
        <v>44865</v>
      </c>
      <c r="E1922" s="31">
        <v>0</v>
      </c>
      <c r="F1922" s="31">
        <v>3440548</v>
      </c>
      <c r="G1922" s="31">
        <v>0</v>
      </c>
      <c r="H1922" s="31">
        <v>0</v>
      </c>
      <c r="I1922" s="31" t="s">
        <v>1648</v>
      </c>
      <c r="J1922" s="5" t="s">
        <v>1663</v>
      </c>
      <c r="K1922" s="8"/>
    </row>
    <row r="1923" spans="1:11" x14ac:dyDescent="0.2">
      <c r="A1923" s="8">
        <v>1922</v>
      </c>
      <c r="B1923" s="8">
        <f t="shared" si="60"/>
        <v>2022</v>
      </c>
      <c r="C1923" s="8">
        <f t="shared" si="61"/>
        <v>10</v>
      </c>
      <c r="D1923" s="85">
        <v>44865</v>
      </c>
      <c r="E1923" s="31">
        <v>0</v>
      </c>
      <c r="F1923" s="31">
        <v>1100000</v>
      </c>
      <c r="G1923" s="31">
        <v>0</v>
      </c>
      <c r="H1923" s="31">
        <v>0</v>
      </c>
      <c r="I1923" s="31" t="s">
        <v>85</v>
      </c>
      <c r="J1923" s="5" t="s">
        <v>1664</v>
      </c>
      <c r="K1923" s="8"/>
    </row>
    <row r="1924" spans="1:11" x14ac:dyDescent="0.2">
      <c r="A1924" s="8">
        <v>1923</v>
      </c>
      <c r="B1924" s="8">
        <f t="shared" si="60"/>
        <v>2022</v>
      </c>
      <c r="C1924" s="8">
        <f t="shared" si="61"/>
        <v>10</v>
      </c>
      <c r="D1924" s="85">
        <v>44865</v>
      </c>
      <c r="E1924" s="31">
        <v>0</v>
      </c>
      <c r="F1924" s="31">
        <v>15500</v>
      </c>
      <c r="G1924" s="31">
        <v>0</v>
      </c>
      <c r="H1924" s="31">
        <v>0</v>
      </c>
      <c r="I1924" s="31" t="s">
        <v>1665</v>
      </c>
      <c r="J1924" s="5" t="s">
        <v>1666</v>
      </c>
      <c r="K1924" s="8"/>
    </row>
    <row r="1925" spans="1:11" x14ac:dyDescent="0.2">
      <c r="A1925" s="8">
        <v>1924</v>
      </c>
      <c r="B1925" s="8">
        <f t="shared" si="60"/>
        <v>2022</v>
      </c>
      <c r="C1925" s="8">
        <f t="shared" si="61"/>
        <v>10</v>
      </c>
      <c r="D1925" s="85">
        <v>44865</v>
      </c>
      <c r="E1925" s="31">
        <v>0</v>
      </c>
      <c r="F1925" s="31">
        <v>266000</v>
      </c>
      <c r="G1925" s="31">
        <v>0</v>
      </c>
      <c r="H1925" s="31">
        <v>0</v>
      </c>
      <c r="I1925" s="31" t="s">
        <v>571</v>
      </c>
      <c r="J1925" s="5" t="s">
        <v>1667</v>
      </c>
      <c r="K1925" s="8"/>
    </row>
    <row r="1926" spans="1:11" x14ac:dyDescent="0.2">
      <c r="A1926" s="8">
        <v>1925</v>
      </c>
      <c r="B1926" s="8">
        <f t="shared" ref="B1926:B1989" si="62">YEAR(D1926)</f>
        <v>2022</v>
      </c>
      <c r="C1926" s="8">
        <f t="shared" ref="C1926:C1989" si="63">MONTH(D1926)</f>
        <v>10</v>
      </c>
      <c r="D1926" s="85">
        <v>44864</v>
      </c>
      <c r="E1926" s="31">
        <v>85000</v>
      </c>
      <c r="F1926" s="31">
        <v>0</v>
      </c>
      <c r="G1926" s="31">
        <v>0</v>
      </c>
      <c r="H1926" s="31">
        <v>0</v>
      </c>
      <c r="I1926" s="31" t="s">
        <v>109</v>
      </c>
      <c r="J1926" s="5" t="s">
        <v>1668</v>
      </c>
      <c r="K1926" s="8"/>
    </row>
    <row r="1927" spans="1:11" x14ac:dyDescent="0.2">
      <c r="A1927" s="8">
        <v>1926</v>
      </c>
      <c r="B1927" s="8">
        <f t="shared" si="62"/>
        <v>2022</v>
      </c>
      <c r="C1927" s="8">
        <f t="shared" si="63"/>
        <v>10</v>
      </c>
      <c r="D1927" s="85">
        <v>44863</v>
      </c>
      <c r="E1927" s="31">
        <v>0</v>
      </c>
      <c r="F1927" s="31">
        <v>0</v>
      </c>
      <c r="G1927" s="31">
        <v>0</v>
      </c>
      <c r="H1927" s="31">
        <v>200000</v>
      </c>
      <c r="I1927" s="31" t="s">
        <v>74</v>
      </c>
      <c r="J1927" s="5" t="s">
        <v>1669</v>
      </c>
      <c r="K1927" s="8"/>
    </row>
    <row r="1928" spans="1:11" x14ac:dyDescent="0.2">
      <c r="A1928" s="8">
        <v>1927</v>
      </c>
      <c r="B1928" s="8">
        <f t="shared" si="62"/>
        <v>2022</v>
      </c>
      <c r="C1928" s="8">
        <f t="shared" si="63"/>
        <v>10</v>
      </c>
      <c r="D1928" s="85">
        <v>44862</v>
      </c>
      <c r="E1928" s="31">
        <v>0</v>
      </c>
      <c r="F1928" s="31">
        <v>0</v>
      </c>
      <c r="G1928" s="31">
        <v>0</v>
      </c>
      <c r="H1928" s="31">
        <v>200000</v>
      </c>
      <c r="I1928" s="31" t="s">
        <v>74</v>
      </c>
      <c r="J1928" s="5" t="s">
        <v>1670</v>
      </c>
      <c r="K1928" s="8"/>
    </row>
    <row r="1929" spans="1:11" x14ac:dyDescent="0.2">
      <c r="A1929" s="8">
        <v>1928</v>
      </c>
      <c r="B1929" s="8">
        <f t="shared" si="62"/>
        <v>2022</v>
      </c>
      <c r="C1929" s="8">
        <f t="shared" si="63"/>
        <v>11</v>
      </c>
      <c r="D1929" s="85">
        <v>44867</v>
      </c>
      <c r="E1929" s="31">
        <v>3500000</v>
      </c>
      <c r="F1929" s="31">
        <v>0</v>
      </c>
      <c r="G1929" s="31">
        <v>0</v>
      </c>
      <c r="H1929" s="31">
        <v>0</v>
      </c>
      <c r="I1929" s="31" t="s">
        <v>109</v>
      </c>
      <c r="J1929" s="5" t="s">
        <v>1671</v>
      </c>
      <c r="K1929" s="8"/>
    </row>
    <row r="1930" spans="1:11" x14ac:dyDescent="0.2">
      <c r="A1930" s="8">
        <v>1929</v>
      </c>
      <c r="B1930" s="8">
        <f t="shared" si="62"/>
        <v>2022</v>
      </c>
      <c r="C1930" s="8">
        <f t="shared" si="63"/>
        <v>11</v>
      </c>
      <c r="D1930" s="85">
        <v>44867</v>
      </c>
      <c r="E1930" s="31">
        <v>500000</v>
      </c>
      <c r="F1930" s="31">
        <v>0</v>
      </c>
      <c r="G1930" s="31">
        <v>0</v>
      </c>
      <c r="H1930" s="31">
        <v>0</v>
      </c>
      <c r="I1930" s="31" t="s">
        <v>109</v>
      </c>
      <c r="J1930" s="5" t="s">
        <v>1672</v>
      </c>
      <c r="K1930" s="8"/>
    </row>
    <row r="1931" spans="1:11" x14ac:dyDescent="0.2">
      <c r="A1931" s="8">
        <v>1930</v>
      </c>
      <c r="B1931" s="8">
        <f t="shared" si="62"/>
        <v>2022</v>
      </c>
      <c r="C1931" s="8">
        <f t="shared" si="63"/>
        <v>11</v>
      </c>
      <c r="D1931" s="85">
        <v>44867</v>
      </c>
      <c r="E1931" s="31">
        <v>15335665</v>
      </c>
      <c r="F1931" s="31">
        <v>2000000</v>
      </c>
      <c r="G1931" s="31">
        <v>0</v>
      </c>
      <c r="H1931" s="31">
        <v>0</v>
      </c>
      <c r="I1931" s="31" t="s">
        <v>1673</v>
      </c>
      <c r="J1931" s="5" t="s">
        <v>1674</v>
      </c>
      <c r="K1931" s="8"/>
    </row>
    <row r="1932" spans="1:11" x14ac:dyDescent="0.2">
      <c r="A1932" s="8">
        <v>1931</v>
      </c>
      <c r="B1932" s="8">
        <f t="shared" si="62"/>
        <v>2022</v>
      </c>
      <c r="C1932" s="8">
        <f t="shared" si="63"/>
        <v>11</v>
      </c>
      <c r="D1932" s="85">
        <v>44867</v>
      </c>
      <c r="E1932" s="31">
        <v>28534019</v>
      </c>
      <c r="F1932" s="31">
        <v>14000000</v>
      </c>
      <c r="G1932" s="31">
        <v>0</v>
      </c>
      <c r="H1932" s="31">
        <v>0</v>
      </c>
      <c r="I1932" s="31" t="s">
        <v>1673</v>
      </c>
      <c r="J1932" s="5" t="s">
        <v>1674</v>
      </c>
      <c r="K1932" s="8"/>
    </row>
    <row r="1933" spans="1:11" x14ac:dyDescent="0.2">
      <c r="A1933" s="8">
        <v>1932</v>
      </c>
      <c r="B1933" s="8">
        <f t="shared" si="62"/>
        <v>2022</v>
      </c>
      <c r="C1933" s="8">
        <f t="shared" si="63"/>
        <v>10</v>
      </c>
      <c r="D1933" s="85">
        <v>44865</v>
      </c>
      <c r="E1933" s="31">
        <v>0</v>
      </c>
      <c r="F1933" s="31">
        <v>150000</v>
      </c>
      <c r="G1933" s="31">
        <v>0</v>
      </c>
      <c r="H1933" s="31">
        <v>0</v>
      </c>
      <c r="I1933" s="31" t="s">
        <v>1648</v>
      </c>
      <c r="J1933" s="5" t="s">
        <v>1117</v>
      </c>
      <c r="K1933" s="8"/>
    </row>
    <row r="1934" spans="1:11" x14ac:dyDescent="0.2">
      <c r="A1934" s="8">
        <v>1933</v>
      </c>
      <c r="B1934" s="8">
        <f t="shared" si="62"/>
        <v>2022</v>
      </c>
      <c r="C1934" s="8">
        <f t="shared" si="63"/>
        <v>10</v>
      </c>
      <c r="D1934" s="85">
        <v>44865</v>
      </c>
      <c r="E1934" s="31">
        <v>0</v>
      </c>
      <c r="F1934" s="31">
        <v>56000</v>
      </c>
      <c r="G1934" s="31">
        <v>0</v>
      </c>
      <c r="H1934" s="31">
        <v>0</v>
      </c>
      <c r="I1934" s="31" t="s">
        <v>1648</v>
      </c>
      <c r="J1934" s="5" t="s">
        <v>1675</v>
      </c>
      <c r="K1934" s="8"/>
    </row>
    <row r="1935" spans="1:11" x14ac:dyDescent="0.2">
      <c r="A1935" s="8">
        <v>1934</v>
      </c>
      <c r="B1935" s="8">
        <f t="shared" si="62"/>
        <v>2022</v>
      </c>
      <c r="C1935" s="8">
        <f t="shared" si="63"/>
        <v>10</v>
      </c>
      <c r="D1935" s="85">
        <v>44865</v>
      </c>
      <c r="E1935" s="31">
        <v>0</v>
      </c>
      <c r="F1935" s="31">
        <v>39000</v>
      </c>
      <c r="G1935" s="31">
        <v>0</v>
      </c>
      <c r="H1935" s="31">
        <v>0</v>
      </c>
      <c r="I1935" s="31" t="s">
        <v>1648</v>
      </c>
      <c r="J1935" s="5" t="s">
        <v>1676</v>
      </c>
      <c r="K1935" s="8"/>
    </row>
    <row r="1936" spans="1:11" x14ac:dyDescent="0.2">
      <c r="A1936" s="8">
        <v>1935</v>
      </c>
      <c r="B1936" s="8">
        <f t="shared" si="62"/>
        <v>2022</v>
      </c>
      <c r="C1936" s="8">
        <f t="shared" si="63"/>
        <v>10</v>
      </c>
      <c r="D1936" s="85">
        <v>44865</v>
      </c>
      <c r="E1936" s="31">
        <v>0</v>
      </c>
      <c r="F1936" s="31">
        <v>500000</v>
      </c>
      <c r="G1936" s="31">
        <v>0</v>
      </c>
      <c r="H1936" s="31">
        <v>0</v>
      </c>
      <c r="I1936" s="31" t="s">
        <v>571</v>
      </c>
      <c r="J1936" s="5" t="s">
        <v>1251</v>
      </c>
      <c r="K1936" s="8"/>
    </row>
    <row r="1937" spans="1:11" x14ac:dyDescent="0.2">
      <c r="A1937" s="8">
        <v>1936</v>
      </c>
      <c r="B1937" s="8">
        <f t="shared" si="62"/>
        <v>2022</v>
      </c>
      <c r="C1937" s="8">
        <f t="shared" si="63"/>
        <v>10</v>
      </c>
      <c r="D1937" s="85">
        <v>44865</v>
      </c>
      <c r="E1937" s="31">
        <v>500000</v>
      </c>
      <c r="F1937" s="31">
        <v>0</v>
      </c>
      <c r="G1937" s="31">
        <v>0</v>
      </c>
      <c r="H1937" s="31">
        <v>0</v>
      </c>
      <c r="I1937" s="31" t="s">
        <v>1648</v>
      </c>
      <c r="J1937" s="5" t="s">
        <v>1677</v>
      </c>
      <c r="K1937" s="8"/>
    </row>
    <row r="1938" spans="1:11" x14ac:dyDescent="0.2">
      <c r="A1938" s="8">
        <v>1937</v>
      </c>
      <c r="B1938" s="8">
        <f t="shared" si="62"/>
        <v>2022</v>
      </c>
      <c r="C1938" s="8">
        <f t="shared" si="63"/>
        <v>10</v>
      </c>
      <c r="D1938" s="85">
        <v>44865</v>
      </c>
      <c r="E1938" s="31">
        <v>0</v>
      </c>
      <c r="F1938" s="31">
        <v>5200000</v>
      </c>
      <c r="G1938" s="31">
        <v>0</v>
      </c>
      <c r="H1938" s="31">
        <v>0</v>
      </c>
      <c r="I1938" s="31" t="s">
        <v>1678</v>
      </c>
      <c r="J1938" s="5" t="s">
        <v>1679</v>
      </c>
      <c r="K1938" s="8"/>
    </row>
    <row r="1939" spans="1:11" x14ac:dyDescent="0.2">
      <c r="A1939" s="8">
        <v>1938</v>
      </c>
      <c r="B1939" s="8">
        <f t="shared" si="62"/>
        <v>2022</v>
      </c>
      <c r="C1939" s="8">
        <f t="shared" si="63"/>
        <v>11</v>
      </c>
      <c r="D1939" s="85">
        <v>44866</v>
      </c>
      <c r="E1939" s="31">
        <v>0</v>
      </c>
      <c r="F1939" s="31">
        <v>100000</v>
      </c>
      <c r="G1939" s="31">
        <v>0</v>
      </c>
      <c r="H1939" s="31">
        <v>0</v>
      </c>
      <c r="I1939" s="31" t="s">
        <v>299</v>
      </c>
      <c r="J1939" s="5" t="s">
        <v>1680</v>
      </c>
      <c r="K1939" s="8"/>
    </row>
    <row r="1940" spans="1:11" x14ac:dyDescent="0.2">
      <c r="A1940" s="8">
        <v>1939</v>
      </c>
      <c r="B1940" s="8">
        <f t="shared" si="62"/>
        <v>2022</v>
      </c>
      <c r="C1940" s="8">
        <f t="shared" si="63"/>
        <v>11</v>
      </c>
      <c r="D1940" s="85">
        <v>44866</v>
      </c>
      <c r="E1940" s="31">
        <v>0</v>
      </c>
      <c r="F1940" s="31">
        <v>20000</v>
      </c>
      <c r="G1940" s="31">
        <v>0</v>
      </c>
      <c r="H1940" s="31">
        <v>0</v>
      </c>
      <c r="I1940" s="31" t="s">
        <v>88</v>
      </c>
      <c r="J1940" s="5" t="s">
        <v>356</v>
      </c>
      <c r="K1940" s="8"/>
    </row>
    <row r="1941" spans="1:11" x14ac:dyDescent="0.2">
      <c r="A1941" s="8">
        <v>1940</v>
      </c>
      <c r="B1941" s="8">
        <f t="shared" si="62"/>
        <v>2022</v>
      </c>
      <c r="C1941" s="8">
        <f t="shared" si="63"/>
        <v>11</v>
      </c>
      <c r="D1941" s="85">
        <v>44867</v>
      </c>
      <c r="E1941" s="31">
        <v>0</v>
      </c>
      <c r="F1941" s="31">
        <v>200000</v>
      </c>
      <c r="G1941" s="31">
        <v>0</v>
      </c>
      <c r="H1941" s="31">
        <v>0</v>
      </c>
      <c r="I1941" s="31" t="s">
        <v>85</v>
      </c>
      <c r="J1941" s="5" t="s">
        <v>1681</v>
      </c>
      <c r="K1941" s="8"/>
    </row>
    <row r="1942" spans="1:11" x14ac:dyDescent="0.2">
      <c r="A1942" s="8">
        <v>1941</v>
      </c>
      <c r="B1942" s="8">
        <f t="shared" si="62"/>
        <v>2022</v>
      </c>
      <c r="C1942" s="8">
        <f t="shared" si="63"/>
        <v>11</v>
      </c>
      <c r="D1942" s="85">
        <v>44868</v>
      </c>
      <c r="E1942" s="31">
        <v>0</v>
      </c>
      <c r="F1942" s="31">
        <v>20000</v>
      </c>
      <c r="G1942" s="31">
        <v>0</v>
      </c>
      <c r="H1942" s="31">
        <v>0</v>
      </c>
      <c r="I1942" s="31" t="s">
        <v>1648</v>
      </c>
      <c r="J1942" s="5" t="s">
        <v>1682</v>
      </c>
      <c r="K1942" s="8"/>
    </row>
    <row r="1943" spans="1:11" x14ac:dyDescent="0.2">
      <c r="A1943" s="8">
        <v>1942</v>
      </c>
      <c r="B1943" s="8">
        <f t="shared" si="62"/>
        <v>2022</v>
      </c>
      <c r="C1943" s="8">
        <f t="shared" si="63"/>
        <v>11</v>
      </c>
      <c r="D1943" s="85">
        <v>44869</v>
      </c>
      <c r="E1943" s="31">
        <v>0</v>
      </c>
      <c r="F1943" s="31">
        <v>15000</v>
      </c>
      <c r="G1943" s="31">
        <v>0</v>
      </c>
      <c r="H1943" s="31">
        <v>0</v>
      </c>
      <c r="I1943" s="31" t="s">
        <v>88</v>
      </c>
      <c r="J1943" s="5" t="s">
        <v>356</v>
      </c>
      <c r="K1943" s="8"/>
    </row>
    <row r="1944" spans="1:11" x14ac:dyDescent="0.2">
      <c r="A1944" s="8">
        <v>1943</v>
      </c>
      <c r="B1944" s="8">
        <f t="shared" si="62"/>
        <v>2022</v>
      </c>
      <c r="C1944" s="8">
        <f t="shared" si="63"/>
        <v>11</v>
      </c>
      <c r="D1944" s="85">
        <v>44870</v>
      </c>
      <c r="E1944" s="31">
        <v>0</v>
      </c>
      <c r="F1944" s="31">
        <v>27000</v>
      </c>
      <c r="G1944" s="31">
        <v>0</v>
      </c>
      <c r="H1944" s="31">
        <v>0</v>
      </c>
      <c r="I1944" s="31" t="s">
        <v>88</v>
      </c>
      <c r="J1944" s="5" t="s">
        <v>356</v>
      </c>
      <c r="K1944" s="8"/>
    </row>
    <row r="1945" spans="1:11" x14ac:dyDescent="0.2">
      <c r="A1945" s="8">
        <v>1944</v>
      </c>
      <c r="B1945" s="8">
        <f t="shared" si="62"/>
        <v>2022</v>
      </c>
      <c r="C1945" s="8">
        <f t="shared" si="63"/>
        <v>11</v>
      </c>
      <c r="D1945" s="85">
        <v>44870</v>
      </c>
      <c r="E1945" s="31">
        <v>0</v>
      </c>
      <c r="F1945" s="31">
        <v>100000</v>
      </c>
      <c r="G1945" s="31">
        <v>0</v>
      </c>
      <c r="H1945" s="31">
        <v>0</v>
      </c>
      <c r="I1945" s="31" t="s">
        <v>85</v>
      </c>
      <c r="J1945" s="5" t="s">
        <v>1539</v>
      </c>
      <c r="K1945" s="8"/>
    </row>
    <row r="1946" spans="1:11" x14ac:dyDescent="0.2">
      <c r="A1946" s="8">
        <v>1945</v>
      </c>
      <c r="B1946" s="8">
        <f t="shared" si="62"/>
        <v>2022</v>
      </c>
      <c r="C1946" s="8">
        <f t="shared" si="63"/>
        <v>11</v>
      </c>
      <c r="D1946" s="85">
        <v>44870</v>
      </c>
      <c r="E1946" s="31">
        <v>0</v>
      </c>
      <c r="F1946" s="31">
        <v>14000</v>
      </c>
      <c r="G1946" s="31">
        <v>0</v>
      </c>
      <c r="H1946" s="31">
        <v>0</v>
      </c>
      <c r="I1946" s="31" t="s">
        <v>85</v>
      </c>
      <c r="J1946" s="5" t="s">
        <v>1683</v>
      </c>
      <c r="K1946" s="8"/>
    </row>
    <row r="1947" spans="1:11" x14ac:dyDescent="0.2">
      <c r="A1947" s="8">
        <v>1946</v>
      </c>
      <c r="B1947" s="8">
        <f t="shared" si="62"/>
        <v>2022</v>
      </c>
      <c r="C1947" s="8">
        <f t="shared" si="63"/>
        <v>11</v>
      </c>
      <c r="D1947" s="85">
        <v>44871</v>
      </c>
      <c r="E1947" s="31">
        <v>0</v>
      </c>
      <c r="F1947" s="31">
        <v>520000</v>
      </c>
      <c r="G1947" s="31">
        <v>0</v>
      </c>
      <c r="H1947" s="31">
        <v>0</v>
      </c>
      <c r="I1947" s="31" t="s">
        <v>571</v>
      </c>
      <c r="J1947" s="5" t="s">
        <v>1418</v>
      </c>
      <c r="K1947" s="8"/>
    </row>
    <row r="1948" spans="1:11" x14ac:dyDescent="0.2">
      <c r="A1948" s="8">
        <v>1947</v>
      </c>
      <c r="B1948" s="8">
        <f t="shared" si="62"/>
        <v>2022</v>
      </c>
      <c r="C1948" s="8">
        <f t="shared" si="63"/>
        <v>11</v>
      </c>
      <c r="D1948" s="85">
        <v>44871</v>
      </c>
      <c r="E1948" s="31">
        <v>0</v>
      </c>
      <c r="F1948" s="31">
        <v>100000</v>
      </c>
      <c r="G1948" s="31">
        <v>0</v>
      </c>
      <c r="H1948" s="31">
        <v>0</v>
      </c>
      <c r="I1948" s="31" t="s">
        <v>287</v>
      </c>
      <c r="J1948" s="5" t="s">
        <v>1684</v>
      </c>
      <c r="K1948" s="8"/>
    </row>
    <row r="1949" spans="1:11" x14ac:dyDescent="0.2">
      <c r="A1949" s="8">
        <v>1948</v>
      </c>
      <c r="B1949" s="8">
        <f t="shared" si="62"/>
        <v>2022</v>
      </c>
      <c r="C1949" s="8">
        <f t="shared" si="63"/>
        <v>11</v>
      </c>
      <c r="D1949" s="85">
        <v>44871</v>
      </c>
      <c r="E1949" s="31">
        <v>0</v>
      </c>
      <c r="F1949" s="31">
        <v>600000</v>
      </c>
      <c r="G1949" s="31">
        <v>0</v>
      </c>
      <c r="H1949" s="31">
        <v>0</v>
      </c>
      <c r="I1949" s="31" t="s">
        <v>201</v>
      </c>
      <c r="J1949" s="5" t="s">
        <v>201</v>
      </c>
      <c r="K1949" s="8"/>
    </row>
    <row r="1950" spans="1:11" x14ac:dyDescent="0.2">
      <c r="A1950" s="8">
        <v>1949</v>
      </c>
      <c r="B1950" s="8">
        <f t="shared" si="62"/>
        <v>2022</v>
      </c>
      <c r="C1950" s="8">
        <f t="shared" si="63"/>
        <v>11</v>
      </c>
      <c r="D1950" s="85">
        <v>44871</v>
      </c>
      <c r="E1950" s="31">
        <v>0</v>
      </c>
      <c r="F1950" s="31">
        <v>500000</v>
      </c>
      <c r="G1950" s="31">
        <v>0</v>
      </c>
      <c r="H1950" s="31">
        <v>0</v>
      </c>
      <c r="I1950" s="31" t="s">
        <v>571</v>
      </c>
      <c r="J1950" s="5" t="s">
        <v>1685</v>
      </c>
      <c r="K1950" s="8"/>
    </row>
    <row r="1951" spans="1:11" x14ac:dyDescent="0.2">
      <c r="A1951" s="8">
        <v>1950</v>
      </c>
      <c r="B1951" s="8">
        <f t="shared" si="62"/>
        <v>2022</v>
      </c>
      <c r="C1951" s="8">
        <f t="shared" si="63"/>
        <v>11</v>
      </c>
      <c r="D1951" s="85">
        <v>44872</v>
      </c>
      <c r="E1951" s="31">
        <v>0</v>
      </c>
      <c r="F1951" s="31">
        <v>20000</v>
      </c>
      <c r="G1951" s="31">
        <v>0</v>
      </c>
      <c r="H1951" s="31">
        <v>0</v>
      </c>
      <c r="I1951" s="31" t="s">
        <v>88</v>
      </c>
      <c r="J1951" s="5" t="s">
        <v>946</v>
      </c>
      <c r="K1951" s="8"/>
    </row>
    <row r="1952" spans="1:11" x14ac:dyDescent="0.2">
      <c r="A1952" s="8">
        <v>1951</v>
      </c>
      <c r="B1952" s="8">
        <f t="shared" si="62"/>
        <v>2022</v>
      </c>
      <c r="C1952" s="8">
        <f t="shared" si="63"/>
        <v>11</v>
      </c>
      <c r="D1952" s="85">
        <v>44872</v>
      </c>
      <c r="E1952" s="31">
        <v>0</v>
      </c>
      <c r="F1952" s="31">
        <v>300000</v>
      </c>
      <c r="G1952" s="31">
        <v>0</v>
      </c>
      <c r="H1952" s="31">
        <v>0</v>
      </c>
      <c r="I1952" s="31" t="s">
        <v>287</v>
      </c>
      <c r="J1952" s="5" t="s">
        <v>1686</v>
      </c>
      <c r="K1952" s="8"/>
    </row>
    <row r="1953" spans="1:11" x14ac:dyDescent="0.2">
      <c r="A1953" s="8">
        <v>1952</v>
      </c>
      <c r="B1953" s="8">
        <f t="shared" si="62"/>
        <v>2022</v>
      </c>
      <c r="C1953" s="8">
        <f t="shared" si="63"/>
        <v>11</v>
      </c>
      <c r="D1953" s="85">
        <v>44873</v>
      </c>
      <c r="E1953" s="31">
        <v>0</v>
      </c>
      <c r="F1953" s="31">
        <v>90000</v>
      </c>
      <c r="G1953" s="31">
        <v>0</v>
      </c>
      <c r="H1953" s="31">
        <v>0</v>
      </c>
      <c r="I1953" s="31" t="s">
        <v>99</v>
      </c>
      <c r="J1953" s="5" t="s">
        <v>1687</v>
      </c>
      <c r="K1953" s="8"/>
    </row>
    <row r="1954" spans="1:11" x14ac:dyDescent="0.2">
      <c r="A1954" s="8">
        <v>1953</v>
      </c>
      <c r="B1954" s="8">
        <f t="shared" si="62"/>
        <v>2022</v>
      </c>
      <c r="C1954" s="8">
        <f t="shared" si="63"/>
        <v>11</v>
      </c>
      <c r="D1954" s="85">
        <v>44873</v>
      </c>
      <c r="E1954" s="31">
        <v>0</v>
      </c>
      <c r="F1954" s="31">
        <v>130000</v>
      </c>
      <c r="G1954" s="31">
        <v>0</v>
      </c>
      <c r="H1954" s="31">
        <v>0</v>
      </c>
      <c r="I1954" s="31" t="s">
        <v>99</v>
      </c>
      <c r="J1954" s="5" t="s">
        <v>1688</v>
      </c>
      <c r="K1954" s="8"/>
    </row>
    <row r="1955" spans="1:11" x14ac:dyDescent="0.2">
      <c r="A1955" s="8">
        <v>1954</v>
      </c>
      <c r="B1955" s="8">
        <f t="shared" si="62"/>
        <v>2022</v>
      </c>
      <c r="C1955" s="8">
        <f t="shared" si="63"/>
        <v>11</v>
      </c>
      <c r="D1955" s="85">
        <v>44874</v>
      </c>
      <c r="E1955" s="31">
        <v>0</v>
      </c>
      <c r="F1955" s="31">
        <v>16000</v>
      </c>
      <c r="G1955" s="31">
        <v>0</v>
      </c>
      <c r="H1955" s="31">
        <v>0</v>
      </c>
      <c r="I1955" s="31" t="s">
        <v>88</v>
      </c>
      <c r="J1955" s="5" t="s">
        <v>1689</v>
      </c>
      <c r="K1955" s="8"/>
    </row>
    <row r="1956" spans="1:11" x14ac:dyDescent="0.2">
      <c r="A1956" s="8">
        <v>1955</v>
      </c>
      <c r="B1956" s="8">
        <f t="shared" si="62"/>
        <v>2022</v>
      </c>
      <c r="C1956" s="8">
        <f t="shared" si="63"/>
        <v>11</v>
      </c>
      <c r="D1956" s="85">
        <v>44875</v>
      </c>
      <c r="E1956" s="31">
        <v>0</v>
      </c>
      <c r="F1956" s="31">
        <v>17000</v>
      </c>
      <c r="G1956" s="31">
        <v>0</v>
      </c>
      <c r="H1956" s="31">
        <v>0</v>
      </c>
      <c r="I1956" s="31" t="s">
        <v>88</v>
      </c>
      <c r="J1956" s="5" t="s">
        <v>1689</v>
      </c>
      <c r="K1956" s="8"/>
    </row>
    <row r="1957" spans="1:11" x14ac:dyDescent="0.2">
      <c r="A1957" s="8">
        <v>1956</v>
      </c>
      <c r="B1957" s="8">
        <f t="shared" si="62"/>
        <v>2022</v>
      </c>
      <c r="C1957" s="8">
        <f t="shared" si="63"/>
        <v>11</v>
      </c>
      <c r="D1957" s="85">
        <v>44876</v>
      </c>
      <c r="E1957" s="31">
        <v>0</v>
      </c>
      <c r="F1957" s="31">
        <v>17000</v>
      </c>
      <c r="G1957" s="31">
        <v>0</v>
      </c>
      <c r="H1957" s="31">
        <v>0</v>
      </c>
      <c r="I1957" s="31" t="s">
        <v>88</v>
      </c>
      <c r="J1957" s="5" t="s">
        <v>1689</v>
      </c>
      <c r="K1957" s="8"/>
    </row>
    <row r="1958" spans="1:11" x14ac:dyDescent="0.2">
      <c r="A1958" s="8">
        <v>1957</v>
      </c>
      <c r="B1958" s="8">
        <f t="shared" si="62"/>
        <v>2022</v>
      </c>
      <c r="C1958" s="8">
        <f t="shared" si="63"/>
        <v>11</v>
      </c>
      <c r="D1958" s="85">
        <v>44877</v>
      </c>
      <c r="E1958" s="31">
        <v>0</v>
      </c>
      <c r="F1958" s="31">
        <v>8000</v>
      </c>
      <c r="G1958" s="31">
        <v>0</v>
      </c>
      <c r="H1958" s="31">
        <v>0</v>
      </c>
      <c r="I1958" s="31" t="s">
        <v>88</v>
      </c>
      <c r="J1958" s="5" t="s">
        <v>1690</v>
      </c>
      <c r="K1958" s="8"/>
    </row>
    <row r="1959" spans="1:11" x14ac:dyDescent="0.2">
      <c r="A1959" s="8">
        <v>1958</v>
      </c>
      <c r="B1959" s="8">
        <f t="shared" si="62"/>
        <v>2022</v>
      </c>
      <c r="C1959" s="8">
        <f t="shared" si="63"/>
        <v>11</v>
      </c>
      <c r="D1959" s="85">
        <v>44878</v>
      </c>
      <c r="E1959" s="31">
        <v>0</v>
      </c>
      <c r="F1959" s="31">
        <v>120000</v>
      </c>
      <c r="G1959" s="31">
        <v>0</v>
      </c>
      <c r="H1959" s="31">
        <v>0</v>
      </c>
      <c r="I1959" s="31" t="s">
        <v>299</v>
      </c>
      <c r="J1959" s="5" t="s">
        <v>299</v>
      </c>
      <c r="K1959" s="8"/>
    </row>
    <row r="1960" spans="1:11" x14ac:dyDescent="0.2">
      <c r="A1960" s="8">
        <v>1959</v>
      </c>
      <c r="B1960" s="8">
        <f t="shared" si="62"/>
        <v>2022</v>
      </c>
      <c r="C1960" s="8">
        <f t="shared" si="63"/>
        <v>11</v>
      </c>
      <c r="D1960" s="85">
        <v>44878</v>
      </c>
      <c r="E1960" s="31">
        <v>0</v>
      </c>
      <c r="F1960" s="31">
        <v>1000000</v>
      </c>
      <c r="G1960" s="31">
        <v>0</v>
      </c>
      <c r="H1960" s="31">
        <v>0</v>
      </c>
      <c r="I1960" s="31" t="s">
        <v>287</v>
      </c>
      <c r="J1960" s="5" t="s">
        <v>1686</v>
      </c>
      <c r="K1960" s="8"/>
    </row>
    <row r="1961" spans="1:11" x14ac:dyDescent="0.2">
      <c r="A1961" s="8">
        <v>1960</v>
      </c>
      <c r="B1961" s="8">
        <f t="shared" si="62"/>
        <v>2022</v>
      </c>
      <c r="C1961" s="8">
        <f t="shared" si="63"/>
        <v>11</v>
      </c>
      <c r="D1961" s="85">
        <v>44879</v>
      </c>
      <c r="E1961" s="31">
        <v>0</v>
      </c>
      <c r="F1961" s="31">
        <v>700000</v>
      </c>
      <c r="G1961" s="31">
        <v>0</v>
      </c>
      <c r="H1961" s="31">
        <v>0</v>
      </c>
      <c r="I1961" s="31" t="s">
        <v>287</v>
      </c>
      <c r="J1961" s="5" t="s">
        <v>1686</v>
      </c>
      <c r="K1961" s="8"/>
    </row>
    <row r="1962" spans="1:11" x14ac:dyDescent="0.2">
      <c r="A1962" s="8">
        <v>1961</v>
      </c>
      <c r="B1962" s="8">
        <f t="shared" si="62"/>
        <v>2022</v>
      </c>
      <c r="C1962" s="8">
        <f t="shared" si="63"/>
        <v>11</v>
      </c>
      <c r="D1962" s="85">
        <v>44895</v>
      </c>
      <c r="E1962" s="31">
        <v>0</v>
      </c>
      <c r="F1962" s="31">
        <v>1100000</v>
      </c>
      <c r="G1962" s="31">
        <v>0</v>
      </c>
      <c r="H1962" s="31">
        <v>0</v>
      </c>
      <c r="I1962" s="31" t="s">
        <v>1673</v>
      </c>
      <c r="J1962" s="5" t="s">
        <v>1691</v>
      </c>
      <c r="K1962" s="8"/>
    </row>
    <row r="1963" spans="1:11" x14ac:dyDescent="0.2">
      <c r="A1963" s="8">
        <v>1962</v>
      </c>
      <c r="B1963" s="8">
        <f t="shared" si="62"/>
        <v>2022</v>
      </c>
      <c r="C1963" s="8">
        <f t="shared" si="63"/>
        <v>11</v>
      </c>
      <c r="D1963" s="85">
        <v>44880</v>
      </c>
      <c r="E1963" s="31">
        <v>0</v>
      </c>
      <c r="F1963" s="31">
        <v>150000</v>
      </c>
      <c r="G1963" s="31">
        <v>0</v>
      </c>
      <c r="H1963" s="31">
        <v>0</v>
      </c>
      <c r="I1963" s="31" t="s">
        <v>390</v>
      </c>
      <c r="J1963" s="5" t="s">
        <v>1692</v>
      </c>
      <c r="K1963" s="8"/>
    </row>
    <row r="1964" spans="1:11" x14ac:dyDescent="0.2">
      <c r="A1964" s="8">
        <v>1963</v>
      </c>
      <c r="B1964" s="8">
        <f t="shared" si="62"/>
        <v>2022</v>
      </c>
      <c r="C1964" s="8">
        <f t="shared" si="63"/>
        <v>11</v>
      </c>
      <c r="D1964" s="85">
        <v>44880</v>
      </c>
      <c r="E1964" s="31">
        <v>0</v>
      </c>
      <c r="F1964" s="31">
        <v>150000</v>
      </c>
      <c r="G1964" s="31">
        <v>0</v>
      </c>
      <c r="H1964" s="31">
        <v>0</v>
      </c>
      <c r="I1964" s="31" t="s">
        <v>390</v>
      </c>
      <c r="J1964" s="5" t="s">
        <v>1693</v>
      </c>
      <c r="K1964" s="8"/>
    </row>
    <row r="1965" spans="1:11" x14ac:dyDescent="0.2">
      <c r="A1965" s="8">
        <v>1964</v>
      </c>
      <c r="B1965" s="8">
        <f t="shared" si="62"/>
        <v>2022</v>
      </c>
      <c r="C1965" s="8">
        <f t="shared" si="63"/>
        <v>11</v>
      </c>
      <c r="D1965" s="85">
        <v>44880</v>
      </c>
      <c r="E1965" s="31">
        <v>0</v>
      </c>
      <c r="F1965" s="31">
        <v>150000</v>
      </c>
      <c r="G1965" s="31">
        <v>0</v>
      </c>
      <c r="H1965" s="31">
        <v>0</v>
      </c>
      <c r="I1965" s="31" t="s">
        <v>390</v>
      </c>
      <c r="J1965" s="5" t="s">
        <v>1694</v>
      </c>
      <c r="K1965" s="8"/>
    </row>
    <row r="1966" spans="1:11" x14ac:dyDescent="0.2">
      <c r="A1966" s="8">
        <v>1965</v>
      </c>
      <c r="B1966" s="8">
        <f t="shared" si="62"/>
        <v>2022</v>
      </c>
      <c r="C1966" s="8">
        <f t="shared" si="63"/>
        <v>11</v>
      </c>
      <c r="D1966" s="85">
        <v>44880</v>
      </c>
      <c r="E1966" s="31">
        <v>560000</v>
      </c>
      <c r="F1966" s="31">
        <v>0</v>
      </c>
      <c r="G1966" s="31">
        <v>0</v>
      </c>
      <c r="H1966" s="31">
        <v>0</v>
      </c>
      <c r="I1966" s="31" t="s">
        <v>109</v>
      </c>
      <c r="J1966" s="5" t="s">
        <v>1695</v>
      </c>
      <c r="K1966" s="8"/>
    </row>
    <row r="1967" spans="1:11" x14ac:dyDescent="0.2">
      <c r="A1967" s="8">
        <v>1966</v>
      </c>
      <c r="B1967" s="8">
        <f t="shared" si="62"/>
        <v>2022</v>
      </c>
      <c r="C1967" s="8">
        <f t="shared" si="63"/>
        <v>11</v>
      </c>
      <c r="D1967" s="85">
        <v>44880</v>
      </c>
      <c r="E1967" s="31">
        <v>0</v>
      </c>
      <c r="F1967" s="31">
        <v>50000</v>
      </c>
      <c r="G1967" s="31">
        <v>0</v>
      </c>
      <c r="H1967" s="31">
        <v>0</v>
      </c>
      <c r="I1967" s="31" t="s">
        <v>85</v>
      </c>
      <c r="J1967" s="5" t="s">
        <v>1624</v>
      </c>
      <c r="K1967" s="8"/>
    </row>
    <row r="1968" spans="1:11" x14ac:dyDescent="0.2">
      <c r="A1968" s="8">
        <v>1967</v>
      </c>
      <c r="B1968" s="8">
        <f t="shared" si="62"/>
        <v>2022</v>
      </c>
      <c r="C1968" s="8">
        <f t="shared" si="63"/>
        <v>11</v>
      </c>
      <c r="D1968" s="85">
        <v>44880</v>
      </c>
      <c r="E1968" s="31">
        <v>0</v>
      </c>
      <c r="F1968" s="31">
        <v>250000</v>
      </c>
      <c r="G1968" s="31">
        <v>0</v>
      </c>
      <c r="H1968" s="31">
        <v>0</v>
      </c>
      <c r="I1968" s="31" t="s">
        <v>85</v>
      </c>
      <c r="J1968" s="5" t="s">
        <v>1696</v>
      </c>
      <c r="K1968" s="8"/>
    </row>
    <row r="1969" spans="1:11" x14ac:dyDescent="0.2">
      <c r="A1969" s="8">
        <v>1968</v>
      </c>
      <c r="B1969" s="8">
        <f t="shared" si="62"/>
        <v>2022</v>
      </c>
      <c r="C1969" s="8">
        <f t="shared" si="63"/>
        <v>11</v>
      </c>
      <c r="D1969" s="85">
        <v>44884</v>
      </c>
      <c r="E1969" s="31">
        <v>0</v>
      </c>
      <c r="F1969" s="31">
        <v>20000</v>
      </c>
      <c r="G1969" s="31">
        <v>0</v>
      </c>
      <c r="H1969" s="31">
        <v>0</v>
      </c>
      <c r="I1969" s="31" t="s">
        <v>85</v>
      </c>
      <c r="J1969" s="5" t="s">
        <v>1697</v>
      </c>
      <c r="K1969" s="8"/>
    </row>
    <row r="1970" spans="1:11" x14ac:dyDescent="0.2">
      <c r="A1970" s="8">
        <v>1969</v>
      </c>
      <c r="B1970" s="8">
        <f t="shared" si="62"/>
        <v>2022</v>
      </c>
      <c r="C1970" s="8">
        <f t="shared" si="63"/>
        <v>11</v>
      </c>
      <c r="D1970" s="85">
        <v>44884</v>
      </c>
      <c r="E1970" s="31">
        <v>0</v>
      </c>
      <c r="F1970" s="31">
        <v>37000</v>
      </c>
      <c r="G1970" s="31">
        <v>0</v>
      </c>
      <c r="H1970" s="31">
        <v>0</v>
      </c>
      <c r="I1970" s="31" t="s">
        <v>85</v>
      </c>
      <c r="J1970" s="5" t="s">
        <v>848</v>
      </c>
      <c r="K1970" s="8"/>
    </row>
    <row r="1971" spans="1:11" x14ac:dyDescent="0.2">
      <c r="A1971" s="8">
        <v>1970</v>
      </c>
      <c r="B1971" s="8">
        <f t="shared" si="62"/>
        <v>2022</v>
      </c>
      <c r="C1971" s="8">
        <f t="shared" si="63"/>
        <v>11</v>
      </c>
      <c r="D1971" s="85">
        <v>44885</v>
      </c>
      <c r="E1971" s="31">
        <v>0</v>
      </c>
      <c r="F1971" s="31">
        <v>100000</v>
      </c>
      <c r="G1971" s="31">
        <v>0</v>
      </c>
      <c r="H1971" s="31">
        <v>0</v>
      </c>
      <c r="I1971" s="31" t="s">
        <v>85</v>
      </c>
      <c r="J1971" s="5" t="s">
        <v>1698</v>
      </c>
      <c r="K1971" s="8"/>
    </row>
    <row r="1972" spans="1:11" x14ac:dyDescent="0.2">
      <c r="A1972" s="8">
        <v>1971</v>
      </c>
      <c r="B1972" s="8">
        <f t="shared" si="62"/>
        <v>2022</v>
      </c>
      <c r="C1972" s="8">
        <f t="shared" si="63"/>
        <v>11</v>
      </c>
      <c r="D1972" s="85">
        <v>44885</v>
      </c>
      <c r="E1972" s="31">
        <v>0</v>
      </c>
      <c r="F1972" s="31">
        <v>20000</v>
      </c>
      <c r="G1972" s="31">
        <v>0</v>
      </c>
      <c r="H1972" s="31">
        <v>0</v>
      </c>
      <c r="I1972" s="31" t="s">
        <v>1699</v>
      </c>
      <c r="J1972" s="5" t="s">
        <v>1700</v>
      </c>
      <c r="K1972" s="8"/>
    </row>
    <row r="1973" spans="1:11" x14ac:dyDescent="0.2">
      <c r="A1973" s="8">
        <v>1972</v>
      </c>
      <c r="B1973" s="8">
        <f t="shared" si="62"/>
        <v>2022</v>
      </c>
      <c r="C1973" s="8">
        <f t="shared" si="63"/>
        <v>11</v>
      </c>
      <c r="D1973" s="85">
        <v>44886</v>
      </c>
      <c r="E1973" s="31">
        <v>0</v>
      </c>
      <c r="F1973" s="31">
        <v>38000</v>
      </c>
      <c r="G1973" s="31">
        <v>0</v>
      </c>
      <c r="H1973" s="31">
        <v>0</v>
      </c>
      <c r="I1973" s="31" t="s">
        <v>85</v>
      </c>
      <c r="J1973" s="5" t="s">
        <v>1701</v>
      </c>
      <c r="K1973" s="8"/>
    </row>
    <row r="1974" spans="1:11" x14ac:dyDescent="0.2">
      <c r="A1974" s="8">
        <v>1973</v>
      </c>
      <c r="B1974" s="8">
        <f t="shared" si="62"/>
        <v>2022</v>
      </c>
      <c r="C1974" s="8">
        <f t="shared" si="63"/>
        <v>11</v>
      </c>
      <c r="D1974" s="85">
        <v>44886</v>
      </c>
      <c r="E1974" s="31">
        <v>0</v>
      </c>
      <c r="F1974" s="31">
        <v>100000</v>
      </c>
      <c r="G1974" s="31">
        <v>0</v>
      </c>
      <c r="H1974" s="31">
        <v>0</v>
      </c>
      <c r="I1974" s="31" t="s">
        <v>85</v>
      </c>
      <c r="J1974" s="5" t="s">
        <v>1702</v>
      </c>
      <c r="K1974" s="8"/>
    </row>
    <row r="1975" spans="1:11" x14ac:dyDescent="0.2">
      <c r="A1975" s="8">
        <v>1974</v>
      </c>
      <c r="B1975" s="8">
        <f t="shared" si="62"/>
        <v>2022</v>
      </c>
      <c r="C1975" s="8">
        <f t="shared" si="63"/>
        <v>11</v>
      </c>
      <c r="D1975" s="85">
        <v>44885</v>
      </c>
      <c r="E1975" s="31">
        <v>0</v>
      </c>
      <c r="F1975" s="31">
        <v>20000</v>
      </c>
      <c r="G1975" s="31">
        <v>0</v>
      </c>
      <c r="H1975" s="31">
        <v>0</v>
      </c>
      <c r="I1975" s="31" t="s">
        <v>80</v>
      </c>
      <c r="J1975" s="5" t="s">
        <v>1703</v>
      </c>
      <c r="K1975" s="8"/>
    </row>
    <row r="1976" spans="1:11" x14ac:dyDescent="0.2">
      <c r="A1976" s="8">
        <v>1975</v>
      </c>
      <c r="B1976" s="8">
        <f t="shared" si="62"/>
        <v>2022</v>
      </c>
      <c r="C1976" s="8">
        <f t="shared" si="63"/>
        <v>11</v>
      </c>
      <c r="D1976" s="85">
        <v>44886</v>
      </c>
      <c r="E1976" s="31">
        <v>0</v>
      </c>
      <c r="F1976" s="31">
        <v>30000</v>
      </c>
      <c r="G1976" s="31">
        <v>0</v>
      </c>
      <c r="H1976" s="31">
        <v>0</v>
      </c>
      <c r="I1976" s="31" t="s">
        <v>85</v>
      </c>
      <c r="J1976" s="5" t="s">
        <v>1704</v>
      </c>
      <c r="K1976" s="8"/>
    </row>
    <row r="1977" spans="1:11" x14ac:dyDescent="0.2">
      <c r="A1977" s="8">
        <v>1976</v>
      </c>
      <c r="B1977" s="8">
        <f t="shared" si="62"/>
        <v>2022</v>
      </c>
      <c r="C1977" s="8">
        <f t="shared" si="63"/>
        <v>11</v>
      </c>
      <c r="D1977" s="85">
        <v>44887</v>
      </c>
      <c r="E1977" s="31">
        <v>0</v>
      </c>
      <c r="F1977" s="31">
        <v>70000</v>
      </c>
      <c r="G1977" s="31">
        <v>0</v>
      </c>
      <c r="H1977" s="31">
        <v>0</v>
      </c>
      <c r="I1977" s="31" t="s">
        <v>1699</v>
      </c>
      <c r="J1977" s="5" t="s">
        <v>1705</v>
      </c>
      <c r="K1977" s="8"/>
    </row>
    <row r="1978" spans="1:11" x14ac:dyDescent="0.2">
      <c r="A1978" s="8">
        <v>1977</v>
      </c>
      <c r="B1978" s="8">
        <f t="shared" si="62"/>
        <v>2022</v>
      </c>
      <c r="C1978" s="8">
        <f t="shared" si="63"/>
        <v>11</v>
      </c>
      <c r="D1978" s="85">
        <v>44887</v>
      </c>
      <c r="E1978" s="31">
        <v>0</v>
      </c>
      <c r="F1978" s="31">
        <v>10000</v>
      </c>
      <c r="G1978" s="31">
        <v>0</v>
      </c>
      <c r="H1978" s="31">
        <v>0</v>
      </c>
      <c r="I1978" s="31" t="s">
        <v>88</v>
      </c>
      <c r="J1978" s="5" t="s">
        <v>1706</v>
      </c>
      <c r="K1978" s="8"/>
    </row>
    <row r="1979" spans="1:11" x14ac:dyDescent="0.2">
      <c r="A1979" s="8">
        <v>1978</v>
      </c>
      <c r="B1979" s="8">
        <f t="shared" si="62"/>
        <v>2022</v>
      </c>
      <c r="C1979" s="8">
        <f t="shared" si="63"/>
        <v>11</v>
      </c>
      <c r="D1979" s="85">
        <v>44887</v>
      </c>
      <c r="E1979" s="31">
        <v>0</v>
      </c>
      <c r="F1979" s="31">
        <v>5000</v>
      </c>
      <c r="G1979" s="31">
        <v>0</v>
      </c>
      <c r="H1979" s="31">
        <v>0</v>
      </c>
      <c r="I1979" s="31" t="s">
        <v>85</v>
      </c>
      <c r="J1979" s="5" t="s">
        <v>1707</v>
      </c>
      <c r="K1979" s="8"/>
    </row>
    <row r="1980" spans="1:11" x14ac:dyDescent="0.2">
      <c r="A1980" s="8">
        <v>1979</v>
      </c>
      <c r="B1980" s="8">
        <f t="shared" si="62"/>
        <v>2022</v>
      </c>
      <c r="C1980" s="8">
        <f t="shared" si="63"/>
        <v>11</v>
      </c>
      <c r="D1980" s="85">
        <v>44887</v>
      </c>
      <c r="E1980" s="31">
        <v>0</v>
      </c>
      <c r="F1980" s="31">
        <v>17000</v>
      </c>
      <c r="G1980" s="31">
        <v>0</v>
      </c>
      <c r="H1980" s="31">
        <v>0</v>
      </c>
      <c r="I1980" s="31" t="s">
        <v>88</v>
      </c>
      <c r="J1980" s="5" t="s">
        <v>1708</v>
      </c>
      <c r="K1980" s="8"/>
    </row>
    <row r="1981" spans="1:11" x14ac:dyDescent="0.2">
      <c r="A1981" s="8">
        <v>1980</v>
      </c>
      <c r="B1981" s="8">
        <f t="shared" si="62"/>
        <v>2022</v>
      </c>
      <c r="C1981" s="8">
        <f t="shared" si="63"/>
        <v>11</v>
      </c>
      <c r="D1981" s="85">
        <v>44887</v>
      </c>
      <c r="E1981" s="31">
        <v>0</v>
      </c>
      <c r="F1981" s="31">
        <v>25000</v>
      </c>
      <c r="G1981" s="31">
        <v>0</v>
      </c>
      <c r="H1981" s="31">
        <v>0</v>
      </c>
      <c r="I1981" s="31" t="s">
        <v>88</v>
      </c>
      <c r="J1981" s="5" t="s">
        <v>1407</v>
      </c>
      <c r="K1981" s="8"/>
    </row>
    <row r="1982" spans="1:11" x14ac:dyDescent="0.2">
      <c r="A1982" s="8">
        <v>1981</v>
      </c>
      <c r="B1982" s="8">
        <f t="shared" si="62"/>
        <v>2022</v>
      </c>
      <c r="C1982" s="8">
        <f t="shared" si="63"/>
        <v>11</v>
      </c>
      <c r="D1982" s="85">
        <v>44888</v>
      </c>
      <c r="E1982" s="31">
        <v>0</v>
      </c>
      <c r="F1982" s="31">
        <v>15000</v>
      </c>
      <c r="G1982" s="31">
        <v>0</v>
      </c>
      <c r="H1982" s="31">
        <v>0</v>
      </c>
      <c r="I1982" s="31" t="s">
        <v>88</v>
      </c>
      <c r="J1982" s="5" t="s">
        <v>91</v>
      </c>
      <c r="K1982" s="8"/>
    </row>
    <row r="1983" spans="1:11" x14ac:dyDescent="0.2">
      <c r="A1983" s="8">
        <v>1982</v>
      </c>
      <c r="B1983" s="8">
        <f t="shared" si="62"/>
        <v>2022</v>
      </c>
      <c r="C1983" s="8">
        <f t="shared" si="63"/>
        <v>11</v>
      </c>
      <c r="D1983" s="85">
        <v>44888</v>
      </c>
      <c r="E1983" s="31">
        <v>0</v>
      </c>
      <c r="F1983" s="31">
        <v>14000</v>
      </c>
      <c r="G1983" s="31">
        <v>0</v>
      </c>
      <c r="H1983" s="31">
        <v>0</v>
      </c>
      <c r="I1983" s="31" t="s">
        <v>85</v>
      </c>
      <c r="J1983" s="5" t="s">
        <v>1709</v>
      </c>
      <c r="K1983" s="8"/>
    </row>
    <row r="1984" spans="1:11" x14ac:dyDescent="0.2">
      <c r="A1984" s="8">
        <v>1983</v>
      </c>
      <c r="B1984" s="8">
        <f t="shared" si="62"/>
        <v>2022</v>
      </c>
      <c r="C1984" s="8">
        <f t="shared" si="63"/>
        <v>11</v>
      </c>
      <c r="D1984" s="85">
        <v>44888</v>
      </c>
      <c r="E1984" s="31">
        <v>0</v>
      </c>
      <c r="F1984" s="31">
        <v>120000</v>
      </c>
      <c r="G1984" s="31">
        <v>0</v>
      </c>
      <c r="H1984" s="31">
        <v>0</v>
      </c>
      <c r="I1984" s="31" t="s">
        <v>1699</v>
      </c>
      <c r="J1984" s="5" t="s">
        <v>1710</v>
      </c>
      <c r="K1984" s="8"/>
    </row>
    <row r="1985" spans="1:11" x14ac:dyDescent="0.2">
      <c r="A1985" s="8">
        <v>1984</v>
      </c>
      <c r="B1985" s="8">
        <f t="shared" si="62"/>
        <v>2022</v>
      </c>
      <c r="C1985" s="8">
        <f t="shared" si="63"/>
        <v>11</v>
      </c>
      <c r="D1985" s="85">
        <v>44888</v>
      </c>
      <c r="E1985" s="31">
        <v>0</v>
      </c>
      <c r="F1985" s="31">
        <v>50000</v>
      </c>
      <c r="G1985" s="31">
        <v>0</v>
      </c>
      <c r="H1985" s="31">
        <v>0</v>
      </c>
      <c r="I1985" s="31" t="s">
        <v>1699</v>
      </c>
      <c r="J1985" s="5" t="s">
        <v>1711</v>
      </c>
      <c r="K1985" s="8"/>
    </row>
    <row r="1986" spans="1:11" x14ac:dyDescent="0.2">
      <c r="A1986" s="8">
        <v>1985</v>
      </c>
      <c r="B1986" s="8">
        <f t="shared" si="62"/>
        <v>2022</v>
      </c>
      <c r="C1986" s="8">
        <f t="shared" si="63"/>
        <v>11</v>
      </c>
      <c r="D1986" s="85">
        <v>44889</v>
      </c>
      <c r="E1986" s="31">
        <v>0</v>
      </c>
      <c r="F1986" s="31">
        <v>20000</v>
      </c>
      <c r="G1986" s="31">
        <v>0</v>
      </c>
      <c r="H1986" s="31">
        <v>0</v>
      </c>
      <c r="I1986" s="31" t="s">
        <v>85</v>
      </c>
      <c r="J1986" s="5" t="s">
        <v>287</v>
      </c>
      <c r="K1986" s="8"/>
    </row>
    <row r="1987" spans="1:11" x14ac:dyDescent="0.2">
      <c r="A1987" s="8">
        <v>1986</v>
      </c>
      <c r="B1987" s="8">
        <f t="shared" si="62"/>
        <v>2022</v>
      </c>
      <c r="C1987" s="8">
        <f t="shared" si="63"/>
        <v>11</v>
      </c>
      <c r="D1987" s="85">
        <v>44889</v>
      </c>
      <c r="E1987" s="31">
        <v>0</v>
      </c>
      <c r="F1987" s="31">
        <v>50000</v>
      </c>
      <c r="G1987" s="31">
        <v>0</v>
      </c>
      <c r="H1987" s="31">
        <v>0</v>
      </c>
      <c r="I1987" s="31" t="s">
        <v>85</v>
      </c>
      <c r="J1987" s="5" t="s">
        <v>1712</v>
      </c>
      <c r="K1987" s="8"/>
    </row>
    <row r="1988" spans="1:11" x14ac:dyDescent="0.2">
      <c r="A1988" s="8">
        <v>1987</v>
      </c>
      <c r="B1988" s="8">
        <f t="shared" si="62"/>
        <v>2022</v>
      </c>
      <c r="C1988" s="8">
        <f t="shared" si="63"/>
        <v>11</v>
      </c>
      <c r="D1988" s="85">
        <v>44890</v>
      </c>
      <c r="E1988" s="31">
        <v>0</v>
      </c>
      <c r="F1988" s="31">
        <v>42000</v>
      </c>
      <c r="G1988" s="31">
        <v>0</v>
      </c>
      <c r="H1988" s="31">
        <v>0</v>
      </c>
      <c r="I1988" s="31" t="s">
        <v>85</v>
      </c>
      <c r="J1988" s="5" t="s">
        <v>1713</v>
      </c>
      <c r="K1988" s="8"/>
    </row>
    <row r="1989" spans="1:11" x14ac:dyDescent="0.2">
      <c r="A1989" s="8">
        <v>1988</v>
      </c>
      <c r="B1989" s="8">
        <f t="shared" si="62"/>
        <v>2022</v>
      </c>
      <c r="C1989" s="8">
        <f t="shared" si="63"/>
        <v>11</v>
      </c>
      <c r="D1989" s="85">
        <v>44890</v>
      </c>
      <c r="E1989" s="31">
        <v>0</v>
      </c>
      <c r="F1989" s="31">
        <v>20000</v>
      </c>
      <c r="G1989" s="31">
        <v>0</v>
      </c>
      <c r="H1989" s="31">
        <v>0</v>
      </c>
      <c r="I1989" s="31" t="s">
        <v>85</v>
      </c>
      <c r="J1989" s="5" t="s">
        <v>287</v>
      </c>
      <c r="K1989" s="8"/>
    </row>
    <row r="1990" spans="1:11" x14ac:dyDescent="0.2">
      <c r="A1990" s="8">
        <v>1989</v>
      </c>
      <c r="B1990" s="8">
        <f t="shared" ref="B1990:B2053" si="64">YEAR(D1990)</f>
        <v>2022</v>
      </c>
      <c r="C1990" s="8">
        <f t="shared" ref="C1990:C2053" si="65">MONTH(D1990)</f>
        <v>11</v>
      </c>
      <c r="D1990" s="85">
        <v>44891</v>
      </c>
      <c r="E1990" s="31">
        <v>0</v>
      </c>
      <c r="F1990" s="31">
        <v>115000</v>
      </c>
      <c r="G1990" s="31">
        <v>0</v>
      </c>
      <c r="H1990" s="31">
        <v>0</v>
      </c>
      <c r="I1990" s="31" t="s">
        <v>299</v>
      </c>
      <c r="J1990" s="5" t="s">
        <v>366</v>
      </c>
      <c r="K1990" s="8"/>
    </row>
    <row r="1991" spans="1:11" x14ac:dyDescent="0.2">
      <c r="A1991" s="8">
        <v>1990</v>
      </c>
      <c r="B1991" s="8">
        <f t="shared" si="64"/>
        <v>2022</v>
      </c>
      <c r="C1991" s="8">
        <f t="shared" si="65"/>
        <v>11</v>
      </c>
      <c r="D1991" s="85">
        <v>44892</v>
      </c>
      <c r="E1991" s="31">
        <v>0</v>
      </c>
      <c r="F1991" s="31">
        <v>10000</v>
      </c>
      <c r="G1991" s="31">
        <v>0</v>
      </c>
      <c r="H1991" s="31">
        <v>0</v>
      </c>
      <c r="I1991" s="31" t="s">
        <v>88</v>
      </c>
      <c r="J1991" s="5" t="s">
        <v>1714</v>
      </c>
      <c r="K1991" s="8"/>
    </row>
    <row r="1992" spans="1:11" x14ac:dyDescent="0.2">
      <c r="A1992" s="8">
        <v>1991</v>
      </c>
      <c r="B1992" s="8">
        <f t="shared" si="64"/>
        <v>2022</v>
      </c>
      <c r="C1992" s="8">
        <f t="shared" si="65"/>
        <v>11</v>
      </c>
      <c r="D1992" s="85">
        <v>44892</v>
      </c>
      <c r="E1992" s="31">
        <v>0</v>
      </c>
      <c r="F1992" s="31">
        <v>50000</v>
      </c>
      <c r="G1992" s="31">
        <v>0</v>
      </c>
      <c r="H1992" s="31">
        <v>0</v>
      </c>
      <c r="I1992" s="31" t="s">
        <v>85</v>
      </c>
      <c r="J1992" s="5" t="s">
        <v>1715</v>
      </c>
      <c r="K1992" s="8"/>
    </row>
    <row r="1993" spans="1:11" x14ac:dyDescent="0.2">
      <c r="A1993" s="8">
        <v>1992</v>
      </c>
      <c r="B1993" s="8">
        <f t="shared" si="64"/>
        <v>2022</v>
      </c>
      <c r="C1993" s="8">
        <f t="shared" si="65"/>
        <v>11</v>
      </c>
      <c r="D1993" s="85">
        <v>44893</v>
      </c>
      <c r="E1993" s="31">
        <v>0</v>
      </c>
      <c r="F1993" s="31">
        <v>210000</v>
      </c>
      <c r="G1993" s="31">
        <v>0</v>
      </c>
      <c r="H1993" s="31">
        <v>0</v>
      </c>
      <c r="I1993" s="31" t="s">
        <v>85</v>
      </c>
      <c r="J1993" s="5" t="s">
        <v>1716</v>
      </c>
      <c r="K1993" s="8"/>
    </row>
    <row r="1994" spans="1:11" x14ac:dyDescent="0.2">
      <c r="A1994" s="8">
        <v>1993</v>
      </c>
      <c r="B1994" s="8">
        <f t="shared" si="64"/>
        <v>2022</v>
      </c>
      <c r="C1994" s="8">
        <f t="shared" si="65"/>
        <v>11</v>
      </c>
      <c r="D1994" s="85">
        <v>44893</v>
      </c>
      <c r="E1994" s="31">
        <v>0</v>
      </c>
      <c r="F1994" s="31">
        <v>25000</v>
      </c>
      <c r="G1994" s="31">
        <v>0</v>
      </c>
      <c r="H1994" s="31">
        <v>0</v>
      </c>
      <c r="I1994" s="31" t="s">
        <v>88</v>
      </c>
      <c r="J1994" s="5" t="s">
        <v>1273</v>
      </c>
      <c r="K1994" s="8"/>
    </row>
    <row r="1995" spans="1:11" x14ac:dyDescent="0.2">
      <c r="A1995" s="8">
        <v>1994</v>
      </c>
      <c r="B1995" s="8">
        <f t="shared" si="64"/>
        <v>2022</v>
      </c>
      <c r="C1995" s="8">
        <f t="shared" si="65"/>
        <v>11</v>
      </c>
      <c r="D1995" s="85">
        <v>44894</v>
      </c>
      <c r="E1995" s="31">
        <v>0</v>
      </c>
      <c r="F1995" s="31">
        <v>50000</v>
      </c>
      <c r="G1995" s="31">
        <v>0</v>
      </c>
      <c r="H1995" s="31">
        <v>0</v>
      </c>
      <c r="I1995" s="31" t="s">
        <v>88</v>
      </c>
      <c r="J1995" s="5" t="s">
        <v>1717</v>
      </c>
      <c r="K1995" s="8"/>
    </row>
    <row r="1996" spans="1:11" x14ac:dyDescent="0.2">
      <c r="A1996" s="8">
        <v>1995</v>
      </c>
      <c r="B1996" s="8">
        <f t="shared" si="64"/>
        <v>2022</v>
      </c>
      <c r="C1996" s="8">
        <f t="shared" si="65"/>
        <v>11</v>
      </c>
      <c r="D1996" s="85">
        <v>44895</v>
      </c>
      <c r="E1996" s="31">
        <v>0</v>
      </c>
      <c r="F1996" s="31">
        <v>250000</v>
      </c>
      <c r="G1996" s="31">
        <v>0</v>
      </c>
      <c r="H1996" s="31">
        <v>0</v>
      </c>
      <c r="I1996" s="31" t="s">
        <v>88</v>
      </c>
      <c r="J1996" s="5" t="s">
        <v>445</v>
      </c>
      <c r="K1996" s="8"/>
    </row>
    <row r="1997" spans="1:11" x14ac:dyDescent="0.2">
      <c r="A1997" s="8">
        <v>1996</v>
      </c>
      <c r="B1997" s="8">
        <f t="shared" si="64"/>
        <v>2022</v>
      </c>
      <c r="C1997" s="8">
        <f t="shared" si="65"/>
        <v>11</v>
      </c>
      <c r="D1997" s="85">
        <v>44895</v>
      </c>
      <c r="E1997" s="31">
        <v>0</v>
      </c>
      <c r="F1997" s="31">
        <v>20000</v>
      </c>
      <c r="G1997" s="31">
        <v>0</v>
      </c>
      <c r="H1997" s="31">
        <v>0</v>
      </c>
      <c r="I1997" s="31" t="s">
        <v>85</v>
      </c>
      <c r="J1997" s="5" t="s">
        <v>1718</v>
      </c>
      <c r="K1997" s="8"/>
    </row>
    <row r="1998" spans="1:11" x14ac:dyDescent="0.2">
      <c r="A1998" s="8">
        <v>1997</v>
      </c>
      <c r="B1998" s="8">
        <f t="shared" si="64"/>
        <v>2022</v>
      </c>
      <c r="C1998" s="8">
        <f t="shared" si="65"/>
        <v>11</v>
      </c>
      <c r="D1998" s="85">
        <v>44895</v>
      </c>
      <c r="E1998" s="31">
        <v>0</v>
      </c>
      <c r="F1998" s="31">
        <v>130000</v>
      </c>
      <c r="G1998" s="31">
        <v>0</v>
      </c>
      <c r="H1998" s="31">
        <v>0</v>
      </c>
      <c r="I1998" s="31" t="s">
        <v>1719</v>
      </c>
      <c r="J1998" s="5" t="s">
        <v>1720</v>
      </c>
      <c r="K1998" s="8"/>
    </row>
    <row r="1999" spans="1:11" x14ac:dyDescent="0.2">
      <c r="A1999" s="8">
        <v>1998</v>
      </c>
      <c r="B1999" s="8">
        <f t="shared" si="64"/>
        <v>2022</v>
      </c>
      <c r="C1999" s="8">
        <f t="shared" si="65"/>
        <v>11</v>
      </c>
      <c r="D1999" s="85">
        <v>44895</v>
      </c>
      <c r="E1999" s="31">
        <v>0</v>
      </c>
      <c r="F1999" s="31">
        <v>30000</v>
      </c>
      <c r="G1999" s="31">
        <v>0</v>
      </c>
      <c r="H1999" s="31">
        <v>0</v>
      </c>
      <c r="I1999" s="31" t="s">
        <v>85</v>
      </c>
      <c r="J1999" s="5" t="s">
        <v>1721</v>
      </c>
      <c r="K1999" s="8"/>
    </row>
    <row r="2000" spans="1:11" x14ac:dyDescent="0.2">
      <c r="A2000" s="8">
        <v>1999</v>
      </c>
      <c r="B2000" s="8">
        <f t="shared" si="64"/>
        <v>2022</v>
      </c>
      <c r="C2000" s="8">
        <f t="shared" si="65"/>
        <v>11</v>
      </c>
      <c r="D2000" s="85">
        <v>44895</v>
      </c>
      <c r="E2000" s="31">
        <v>0</v>
      </c>
      <c r="F2000" s="31">
        <v>30000</v>
      </c>
      <c r="G2000" s="31">
        <v>0</v>
      </c>
      <c r="H2000" s="31">
        <v>0</v>
      </c>
      <c r="I2000" s="31" t="s">
        <v>85</v>
      </c>
      <c r="J2000" s="5" t="s">
        <v>1722</v>
      </c>
      <c r="K2000" s="8"/>
    </row>
    <row r="2001" spans="1:11" x14ac:dyDescent="0.2">
      <c r="A2001" s="8">
        <v>2000</v>
      </c>
      <c r="B2001" s="8">
        <f t="shared" si="64"/>
        <v>2022</v>
      </c>
      <c r="C2001" s="8">
        <f t="shared" si="65"/>
        <v>11</v>
      </c>
      <c r="D2001" s="85">
        <v>44895</v>
      </c>
      <c r="E2001" s="31">
        <v>0</v>
      </c>
      <c r="F2001" s="31">
        <v>100000</v>
      </c>
      <c r="G2001" s="31">
        <v>0</v>
      </c>
      <c r="H2001" s="31">
        <v>0</v>
      </c>
      <c r="I2001" s="31" t="s">
        <v>85</v>
      </c>
      <c r="J2001" s="5" t="s">
        <v>1723</v>
      </c>
      <c r="K2001" s="8"/>
    </row>
    <row r="2002" spans="1:11" x14ac:dyDescent="0.2">
      <c r="A2002" s="8">
        <v>2001</v>
      </c>
      <c r="B2002" s="8">
        <f t="shared" si="64"/>
        <v>2022</v>
      </c>
      <c r="C2002" s="8">
        <f t="shared" si="65"/>
        <v>11</v>
      </c>
      <c r="D2002" s="85">
        <v>44895</v>
      </c>
      <c r="E2002" s="31">
        <v>0</v>
      </c>
      <c r="F2002" s="31">
        <v>300000</v>
      </c>
      <c r="G2002" s="31">
        <v>0</v>
      </c>
      <c r="H2002" s="31">
        <v>0</v>
      </c>
      <c r="I2002" s="31" t="s">
        <v>85</v>
      </c>
      <c r="J2002" s="5" t="s">
        <v>1724</v>
      </c>
      <c r="K2002" s="8"/>
    </row>
    <row r="2003" spans="1:11" x14ac:dyDescent="0.2">
      <c r="A2003" s="8">
        <v>2002</v>
      </c>
      <c r="B2003" s="8">
        <f t="shared" si="64"/>
        <v>2022</v>
      </c>
      <c r="C2003" s="8">
        <f t="shared" si="65"/>
        <v>12</v>
      </c>
      <c r="D2003" s="85">
        <v>44896</v>
      </c>
      <c r="E2003" s="31">
        <v>0</v>
      </c>
      <c r="F2003" s="31">
        <v>20000</v>
      </c>
      <c r="G2003" s="31">
        <v>0</v>
      </c>
      <c r="H2003" s="31">
        <v>0</v>
      </c>
      <c r="I2003" s="31" t="s">
        <v>88</v>
      </c>
      <c r="J2003" s="5" t="s">
        <v>300</v>
      </c>
      <c r="K2003" s="8"/>
    </row>
    <row r="2004" spans="1:11" x14ac:dyDescent="0.2">
      <c r="A2004" s="8">
        <v>2003</v>
      </c>
      <c r="B2004" s="8">
        <f t="shared" si="64"/>
        <v>2022</v>
      </c>
      <c r="C2004" s="8">
        <f t="shared" si="65"/>
        <v>12</v>
      </c>
      <c r="D2004" s="85">
        <v>44896</v>
      </c>
      <c r="E2004" s="31">
        <v>0</v>
      </c>
      <c r="F2004" s="31">
        <v>50000</v>
      </c>
      <c r="G2004" s="31">
        <v>0</v>
      </c>
      <c r="H2004" s="31">
        <v>0</v>
      </c>
      <c r="I2004" s="31" t="s">
        <v>88</v>
      </c>
      <c r="J2004" s="5" t="s">
        <v>1725</v>
      </c>
      <c r="K2004" s="8"/>
    </row>
    <row r="2005" spans="1:11" x14ac:dyDescent="0.2">
      <c r="A2005" s="8">
        <v>2004</v>
      </c>
      <c r="B2005" s="8">
        <f t="shared" si="64"/>
        <v>2022</v>
      </c>
      <c r="C2005" s="8">
        <f t="shared" si="65"/>
        <v>12</v>
      </c>
      <c r="D2005" s="85">
        <v>44896</v>
      </c>
      <c r="E2005" s="31">
        <v>0</v>
      </c>
      <c r="F2005" s="31">
        <v>50000</v>
      </c>
      <c r="G2005" s="31">
        <v>0</v>
      </c>
      <c r="H2005" s="31">
        <v>0</v>
      </c>
      <c r="I2005" s="31" t="s">
        <v>85</v>
      </c>
      <c r="J2005" s="5" t="s">
        <v>1726</v>
      </c>
      <c r="K2005" s="8"/>
    </row>
    <row r="2006" spans="1:11" x14ac:dyDescent="0.2">
      <c r="A2006" s="8">
        <v>2005</v>
      </c>
      <c r="B2006" s="8">
        <f t="shared" si="64"/>
        <v>2022</v>
      </c>
      <c r="C2006" s="8">
        <f t="shared" si="65"/>
        <v>12</v>
      </c>
      <c r="D2006" s="85">
        <v>44897</v>
      </c>
      <c r="E2006" s="31">
        <v>0</v>
      </c>
      <c r="F2006" s="31">
        <v>24000</v>
      </c>
      <c r="G2006" s="31">
        <v>0</v>
      </c>
      <c r="H2006" s="31">
        <v>0</v>
      </c>
      <c r="I2006" s="31" t="s">
        <v>88</v>
      </c>
      <c r="J2006" s="5" t="s">
        <v>458</v>
      </c>
      <c r="K2006" s="8"/>
    </row>
    <row r="2007" spans="1:11" x14ac:dyDescent="0.2">
      <c r="A2007" s="8">
        <v>2006</v>
      </c>
      <c r="B2007" s="8">
        <f t="shared" si="64"/>
        <v>2022</v>
      </c>
      <c r="C2007" s="8">
        <f t="shared" si="65"/>
        <v>12</v>
      </c>
      <c r="D2007" s="85">
        <v>44897</v>
      </c>
      <c r="E2007" s="31">
        <v>0</v>
      </c>
      <c r="F2007" s="31">
        <v>7000</v>
      </c>
      <c r="G2007" s="31">
        <v>0</v>
      </c>
      <c r="H2007" s="31">
        <v>0</v>
      </c>
      <c r="I2007" s="31" t="s">
        <v>85</v>
      </c>
      <c r="J2007" s="5" t="s">
        <v>96</v>
      </c>
      <c r="K2007" s="8"/>
    </row>
    <row r="2008" spans="1:11" x14ac:dyDescent="0.2">
      <c r="A2008" s="8">
        <v>2007</v>
      </c>
      <c r="B2008" s="8">
        <f t="shared" si="64"/>
        <v>2022</v>
      </c>
      <c r="C2008" s="8">
        <f t="shared" si="65"/>
        <v>12</v>
      </c>
      <c r="D2008" s="85">
        <v>44897</v>
      </c>
      <c r="E2008" s="31">
        <v>0</v>
      </c>
      <c r="F2008" s="31">
        <v>0</v>
      </c>
      <c r="G2008" s="31">
        <v>0</v>
      </c>
      <c r="H2008" s="31">
        <v>350000</v>
      </c>
      <c r="I2008" s="31" t="s">
        <v>74</v>
      </c>
      <c r="J2008" s="5" t="s">
        <v>1727</v>
      </c>
      <c r="K2008" s="8"/>
    </row>
    <row r="2009" spans="1:11" x14ac:dyDescent="0.2">
      <c r="A2009" s="8">
        <v>2008</v>
      </c>
      <c r="B2009" s="8">
        <f t="shared" si="64"/>
        <v>2022</v>
      </c>
      <c r="C2009" s="8">
        <f t="shared" si="65"/>
        <v>12</v>
      </c>
      <c r="D2009" s="85">
        <v>44898</v>
      </c>
      <c r="E2009" s="31">
        <v>0</v>
      </c>
      <c r="F2009" s="31">
        <v>1000000</v>
      </c>
      <c r="G2009" s="31">
        <v>0</v>
      </c>
      <c r="H2009" s="31">
        <v>0</v>
      </c>
      <c r="I2009" s="31" t="s">
        <v>85</v>
      </c>
      <c r="J2009" s="5" t="s">
        <v>1728</v>
      </c>
      <c r="K2009" s="8"/>
    </row>
    <row r="2010" spans="1:11" x14ac:dyDescent="0.2">
      <c r="A2010" s="8">
        <v>2009</v>
      </c>
      <c r="B2010" s="8">
        <f t="shared" si="64"/>
        <v>2022</v>
      </c>
      <c r="C2010" s="8">
        <f t="shared" si="65"/>
        <v>12</v>
      </c>
      <c r="D2010" s="85">
        <v>44899</v>
      </c>
      <c r="E2010" s="31">
        <v>0</v>
      </c>
      <c r="F2010" s="31">
        <v>10000</v>
      </c>
      <c r="G2010" s="31">
        <v>0</v>
      </c>
      <c r="H2010" s="31">
        <v>0</v>
      </c>
      <c r="I2010" s="31" t="s">
        <v>85</v>
      </c>
      <c r="J2010" s="5" t="s">
        <v>1729</v>
      </c>
      <c r="K2010" s="8"/>
    </row>
    <row r="2011" spans="1:11" x14ac:dyDescent="0.2">
      <c r="A2011" s="8">
        <v>2010</v>
      </c>
      <c r="B2011" s="8">
        <f t="shared" si="64"/>
        <v>2022</v>
      </c>
      <c r="C2011" s="8">
        <f t="shared" si="65"/>
        <v>12</v>
      </c>
      <c r="D2011" s="85">
        <v>44899</v>
      </c>
      <c r="E2011" s="31">
        <v>0</v>
      </c>
      <c r="F2011" s="31">
        <v>40000</v>
      </c>
      <c r="G2011" s="31">
        <v>0</v>
      </c>
      <c r="H2011" s="31">
        <v>0</v>
      </c>
      <c r="I2011" s="31" t="s">
        <v>85</v>
      </c>
      <c r="J2011" s="5" t="s">
        <v>1730</v>
      </c>
      <c r="K2011" s="8"/>
    </row>
    <row r="2012" spans="1:11" x14ac:dyDescent="0.2">
      <c r="A2012" s="8">
        <v>2011</v>
      </c>
      <c r="B2012" s="8">
        <f t="shared" si="64"/>
        <v>2022</v>
      </c>
      <c r="C2012" s="8">
        <f t="shared" si="65"/>
        <v>12</v>
      </c>
      <c r="D2012" s="85">
        <v>44899</v>
      </c>
      <c r="E2012" s="31">
        <v>0</v>
      </c>
      <c r="F2012" s="31">
        <v>40000</v>
      </c>
      <c r="G2012" s="31">
        <v>0</v>
      </c>
      <c r="H2012" s="31">
        <v>0</v>
      </c>
      <c r="I2012" s="31" t="s">
        <v>88</v>
      </c>
      <c r="J2012" s="5" t="s">
        <v>858</v>
      </c>
      <c r="K2012" s="8"/>
    </row>
    <row r="2013" spans="1:11" x14ac:dyDescent="0.2">
      <c r="A2013" s="8">
        <v>2012</v>
      </c>
      <c r="B2013" s="8">
        <f t="shared" si="64"/>
        <v>2022</v>
      </c>
      <c r="C2013" s="8">
        <f t="shared" si="65"/>
        <v>12</v>
      </c>
      <c r="D2013" s="85">
        <v>44899</v>
      </c>
      <c r="E2013" s="31">
        <v>0</v>
      </c>
      <c r="F2013" s="31">
        <v>100000</v>
      </c>
      <c r="G2013" s="31">
        <v>0</v>
      </c>
      <c r="H2013" s="31">
        <v>0</v>
      </c>
      <c r="I2013" s="31" t="s">
        <v>85</v>
      </c>
      <c r="J2013" s="5" t="s">
        <v>1731</v>
      </c>
      <c r="K2013" s="8"/>
    </row>
    <row r="2014" spans="1:11" x14ac:dyDescent="0.2">
      <c r="A2014" s="8">
        <v>2013</v>
      </c>
      <c r="B2014" s="8">
        <f t="shared" si="64"/>
        <v>2022</v>
      </c>
      <c r="C2014" s="8">
        <f t="shared" si="65"/>
        <v>12</v>
      </c>
      <c r="D2014" s="85">
        <v>44899</v>
      </c>
      <c r="E2014" s="31">
        <v>0</v>
      </c>
      <c r="F2014" s="31">
        <v>10000</v>
      </c>
      <c r="G2014" s="31">
        <v>0</v>
      </c>
      <c r="H2014" s="31">
        <v>0</v>
      </c>
      <c r="I2014" s="31" t="s">
        <v>88</v>
      </c>
      <c r="J2014" s="5" t="s">
        <v>729</v>
      </c>
      <c r="K2014" s="8"/>
    </row>
    <row r="2015" spans="1:11" x14ac:dyDescent="0.2">
      <c r="A2015" s="8">
        <v>2014</v>
      </c>
      <c r="B2015" s="8">
        <f t="shared" si="64"/>
        <v>2022</v>
      </c>
      <c r="C2015" s="8">
        <f t="shared" si="65"/>
        <v>12</v>
      </c>
      <c r="D2015" s="85">
        <v>44900</v>
      </c>
      <c r="E2015" s="31">
        <v>0</v>
      </c>
      <c r="F2015" s="31">
        <v>14000</v>
      </c>
      <c r="G2015" s="31">
        <v>0</v>
      </c>
      <c r="H2015" s="31">
        <v>0</v>
      </c>
      <c r="I2015" s="31" t="s">
        <v>88</v>
      </c>
      <c r="J2015" s="5" t="s">
        <v>729</v>
      </c>
      <c r="K2015" s="8"/>
    </row>
    <row r="2016" spans="1:11" x14ac:dyDescent="0.2">
      <c r="A2016" s="8">
        <v>2015</v>
      </c>
      <c r="B2016" s="8">
        <f t="shared" si="64"/>
        <v>2022</v>
      </c>
      <c r="C2016" s="8">
        <f t="shared" si="65"/>
        <v>12</v>
      </c>
      <c r="D2016" s="85">
        <v>44900</v>
      </c>
      <c r="E2016" s="31">
        <v>0</v>
      </c>
      <c r="F2016" s="31">
        <v>22000</v>
      </c>
      <c r="G2016" s="31">
        <v>0</v>
      </c>
      <c r="H2016" s="31">
        <v>0</v>
      </c>
      <c r="I2016" s="31" t="s">
        <v>88</v>
      </c>
      <c r="J2016" s="5" t="s">
        <v>858</v>
      </c>
      <c r="K2016" s="8"/>
    </row>
    <row r="2017" spans="1:11" x14ac:dyDescent="0.2">
      <c r="A2017" s="8">
        <v>2016</v>
      </c>
      <c r="B2017" s="8">
        <f t="shared" si="64"/>
        <v>2022</v>
      </c>
      <c r="C2017" s="8">
        <f t="shared" si="65"/>
        <v>12</v>
      </c>
      <c r="D2017" s="85">
        <v>44900</v>
      </c>
      <c r="E2017" s="31">
        <v>0</v>
      </c>
      <c r="F2017" s="31">
        <v>500000</v>
      </c>
      <c r="G2017" s="31">
        <v>0</v>
      </c>
      <c r="H2017" s="31">
        <v>0</v>
      </c>
      <c r="I2017" s="31" t="s">
        <v>1699</v>
      </c>
      <c r="J2017" s="5" t="s">
        <v>1685</v>
      </c>
      <c r="K2017" s="8"/>
    </row>
    <row r="2018" spans="1:11" x14ac:dyDescent="0.2">
      <c r="A2018" s="8">
        <v>2017</v>
      </c>
      <c r="B2018" s="8">
        <f t="shared" si="64"/>
        <v>2022</v>
      </c>
      <c r="C2018" s="8">
        <f t="shared" si="65"/>
        <v>12</v>
      </c>
      <c r="D2018" s="85">
        <v>44902</v>
      </c>
      <c r="E2018" s="31">
        <v>6287000</v>
      </c>
      <c r="F2018" s="31">
        <v>0</v>
      </c>
      <c r="G2018" s="31">
        <v>0</v>
      </c>
      <c r="H2018" s="31">
        <v>0</v>
      </c>
      <c r="I2018" s="31" t="s">
        <v>109</v>
      </c>
      <c r="J2018" s="5" t="s">
        <v>1732</v>
      </c>
      <c r="K2018" s="8"/>
    </row>
    <row r="2019" spans="1:11" x14ac:dyDescent="0.2">
      <c r="A2019" s="8">
        <v>2018</v>
      </c>
      <c r="B2019" s="8">
        <f t="shared" si="64"/>
        <v>2022</v>
      </c>
      <c r="C2019" s="8">
        <f t="shared" si="65"/>
        <v>12</v>
      </c>
      <c r="D2019" s="85">
        <v>44903</v>
      </c>
      <c r="E2019" s="31">
        <v>0</v>
      </c>
      <c r="F2019" s="31">
        <v>50000</v>
      </c>
      <c r="G2019" s="31">
        <v>0</v>
      </c>
      <c r="H2019" s="31">
        <v>0</v>
      </c>
      <c r="I2019" s="31" t="s">
        <v>85</v>
      </c>
      <c r="J2019" s="5" t="s">
        <v>1733</v>
      </c>
      <c r="K2019" s="8"/>
    </row>
    <row r="2020" spans="1:11" x14ac:dyDescent="0.2">
      <c r="A2020" s="8">
        <v>2019</v>
      </c>
      <c r="B2020" s="8">
        <f t="shared" si="64"/>
        <v>2022</v>
      </c>
      <c r="C2020" s="8">
        <f t="shared" si="65"/>
        <v>12</v>
      </c>
      <c r="D2020" s="85">
        <v>44904</v>
      </c>
      <c r="E2020" s="31">
        <v>0</v>
      </c>
      <c r="F2020" s="31">
        <v>70000</v>
      </c>
      <c r="G2020" s="31">
        <v>0</v>
      </c>
      <c r="H2020" s="31">
        <v>0</v>
      </c>
      <c r="I2020" s="31" t="s">
        <v>85</v>
      </c>
      <c r="J2020" s="5" t="s">
        <v>1734</v>
      </c>
      <c r="K2020" s="8"/>
    </row>
    <row r="2021" spans="1:11" x14ac:dyDescent="0.2">
      <c r="A2021" s="8">
        <v>2020</v>
      </c>
      <c r="B2021" s="8">
        <f t="shared" si="64"/>
        <v>2022</v>
      </c>
      <c r="C2021" s="8">
        <f t="shared" si="65"/>
        <v>12</v>
      </c>
      <c r="D2021" s="85">
        <v>44904</v>
      </c>
      <c r="E2021" s="31">
        <v>0</v>
      </c>
      <c r="F2021" s="31">
        <v>150000</v>
      </c>
      <c r="G2021" s="31">
        <v>0</v>
      </c>
      <c r="H2021" s="31">
        <v>0</v>
      </c>
      <c r="I2021" s="31" t="s">
        <v>390</v>
      </c>
      <c r="J2021" s="5" t="s">
        <v>1735</v>
      </c>
      <c r="K2021" s="8"/>
    </row>
    <row r="2022" spans="1:11" x14ac:dyDescent="0.2">
      <c r="A2022" s="8">
        <v>2021</v>
      </c>
      <c r="B2022" s="8">
        <f t="shared" si="64"/>
        <v>2022</v>
      </c>
      <c r="C2022" s="8">
        <f t="shared" si="65"/>
        <v>12</v>
      </c>
      <c r="D2022" s="85">
        <v>44905</v>
      </c>
      <c r="E2022" s="31">
        <v>0</v>
      </c>
      <c r="F2022" s="31">
        <v>15000</v>
      </c>
      <c r="G2022" s="31">
        <v>0</v>
      </c>
      <c r="H2022" s="31">
        <v>0</v>
      </c>
      <c r="I2022" s="31" t="s">
        <v>88</v>
      </c>
      <c r="J2022" s="5" t="s">
        <v>89</v>
      </c>
      <c r="K2022" s="8"/>
    </row>
    <row r="2023" spans="1:11" x14ac:dyDescent="0.2">
      <c r="A2023" s="8">
        <v>2022</v>
      </c>
      <c r="B2023" s="8">
        <f t="shared" si="64"/>
        <v>2022</v>
      </c>
      <c r="C2023" s="8">
        <f t="shared" si="65"/>
        <v>12</v>
      </c>
      <c r="D2023" s="85">
        <v>44905</v>
      </c>
      <c r="E2023" s="31">
        <v>0</v>
      </c>
      <c r="F2023" s="31">
        <v>65000</v>
      </c>
      <c r="G2023" s="31">
        <v>0</v>
      </c>
      <c r="H2023" s="31">
        <v>0</v>
      </c>
      <c r="I2023" s="31" t="s">
        <v>85</v>
      </c>
      <c r="J2023" s="5" t="s">
        <v>1736</v>
      </c>
      <c r="K2023" s="8"/>
    </row>
    <row r="2024" spans="1:11" x14ac:dyDescent="0.2">
      <c r="A2024" s="8">
        <v>2023</v>
      </c>
      <c r="B2024" s="8">
        <f t="shared" si="64"/>
        <v>2022</v>
      </c>
      <c r="C2024" s="8">
        <f t="shared" si="65"/>
        <v>12</v>
      </c>
      <c r="D2024" s="85">
        <v>44905</v>
      </c>
      <c r="E2024" s="31">
        <v>0</v>
      </c>
      <c r="F2024" s="31">
        <v>50000</v>
      </c>
      <c r="G2024" s="31">
        <v>0</v>
      </c>
      <c r="H2024" s="31">
        <v>0</v>
      </c>
      <c r="I2024" s="31" t="s">
        <v>85</v>
      </c>
      <c r="J2024" s="5" t="s">
        <v>1737</v>
      </c>
      <c r="K2024" s="8"/>
    </row>
    <row r="2025" spans="1:11" x14ac:dyDescent="0.2">
      <c r="A2025" s="8">
        <v>2024</v>
      </c>
      <c r="B2025" s="8">
        <f t="shared" si="64"/>
        <v>2022</v>
      </c>
      <c r="C2025" s="8">
        <f t="shared" si="65"/>
        <v>12</v>
      </c>
      <c r="D2025" s="85">
        <v>44905</v>
      </c>
      <c r="E2025" s="31">
        <v>0</v>
      </c>
      <c r="F2025" s="31">
        <v>50000</v>
      </c>
      <c r="G2025" s="31">
        <v>0</v>
      </c>
      <c r="H2025" s="31">
        <v>0</v>
      </c>
      <c r="I2025" s="31" t="s">
        <v>85</v>
      </c>
      <c r="J2025" s="5" t="s">
        <v>1738</v>
      </c>
      <c r="K2025" s="8"/>
    </row>
    <row r="2026" spans="1:11" x14ac:dyDescent="0.2">
      <c r="A2026" s="8">
        <v>2025</v>
      </c>
      <c r="B2026" s="8">
        <f t="shared" si="64"/>
        <v>2022</v>
      </c>
      <c r="C2026" s="8">
        <f t="shared" si="65"/>
        <v>12</v>
      </c>
      <c r="D2026" s="85">
        <v>44906</v>
      </c>
      <c r="E2026" s="31">
        <v>0</v>
      </c>
      <c r="F2026" s="31">
        <v>20000</v>
      </c>
      <c r="G2026" s="31">
        <v>0</v>
      </c>
      <c r="H2026" s="31">
        <v>0</v>
      </c>
      <c r="I2026" s="31" t="s">
        <v>439</v>
      </c>
      <c r="J2026" s="5" t="s">
        <v>1739</v>
      </c>
      <c r="K2026" s="8"/>
    </row>
    <row r="2027" spans="1:11" x14ac:dyDescent="0.2">
      <c r="A2027" s="8">
        <v>2026</v>
      </c>
      <c r="B2027" s="8">
        <f t="shared" si="64"/>
        <v>2022</v>
      </c>
      <c r="C2027" s="8">
        <f t="shared" si="65"/>
        <v>12</v>
      </c>
      <c r="D2027" s="85">
        <v>44907</v>
      </c>
      <c r="E2027" s="31">
        <v>0</v>
      </c>
      <c r="F2027" s="31">
        <v>5000</v>
      </c>
      <c r="G2027" s="31">
        <v>0</v>
      </c>
      <c r="H2027" s="31">
        <v>0</v>
      </c>
      <c r="I2027" s="31" t="s">
        <v>88</v>
      </c>
      <c r="J2027" s="5" t="s">
        <v>1740</v>
      </c>
      <c r="K2027" s="8"/>
    </row>
    <row r="2028" spans="1:11" x14ac:dyDescent="0.2">
      <c r="A2028" s="8">
        <v>2027</v>
      </c>
      <c r="B2028" s="8">
        <f t="shared" si="64"/>
        <v>2022</v>
      </c>
      <c r="C2028" s="8">
        <f t="shared" si="65"/>
        <v>12</v>
      </c>
      <c r="D2028" s="85">
        <v>44907</v>
      </c>
      <c r="E2028" s="31">
        <v>0</v>
      </c>
      <c r="F2028" s="31">
        <v>13000</v>
      </c>
      <c r="G2028" s="31">
        <v>0</v>
      </c>
      <c r="H2028" s="31">
        <v>0</v>
      </c>
      <c r="I2028" s="31" t="s">
        <v>85</v>
      </c>
      <c r="J2028" s="5" t="s">
        <v>1741</v>
      </c>
      <c r="K2028" s="8"/>
    </row>
    <row r="2029" spans="1:11" x14ac:dyDescent="0.2">
      <c r="A2029" s="8">
        <v>2028</v>
      </c>
      <c r="B2029" s="8">
        <f t="shared" si="64"/>
        <v>2022</v>
      </c>
      <c r="C2029" s="8">
        <f t="shared" si="65"/>
        <v>12</v>
      </c>
      <c r="D2029" s="85">
        <v>44907</v>
      </c>
      <c r="E2029" s="31">
        <v>0</v>
      </c>
      <c r="F2029" s="31">
        <v>120000</v>
      </c>
      <c r="G2029" s="31">
        <v>0</v>
      </c>
      <c r="H2029" s="31">
        <v>0</v>
      </c>
      <c r="I2029" s="31" t="s">
        <v>85</v>
      </c>
      <c r="J2029" s="5" t="s">
        <v>1742</v>
      </c>
      <c r="K2029" s="8"/>
    </row>
    <row r="2030" spans="1:11" x14ac:dyDescent="0.2">
      <c r="A2030" s="8">
        <v>2029</v>
      </c>
      <c r="B2030" s="8">
        <f t="shared" si="64"/>
        <v>2022</v>
      </c>
      <c r="C2030" s="8">
        <f t="shared" si="65"/>
        <v>12</v>
      </c>
      <c r="D2030" s="85">
        <v>44907</v>
      </c>
      <c r="E2030" s="31">
        <v>0</v>
      </c>
      <c r="F2030" s="31">
        <v>14000</v>
      </c>
      <c r="G2030" s="31">
        <v>0</v>
      </c>
      <c r="H2030" s="31">
        <v>0</v>
      </c>
      <c r="I2030" s="31" t="s">
        <v>85</v>
      </c>
      <c r="J2030" s="5" t="s">
        <v>244</v>
      </c>
      <c r="K2030" s="8"/>
    </row>
    <row r="2031" spans="1:11" x14ac:dyDescent="0.2">
      <c r="A2031" s="8">
        <v>2030</v>
      </c>
      <c r="B2031" s="8">
        <f t="shared" si="64"/>
        <v>2022</v>
      </c>
      <c r="C2031" s="8">
        <f t="shared" si="65"/>
        <v>12</v>
      </c>
      <c r="D2031" s="85">
        <v>44908</v>
      </c>
      <c r="E2031" s="31">
        <v>0</v>
      </c>
      <c r="F2031" s="31">
        <v>10000</v>
      </c>
      <c r="G2031" s="31">
        <v>0</v>
      </c>
      <c r="H2031" s="31">
        <v>0</v>
      </c>
      <c r="I2031" s="31" t="s">
        <v>88</v>
      </c>
      <c r="J2031" s="5" t="s">
        <v>89</v>
      </c>
      <c r="K2031" s="8"/>
    </row>
    <row r="2032" spans="1:11" x14ac:dyDescent="0.2">
      <c r="A2032" s="8">
        <v>2031</v>
      </c>
      <c r="B2032" s="8">
        <f t="shared" si="64"/>
        <v>2022</v>
      </c>
      <c r="C2032" s="8">
        <f t="shared" si="65"/>
        <v>12</v>
      </c>
      <c r="D2032" s="85">
        <v>44908</v>
      </c>
      <c r="E2032" s="31">
        <v>0</v>
      </c>
      <c r="F2032" s="31">
        <v>20000</v>
      </c>
      <c r="G2032" s="31">
        <v>0</v>
      </c>
      <c r="H2032" s="31">
        <v>0</v>
      </c>
      <c r="I2032" s="31" t="s">
        <v>88</v>
      </c>
      <c r="J2032" s="5" t="s">
        <v>356</v>
      </c>
      <c r="K2032" s="8"/>
    </row>
    <row r="2033" spans="1:11" x14ac:dyDescent="0.2">
      <c r="A2033" s="8">
        <v>2032</v>
      </c>
      <c r="B2033" s="8">
        <f t="shared" si="64"/>
        <v>2022</v>
      </c>
      <c r="C2033" s="8">
        <f t="shared" si="65"/>
        <v>12</v>
      </c>
      <c r="D2033" s="85">
        <v>44908</v>
      </c>
      <c r="E2033" s="31">
        <v>0</v>
      </c>
      <c r="F2033" s="31">
        <v>200000</v>
      </c>
      <c r="G2033" s="31">
        <v>0</v>
      </c>
      <c r="H2033" s="31">
        <v>0</v>
      </c>
      <c r="I2033" s="31" t="s">
        <v>85</v>
      </c>
      <c r="J2033" s="5" t="s">
        <v>1743</v>
      </c>
      <c r="K2033" s="8"/>
    </row>
    <row r="2034" spans="1:11" x14ac:dyDescent="0.2">
      <c r="A2034" s="8">
        <v>2033</v>
      </c>
      <c r="B2034" s="8">
        <f t="shared" si="64"/>
        <v>2022</v>
      </c>
      <c r="C2034" s="8">
        <f t="shared" si="65"/>
        <v>12</v>
      </c>
      <c r="D2034" s="85">
        <v>44908</v>
      </c>
      <c r="E2034" s="31">
        <v>0</v>
      </c>
      <c r="F2034" s="31">
        <v>300000</v>
      </c>
      <c r="G2034" s="31">
        <v>0</v>
      </c>
      <c r="H2034" s="31">
        <v>0</v>
      </c>
      <c r="I2034" s="31" t="s">
        <v>85</v>
      </c>
      <c r="J2034" s="5" t="s">
        <v>1744</v>
      </c>
      <c r="K2034" s="8"/>
    </row>
    <row r="2035" spans="1:11" x14ac:dyDescent="0.2">
      <c r="A2035" s="8">
        <v>2034</v>
      </c>
      <c r="B2035" s="8">
        <f t="shared" si="64"/>
        <v>2022</v>
      </c>
      <c r="C2035" s="8">
        <f t="shared" si="65"/>
        <v>12</v>
      </c>
      <c r="D2035" s="85">
        <v>44908</v>
      </c>
      <c r="E2035" s="31">
        <v>0</v>
      </c>
      <c r="F2035" s="31">
        <v>20000</v>
      </c>
      <c r="G2035" s="31">
        <v>0</v>
      </c>
      <c r="H2035" s="31">
        <v>0</v>
      </c>
      <c r="I2035" s="31" t="s">
        <v>85</v>
      </c>
      <c r="J2035" s="5" t="s">
        <v>1745</v>
      </c>
      <c r="K2035" s="8"/>
    </row>
    <row r="2036" spans="1:11" x14ac:dyDescent="0.2">
      <c r="A2036" s="8">
        <v>2035</v>
      </c>
      <c r="B2036" s="8">
        <f t="shared" si="64"/>
        <v>2022</v>
      </c>
      <c r="C2036" s="8">
        <f t="shared" si="65"/>
        <v>12</v>
      </c>
      <c r="D2036" s="85">
        <v>44908</v>
      </c>
      <c r="E2036" s="31">
        <v>0</v>
      </c>
      <c r="F2036" s="31">
        <v>30000</v>
      </c>
      <c r="G2036" s="31">
        <v>0</v>
      </c>
      <c r="H2036" s="31">
        <v>0</v>
      </c>
      <c r="I2036" s="31" t="s">
        <v>85</v>
      </c>
      <c r="J2036" s="5" t="s">
        <v>1746</v>
      </c>
      <c r="K2036" s="8"/>
    </row>
    <row r="2037" spans="1:11" x14ac:dyDescent="0.2">
      <c r="A2037" s="8">
        <v>2036</v>
      </c>
      <c r="B2037" s="8">
        <f t="shared" si="64"/>
        <v>2022</v>
      </c>
      <c r="C2037" s="8">
        <f t="shared" si="65"/>
        <v>12</v>
      </c>
      <c r="D2037" s="85">
        <v>44909</v>
      </c>
      <c r="E2037" s="31">
        <v>3300000</v>
      </c>
      <c r="F2037" s="31">
        <v>0</v>
      </c>
      <c r="G2037" s="31">
        <v>0</v>
      </c>
      <c r="H2037" s="31">
        <v>0</v>
      </c>
      <c r="I2037" s="31" t="s">
        <v>109</v>
      </c>
      <c r="J2037" s="5" t="s">
        <v>1747</v>
      </c>
      <c r="K2037" s="8"/>
    </row>
    <row r="2038" spans="1:11" x14ac:dyDescent="0.2">
      <c r="A2038" s="8">
        <v>2037</v>
      </c>
      <c r="B2038" s="8">
        <f t="shared" si="64"/>
        <v>2022</v>
      </c>
      <c r="C2038" s="8">
        <f t="shared" si="65"/>
        <v>12</v>
      </c>
      <c r="D2038" s="85">
        <v>44910</v>
      </c>
      <c r="E2038" s="31">
        <v>450000</v>
      </c>
      <c r="F2038" s="31">
        <v>0</v>
      </c>
      <c r="G2038" s="31">
        <v>0</v>
      </c>
      <c r="H2038" s="31">
        <v>0</v>
      </c>
      <c r="I2038" s="31" t="s">
        <v>109</v>
      </c>
      <c r="J2038" s="5" t="s">
        <v>1747</v>
      </c>
      <c r="K2038" s="8"/>
    </row>
    <row r="2039" spans="1:11" x14ac:dyDescent="0.2">
      <c r="A2039" s="8">
        <v>2038</v>
      </c>
      <c r="B2039" s="8">
        <f t="shared" si="64"/>
        <v>2022</v>
      </c>
      <c r="C2039" s="8">
        <f t="shared" si="65"/>
        <v>12</v>
      </c>
      <c r="D2039" s="85">
        <v>44909</v>
      </c>
      <c r="E2039" s="31">
        <v>0</v>
      </c>
      <c r="F2039" s="31">
        <v>5000</v>
      </c>
      <c r="G2039" s="31">
        <v>0</v>
      </c>
      <c r="H2039" s="31">
        <v>0</v>
      </c>
      <c r="I2039" s="31" t="s">
        <v>85</v>
      </c>
      <c r="J2039" s="5" t="s">
        <v>794</v>
      </c>
      <c r="K2039" s="8"/>
    </row>
    <row r="2040" spans="1:11" x14ac:dyDescent="0.2">
      <c r="A2040" s="8">
        <v>2039</v>
      </c>
      <c r="B2040" s="8">
        <f t="shared" si="64"/>
        <v>2022</v>
      </c>
      <c r="C2040" s="8">
        <f t="shared" si="65"/>
        <v>12</v>
      </c>
      <c r="D2040" s="85">
        <v>44909</v>
      </c>
      <c r="E2040" s="31">
        <v>0</v>
      </c>
      <c r="F2040" s="31">
        <v>220000</v>
      </c>
      <c r="G2040" s="31">
        <v>0</v>
      </c>
      <c r="H2040" s="31">
        <v>0</v>
      </c>
      <c r="I2040" s="31" t="s">
        <v>85</v>
      </c>
      <c r="J2040" s="5" t="s">
        <v>1748</v>
      </c>
      <c r="K2040" s="8"/>
    </row>
    <row r="2041" spans="1:11" x14ac:dyDescent="0.2">
      <c r="A2041" s="8">
        <v>2040</v>
      </c>
      <c r="B2041" s="8">
        <f t="shared" si="64"/>
        <v>2022</v>
      </c>
      <c r="C2041" s="8">
        <f t="shared" si="65"/>
        <v>12</v>
      </c>
      <c r="D2041" s="85">
        <v>44909</v>
      </c>
      <c r="E2041" s="31">
        <v>0</v>
      </c>
      <c r="F2041" s="31">
        <v>90000</v>
      </c>
      <c r="G2041" s="31">
        <v>0</v>
      </c>
      <c r="H2041" s="31">
        <v>0</v>
      </c>
      <c r="I2041" s="31" t="s">
        <v>85</v>
      </c>
      <c r="J2041" s="5" t="s">
        <v>1749</v>
      </c>
      <c r="K2041" s="8"/>
    </row>
    <row r="2042" spans="1:11" x14ac:dyDescent="0.2">
      <c r="A2042" s="8">
        <v>2041</v>
      </c>
      <c r="B2042" s="8">
        <f t="shared" si="64"/>
        <v>2022</v>
      </c>
      <c r="C2042" s="8">
        <f t="shared" si="65"/>
        <v>12</v>
      </c>
      <c r="D2042" s="85">
        <v>44909</v>
      </c>
      <c r="E2042" s="31">
        <v>0</v>
      </c>
      <c r="F2042" s="31">
        <v>20000</v>
      </c>
      <c r="G2042" s="31">
        <v>0</v>
      </c>
      <c r="H2042" s="31">
        <v>0</v>
      </c>
      <c r="I2042" s="31" t="s">
        <v>88</v>
      </c>
      <c r="J2042" s="5" t="s">
        <v>356</v>
      </c>
      <c r="K2042" s="8"/>
    </row>
    <row r="2043" spans="1:11" x14ac:dyDescent="0.2">
      <c r="A2043" s="8">
        <v>2042</v>
      </c>
      <c r="B2043" s="8">
        <f t="shared" si="64"/>
        <v>2022</v>
      </c>
      <c r="C2043" s="8">
        <f t="shared" si="65"/>
        <v>12</v>
      </c>
      <c r="D2043" s="85">
        <v>44909</v>
      </c>
      <c r="E2043" s="31">
        <v>0</v>
      </c>
      <c r="F2043" s="31">
        <v>50000</v>
      </c>
      <c r="G2043" s="31">
        <v>0</v>
      </c>
      <c r="H2043" s="31">
        <v>0</v>
      </c>
      <c r="I2043" s="31" t="s">
        <v>85</v>
      </c>
      <c r="J2043" s="5" t="s">
        <v>1750</v>
      </c>
      <c r="K2043" s="8"/>
    </row>
    <row r="2044" spans="1:11" x14ac:dyDescent="0.2">
      <c r="A2044" s="8">
        <v>2043</v>
      </c>
      <c r="B2044" s="8">
        <f t="shared" si="64"/>
        <v>2022</v>
      </c>
      <c r="C2044" s="8">
        <f t="shared" si="65"/>
        <v>12</v>
      </c>
      <c r="D2044" s="85">
        <v>44909</v>
      </c>
      <c r="E2044" s="31">
        <v>0</v>
      </c>
      <c r="F2044" s="31">
        <v>50000</v>
      </c>
      <c r="G2044" s="31">
        <v>0</v>
      </c>
      <c r="H2044" s="31">
        <v>0</v>
      </c>
      <c r="I2044" s="31" t="s">
        <v>299</v>
      </c>
      <c r="J2044" s="5" t="s">
        <v>985</v>
      </c>
      <c r="K2044" s="8"/>
    </row>
    <row r="2045" spans="1:11" x14ac:dyDescent="0.2">
      <c r="A2045" s="8">
        <v>2044</v>
      </c>
      <c r="B2045" s="8">
        <f t="shared" si="64"/>
        <v>2022</v>
      </c>
      <c r="C2045" s="8">
        <f t="shared" si="65"/>
        <v>12</v>
      </c>
      <c r="D2045" s="85">
        <v>44909</v>
      </c>
      <c r="E2045" s="31">
        <v>0</v>
      </c>
      <c r="F2045" s="31">
        <v>38000</v>
      </c>
      <c r="G2045" s="31">
        <v>0</v>
      </c>
      <c r="H2045" s="31">
        <v>0</v>
      </c>
      <c r="I2045" s="31" t="s">
        <v>85</v>
      </c>
      <c r="J2045" s="5" t="s">
        <v>1751</v>
      </c>
      <c r="K2045" s="8"/>
    </row>
    <row r="2046" spans="1:11" x14ac:dyDescent="0.2">
      <c r="A2046" s="8">
        <v>2045</v>
      </c>
      <c r="B2046" s="8">
        <f t="shared" si="64"/>
        <v>2022</v>
      </c>
      <c r="C2046" s="8">
        <f t="shared" si="65"/>
        <v>12</v>
      </c>
      <c r="D2046" s="85">
        <v>44910</v>
      </c>
      <c r="E2046" s="31">
        <v>0</v>
      </c>
      <c r="F2046" s="31">
        <v>72000</v>
      </c>
      <c r="G2046" s="31">
        <v>0</v>
      </c>
      <c r="H2046" s="31">
        <v>0</v>
      </c>
      <c r="I2046" s="31" t="s">
        <v>85</v>
      </c>
      <c r="J2046" s="5" t="s">
        <v>1752</v>
      </c>
      <c r="K2046" s="8"/>
    </row>
    <row r="2047" spans="1:11" x14ac:dyDescent="0.2">
      <c r="A2047" s="8">
        <v>2046</v>
      </c>
      <c r="B2047" s="8">
        <f t="shared" si="64"/>
        <v>2022</v>
      </c>
      <c r="C2047" s="8">
        <f t="shared" si="65"/>
        <v>12</v>
      </c>
      <c r="D2047" s="85">
        <v>44910</v>
      </c>
      <c r="E2047" s="31">
        <v>0</v>
      </c>
      <c r="F2047" s="31">
        <v>130000</v>
      </c>
      <c r="G2047" s="31">
        <v>0</v>
      </c>
      <c r="H2047" s="31">
        <v>0</v>
      </c>
      <c r="I2047" s="31" t="s">
        <v>85</v>
      </c>
      <c r="J2047" s="5" t="s">
        <v>1579</v>
      </c>
      <c r="K2047" s="8"/>
    </row>
    <row r="2048" spans="1:11" x14ac:dyDescent="0.2">
      <c r="A2048" s="8">
        <v>2047</v>
      </c>
      <c r="B2048" s="8">
        <f t="shared" si="64"/>
        <v>2022</v>
      </c>
      <c r="C2048" s="8">
        <f t="shared" si="65"/>
        <v>12</v>
      </c>
      <c r="D2048" s="85">
        <v>44910</v>
      </c>
      <c r="E2048" s="31">
        <v>0</v>
      </c>
      <c r="F2048" s="31">
        <v>300000</v>
      </c>
      <c r="G2048" s="31">
        <v>0</v>
      </c>
      <c r="H2048" s="31">
        <v>0</v>
      </c>
      <c r="I2048" s="31" t="s">
        <v>88</v>
      </c>
      <c r="J2048" s="5" t="s">
        <v>192</v>
      </c>
      <c r="K2048" s="8"/>
    </row>
    <row r="2049" spans="1:11" x14ac:dyDescent="0.2">
      <c r="A2049" s="8">
        <v>2048</v>
      </c>
      <c r="B2049" s="8">
        <f t="shared" si="64"/>
        <v>2022</v>
      </c>
      <c r="C2049" s="8">
        <f t="shared" si="65"/>
        <v>12</v>
      </c>
      <c r="D2049" s="85">
        <v>44910</v>
      </c>
      <c r="E2049" s="31">
        <v>0</v>
      </c>
      <c r="F2049" s="31">
        <v>20000</v>
      </c>
      <c r="G2049" s="31">
        <v>0</v>
      </c>
      <c r="H2049" s="31">
        <v>0</v>
      </c>
      <c r="I2049" s="31" t="s">
        <v>88</v>
      </c>
      <c r="J2049" s="5" t="s">
        <v>91</v>
      </c>
      <c r="K2049" s="8"/>
    </row>
    <row r="2050" spans="1:11" x14ac:dyDescent="0.2">
      <c r="A2050" s="8">
        <v>2049</v>
      </c>
      <c r="B2050" s="8">
        <f t="shared" si="64"/>
        <v>2022</v>
      </c>
      <c r="C2050" s="8">
        <f t="shared" si="65"/>
        <v>12</v>
      </c>
      <c r="D2050" s="85">
        <v>44910</v>
      </c>
      <c r="E2050" s="31">
        <v>1000000</v>
      </c>
      <c r="F2050" s="31">
        <v>0</v>
      </c>
      <c r="G2050" s="31">
        <v>0</v>
      </c>
      <c r="H2050" s="31">
        <v>0</v>
      </c>
      <c r="I2050" s="31" t="s">
        <v>109</v>
      </c>
      <c r="J2050" s="5" t="s">
        <v>1753</v>
      </c>
      <c r="K2050" s="8"/>
    </row>
    <row r="2051" spans="1:11" x14ac:dyDescent="0.2">
      <c r="A2051" s="8">
        <v>2050</v>
      </c>
      <c r="B2051" s="8">
        <f t="shared" si="64"/>
        <v>2022</v>
      </c>
      <c r="C2051" s="8">
        <f t="shared" si="65"/>
        <v>12</v>
      </c>
      <c r="D2051" s="85">
        <v>44911</v>
      </c>
      <c r="E2051" s="31">
        <v>0</v>
      </c>
      <c r="F2051" s="31">
        <v>500000</v>
      </c>
      <c r="G2051" s="31">
        <v>0</v>
      </c>
      <c r="H2051" s="31">
        <v>0</v>
      </c>
      <c r="I2051" s="31" t="s">
        <v>85</v>
      </c>
      <c r="J2051" s="5" t="s">
        <v>1754</v>
      </c>
      <c r="K2051" s="8"/>
    </row>
    <row r="2052" spans="1:11" x14ac:dyDescent="0.2">
      <c r="A2052" s="8">
        <v>2051</v>
      </c>
      <c r="B2052" s="8">
        <f t="shared" si="64"/>
        <v>2022</v>
      </c>
      <c r="C2052" s="8">
        <f t="shared" si="65"/>
        <v>12</v>
      </c>
      <c r="D2052" s="85">
        <v>44911</v>
      </c>
      <c r="E2052" s="31">
        <v>0</v>
      </c>
      <c r="F2052" s="31">
        <v>90000</v>
      </c>
      <c r="G2052" s="31">
        <v>0</v>
      </c>
      <c r="H2052" s="31">
        <v>0</v>
      </c>
      <c r="I2052" s="31" t="s">
        <v>299</v>
      </c>
      <c r="J2052" s="5" t="s">
        <v>299</v>
      </c>
      <c r="K2052" s="8"/>
    </row>
    <row r="2053" spans="1:11" x14ac:dyDescent="0.2">
      <c r="A2053" s="8">
        <v>2052</v>
      </c>
      <c r="B2053" s="8">
        <f t="shared" si="64"/>
        <v>2022</v>
      </c>
      <c r="C2053" s="8">
        <f t="shared" si="65"/>
        <v>12</v>
      </c>
      <c r="D2053" s="85">
        <v>44911</v>
      </c>
      <c r="E2053" s="31">
        <v>0</v>
      </c>
      <c r="F2053" s="31">
        <v>20000</v>
      </c>
      <c r="G2053" s="31">
        <v>0</v>
      </c>
      <c r="H2053" s="31">
        <v>0</v>
      </c>
      <c r="I2053" s="31" t="s">
        <v>85</v>
      </c>
      <c r="J2053" s="5" t="s">
        <v>300</v>
      </c>
      <c r="K2053" s="8"/>
    </row>
    <row r="2054" spans="1:11" x14ac:dyDescent="0.2">
      <c r="A2054" s="8">
        <v>2053</v>
      </c>
      <c r="B2054" s="8">
        <f t="shared" ref="B2054:B2117" si="66">YEAR(D2054)</f>
        <v>2022</v>
      </c>
      <c r="C2054" s="8">
        <f t="shared" ref="C2054:C2117" si="67">MONTH(D2054)</f>
        <v>12</v>
      </c>
      <c r="D2054" s="85">
        <v>44912</v>
      </c>
      <c r="E2054" s="31">
        <v>0</v>
      </c>
      <c r="F2054" s="31">
        <v>675000</v>
      </c>
      <c r="G2054" s="31">
        <v>0</v>
      </c>
      <c r="H2054" s="31">
        <v>0</v>
      </c>
      <c r="I2054" s="31" t="s">
        <v>85</v>
      </c>
      <c r="J2054" s="5" t="s">
        <v>1251</v>
      </c>
      <c r="K2054" s="8"/>
    </row>
    <row r="2055" spans="1:11" x14ac:dyDescent="0.2">
      <c r="A2055" s="8">
        <v>2054</v>
      </c>
      <c r="B2055" s="8">
        <f t="shared" si="66"/>
        <v>2022</v>
      </c>
      <c r="C2055" s="8">
        <f t="shared" si="67"/>
        <v>12</v>
      </c>
      <c r="D2055" s="85">
        <v>44912</v>
      </c>
      <c r="E2055" s="31">
        <v>0</v>
      </c>
      <c r="F2055" s="31">
        <v>200000</v>
      </c>
      <c r="G2055" s="31">
        <v>0</v>
      </c>
      <c r="H2055" s="31">
        <v>0</v>
      </c>
      <c r="I2055" s="31" t="s">
        <v>85</v>
      </c>
      <c r="J2055" s="5" t="s">
        <v>1755</v>
      </c>
      <c r="K2055" s="8"/>
    </row>
    <row r="2056" spans="1:11" x14ac:dyDescent="0.2">
      <c r="A2056" s="8">
        <v>2055</v>
      </c>
      <c r="B2056" s="8">
        <f t="shared" si="66"/>
        <v>2022</v>
      </c>
      <c r="C2056" s="8">
        <f t="shared" si="67"/>
        <v>12</v>
      </c>
      <c r="D2056" s="85">
        <v>44913</v>
      </c>
      <c r="E2056" s="31">
        <v>0</v>
      </c>
      <c r="F2056" s="31">
        <v>30000</v>
      </c>
      <c r="G2056" s="31">
        <v>0</v>
      </c>
      <c r="H2056" s="31">
        <v>0</v>
      </c>
      <c r="I2056" s="31" t="s">
        <v>85</v>
      </c>
      <c r="J2056" s="5" t="s">
        <v>287</v>
      </c>
      <c r="K2056" s="8"/>
    </row>
    <row r="2057" spans="1:11" x14ac:dyDescent="0.2">
      <c r="A2057" s="8">
        <v>2056</v>
      </c>
      <c r="B2057" s="8">
        <f t="shared" si="66"/>
        <v>2022</v>
      </c>
      <c r="C2057" s="8">
        <f t="shared" si="67"/>
        <v>12</v>
      </c>
      <c r="D2057" s="85">
        <v>44913</v>
      </c>
      <c r="E2057" s="31">
        <v>0</v>
      </c>
      <c r="F2057" s="31">
        <v>500000</v>
      </c>
      <c r="G2057" s="31">
        <v>0</v>
      </c>
      <c r="H2057" s="31">
        <v>0</v>
      </c>
      <c r="I2057" s="31" t="s">
        <v>85</v>
      </c>
      <c r="J2057" s="5" t="s">
        <v>1756</v>
      </c>
      <c r="K2057" s="8"/>
    </row>
    <row r="2058" spans="1:11" x14ac:dyDescent="0.2">
      <c r="A2058" s="8">
        <v>2057</v>
      </c>
      <c r="B2058" s="8">
        <f t="shared" si="66"/>
        <v>2022</v>
      </c>
      <c r="C2058" s="8">
        <f t="shared" si="67"/>
        <v>12</v>
      </c>
      <c r="D2058" s="85">
        <v>44913</v>
      </c>
      <c r="E2058" s="31">
        <v>0</v>
      </c>
      <c r="F2058" s="31">
        <v>600000</v>
      </c>
      <c r="G2058" s="31">
        <v>0</v>
      </c>
      <c r="H2058" s="31">
        <v>0</v>
      </c>
      <c r="I2058" s="31" t="s">
        <v>201</v>
      </c>
      <c r="J2058" s="5" t="s">
        <v>316</v>
      </c>
      <c r="K2058" s="8"/>
    </row>
    <row r="2059" spans="1:11" x14ac:dyDescent="0.2">
      <c r="A2059" s="8">
        <v>2058</v>
      </c>
      <c r="B2059" s="8">
        <f t="shared" si="66"/>
        <v>2022</v>
      </c>
      <c r="C2059" s="8">
        <f t="shared" si="67"/>
        <v>12</v>
      </c>
      <c r="D2059" s="85">
        <v>44913</v>
      </c>
      <c r="E2059" s="31">
        <v>0</v>
      </c>
      <c r="F2059" s="31">
        <v>10000</v>
      </c>
      <c r="G2059" s="31">
        <v>0</v>
      </c>
      <c r="H2059" s="31">
        <v>0</v>
      </c>
      <c r="I2059" s="31" t="s">
        <v>85</v>
      </c>
      <c r="J2059" s="5" t="s">
        <v>89</v>
      </c>
      <c r="K2059" s="8"/>
    </row>
    <row r="2060" spans="1:11" x14ac:dyDescent="0.2">
      <c r="A2060" s="8">
        <v>2059</v>
      </c>
      <c r="B2060" s="8">
        <f t="shared" si="66"/>
        <v>2022</v>
      </c>
      <c r="C2060" s="8">
        <f t="shared" si="67"/>
        <v>12</v>
      </c>
      <c r="D2060" s="85">
        <v>44914</v>
      </c>
      <c r="E2060" s="31">
        <v>0</v>
      </c>
      <c r="F2060" s="31">
        <v>300000</v>
      </c>
      <c r="G2060" s="31">
        <v>0</v>
      </c>
      <c r="H2060" s="31">
        <v>0</v>
      </c>
      <c r="I2060" s="31" t="s">
        <v>85</v>
      </c>
      <c r="J2060" s="5" t="s">
        <v>1757</v>
      </c>
      <c r="K2060" s="8"/>
    </row>
    <row r="2061" spans="1:11" x14ac:dyDescent="0.2">
      <c r="A2061" s="8">
        <v>2060</v>
      </c>
      <c r="B2061" s="8">
        <f t="shared" si="66"/>
        <v>2022</v>
      </c>
      <c r="C2061" s="8">
        <f t="shared" si="67"/>
        <v>12</v>
      </c>
      <c r="D2061" s="85">
        <v>44914</v>
      </c>
      <c r="E2061" s="31">
        <v>0</v>
      </c>
      <c r="F2061" s="31">
        <v>20000</v>
      </c>
      <c r="G2061" s="31">
        <v>0</v>
      </c>
      <c r="H2061" s="31">
        <v>0</v>
      </c>
      <c r="I2061" s="31" t="s">
        <v>85</v>
      </c>
      <c r="J2061" s="5" t="s">
        <v>91</v>
      </c>
      <c r="K2061" s="8"/>
    </row>
    <row r="2062" spans="1:11" x14ac:dyDescent="0.2">
      <c r="A2062" s="8">
        <v>2061</v>
      </c>
      <c r="B2062" s="8">
        <f t="shared" si="66"/>
        <v>2022</v>
      </c>
      <c r="C2062" s="8">
        <f t="shared" si="67"/>
        <v>12</v>
      </c>
      <c r="D2062" s="85">
        <v>44915</v>
      </c>
      <c r="E2062" s="31">
        <v>0</v>
      </c>
      <c r="F2062" s="31">
        <v>20000</v>
      </c>
      <c r="G2062" s="31">
        <v>0</v>
      </c>
      <c r="H2062" s="31">
        <v>0</v>
      </c>
      <c r="I2062" s="31" t="s">
        <v>85</v>
      </c>
      <c r="J2062" s="5" t="s">
        <v>91</v>
      </c>
      <c r="K2062" s="8"/>
    </row>
    <row r="2063" spans="1:11" x14ac:dyDescent="0.2">
      <c r="A2063" s="8">
        <v>2062</v>
      </c>
      <c r="B2063" s="8">
        <f t="shared" si="66"/>
        <v>2022</v>
      </c>
      <c r="C2063" s="8">
        <f t="shared" si="67"/>
        <v>12</v>
      </c>
      <c r="D2063" s="85">
        <v>44915</v>
      </c>
      <c r="E2063" s="31">
        <v>0</v>
      </c>
      <c r="F2063" s="31">
        <v>20000</v>
      </c>
      <c r="G2063" s="31">
        <v>0</v>
      </c>
      <c r="H2063" s="31">
        <v>0</v>
      </c>
      <c r="I2063" s="31" t="s">
        <v>85</v>
      </c>
      <c r="J2063" s="5" t="s">
        <v>1758</v>
      </c>
      <c r="K2063" s="8"/>
    </row>
    <row r="2064" spans="1:11" x14ac:dyDescent="0.2">
      <c r="A2064" s="8">
        <v>2063</v>
      </c>
      <c r="B2064" s="8">
        <f t="shared" si="66"/>
        <v>2022</v>
      </c>
      <c r="C2064" s="8">
        <f t="shared" si="67"/>
        <v>12</v>
      </c>
      <c r="D2064" s="85">
        <v>44915</v>
      </c>
      <c r="E2064" s="31">
        <v>15500000</v>
      </c>
      <c r="F2064" s="31">
        <v>0</v>
      </c>
      <c r="G2064" s="31">
        <v>0</v>
      </c>
      <c r="H2064" s="31">
        <v>0</v>
      </c>
      <c r="I2064" s="31" t="s">
        <v>109</v>
      </c>
      <c r="J2064" s="5" t="s">
        <v>1759</v>
      </c>
      <c r="K2064" s="8"/>
    </row>
    <row r="2065" spans="1:11" x14ac:dyDescent="0.2">
      <c r="A2065" s="8">
        <v>2064</v>
      </c>
      <c r="B2065" s="8">
        <f t="shared" si="66"/>
        <v>2022</v>
      </c>
      <c r="C2065" s="8">
        <f t="shared" si="67"/>
        <v>12</v>
      </c>
      <c r="D2065" s="85">
        <v>44915</v>
      </c>
      <c r="E2065" s="31">
        <v>1900000</v>
      </c>
      <c r="F2065" s="31">
        <v>0</v>
      </c>
      <c r="G2065" s="31">
        <v>0</v>
      </c>
      <c r="H2065" s="31">
        <v>0</v>
      </c>
      <c r="I2065" s="31" t="s">
        <v>109</v>
      </c>
      <c r="J2065" s="5" t="s">
        <v>1760</v>
      </c>
      <c r="K2065" s="8"/>
    </row>
    <row r="2066" spans="1:11" x14ac:dyDescent="0.2">
      <c r="A2066" s="8">
        <v>2065</v>
      </c>
      <c r="B2066" s="8">
        <f t="shared" si="66"/>
        <v>2022</v>
      </c>
      <c r="C2066" s="8">
        <f t="shared" si="67"/>
        <v>12</v>
      </c>
      <c r="D2066" s="85">
        <v>44915</v>
      </c>
      <c r="E2066" s="31">
        <v>4859000</v>
      </c>
      <c r="F2066" s="31">
        <v>0</v>
      </c>
      <c r="G2066" s="31">
        <v>0</v>
      </c>
      <c r="H2066" s="31">
        <v>0</v>
      </c>
      <c r="I2066" s="31" t="s">
        <v>109</v>
      </c>
      <c r="J2066" s="5" t="s">
        <v>1761</v>
      </c>
      <c r="K2066" s="8"/>
    </row>
    <row r="2067" spans="1:11" x14ac:dyDescent="0.2">
      <c r="A2067" s="8">
        <v>2066</v>
      </c>
      <c r="B2067" s="8">
        <f t="shared" si="66"/>
        <v>2022</v>
      </c>
      <c r="C2067" s="8">
        <f t="shared" si="67"/>
        <v>12</v>
      </c>
      <c r="D2067" s="85">
        <v>44916</v>
      </c>
      <c r="E2067" s="31">
        <v>0</v>
      </c>
      <c r="F2067" s="31">
        <v>50000</v>
      </c>
      <c r="G2067" s="31">
        <v>0</v>
      </c>
      <c r="H2067" s="31">
        <v>0</v>
      </c>
      <c r="I2067" s="31" t="s">
        <v>85</v>
      </c>
      <c r="J2067" s="65" t="s">
        <v>85</v>
      </c>
      <c r="K2067" s="8"/>
    </row>
    <row r="2068" spans="1:11" x14ac:dyDescent="0.2">
      <c r="A2068" s="8">
        <v>2067</v>
      </c>
      <c r="B2068" s="8">
        <f t="shared" si="66"/>
        <v>2022</v>
      </c>
      <c r="C2068" s="8">
        <f t="shared" si="67"/>
        <v>12</v>
      </c>
      <c r="D2068" s="85">
        <v>44917</v>
      </c>
      <c r="E2068" s="31">
        <v>0</v>
      </c>
      <c r="F2068" s="31">
        <v>50000</v>
      </c>
      <c r="G2068" s="31">
        <v>0</v>
      </c>
      <c r="H2068" s="31">
        <v>0</v>
      </c>
      <c r="I2068" s="31" t="s">
        <v>85</v>
      </c>
      <c r="J2068" s="65" t="s">
        <v>85</v>
      </c>
      <c r="K2068" s="8"/>
    </row>
    <row r="2069" spans="1:11" x14ac:dyDescent="0.2">
      <c r="A2069" s="8">
        <v>2068</v>
      </c>
      <c r="B2069" s="8">
        <f t="shared" si="66"/>
        <v>2022</v>
      </c>
      <c r="C2069" s="8">
        <f t="shared" si="67"/>
        <v>12</v>
      </c>
      <c r="D2069" s="85">
        <v>44918</v>
      </c>
      <c r="E2069" s="31">
        <v>0</v>
      </c>
      <c r="F2069" s="31">
        <v>50000</v>
      </c>
      <c r="G2069" s="31">
        <v>0</v>
      </c>
      <c r="H2069" s="31">
        <v>0</v>
      </c>
      <c r="I2069" s="31" t="s">
        <v>85</v>
      </c>
      <c r="J2069" s="65" t="s">
        <v>85</v>
      </c>
      <c r="K2069" s="8"/>
    </row>
    <row r="2070" spans="1:11" x14ac:dyDescent="0.2">
      <c r="A2070" s="8">
        <v>2069</v>
      </c>
      <c r="B2070" s="8">
        <f t="shared" si="66"/>
        <v>2022</v>
      </c>
      <c r="C2070" s="8">
        <f t="shared" si="67"/>
        <v>12</v>
      </c>
      <c r="D2070" s="85">
        <v>44919</v>
      </c>
      <c r="E2070" s="31">
        <v>0</v>
      </c>
      <c r="F2070" s="31">
        <v>60000</v>
      </c>
      <c r="G2070" s="31">
        <v>0</v>
      </c>
      <c r="H2070" s="31">
        <v>0</v>
      </c>
      <c r="I2070" s="31" t="s">
        <v>85</v>
      </c>
      <c r="J2070" s="5" t="s">
        <v>1762</v>
      </c>
      <c r="K2070" s="8"/>
    </row>
    <row r="2071" spans="1:11" x14ac:dyDescent="0.2">
      <c r="A2071" s="8">
        <v>2070</v>
      </c>
      <c r="B2071" s="8">
        <f t="shared" si="66"/>
        <v>2022</v>
      </c>
      <c r="C2071" s="8">
        <f t="shared" si="67"/>
        <v>12</v>
      </c>
      <c r="D2071" s="85">
        <v>44920</v>
      </c>
      <c r="E2071" s="31">
        <v>0</v>
      </c>
      <c r="F2071" s="31">
        <v>20000</v>
      </c>
      <c r="G2071" s="31">
        <v>0</v>
      </c>
      <c r="H2071" s="31">
        <v>0</v>
      </c>
      <c r="I2071" s="31" t="s">
        <v>85</v>
      </c>
      <c r="J2071" s="5" t="s">
        <v>1763</v>
      </c>
      <c r="K2071" s="8"/>
    </row>
    <row r="2072" spans="1:11" x14ac:dyDescent="0.2">
      <c r="A2072" s="8">
        <v>2071</v>
      </c>
      <c r="B2072" s="8">
        <f t="shared" si="66"/>
        <v>2022</v>
      </c>
      <c r="C2072" s="8">
        <f t="shared" si="67"/>
        <v>12</v>
      </c>
      <c r="D2072" s="85">
        <v>44921</v>
      </c>
      <c r="E2072" s="31">
        <v>0</v>
      </c>
      <c r="F2072" s="31">
        <v>150000</v>
      </c>
      <c r="G2072" s="31">
        <v>0</v>
      </c>
      <c r="H2072" s="31">
        <v>0</v>
      </c>
      <c r="I2072" s="31" t="s">
        <v>85</v>
      </c>
      <c r="J2072" s="5" t="s">
        <v>1764</v>
      </c>
      <c r="K2072" s="8"/>
    </row>
    <row r="2073" spans="1:11" x14ac:dyDescent="0.2">
      <c r="A2073" s="8">
        <v>2072</v>
      </c>
      <c r="B2073" s="8">
        <f t="shared" si="66"/>
        <v>2022</v>
      </c>
      <c r="C2073" s="8">
        <f t="shared" si="67"/>
        <v>12</v>
      </c>
      <c r="D2073" s="85">
        <v>44921</v>
      </c>
      <c r="E2073" s="31">
        <v>0</v>
      </c>
      <c r="F2073" s="31">
        <v>72000</v>
      </c>
      <c r="G2073" s="31">
        <v>0</v>
      </c>
      <c r="H2073" s="31">
        <v>0</v>
      </c>
      <c r="I2073" s="31" t="s">
        <v>85</v>
      </c>
      <c r="J2073" s="5" t="s">
        <v>1765</v>
      </c>
      <c r="K2073" s="8"/>
    </row>
    <row r="2074" spans="1:11" x14ac:dyDescent="0.2">
      <c r="A2074" s="8">
        <v>2073</v>
      </c>
      <c r="B2074" s="8">
        <f t="shared" si="66"/>
        <v>2022</v>
      </c>
      <c r="C2074" s="8">
        <f t="shared" si="67"/>
        <v>12</v>
      </c>
      <c r="D2074" s="85">
        <v>44921</v>
      </c>
      <c r="E2074" s="31">
        <v>0</v>
      </c>
      <c r="F2074" s="31">
        <v>27000</v>
      </c>
      <c r="G2074" s="31">
        <v>0</v>
      </c>
      <c r="H2074" s="31">
        <v>0</v>
      </c>
      <c r="I2074" s="31" t="s">
        <v>85</v>
      </c>
      <c r="J2074" s="5" t="s">
        <v>1766</v>
      </c>
      <c r="K2074" s="8"/>
    </row>
    <row r="2075" spans="1:11" x14ac:dyDescent="0.2">
      <c r="A2075" s="8">
        <v>2074</v>
      </c>
      <c r="B2075" s="8">
        <f t="shared" si="66"/>
        <v>2022</v>
      </c>
      <c r="C2075" s="8">
        <f t="shared" si="67"/>
        <v>12</v>
      </c>
      <c r="D2075" s="85">
        <v>44921</v>
      </c>
      <c r="E2075" s="31">
        <v>0</v>
      </c>
      <c r="F2075" s="31">
        <v>30000</v>
      </c>
      <c r="G2075" s="31">
        <v>0</v>
      </c>
      <c r="H2075" s="31">
        <v>0</v>
      </c>
      <c r="I2075" s="31" t="s">
        <v>85</v>
      </c>
      <c r="J2075" s="5" t="s">
        <v>300</v>
      </c>
      <c r="K2075" s="8"/>
    </row>
    <row r="2076" spans="1:11" x14ac:dyDescent="0.2">
      <c r="A2076" s="8">
        <v>2075</v>
      </c>
      <c r="B2076" s="8">
        <f t="shared" si="66"/>
        <v>2022</v>
      </c>
      <c r="C2076" s="8">
        <f t="shared" si="67"/>
        <v>12</v>
      </c>
      <c r="D2076" s="85">
        <v>44922</v>
      </c>
      <c r="E2076" s="31">
        <v>0</v>
      </c>
      <c r="F2076" s="31">
        <v>123000</v>
      </c>
      <c r="G2076" s="31">
        <v>0</v>
      </c>
      <c r="H2076" s="31">
        <v>0</v>
      </c>
      <c r="I2076" s="31" t="s">
        <v>299</v>
      </c>
      <c r="J2076" s="5" t="s">
        <v>299</v>
      </c>
      <c r="K2076" s="8"/>
    </row>
    <row r="2077" spans="1:11" x14ac:dyDescent="0.2">
      <c r="A2077" s="8">
        <v>2076</v>
      </c>
      <c r="B2077" s="8">
        <f t="shared" si="66"/>
        <v>2022</v>
      </c>
      <c r="C2077" s="8">
        <f t="shared" si="67"/>
        <v>12</v>
      </c>
      <c r="D2077" s="85">
        <v>44923</v>
      </c>
      <c r="E2077" s="31">
        <v>0</v>
      </c>
      <c r="F2077" s="31">
        <v>107000</v>
      </c>
      <c r="G2077" s="31">
        <v>0</v>
      </c>
      <c r="H2077" s="31">
        <v>0</v>
      </c>
      <c r="I2077" s="31" t="s">
        <v>85</v>
      </c>
      <c r="J2077" s="5" t="s">
        <v>1767</v>
      </c>
      <c r="K2077" s="8"/>
    </row>
    <row r="2078" spans="1:11" x14ac:dyDescent="0.2">
      <c r="A2078" s="8">
        <v>2077</v>
      </c>
      <c r="B2078" s="8">
        <f t="shared" si="66"/>
        <v>2022</v>
      </c>
      <c r="C2078" s="8">
        <f t="shared" si="67"/>
        <v>12</v>
      </c>
      <c r="D2078" s="85">
        <v>44923</v>
      </c>
      <c r="E2078" s="31">
        <v>180000</v>
      </c>
      <c r="F2078" s="31">
        <v>0</v>
      </c>
      <c r="G2078" s="31">
        <v>0</v>
      </c>
      <c r="H2078" s="31">
        <v>0</v>
      </c>
      <c r="I2078" s="31" t="s">
        <v>109</v>
      </c>
      <c r="J2078" s="5" t="s">
        <v>1300</v>
      </c>
      <c r="K2078" s="8"/>
    </row>
    <row r="2079" spans="1:11" x14ac:dyDescent="0.2">
      <c r="A2079" s="8">
        <v>2078</v>
      </c>
      <c r="B2079" s="8">
        <f t="shared" si="66"/>
        <v>2022</v>
      </c>
      <c r="C2079" s="8">
        <f t="shared" si="67"/>
        <v>12</v>
      </c>
      <c r="D2079" s="85">
        <v>44923</v>
      </c>
      <c r="E2079" s="31">
        <v>0</v>
      </c>
      <c r="F2079" s="31">
        <v>150000</v>
      </c>
      <c r="G2079" s="31">
        <v>0</v>
      </c>
      <c r="H2079" s="31">
        <v>0</v>
      </c>
      <c r="I2079" s="31" t="s">
        <v>85</v>
      </c>
      <c r="J2079" s="5" t="s">
        <v>1768</v>
      </c>
      <c r="K2079" s="8"/>
    </row>
    <row r="2080" spans="1:11" x14ac:dyDescent="0.2">
      <c r="A2080" s="8">
        <v>2079</v>
      </c>
      <c r="B2080" s="8">
        <f t="shared" si="66"/>
        <v>2022</v>
      </c>
      <c r="C2080" s="8">
        <f t="shared" si="67"/>
        <v>12</v>
      </c>
      <c r="D2080" s="85">
        <v>44925</v>
      </c>
      <c r="E2080" s="31">
        <v>0</v>
      </c>
      <c r="F2080" s="31">
        <v>81500</v>
      </c>
      <c r="G2080" s="31">
        <v>0</v>
      </c>
      <c r="H2080" s="31">
        <v>0</v>
      </c>
      <c r="I2080" s="31" t="s">
        <v>85</v>
      </c>
      <c r="J2080" s="5" t="s">
        <v>1769</v>
      </c>
      <c r="K2080" s="8"/>
    </row>
    <row r="2081" spans="1:11" x14ac:dyDescent="0.2">
      <c r="A2081" s="8">
        <v>2080</v>
      </c>
      <c r="B2081" s="8">
        <f t="shared" si="66"/>
        <v>2022</v>
      </c>
      <c r="C2081" s="8">
        <f t="shared" si="67"/>
        <v>12</v>
      </c>
      <c r="D2081" s="85">
        <v>44925</v>
      </c>
      <c r="E2081" s="31">
        <v>0</v>
      </c>
      <c r="F2081" s="31">
        <v>90000</v>
      </c>
      <c r="G2081" s="31">
        <v>0</v>
      </c>
      <c r="H2081" s="31">
        <v>0</v>
      </c>
      <c r="I2081" s="31" t="s">
        <v>85</v>
      </c>
      <c r="J2081" s="5" t="s">
        <v>1770</v>
      </c>
      <c r="K2081" s="8"/>
    </row>
    <row r="2082" spans="1:11" x14ac:dyDescent="0.2">
      <c r="A2082" s="8">
        <v>2081</v>
      </c>
      <c r="B2082" s="8">
        <f t="shared" si="66"/>
        <v>2022</v>
      </c>
      <c r="C2082" s="8">
        <f t="shared" si="67"/>
        <v>12</v>
      </c>
      <c r="D2082" s="85">
        <v>44925</v>
      </c>
      <c r="E2082" s="31">
        <v>0</v>
      </c>
      <c r="F2082" s="31">
        <v>6500</v>
      </c>
      <c r="G2082" s="31">
        <v>0</v>
      </c>
      <c r="H2082" s="31">
        <v>0</v>
      </c>
      <c r="I2082" s="31" t="s">
        <v>85</v>
      </c>
      <c r="J2082" s="5" t="s">
        <v>1771</v>
      </c>
      <c r="K2082" s="8"/>
    </row>
    <row r="2083" spans="1:11" x14ac:dyDescent="0.2">
      <c r="A2083" s="8">
        <v>2082</v>
      </c>
      <c r="B2083" s="8">
        <f t="shared" si="66"/>
        <v>2022</v>
      </c>
      <c r="C2083" s="8">
        <f t="shared" si="67"/>
        <v>12</v>
      </c>
      <c r="D2083" s="85">
        <v>44925</v>
      </c>
      <c r="E2083" s="31">
        <v>0</v>
      </c>
      <c r="F2083" s="31">
        <v>470000</v>
      </c>
      <c r="G2083" s="31">
        <v>0</v>
      </c>
      <c r="H2083" s="31">
        <v>0</v>
      </c>
      <c r="I2083" s="31" t="s">
        <v>85</v>
      </c>
      <c r="J2083" s="5" t="s">
        <v>1772</v>
      </c>
      <c r="K2083" s="8"/>
    </row>
    <row r="2084" spans="1:11" x14ac:dyDescent="0.2">
      <c r="A2084" s="8">
        <v>2083</v>
      </c>
      <c r="B2084" s="8">
        <f t="shared" si="66"/>
        <v>2022</v>
      </c>
      <c r="C2084" s="8">
        <f t="shared" si="67"/>
        <v>12</v>
      </c>
      <c r="D2084" s="85">
        <v>44925</v>
      </c>
      <c r="E2084" s="31">
        <v>0</v>
      </c>
      <c r="F2084" s="31">
        <v>2250000</v>
      </c>
      <c r="G2084" s="31">
        <v>0</v>
      </c>
      <c r="H2084" s="31">
        <v>0</v>
      </c>
      <c r="I2084" s="31" t="s">
        <v>85</v>
      </c>
      <c r="J2084" s="5" t="s">
        <v>1773</v>
      </c>
      <c r="K2084" s="8"/>
    </row>
    <row r="2085" spans="1:11" x14ac:dyDescent="0.2">
      <c r="A2085" s="8">
        <v>2084</v>
      </c>
      <c r="B2085" s="8">
        <f t="shared" si="66"/>
        <v>2022</v>
      </c>
      <c r="C2085" s="8">
        <f t="shared" si="67"/>
        <v>12</v>
      </c>
      <c r="D2085" s="85">
        <v>44925</v>
      </c>
      <c r="E2085" s="31">
        <v>0</v>
      </c>
      <c r="F2085" s="31">
        <v>100000</v>
      </c>
      <c r="G2085" s="31">
        <v>0</v>
      </c>
      <c r="H2085" s="31">
        <v>0</v>
      </c>
      <c r="I2085" s="31" t="s">
        <v>85</v>
      </c>
      <c r="J2085" s="5" t="s">
        <v>1774</v>
      </c>
      <c r="K2085" s="8"/>
    </row>
    <row r="2086" spans="1:11" x14ac:dyDescent="0.2">
      <c r="A2086" s="8">
        <v>2085</v>
      </c>
      <c r="B2086" s="8">
        <f t="shared" si="66"/>
        <v>2022</v>
      </c>
      <c r="C2086" s="8">
        <f t="shared" si="67"/>
        <v>12</v>
      </c>
      <c r="D2086" s="85">
        <v>44925</v>
      </c>
      <c r="E2086" s="31">
        <v>0</v>
      </c>
      <c r="F2086" s="31">
        <v>369000</v>
      </c>
      <c r="G2086" s="31">
        <v>0</v>
      </c>
      <c r="H2086" s="31">
        <v>0</v>
      </c>
      <c r="I2086" s="31" t="s">
        <v>85</v>
      </c>
      <c r="J2086" s="5" t="s">
        <v>1775</v>
      </c>
      <c r="K2086" s="8"/>
    </row>
    <row r="2087" spans="1:11" x14ac:dyDescent="0.2">
      <c r="A2087" s="8">
        <v>2086</v>
      </c>
      <c r="B2087" s="8">
        <f t="shared" si="66"/>
        <v>2022</v>
      </c>
      <c r="C2087" s="8">
        <f t="shared" si="67"/>
        <v>12</v>
      </c>
      <c r="D2087" s="93">
        <v>44925</v>
      </c>
      <c r="E2087" s="35">
        <v>0</v>
      </c>
      <c r="F2087" s="35">
        <v>1300000</v>
      </c>
      <c r="G2087" s="35">
        <v>0</v>
      </c>
      <c r="H2087" s="35">
        <v>0</v>
      </c>
      <c r="I2087" s="35" t="s">
        <v>549</v>
      </c>
      <c r="J2087" s="36" t="s">
        <v>549</v>
      </c>
      <c r="K2087" s="8"/>
    </row>
    <row r="2088" spans="1:11" x14ac:dyDescent="0.2">
      <c r="A2088" s="8">
        <v>2087</v>
      </c>
      <c r="B2088" s="8">
        <f t="shared" si="66"/>
        <v>2022</v>
      </c>
      <c r="C2088" s="8">
        <f t="shared" si="67"/>
        <v>12</v>
      </c>
      <c r="D2088" s="93">
        <v>44925</v>
      </c>
      <c r="E2088" s="35">
        <v>0</v>
      </c>
      <c r="F2088" s="35">
        <v>300000</v>
      </c>
      <c r="G2088" s="35">
        <v>0</v>
      </c>
      <c r="H2088" s="35">
        <v>0</v>
      </c>
      <c r="I2088" s="35" t="s">
        <v>92</v>
      </c>
      <c r="J2088" s="36" t="s">
        <v>1776</v>
      </c>
      <c r="K2088" s="8"/>
    </row>
    <row r="2089" spans="1:11" x14ac:dyDescent="0.2">
      <c r="A2089" s="8">
        <v>2088</v>
      </c>
      <c r="B2089" s="8">
        <f t="shared" si="66"/>
        <v>2022</v>
      </c>
      <c r="C2089" s="8">
        <f t="shared" si="67"/>
        <v>12</v>
      </c>
      <c r="D2089" s="93">
        <v>44919</v>
      </c>
      <c r="E2089" s="35">
        <v>0</v>
      </c>
      <c r="F2089" s="35">
        <v>500000</v>
      </c>
      <c r="G2089" s="35">
        <v>0</v>
      </c>
      <c r="H2089" s="35">
        <v>0</v>
      </c>
      <c r="I2089" s="35" t="s">
        <v>92</v>
      </c>
      <c r="J2089" s="36" t="s">
        <v>1777</v>
      </c>
      <c r="K2089" s="8"/>
    </row>
    <row r="2090" spans="1:11" x14ac:dyDescent="0.2">
      <c r="A2090" s="8">
        <v>2089</v>
      </c>
      <c r="B2090" s="8">
        <f t="shared" si="66"/>
        <v>2022</v>
      </c>
      <c r="C2090" s="8">
        <f t="shared" si="67"/>
        <v>11</v>
      </c>
      <c r="D2090" s="93">
        <v>44895</v>
      </c>
      <c r="E2090" s="35">
        <v>0</v>
      </c>
      <c r="F2090" s="35">
        <v>300000</v>
      </c>
      <c r="G2090" s="35">
        <v>0</v>
      </c>
      <c r="H2090" s="35">
        <v>0</v>
      </c>
      <c r="I2090" s="35" t="s">
        <v>92</v>
      </c>
      <c r="J2090" s="36" t="s">
        <v>1777</v>
      </c>
      <c r="K2090" s="8"/>
    </row>
    <row r="2091" spans="1:11" x14ac:dyDescent="0.2">
      <c r="A2091" s="8">
        <v>2090</v>
      </c>
      <c r="B2091" s="8">
        <f t="shared" si="66"/>
        <v>2022</v>
      </c>
      <c r="C2091" s="8">
        <f t="shared" si="67"/>
        <v>12</v>
      </c>
      <c r="D2091" s="85">
        <v>44926</v>
      </c>
      <c r="E2091" s="31">
        <v>0</v>
      </c>
      <c r="F2091" s="31">
        <v>50000</v>
      </c>
      <c r="G2091" s="31">
        <v>0</v>
      </c>
      <c r="H2091" s="31">
        <v>0</v>
      </c>
      <c r="I2091" s="31" t="s">
        <v>85</v>
      </c>
      <c r="J2091" s="5" t="s">
        <v>1778</v>
      </c>
      <c r="K2091" s="8"/>
    </row>
    <row r="2092" spans="1:11" x14ac:dyDescent="0.2">
      <c r="A2092" s="8">
        <v>2091</v>
      </c>
      <c r="B2092" s="8">
        <f t="shared" si="66"/>
        <v>2022</v>
      </c>
      <c r="C2092" s="8">
        <f t="shared" si="67"/>
        <v>12</v>
      </c>
      <c r="D2092" s="85">
        <v>44926</v>
      </c>
      <c r="E2092" s="31">
        <v>0</v>
      </c>
      <c r="F2092" s="31">
        <v>16000</v>
      </c>
      <c r="G2092" s="31">
        <v>0</v>
      </c>
      <c r="H2092" s="31">
        <v>0</v>
      </c>
      <c r="I2092" s="31" t="s">
        <v>85</v>
      </c>
      <c r="J2092" s="5" t="s">
        <v>197</v>
      </c>
      <c r="K2092" s="8"/>
    </row>
    <row r="2093" spans="1:11" x14ac:dyDescent="0.2">
      <c r="A2093" s="8">
        <v>2092</v>
      </c>
      <c r="B2093" s="8">
        <f t="shared" si="66"/>
        <v>2022</v>
      </c>
      <c r="C2093" s="8">
        <f t="shared" si="67"/>
        <v>12</v>
      </c>
      <c r="D2093" s="85">
        <v>44926</v>
      </c>
      <c r="E2093" s="31">
        <v>0</v>
      </c>
      <c r="F2093" s="31">
        <v>40000</v>
      </c>
      <c r="G2093" s="31">
        <v>0</v>
      </c>
      <c r="H2093" s="31">
        <v>0</v>
      </c>
      <c r="I2093" s="31" t="s">
        <v>85</v>
      </c>
      <c r="J2093" s="5" t="s">
        <v>430</v>
      </c>
      <c r="K2093" s="8"/>
    </row>
    <row r="2094" spans="1:11" x14ac:dyDescent="0.2">
      <c r="A2094" s="8">
        <v>2093</v>
      </c>
      <c r="B2094" s="8">
        <f t="shared" si="66"/>
        <v>2022</v>
      </c>
      <c r="C2094" s="8">
        <f t="shared" si="67"/>
        <v>12</v>
      </c>
      <c r="D2094" s="85">
        <v>44926</v>
      </c>
      <c r="E2094" s="31">
        <v>0</v>
      </c>
      <c r="F2094" s="31">
        <v>200000</v>
      </c>
      <c r="G2094" s="31">
        <v>0</v>
      </c>
      <c r="H2094" s="31">
        <v>0</v>
      </c>
      <c r="I2094" s="31" t="s">
        <v>85</v>
      </c>
      <c r="J2094" s="5" t="s">
        <v>1251</v>
      </c>
      <c r="K2094" s="8"/>
    </row>
    <row r="2095" spans="1:11" x14ac:dyDescent="0.2">
      <c r="A2095" s="8">
        <v>2094</v>
      </c>
      <c r="B2095" s="8">
        <f t="shared" si="66"/>
        <v>2022</v>
      </c>
      <c r="C2095" s="8">
        <f t="shared" si="67"/>
        <v>12</v>
      </c>
      <c r="D2095" s="85">
        <v>44926</v>
      </c>
      <c r="E2095" s="31">
        <v>0</v>
      </c>
      <c r="F2095" s="31">
        <v>117000</v>
      </c>
      <c r="G2095" s="31">
        <v>0</v>
      </c>
      <c r="H2095" s="31">
        <v>0</v>
      </c>
      <c r="I2095" s="31" t="s">
        <v>1779</v>
      </c>
      <c r="J2095" s="5" t="s">
        <v>1780</v>
      </c>
      <c r="K2095" s="8"/>
    </row>
    <row r="2096" spans="1:11" x14ac:dyDescent="0.2">
      <c r="A2096" s="8">
        <v>2095</v>
      </c>
      <c r="B2096" s="8">
        <f t="shared" si="66"/>
        <v>2023</v>
      </c>
      <c r="C2096" s="8">
        <f t="shared" si="67"/>
        <v>1</v>
      </c>
      <c r="D2096" s="85">
        <v>44928</v>
      </c>
      <c r="E2096" s="31">
        <v>0</v>
      </c>
      <c r="F2096" s="31">
        <v>42000</v>
      </c>
      <c r="G2096" s="31">
        <v>0</v>
      </c>
      <c r="H2096" s="31">
        <v>0</v>
      </c>
      <c r="I2096" s="31" t="s">
        <v>85</v>
      </c>
      <c r="J2096" s="5" t="s">
        <v>1781</v>
      </c>
      <c r="K2096" s="8"/>
    </row>
    <row r="2097" spans="1:11" x14ac:dyDescent="0.2">
      <c r="A2097" s="8">
        <v>2096</v>
      </c>
      <c r="B2097" s="8">
        <f t="shared" si="66"/>
        <v>2023</v>
      </c>
      <c r="C2097" s="8">
        <f t="shared" si="67"/>
        <v>1</v>
      </c>
      <c r="D2097" s="85">
        <v>44928</v>
      </c>
      <c r="E2097" s="31">
        <v>0</v>
      </c>
      <c r="F2097" s="31">
        <v>60000</v>
      </c>
      <c r="G2097" s="31">
        <v>0</v>
      </c>
      <c r="H2097" s="31">
        <v>0</v>
      </c>
      <c r="I2097" s="31" t="s">
        <v>85</v>
      </c>
      <c r="J2097" s="5" t="s">
        <v>1782</v>
      </c>
      <c r="K2097" s="8"/>
    </row>
    <row r="2098" spans="1:11" x14ac:dyDescent="0.2">
      <c r="A2098" s="8">
        <v>2097</v>
      </c>
      <c r="B2098" s="8">
        <f t="shared" si="66"/>
        <v>2023</v>
      </c>
      <c r="C2098" s="8">
        <f t="shared" si="67"/>
        <v>1</v>
      </c>
      <c r="D2098" s="85">
        <v>44929</v>
      </c>
      <c r="E2098" s="31">
        <v>0</v>
      </c>
      <c r="F2098" s="31">
        <v>6000</v>
      </c>
      <c r="G2098" s="31">
        <v>0</v>
      </c>
      <c r="H2098" s="31">
        <v>0</v>
      </c>
      <c r="I2098" s="31" t="s">
        <v>85</v>
      </c>
      <c r="J2098" s="5" t="s">
        <v>1783</v>
      </c>
      <c r="K2098" s="8"/>
    </row>
    <row r="2099" spans="1:11" x14ac:dyDescent="0.2">
      <c r="A2099" s="8">
        <v>2098</v>
      </c>
      <c r="B2099" s="8">
        <f t="shared" si="66"/>
        <v>2023</v>
      </c>
      <c r="C2099" s="8">
        <f t="shared" si="67"/>
        <v>1</v>
      </c>
      <c r="D2099" s="85">
        <v>44929</v>
      </c>
      <c r="E2099" s="31">
        <v>0</v>
      </c>
      <c r="F2099" s="31">
        <v>10000</v>
      </c>
      <c r="G2099" s="31">
        <v>0</v>
      </c>
      <c r="H2099" s="31">
        <v>0</v>
      </c>
      <c r="I2099" s="31" t="s">
        <v>85</v>
      </c>
      <c r="J2099" s="5" t="s">
        <v>605</v>
      </c>
      <c r="K2099" s="8"/>
    </row>
    <row r="2100" spans="1:11" x14ac:dyDescent="0.2">
      <c r="A2100" s="8">
        <v>2099</v>
      </c>
      <c r="B2100" s="8">
        <f t="shared" si="66"/>
        <v>2023</v>
      </c>
      <c r="C2100" s="8">
        <f t="shared" si="67"/>
        <v>1</v>
      </c>
      <c r="D2100" s="85">
        <v>44929</v>
      </c>
      <c r="E2100" s="31">
        <v>0</v>
      </c>
      <c r="F2100" s="31">
        <v>8000</v>
      </c>
      <c r="G2100" s="31">
        <v>0</v>
      </c>
      <c r="H2100" s="31">
        <v>0</v>
      </c>
      <c r="I2100" s="31" t="s">
        <v>85</v>
      </c>
      <c r="J2100" s="5" t="s">
        <v>1784</v>
      </c>
      <c r="K2100" s="8"/>
    </row>
    <row r="2101" spans="1:11" x14ac:dyDescent="0.2">
      <c r="A2101" s="8">
        <v>2100</v>
      </c>
      <c r="B2101" s="8">
        <f t="shared" si="66"/>
        <v>2023</v>
      </c>
      <c r="C2101" s="8">
        <f t="shared" si="67"/>
        <v>1</v>
      </c>
      <c r="D2101" s="85">
        <v>44929</v>
      </c>
      <c r="E2101" s="31">
        <v>0</v>
      </c>
      <c r="F2101" s="31">
        <v>40000</v>
      </c>
      <c r="G2101" s="31">
        <v>0</v>
      </c>
      <c r="H2101" s="31">
        <v>0</v>
      </c>
      <c r="I2101" s="31" t="s">
        <v>85</v>
      </c>
      <c r="J2101" s="5" t="s">
        <v>1785</v>
      </c>
      <c r="K2101" s="8"/>
    </row>
    <row r="2102" spans="1:11" x14ac:dyDescent="0.2">
      <c r="A2102" s="8">
        <v>2101</v>
      </c>
      <c r="B2102" s="8">
        <f t="shared" si="66"/>
        <v>2023</v>
      </c>
      <c r="C2102" s="8">
        <f t="shared" si="67"/>
        <v>1</v>
      </c>
      <c r="D2102" s="85">
        <v>44930</v>
      </c>
      <c r="E2102" s="31">
        <v>0</v>
      </c>
      <c r="F2102" s="31">
        <v>23000</v>
      </c>
      <c r="G2102" s="31">
        <v>0</v>
      </c>
      <c r="H2102" s="31">
        <v>0</v>
      </c>
      <c r="I2102" s="31" t="s">
        <v>85</v>
      </c>
      <c r="J2102" s="5" t="s">
        <v>356</v>
      </c>
      <c r="K2102" s="8"/>
    </row>
    <row r="2103" spans="1:11" x14ac:dyDescent="0.2">
      <c r="A2103" s="8">
        <v>2102</v>
      </c>
      <c r="B2103" s="8">
        <f t="shared" si="66"/>
        <v>2023</v>
      </c>
      <c r="C2103" s="8">
        <f t="shared" si="67"/>
        <v>1</v>
      </c>
      <c r="D2103" s="85">
        <v>44931</v>
      </c>
      <c r="E2103" s="31">
        <v>0</v>
      </c>
      <c r="F2103" s="31">
        <v>50000</v>
      </c>
      <c r="G2103" s="31">
        <v>0</v>
      </c>
      <c r="H2103" s="31">
        <v>0</v>
      </c>
      <c r="I2103" s="31" t="s">
        <v>85</v>
      </c>
      <c r="J2103" s="5" t="s">
        <v>287</v>
      </c>
      <c r="K2103" s="8"/>
    </row>
    <row r="2104" spans="1:11" x14ac:dyDescent="0.2">
      <c r="A2104" s="8">
        <v>2103</v>
      </c>
      <c r="B2104" s="8">
        <f t="shared" si="66"/>
        <v>2023</v>
      </c>
      <c r="C2104" s="8">
        <f t="shared" si="67"/>
        <v>1</v>
      </c>
      <c r="D2104" s="85">
        <v>44932</v>
      </c>
      <c r="E2104" s="31">
        <v>0</v>
      </c>
      <c r="F2104" s="31">
        <v>60000</v>
      </c>
      <c r="G2104" s="31">
        <v>0</v>
      </c>
      <c r="H2104" s="31">
        <v>0</v>
      </c>
      <c r="I2104" s="31" t="s">
        <v>85</v>
      </c>
      <c r="J2104" s="5" t="s">
        <v>1786</v>
      </c>
      <c r="K2104" s="8"/>
    </row>
    <row r="2105" spans="1:11" x14ac:dyDescent="0.2">
      <c r="A2105" s="8">
        <v>2104</v>
      </c>
      <c r="B2105" s="8">
        <f t="shared" si="66"/>
        <v>2023</v>
      </c>
      <c r="C2105" s="8">
        <f t="shared" si="67"/>
        <v>1</v>
      </c>
      <c r="D2105" s="85">
        <v>44933</v>
      </c>
      <c r="E2105" s="31">
        <v>0</v>
      </c>
      <c r="F2105" s="31">
        <v>1000000</v>
      </c>
      <c r="G2105" s="31">
        <v>0</v>
      </c>
      <c r="H2105" s="31">
        <v>0</v>
      </c>
      <c r="I2105" s="31" t="s">
        <v>1699</v>
      </c>
      <c r="J2105" s="5" t="s">
        <v>1685</v>
      </c>
      <c r="K2105" s="8"/>
    </row>
    <row r="2106" spans="1:11" x14ac:dyDescent="0.2">
      <c r="A2106" s="8">
        <v>2105</v>
      </c>
      <c r="B2106" s="8">
        <f t="shared" si="66"/>
        <v>2023</v>
      </c>
      <c r="C2106" s="8">
        <f t="shared" si="67"/>
        <v>1</v>
      </c>
      <c r="D2106" s="85">
        <v>44933</v>
      </c>
      <c r="E2106" s="31">
        <v>0</v>
      </c>
      <c r="F2106" s="31">
        <v>380000</v>
      </c>
      <c r="G2106" s="31">
        <v>0</v>
      </c>
      <c r="H2106" s="31">
        <v>0</v>
      </c>
      <c r="I2106" s="31" t="s">
        <v>1787</v>
      </c>
      <c r="J2106" s="5" t="s">
        <v>1788</v>
      </c>
      <c r="K2106" s="8"/>
    </row>
    <row r="2107" spans="1:11" x14ac:dyDescent="0.2">
      <c r="A2107" s="8">
        <v>2106</v>
      </c>
      <c r="B2107" s="8">
        <f t="shared" si="66"/>
        <v>2023</v>
      </c>
      <c r="C2107" s="8">
        <f t="shared" si="67"/>
        <v>1</v>
      </c>
      <c r="D2107" s="85">
        <v>44933</v>
      </c>
      <c r="E2107" s="31">
        <v>0</v>
      </c>
      <c r="F2107" s="31">
        <v>145000</v>
      </c>
      <c r="G2107" s="31">
        <v>0</v>
      </c>
      <c r="H2107" s="31">
        <v>0</v>
      </c>
      <c r="I2107" s="31" t="s">
        <v>1787</v>
      </c>
      <c r="J2107" s="5" t="s">
        <v>1789</v>
      </c>
      <c r="K2107" s="8"/>
    </row>
    <row r="2108" spans="1:11" x14ac:dyDescent="0.2">
      <c r="A2108" s="8">
        <v>2107</v>
      </c>
      <c r="B2108" s="8">
        <f t="shared" si="66"/>
        <v>2023</v>
      </c>
      <c r="C2108" s="8">
        <f t="shared" si="67"/>
        <v>1</v>
      </c>
      <c r="D2108" s="85">
        <v>44933</v>
      </c>
      <c r="E2108" s="31">
        <v>0</v>
      </c>
      <c r="F2108" s="31">
        <v>160000</v>
      </c>
      <c r="G2108" s="31">
        <v>0</v>
      </c>
      <c r="H2108" s="31">
        <v>0</v>
      </c>
      <c r="I2108" s="31" t="s">
        <v>1787</v>
      </c>
      <c r="J2108" s="5" t="s">
        <v>1790</v>
      </c>
      <c r="K2108" s="8"/>
    </row>
    <row r="2109" spans="1:11" x14ac:dyDescent="0.2">
      <c r="A2109" s="8">
        <v>2108</v>
      </c>
      <c r="B2109" s="8">
        <f t="shared" si="66"/>
        <v>2023</v>
      </c>
      <c r="C2109" s="8">
        <f t="shared" si="67"/>
        <v>1</v>
      </c>
      <c r="D2109" s="85">
        <v>44933</v>
      </c>
      <c r="E2109" s="31">
        <v>0</v>
      </c>
      <c r="F2109" s="31">
        <v>14000</v>
      </c>
      <c r="G2109" s="31">
        <v>0</v>
      </c>
      <c r="H2109" s="31">
        <v>0</v>
      </c>
      <c r="I2109" s="31" t="s">
        <v>1787</v>
      </c>
      <c r="J2109" s="5" t="s">
        <v>1791</v>
      </c>
      <c r="K2109" s="8"/>
    </row>
    <row r="2110" spans="1:11" x14ac:dyDescent="0.2">
      <c r="A2110" s="8">
        <v>2109</v>
      </c>
      <c r="B2110" s="8">
        <f t="shared" si="66"/>
        <v>2023</v>
      </c>
      <c r="C2110" s="8">
        <f t="shared" si="67"/>
        <v>1</v>
      </c>
      <c r="D2110" s="85">
        <v>44933</v>
      </c>
      <c r="E2110" s="31">
        <v>0</v>
      </c>
      <c r="F2110" s="31">
        <v>170000</v>
      </c>
      <c r="G2110" s="31">
        <v>0</v>
      </c>
      <c r="H2110" s="31">
        <v>0</v>
      </c>
      <c r="I2110" s="31" t="s">
        <v>1787</v>
      </c>
      <c r="J2110" s="5" t="s">
        <v>1792</v>
      </c>
      <c r="K2110" s="8"/>
    </row>
    <row r="2111" spans="1:11" x14ac:dyDescent="0.2">
      <c r="A2111" s="8">
        <v>2110</v>
      </c>
      <c r="B2111" s="8">
        <f t="shared" si="66"/>
        <v>2023</v>
      </c>
      <c r="C2111" s="8">
        <f t="shared" si="67"/>
        <v>1</v>
      </c>
      <c r="D2111" s="85">
        <v>44933</v>
      </c>
      <c r="E2111" s="31">
        <v>0</v>
      </c>
      <c r="F2111" s="31">
        <v>120000</v>
      </c>
      <c r="G2111" s="31">
        <v>0</v>
      </c>
      <c r="H2111" s="31">
        <v>0</v>
      </c>
      <c r="I2111" s="31" t="s">
        <v>1793</v>
      </c>
      <c r="J2111" s="5" t="s">
        <v>1794</v>
      </c>
      <c r="K2111" s="8"/>
    </row>
    <row r="2112" spans="1:11" x14ac:dyDescent="0.2">
      <c r="A2112" s="8">
        <v>2111</v>
      </c>
      <c r="B2112" s="8">
        <f t="shared" si="66"/>
        <v>2023</v>
      </c>
      <c r="C2112" s="8">
        <f t="shared" si="67"/>
        <v>1</v>
      </c>
      <c r="D2112" s="85">
        <v>44933</v>
      </c>
      <c r="E2112" s="31">
        <v>0</v>
      </c>
      <c r="F2112" s="31">
        <v>549000</v>
      </c>
      <c r="G2112" s="31">
        <v>0</v>
      </c>
      <c r="H2112" s="31">
        <v>0</v>
      </c>
      <c r="I2112" s="31" t="s">
        <v>1779</v>
      </c>
      <c r="J2112" s="5" t="s">
        <v>1795</v>
      </c>
      <c r="K2112" s="8"/>
    </row>
    <row r="2113" spans="1:11" x14ac:dyDescent="0.2">
      <c r="A2113" s="8">
        <v>2112</v>
      </c>
      <c r="B2113" s="8">
        <f t="shared" si="66"/>
        <v>2023</v>
      </c>
      <c r="C2113" s="8">
        <f t="shared" si="67"/>
        <v>1</v>
      </c>
      <c r="D2113" s="85">
        <v>44933</v>
      </c>
      <c r="E2113" s="31">
        <v>0</v>
      </c>
      <c r="F2113" s="31">
        <v>65000</v>
      </c>
      <c r="G2113" s="31">
        <v>0</v>
      </c>
      <c r="H2113" s="31">
        <v>0</v>
      </c>
      <c r="I2113" s="31" t="s">
        <v>1779</v>
      </c>
      <c r="J2113" s="5" t="s">
        <v>1796</v>
      </c>
      <c r="K2113" s="8"/>
    </row>
    <row r="2114" spans="1:11" x14ac:dyDescent="0.2">
      <c r="A2114" s="8">
        <v>2113</v>
      </c>
      <c r="B2114" s="8">
        <f t="shared" si="66"/>
        <v>2023</v>
      </c>
      <c r="C2114" s="8">
        <f t="shared" si="67"/>
        <v>1</v>
      </c>
      <c r="D2114" s="85">
        <v>44933</v>
      </c>
      <c r="E2114" s="31">
        <v>0</v>
      </c>
      <c r="F2114" s="31">
        <v>82000</v>
      </c>
      <c r="G2114" s="31">
        <v>0</v>
      </c>
      <c r="H2114" s="31">
        <v>0</v>
      </c>
      <c r="I2114" s="31" t="s">
        <v>85</v>
      </c>
      <c r="J2114" s="5" t="s">
        <v>1797</v>
      </c>
      <c r="K2114" s="8"/>
    </row>
    <row r="2115" spans="1:11" x14ac:dyDescent="0.2">
      <c r="A2115" s="8">
        <v>2114</v>
      </c>
      <c r="B2115" s="8">
        <f t="shared" si="66"/>
        <v>2023</v>
      </c>
      <c r="C2115" s="8">
        <f t="shared" si="67"/>
        <v>1</v>
      </c>
      <c r="D2115" s="85">
        <v>44933</v>
      </c>
      <c r="E2115" s="31">
        <v>0</v>
      </c>
      <c r="F2115" s="31">
        <v>74000</v>
      </c>
      <c r="G2115" s="31">
        <v>0</v>
      </c>
      <c r="H2115" s="31">
        <v>0</v>
      </c>
      <c r="I2115" s="31" t="s">
        <v>1798</v>
      </c>
      <c r="J2115" s="5" t="s">
        <v>1799</v>
      </c>
      <c r="K2115" s="8"/>
    </row>
    <row r="2116" spans="1:11" x14ac:dyDescent="0.2">
      <c r="A2116" s="8">
        <v>2115</v>
      </c>
      <c r="B2116" s="8">
        <f t="shared" si="66"/>
        <v>2023</v>
      </c>
      <c r="C2116" s="8">
        <f t="shared" si="67"/>
        <v>1</v>
      </c>
      <c r="D2116" s="85">
        <v>44933</v>
      </c>
      <c r="E2116" s="31">
        <v>0</v>
      </c>
      <c r="F2116" s="31">
        <v>400000</v>
      </c>
      <c r="G2116" s="31">
        <v>0</v>
      </c>
      <c r="H2116" s="31">
        <v>0</v>
      </c>
      <c r="I2116" s="31" t="s">
        <v>85</v>
      </c>
      <c r="J2116" s="5" t="s">
        <v>389</v>
      </c>
      <c r="K2116" s="8"/>
    </row>
    <row r="2117" spans="1:11" x14ac:dyDescent="0.2">
      <c r="A2117" s="8">
        <v>2116</v>
      </c>
      <c r="B2117" s="8">
        <f t="shared" si="66"/>
        <v>2023</v>
      </c>
      <c r="C2117" s="8">
        <f t="shared" si="67"/>
        <v>1</v>
      </c>
      <c r="D2117" s="85">
        <v>44933</v>
      </c>
      <c r="E2117" s="31">
        <v>0</v>
      </c>
      <c r="F2117" s="31">
        <v>200000</v>
      </c>
      <c r="G2117" s="31">
        <v>0</v>
      </c>
      <c r="H2117" s="31">
        <v>0</v>
      </c>
      <c r="I2117" s="31" t="s">
        <v>85</v>
      </c>
      <c r="J2117" s="5" t="s">
        <v>389</v>
      </c>
      <c r="K2117" s="8"/>
    </row>
    <row r="2118" spans="1:11" x14ac:dyDescent="0.2">
      <c r="A2118" s="8">
        <v>2117</v>
      </c>
      <c r="B2118" s="8">
        <f t="shared" ref="B2118:B2168" si="68">YEAR(D2118)</f>
        <v>2023</v>
      </c>
      <c r="C2118" s="8">
        <f t="shared" ref="C2118:C2168" si="69">MONTH(D2118)</f>
        <v>1</v>
      </c>
      <c r="D2118" s="85">
        <v>44934</v>
      </c>
      <c r="E2118" s="31">
        <v>0</v>
      </c>
      <c r="F2118" s="31">
        <v>56000</v>
      </c>
      <c r="G2118" s="31">
        <v>0</v>
      </c>
      <c r="H2118" s="31">
        <v>0</v>
      </c>
      <c r="I2118" s="31" t="s">
        <v>85</v>
      </c>
      <c r="J2118" s="5" t="s">
        <v>458</v>
      </c>
      <c r="K2118" s="8"/>
    </row>
    <row r="2119" spans="1:11" x14ac:dyDescent="0.2">
      <c r="A2119" s="8">
        <v>2118</v>
      </c>
      <c r="B2119" s="8">
        <f t="shared" si="68"/>
        <v>2023</v>
      </c>
      <c r="C2119" s="8">
        <f t="shared" si="69"/>
        <v>1</v>
      </c>
      <c r="D2119" s="85">
        <v>44934</v>
      </c>
      <c r="E2119" s="31">
        <v>0</v>
      </c>
      <c r="F2119" s="31">
        <v>10000</v>
      </c>
      <c r="G2119" s="31">
        <v>0</v>
      </c>
      <c r="H2119" s="31">
        <v>0</v>
      </c>
      <c r="I2119" s="31" t="s">
        <v>85</v>
      </c>
      <c r="J2119" s="5" t="s">
        <v>729</v>
      </c>
      <c r="K2119" s="8"/>
    </row>
    <row r="2120" spans="1:11" x14ac:dyDescent="0.2">
      <c r="A2120" s="8">
        <v>2119</v>
      </c>
      <c r="B2120" s="8">
        <f t="shared" si="68"/>
        <v>2023</v>
      </c>
      <c r="C2120" s="8">
        <f t="shared" si="69"/>
        <v>1</v>
      </c>
      <c r="D2120" s="85">
        <v>44935</v>
      </c>
      <c r="E2120" s="31">
        <v>0</v>
      </c>
      <c r="F2120" s="31">
        <v>500000</v>
      </c>
      <c r="G2120" s="31">
        <v>0</v>
      </c>
      <c r="H2120" s="31">
        <v>0</v>
      </c>
      <c r="I2120" s="31" t="s">
        <v>85</v>
      </c>
      <c r="J2120" s="5" t="s">
        <v>1800</v>
      </c>
      <c r="K2120" s="8"/>
    </row>
    <row r="2121" spans="1:11" x14ac:dyDescent="0.2">
      <c r="A2121" s="8">
        <v>2120</v>
      </c>
      <c r="B2121" s="8">
        <f t="shared" si="68"/>
        <v>2023</v>
      </c>
      <c r="C2121" s="8">
        <f t="shared" si="69"/>
        <v>1</v>
      </c>
      <c r="D2121" s="85">
        <v>44942</v>
      </c>
      <c r="E2121" s="31">
        <v>0</v>
      </c>
      <c r="F2121" s="31">
        <v>510000</v>
      </c>
      <c r="G2121" s="31">
        <v>0</v>
      </c>
      <c r="H2121" s="31">
        <v>0</v>
      </c>
      <c r="I2121" s="31" t="s">
        <v>1787</v>
      </c>
      <c r="J2121" s="5" t="s">
        <v>1801</v>
      </c>
      <c r="K2121" s="8"/>
    </row>
    <row r="2122" spans="1:11" x14ac:dyDescent="0.2">
      <c r="A2122" s="8">
        <v>2121</v>
      </c>
      <c r="B2122" s="8">
        <f t="shared" si="68"/>
        <v>2023</v>
      </c>
      <c r="C2122" s="8">
        <f t="shared" si="69"/>
        <v>1</v>
      </c>
      <c r="D2122" s="85">
        <v>44942</v>
      </c>
      <c r="E2122" s="31">
        <v>0</v>
      </c>
      <c r="F2122" s="31">
        <v>30000</v>
      </c>
      <c r="G2122" s="31">
        <v>0</v>
      </c>
      <c r="H2122" s="31">
        <v>0</v>
      </c>
      <c r="I2122" s="31" t="s">
        <v>85</v>
      </c>
      <c r="J2122" s="5" t="s">
        <v>91</v>
      </c>
      <c r="K2122" s="8"/>
    </row>
    <row r="2123" spans="1:11" x14ac:dyDescent="0.2">
      <c r="A2123" s="8">
        <v>2122</v>
      </c>
      <c r="B2123" s="8">
        <f t="shared" si="68"/>
        <v>2023</v>
      </c>
      <c r="C2123" s="8">
        <f t="shared" si="69"/>
        <v>1</v>
      </c>
      <c r="D2123" s="85">
        <v>44942</v>
      </c>
      <c r="E2123" s="31">
        <v>0</v>
      </c>
      <c r="F2123" s="31">
        <v>120000</v>
      </c>
      <c r="G2123" s="31">
        <v>0</v>
      </c>
      <c r="H2123" s="31">
        <v>0</v>
      </c>
      <c r="I2123" s="31" t="s">
        <v>299</v>
      </c>
      <c r="J2123" s="5" t="s">
        <v>299</v>
      </c>
      <c r="K2123" s="8"/>
    </row>
    <row r="2124" spans="1:11" x14ac:dyDescent="0.2">
      <c r="A2124" s="8">
        <v>2123</v>
      </c>
      <c r="B2124" s="8">
        <f t="shared" si="68"/>
        <v>2023</v>
      </c>
      <c r="C2124" s="8">
        <f t="shared" si="69"/>
        <v>1</v>
      </c>
      <c r="D2124" s="85">
        <v>44942</v>
      </c>
      <c r="E2124" s="31">
        <v>0</v>
      </c>
      <c r="F2124" s="31">
        <v>110000</v>
      </c>
      <c r="G2124" s="31">
        <v>0</v>
      </c>
      <c r="H2124" s="31">
        <v>0</v>
      </c>
      <c r="I2124" s="31" t="s">
        <v>85</v>
      </c>
      <c r="J2124" s="5" t="s">
        <v>1802</v>
      </c>
      <c r="K2124" s="8"/>
    </row>
    <row r="2125" spans="1:11" x14ac:dyDescent="0.2">
      <c r="A2125" s="8">
        <v>2124</v>
      </c>
      <c r="B2125" s="8">
        <f t="shared" si="68"/>
        <v>2023</v>
      </c>
      <c r="C2125" s="8">
        <f t="shared" si="69"/>
        <v>1</v>
      </c>
      <c r="D2125" s="85">
        <v>44942</v>
      </c>
      <c r="E2125" s="31">
        <v>0</v>
      </c>
      <c r="F2125" s="31">
        <v>30000</v>
      </c>
      <c r="G2125" s="31">
        <v>0</v>
      </c>
      <c r="H2125" s="31">
        <v>0</v>
      </c>
      <c r="I2125" s="31" t="s">
        <v>85</v>
      </c>
      <c r="J2125" s="5" t="s">
        <v>1803</v>
      </c>
      <c r="K2125" s="8"/>
    </row>
    <row r="2126" spans="1:11" x14ac:dyDescent="0.2">
      <c r="A2126" s="8">
        <v>2125</v>
      </c>
      <c r="B2126" s="8">
        <f t="shared" si="68"/>
        <v>2023</v>
      </c>
      <c r="C2126" s="8">
        <f t="shared" si="69"/>
        <v>1</v>
      </c>
      <c r="D2126" s="85">
        <v>44943</v>
      </c>
      <c r="E2126" s="31">
        <v>0</v>
      </c>
      <c r="F2126" s="31">
        <v>50000</v>
      </c>
      <c r="G2126" s="31">
        <v>0</v>
      </c>
      <c r="H2126" s="31">
        <v>0</v>
      </c>
      <c r="I2126" s="31" t="s">
        <v>85</v>
      </c>
      <c r="J2126" s="5" t="s">
        <v>356</v>
      </c>
      <c r="K2126" s="8"/>
    </row>
    <row r="2127" spans="1:11" x14ac:dyDescent="0.2">
      <c r="A2127" s="8">
        <v>2126</v>
      </c>
      <c r="B2127" s="8">
        <f t="shared" si="68"/>
        <v>2023</v>
      </c>
      <c r="C2127" s="8">
        <f t="shared" si="69"/>
        <v>1</v>
      </c>
      <c r="D2127" s="85">
        <v>44943</v>
      </c>
      <c r="E2127" s="31">
        <v>0</v>
      </c>
      <c r="F2127" s="31">
        <v>200000</v>
      </c>
      <c r="G2127" s="31">
        <v>0</v>
      </c>
      <c r="H2127" s="31">
        <v>0</v>
      </c>
      <c r="I2127" s="31" t="s">
        <v>85</v>
      </c>
      <c r="J2127" s="5" t="s">
        <v>1804</v>
      </c>
      <c r="K2127" s="8"/>
    </row>
    <row r="2128" spans="1:11" x14ac:dyDescent="0.2">
      <c r="A2128" s="8">
        <v>2127</v>
      </c>
      <c r="B2128" s="8">
        <f t="shared" si="68"/>
        <v>2023</v>
      </c>
      <c r="C2128" s="8">
        <f t="shared" si="69"/>
        <v>1</v>
      </c>
      <c r="D2128" s="85">
        <v>44943</v>
      </c>
      <c r="E2128" s="31">
        <v>0</v>
      </c>
      <c r="F2128" s="31">
        <v>110000</v>
      </c>
      <c r="G2128" s="31">
        <v>0</v>
      </c>
      <c r="H2128" s="31">
        <v>0</v>
      </c>
      <c r="I2128" s="31" t="s">
        <v>85</v>
      </c>
      <c r="J2128" s="5" t="s">
        <v>1805</v>
      </c>
      <c r="K2128" s="8"/>
    </row>
    <row r="2129" spans="1:11" x14ac:dyDescent="0.2">
      <c r="A2129" s="8">
        <v>2128</v>
      </c>
      <c r="B2129" s="8">
        <f t="shared" si="68"/>
        <v>2023</v>
      </c>
      <c r="C2129" s="8">
        <f t="shared" si="69"/>
        <v>1</v>
      </c>
      <c r="D2129" s="85">
        <v>44943</v>
      </c>
      <c r="E2129" s="31">
        <v>2000000</v>
      </c>
      <c r="F2129" s="31">
        <v>150000</v>
      </c>
      <c r="G2129" s="31">
        <v>0</v>
      </c>
      <c r="H2129" s="31">
        <v>0</v>
      </c>
      <c r="I2129" s="31" t="s">
        <v>85</v>
      </c>
      <c r="J2129" s="5" t="s">
        <v>253</v>
      </c>
      <c r="K2129" s="8"/>
    </row>
    <row r="2130" spans="1:11" x14ac:dyDescent="0.2">
      <c r="A2130" s="8">
        <v>2129</v>
      </c>
      <c r="B2130" s="8">
        <f t="shared" si="68"/>
        <v>2023</v>
      </c>
      <c r="C2130" s="8">
        <f t="shared" si="69"/>
        <v>1</v>
      </c>
      <c r="D2130" s="85">
        <v>44944</v>
      </c>
      <c r="E2130" s="31">
        <v>0</v>
      </c>
      <c r="F2130" s="31">
        <v>250000</v>
      </c>
      <c r="G2130" s="31">
        <v>0</v>
      </c>
      <c r="H2130" s="31">
        <v>0</v>
      </c>
      <c r="I2130" s="31" t="s">
        <v>85</v>
      </c>
      <c r="J2130" s="5" t="s">
        <v>1806</v>
      </c>
      <c r="K2130" s="8"/>
    </row>
    <row r="2131" spans="1:11" x14ac:dyDescent="0.2">
      <c r="A2131" s="8">
        <v>2130</v>
      </c>
      <c r="B2131" s="8">
        <f t="shared" si="68"/>
        <v>2023</v>
      </c>
      <c r="C2131" s="8">
        <f t="shared" si="69"/>
        <v>1</v>
      </c>
      <c r="D2131" s="85">
        <v>44945</v>
      </c>
      <c r="E2131" s="31">
        <v>0</v>
      </c>
      <c r="F2131" s="31">
        <v>150000</v>
      </c>
      <c r="G2131" s="31">
        <v>0</v>
      </c>
      <c r="H2131" s="31">
        <v>0</v>
      </c>
      <c r="I2131" s="31" t="s">
        <v>85</v>
      </c>
      <c r="J2131" s="5" t="s">
        <v>1807</v>
      </c>
      <c r="K2131" s="8"/>
    </row>
    <row r="2132" spans="1:11" x14ac:dyDescent="0.2">
      <c r="A2132" s="8">
        <v>2131</v>
      </c>
      <c r="B2132" s="8">
        <f t="shared" si="68"/>
        <v>2023</v>
      </c>
      <c r="C2132" s="8">
        <f t="shared" si="69"/>
        <v>1</v>
      </c>
      <c r="D2132" s="85">
        <v>44945</v>
      </c>
      <c r="E2132" s="31">
        <v>0</v>
      </c>
      <c r="F2132" s="31">
        <v>500000</v>
      </c>
      <c r="G2132" s="31">
        <v>0</v>
      </c>
      <c r="H2132" s="31">
        <v>0</v>
      </c>
      <c r="I2132" s="31" t="s">
        <v>85</v>
      </c>
      <c r="J2132" s="5" t="s">
        <v>1808</v>
      </c>
      <c r="K2132" s="8"/>
    </row>
    <row r="2133" spans="1:11" x14ac:dyDescent="0.2">
      <c r="A2133" s="8">
        <v>2132</v>
      </c>
      <c r="B2133" s="8">
        <f t="shared" si="68"/>
        <v>2023</v>
      </c>
      <c r="C2133" s="8">
        <f t="shared" si="69"/>
        <v>1</v>
      </c>
      <c r="D2133" s="85">
        <v>44946</v>
      </c>
      <c r="E2133" s="31">
        <v>0</v>
      </c>
      <c r="F2133" s="31">
        <v>250000</v>
      </c>
      <c r="G2133" s="31">
        <v>0</v>
      </c>
      <c r="H2133" s="31">
        <v>0</v>
      </c>
      <c r="I2133" s="31" t="s">
        <v>85</v>
      </c>
      <c r="J2133" s="5" t="s">
        <v>1809</v>
      </c>
      <c r="K2133" s="8"/>
    </row>
    <row r="2134" spans="1:11" x14ac:dyDescent="0.2">
      <c r="A2134" s="8">
        <v>2133</v>
      </c>
      <c r="B2134" s="8">
        <f t="shared" si="68"/>
        <v>2023</v>
      </c>
      <c r="C2134" s="8">
        <f t="shared" si="69"/>
        <v>1</v>
      </c>
      <c r="D2134" s="85">
        <v>44956</v>
      </c>
      <c r="E2134" s="31">
        <v>0</v>
      </c>
      <c r="F2134" s="31">
        <v>450000</v>
      </c>
      <c r="G2134" s="31">
        <v>0</v>
      </c>
      <c r="H2134" s="31">
        <v>0</v>
      </c>
      <c r="I2134" s="31" t="s">
        <v>1779</v>
      </c>
      <c r="J2134" s="5" t="s">
        <v>1810</v>
      </c>
      <c r="K2134" s="8"/>
    </row>
    <row r="2135" spans="1:11" x14ac:dyDescent="0.2">
      <c r="A2135" s="8">
        <v>2134</v>
      </c>
      <c r="B2135" s="8">
        <f t="shared" si="68"/>
        <v>2023</v>
      </c>
      <c r="C2135" s="8">
        <f t="shared" si="69"/>
        <v>1</v>
      </c>
      <c r="D2135" s="85">
        <v>44956</v>
      </c>
      <c r="E2135" s="31">
        <v>0</v>
      </c>
      <c r="F2135" s="31">
        <v>471000</v>
      </c>
      <c r="G2135" s="31">
        <v>0</v>
      </c>
      <c r="H2135" s="31">
        <v>0</v>
      </c>
      <c r="I2135" s="31" t="s">
        <v>85</v>
      </c>
      <c r="J2135" s="5" t="s">
        <v>1811</v>
      </c>
      <c r="K2135" s="8"/>
    </row>
    <row r="2136" spans="1:11" x14ac:dyDescent="0.2">
      <c r="A2136" s="8">
        <v>2135</v>
      </c>
      <c r="B2136" s="8">
        <f t="shared" si="68"/>
        <v>2023</v>
      </c>
      <c r="C2136" s="8">
        <f t="shared" si="69"/>
        <v>1</v>
      </c>
      <c r="D2136" s="85">
        <v>44956</v>
      </c>
      <c r="E2136" s="31">
        <v>0</v>
      </c>
      <c r="F2136" s="31">
        <v>115000</v>
      </c>
      <c r="G2136" s="31">
        <v>0</v>
      </c>
      <c r="H2136" s="31">
        <v>0</v>
      </c>
      <c r="I2136" s="31" t="s">
        <v>1779</v>
      </c>
      <c r="J2136" s="5" t="s">
        <v>1812</v>
      </c>
      <c r="K2136" s="8"/>
    </row>
    <row r="2137" spans="1:11" x14ac:dyDescent="0.2">
      <c r="A2137" s="8">
        <v>2136</v>
      </c>
      <c r="B2137" s="8">
        <f t="shared" si="68"/>
        <v>2023</v>
      </c>
      <c r="C2137" s="8">
        <f t="shared" si="69"/>
        <v>1</v>
      </c>
      <c r="D2137" s="85">
        <v>44956</v>
      </c>
      <c r="E2137" s="31">
        <v>0</v>
      </c>
      <c r="F2137" s="31">
        <v>73000</v>
      </c>
      <c r="G2137" s="31">
        <v>0</v>
      </c>
      <c r="H2137" s="31">
        <v>0</v>
      </c>
      <c r="I2137" s="31" t="s">
        <v>1813</v>
      </c>
      <c r="J2137" s="5" t="s">
        <v>1814</v>
      </c>
      <c r="K2137" s="8"/>
    </row>
    <row r="2138" spans="1:11" x14ac:dyDescent="0.2">
      <c r="A2138" s="8">
        <v>2137</v>
      </c>
      <c r="B2138" s="8">
        <f t="shared" si="68"/>
        <v>2023</v>
      </c>
      <c r="C2138" s="8">
        <f t="shared" si="69"/>
        <v>1</v>
      </c>
      <c r="D2138" s="85">
        <v>44956</v>
      </c>
      <c r="E2138" s="31">
        <v>0</v>
      </c>
      <c r="F2138" s="31">
        <v>200000</v>
      </c>
      <c r="G2138" s="31">
        <v>0</v>
      </c>
      <c r="H2138" s="31">
        <v>0</v>
      </c>
      <c r="I2138" s="31" t="s">
        <v>85</v>
      </c>
      <c r="J2138" s="5" t="s">
        <v>1387</v>
      </c>
      <c r="K2138" s="8"/>
    </row>
    <row r="2139" spans="1:11" x14ac:dyDescent="0.2">
      <c r="A2139" s="8">
        <v>2138</v>
      </c>
      <c r="B2139" s="8">
        <f t="shared" si="68"/>
        <v>2023</v>
      </c>
      <c r="C2139" s="8">
        <f t="shared" si="69"/>
        <v>1</v>
      </c>
      <c r="D2139" s="85">
        <v>44946</v>
      </c>
      <c r="E2139" s="31">
        <v>0</v>
      </c>
      <c r="F2139" s="31">
        <v>10000</v>
      </c>
      <c r="G2139" s="31">
        <v>0</v>
      </c>
      <c r="H2139" s="31">
        <v>0</v>
      </c>
      <c r="I2139" s="31" t="s">
        <v>88</v>
      </c>
      <c r="J2139" s="5" t="s">
        <v>356</v>
      </c>
      <c r="K2139" s="8"/>
    </row>
    <row r="2140" spans="1:11" x14ac:dyDescent="0.2">
      <c r="A2140" s="8">
        <v>2139</v>
      </c>
      <c r="B2140" s="8">
        <f t="shared" si="68"/>
        <v>2023</v>
      </c>
      <c r="C2140" s="8">
        <f t="shared" si="69"/>
        <v>1</v>
      </c>
      <c r="D2140" s="85">
        <v>44947</v>
      </c>
      <c r="E2140" s="31">
        <v>0</v>
      </c>
      <c r="F2140" s="31">
        <v>100000</v>
      </c>
      <c r="G2140" s="31">
        <v>0</v>
      </c>
      <c r="H2140" s="31">
        <v>0</v>
      </c>
      <c r="I2140" s="31" t="s">
        <v>1815</v>
      </c>
      <c r="J2140" s="5" t="s">
        <v>1816</v>
      </c>
      <c r="K2140" s="8"/>
    </row>
    <row r="2141" spans="1:11" x14ac:dyDescent="0.2">
      <c r="A2141" s="8">
        <v>2140</v>
      </c>
      <c r="B2141" s="8">
        <f t="shared" si="68"/>
        <v>2023</v>
      </c>
      <c r="C2141" s="8">
        <f t="shared" si="69"/>
        <v>1</v>
      </c>
      <c r="D2141" s="85">
        <v>44949</v>
      </c>
      <c r="E2141" s="31">
        <v>0</v>
      </c>
      <c r="F2141" s="31">
        <v>105000</v>
      </c>
      <c r="G2141" s="31">
        <v>0</v>
      </c>
      <c r="H2141" s="31">
        <v>0</v>
      </c>
      <c r="I2141" s="31" t="s">
        <v>1813</v>
      </c>
      <c r="J2141" s="5" t="s">
        <v>1817</v>
      </c>
      <c r="K2141" s="8"/>
    </row>
    <row r="2142" spans="1:11" x14ac:dyDescent="0.2">
      <c r="A2142" s="8">
        <v>2141</v>
      </c>
      <c r="B2142" s="8">
        <f t="shared" si="68"/>
        <v>2023</v>
      </c>
      <c r="C2142" s="8">
        <f t="shared" si="69"/>
        <v>1</v>
      </c>
      <c r="D2142" s="85">
        <v>44950</v>
      </c>
      <c r="E2142" s="31">
        <v>0</v>
      </c>
      <c r="F2142" s="31">
        <v>0</v>
      </c>
      <c r="G2142" s="31">
        <v>0</v>
      </c>
      <c r="H2142" s="31">
        <v>0</v>
      </c>
      <c r="I2142" s="31" t="s">
        <v>92</v>
      </c>
      <c r="J2142" s="5" t="s">
        <v>1818</v>
      </c>
      <c r="K2142" s="8"/>
    </row>
    <row r="2143" spans="1:11" x14ac:dyDescent="0.2">
      <c r="A2143" s="8">
        <v>2142</v>
      </c>
      <c r="B2143" s="8">
        <f t="shared" si="68"/>
        <v>2023</v>
      </c>
      <c r="C2143" s="8">
        <f t="shared" si="69"/>
        <v>1</v>
      </c>
      <c r="D2143" s="85">
        <v>44950</v>
      </c>
      <c r="E2143" s="31">
        <v>0</v>
      </c>
      <c r="F2143" s="31">
        <v>30000</v>
      </c>
      <c r="G2143" s="31">
        <v>0</v>
      </c>
      <c r="H2143" s="31">
        <v>0</v>
      </c>
      <c r="I2143" s="31" t="s">
        <v>92</v>
      </c>
      <c r="J2143" s="5" t="s">
        <v>1819</v>
      </c>
      <c r="K2143" s="8"/>
    </row>
    <row r="2144" spans="1:11" x14ac:dyDescent="0.2">
      <c r="A2144" s="8">
        <v>2143</v>
      </c>
      <c r="B2144" s="8">
        <f t="shared" si="68"/>
        <v>2023</v>
      </c>
      <c r="C2144" s="8">
        <f t="shared" si="69"/>
        <v>1</v>
      </c>
      <c r="D2144" s="85">
        <v>44950</v>
      </c>
      <c r="E2144" s="31">
        <v>0</v>
      </c>
      <c r="F2144" s="31">
        <v>6000</v>
      </c>
      <c r="G2144" s="31">
        <v>0</v>
      </c>
      <c r="H2144" s="31">
        <v>0</v>
      </c>
      <c r="I2144" s="31" t="s">
        <v>88</v>
      </c>
      <c r="J2144" s="5" t="s">
        <v>89</v>
      </c>
      <c r="K2144" s="8"/>
    </row>
    <row r="2145" spans="1:11" x14ac:dyDescent="0.2">
      <c r="A2145" s="8">
        <v>2144</v>
      </c>
      <c r="B2145" s="8">
        <f t="shared" si="68"/>
        <v>2023</v>
      </c>
      <c r="C2145" s="8">
        <f t="shared" si="69"/>
        <v>1</v>
      </c>
      <c r="D2145" s="85">
        <v>44950</v>
      </c>
      <c r="E2145" s="31">
        <v>0</v>
      </c>
      <c r="F2145" s="31">
        <v>25000</v>
      </c>
      <c r="G2145" s="31">
        <v>0</v>
      </c>
      <c r="H2145" s="31">
        <v>0</v>
      </c>
      <c r="I2145" s="31" t="s">
        <v>88</v>
      </c>
      <c r="J2145" s="5" t="s">
        <v>827</v>
      </c>
      <c r="K2145" s="8"/>
    </row>
    <row r="2146" spans="1:11" x14ac:dyDescent="0.2">
      <c r="A2146" s="8">
        <v>2145</v>
      </c>
      <c r="B2146" s="8">
        <f t="shared" si="68"/>
        <v>2023</v>
      </c>
      <c r="C2146" s="8">
        <f t="shared" si="69"/>
        <v>1</v>
      </c>
      <c r="D2146" s="85">
        <v>44950</v>
      </c>
      <c r="E2146" s="31">
        <v>0</v>
      </c>
      <c r="F2146" s="31">
        <v>1100000</v>
      </c>
      <c r="G2146" s="31">
        <v>0</v>
      </c>
      <c r="H2146" s="31">
        <v>0</v>
      </c>
      <c r="I2146" s="31" t="s">
        <v>1787</v>
      </c>
      <c r="J2146" s="5" t="s">
        <v>1820</v>
      </c>
      <c r="K2146" s="8"/>
    </row>
    <row r="2147" spans="1:11" x14ac:dyDescent="0.2">
      <c r="A2147" s="8">
        <v>2146</v>
      </c>
      <c r="B2147" s="8">
        <f t="shared" si="68"/>
        <v>2023</v>
      </c>
      <c r="C2147" s="8">
        <f t="shared" si="69"/>
        <v>1</v>
      </c>
      <c r="D2147" s="85">
        <v>44952</v>
      </c>
      <c r="E2147" s="31">
        <v>0</v>
      </c>
      <c r="F2147" s="31">
        <v>25000</v>
      </c>
      <c r="G2147" s="31">
        <v>0</v>
      </c>
      <c r="H2147" s="31">
        <v>0</v>
      </c>
      <c r="I2147" s="31" t="s">
        <v>88</v>
      </c>
      <c r="J2147" s="5" t="s">
        <v>458</v>
      </c>
      <c r="K2147" s="8"/>
    </row>
    <row r="2148" spans="1:11" x14ac:dyDescent="0.2">
      <c r="A2148" s="8">
        <v>2147</v>
      </c>
      <c r="B2148" s="8">
        <f t="shared" si="68"/>
        <v>2023</v>
      </c>
      <c r="C2148" s="8">
        <f t="shared" si="69"/>
        <v>1</v>
      </c>
      <c r="D2148" s="85">
        <v>44952</v>
      </c>
      <c r="E2148" s="31">
        <v>0</v>
      </c>
      <c r="F2148" s="31">
        <v>20000</v>
      </c>
      <c r="G2148" s="31">
        <v>0</v>
      </c>
      <c r="H2148" s="31">
        <v>0</v>
      </c>
      <c r="I2148" s="31" t="s">
        <v>85</v>
      </c>
      <c r="J2148" s="5" t="s">
        <v>1821</v>
      </c>
      <c r="K2148" s="8"/>
    </row>
    <row r="2149" spans="1:11" x14ac:dyDescent="0.2">
      <c r="A2149" s="8">
        <v>2148</v>
      </c>
      <c r="B2149" s="8">
        <f t="shared" si="68"/>
        <v>2023</v>
      </c>
      <c r="C2149" s="8">
        <f t="shared" si="69"/>
        <v>1</v>
      </c>
      <c r="D2149" s="85">
        <v>44952</v>
      </c>
      <c r="E2149" s="31">
        <v>0</v>
      </c>
      <c r="F2149" s="31">
        <v>7000</v>
      </c>
      <c r="G2149" s="31">
        <v>0</v>
      </c>
      <c r="H2149" s="31">
        <v>0</v>
      </c>
      <c r="I2149" s="31" t="s">
        <v>85</v>
      </c>
      <c r="J2149" s="5" t="s">
        <v>1822</v>
      </c>
      <c r="K2149" s="8"/>
    </row>
    <row r="2150" spans="1:11" x14ac:dyDescent="0.2">
      <c r="A2150" s="8">
        <v>2149</v>
      </c>
      <c r="B2150" s="8">
        <f t="shared" si="68"/>
        <v>2023</v>
      </c>
      <c r="C2150" s="8">
        <f t="shared" si="69"/>
        <v>1</v>
      </c>
      <c r="D2150" s="85">
        <v>44953</v>
      </c>
      <c r="E2150" s="31">
        <v>0</v>
      </c>
      <c r="F2150" s="31">
        <v>100000</v>
      </c>
      <c r="G2150" s="31">
        <v>0</v>
      </c>
      <c r="H2150" s="31">
        <v>0</v>
      </c>
      <c r="I2150" s="31" t="s">
        <v>85</v>
      </c>
      <c r="J2150" s="5" t="s">
        <v>1823</v>
      </c>
      <c r="K2150" s="8"/>
    </row>
    <row r="2151" spans="1:11" x14ac:dyDescent="0.2">
      <c r="A2151" s="8">
        <v>2150</v>
      </c>
      <c r="B2151" s="8">
        <f t="shared" si="68"/>
        <v>2023</v>
      </c>
      <c r="C2151" s="8">
        <f t="shared" si="69"/>
        <v>1</v>
      </c>
      <c r="D2151" s="85">
        <v>44953</v>
      </c>
      <c r="E2151" s="31">
        <v>0</v>
      </c>
      <c r="F2151" s="31">
        <v>20000</v>
      </c>
      <c r="G2151" s="31">
        <v>0</v>
      </c>
      <c r="H2151" s="31">
        <v>0</v>
      </c>
      <c r="I2151" s="31" t="s">
        <v>85</v>
      </c>
      <c r="J2151" s="5" t="s">
        <v>1824</v>
      </c>
      <c r="K2151" s="8"/>
    </row>
    <row r="2152" spans="1:11" x14ac:dyDescent="0.2">
      <c r="A2152" s="8">
        <v>2151</v>
      </c>
      <c r="B2152" s="8">
        <f t="shared" si="68"/>
        <v>2023</v>
      </c>
      <c r="C2152" s="8">
        <f t="shared" si="69"/>
        <v>1</v>
      </c>
      <c r="D2152" s="85">
        <v>44953</v>
      </c>
      <c r="E2152" s="31">
        <v>0</v>
      </c>
      <c r="F2152" s="31">
        <v>25000</v>
      </c>
      <c r="G2152" s="31">
        <v>0</v>
      </c>
      <c r="H2152" s="31">
        <v>0</v>
      </c>
      <c r="I2152" s="31" t="s">
        <v>88</v>
      </c>
      <c r="J2152" s="5" t="s">
        <v>1164</v>
      </c>
      <c r="K2152" s="8"/>
    </row>
    <row r="2153" spans="1:11" x14ac:dyDescent="0.2">
      <c r="A2153" s="8">
        <v>2152</v>
      </c>
      <c r="B2153" s="8">
        <f t="shared" si="68"/>
        <v>2023</v>
      </c>
      <c r="C2153" s="8">
        <f t="shared" si="69"/>
        <v>1</v>
      </c>
      <c r="D2153" s="85">
        <v>44953</v>
      </c>
      <c r="E2153" s="31">
        <v>0</v>
      </c>
      <c r="F2153" s="31">
        <v>50000</v>
      </c>
      <c r="G2153" s="31">
        <v>0</v>
      </c>
      <c r="H2153" s="31">
        <v>0</v>
      </c>
      <c r="I2153" s="31" t="s">
        <v>299</v>
      </c>
      <c r="J2153" s="5" t="s">
        <v>299</v>
      </c>
      <c r="K2153" s="8"/>
    </row>
    <row r="2154" spans="1:11" x14ac:dyDescent="0.2">
      <c r="A2154" s="8">
        <v>2153</v>
      </c>
      <c r="B2154" s="8">
        <f t="shared" si="68"/>
        <v>2023</v>
      </c>
      <c r="C2154" s="8">
        <f t="shared" si="69"/>
        <v>1</v>
      </c>
      <c r="D2154" s="85">
        <v>44953</v>
      </c>
      <c r="E2154" s="31">
        <v>0</v>
      </c>
      <c r="F2154" s="31">
        <v>20000</v>
      </c>
      <c r="G2154" s="31">
        <v>0</v>
      </c>
      <c r="H2154" s="31">
        <v>0</v>
      </c>
      <c r="I2154" s="31" t="s">
        <v>85</v>
      </c>
      <c r="J2154" s="5" t="s">
        <v>1819</v>
      </c>
      <c r="K2154" s="8"/>
    </row>
    <row r="2155" spans="1:11" x14ac:dyDescent="0.2">
      <c r="A2155" s="8">
        <v>2154</v>
      </c>
      <c r="B2155" s="8">
        <f t="shared" si="68"/>
        <v>2023</v>
      </c>
      <c r="C2155" s="8">
        <f t="shared" si="69"/>
        <v>1</v>
      </c>
      <c r="D2155" s="85">
        <v>44953</v>
      </c>
      <c r="E2155" s="31">
        <v>0</v>
      </c>
      <c r="F2155" s="31">
        <v>25000</v>
      </c>
      <c r="G2155" s="31">
        <v>0</v>
      </c>
      <c r="H2155" s="31">
        <v>0</v>
      </c>
      <c r="I2155" s="31" t="s">
        <v>85</v>
      </c>
      <c r="J2155" s="5" t="s">
        <v>1825</v>
      </c>
      <c r="K2155" s="8"/>
    </row>
    <row r="2156" spans="1:11" x14ac:dyDescent="0.2">
      <c r="A2156" s="8">
        <v>2155</v>
      </c>
      <c r="B2156" s="8">
        <f t="shared" si="68"/>
        <v>2023</v>
      </c>
      <c r="C2156" s="8">
        <f t="shared" si="69"/>
        <v>1</v>
      </c>
      <c r="D2156" s="85">
        <v>44954</v>
      </c>
      <c r="E2156" s="31">
        <v>0</v>
      </c>
      <c r="F2156" s="31">
        <v>25000</v>
      </c>
      <c r="G2156" s="31">
        <v>0</v>
      </c>
      <c r="H2156" s="31">
        <v>0</v>
      </c>
      <c r="I2156" s="31" t="s">
        <v>88</v>
      </c>
      <c r="J2156" s="5" t="s">
        <v>356</v>
      </c>
      <c r="K2156" s="8"/>
    </row>
    <row r="2157" spans="1:11" x14ac:dyDescent="0.2">
      <c r="A2157" s="8">
        <v>2156</v>
      </c>
      <c r="B2157" s="8">
        <f t="shared" si="68"/>
        <v>2023</v>
      </c>
      <c r="C2157" s="8">
        <f t="shared" si="69"/>
        <v>1</v>
      </c>
      <c r="D2157" s="85">
        <v>44954</v>
      </c>
      <c r="E2157" s="31">
        <v>0</v>
      </c>
      <c r="F2157" s="31">
        <v>20000</v>
      </c>
      <c r="G2157" s="31">
        <v>0</v>
      </c>
      <c r="H2157" s="31">
        <v>0</v>
      </c>
      <c r="I2157" s="31" t="s">
        <v>88</v>
      </c>
      <c r="J2157" s="5" t="s">
        <v>1826</v>
      </c>
      <c r="K2157" s="8"/>
    </row>
    <row r="2158" spans="1:11" x14ac:dyDescent="0.2">
      <c r="A2158" s="8">
        <v>2157</v>
      </c>
      <c r="B2158" s="8">
        <f t="shared" si="68"/>
        <v>2023</v>
      </c>
      <c r="C2158" s="8">
        <f t="shared" si="69"/>
        <v>1</v>
      </c>
      <c r="D2158" s="85">
        <v>44954</v>
      </c>
      <c r="E2158" s="31">
        <v>0</v>
      </c>
      <c r="F2158" s="31">
        <v>26000</v>
      </c>
      <c r="G2158" s="31">
        <v>0</v>
      </c>
      <c r="H2158" s="31">
        <v>0</v>
      </c>
      <c r="I2158" s="31" t="s">
        <v>88</v>
      </c>
      <c r="J2158" s="5" t="s">
        <v>1827</v>
      </c>
      <c r="K2158" s="8"/>
    </row>
    <row r="2159" spans="1:11" x14ac:dyDescent="0.2">
      <c r="A2159" s="8">
        <v>2158</v>
      </c>
      <c r="B2159" s="8">
        <f t="shared" si="68"/>
        <v>2023</v>
      </c>
      <c r="C2159" s="8">
        <f t="shared" si="69"/>
        <v>1</v>
      </c>
      <c r="D2159" s="85">
        <v>44954</v>
      </c>
      <c r="E2159" s="31">
        <v>0</v>
      </c>
      <c r="F2159" s="31">
        <v>27000</v>
      </c>
      <c r="G2159" s="31">
        <v>0</v>
      </c>
      <c r="H2159" s="31">
        <v>0</v>
      </c>
      <c r="I2159" s="31" t="s">
        <v>85</v>
      </c>
      <c r="J2159" s="5" t="s">
        <v>1828</v>
      </c>
      <c r="K2159" s="8"/>
    </row>
    <row r="2160" spans="1:11" x14ac:dyDescent="0.2">
      <c r="A2160" s="8">
        <v>2159</v>
      </c>
      <c r="B2160" s="8">
        <f t="shared" si="68"/>
        <v>2023</v>
      </c>
      <c r="C2160" s="8">
        <f t="shared" si="69"/>
        <v>1</v>
      </c>
      <c r="D2160" s="85">
        <v>44955</v>
      </c>
      <c r="E2160" s="31">
        <v>0</v>
      </c>
      <c r="F2160" s="31">
        <v>50000</v>
      </c>
      <c r="G2160" s="31">
        <v>0</v>
      </c>
      <c r="H2160" s="31">
        <v>0</v>
      </c>
      <c r="I2160" s="31" t="s">
        <v>85</v>
      </c>
      <c r="J2160" s="5" t="s">
        <v>721</v>
      </c>
      <c r="K2160" s="8"/>
    </row>
    <row r="2161" spans="1:11" x14ac:dyDescent="0.2">
      <c r="A2161" s="8">
        <v>2160</v>
      </c>
      <c r="B2161" s="8">
        <f t="shared" si="68"/>
        <v>2023</v>
      </c>
      <c r="C2161" s="8">
        <f t="shared" si="69"/>
        <v>1</v>
      </c>
      <c r="D2161" s="85">
        <v>44955</v>
      </c>
      <c r="E2161" s="31">
        <v>0</v>
      </c>
      <c r="F2161" s="31">
        <v>57000</v>
      </c>
      <c r="G2161" s="31">
        <v>0</v>
      </c>
      <c r="H2161" s="31">
        <v>0</v>
      </c>
      <c r="I2161" s="31" t="s">
        <v>88</v>
      </c>
      <c r="J2161" s="5" t="s">
        <v>1273</v>
      </c>
      <c r="K2161" s="8"/>
    </row>
    <row r="2162" spans="1:11" x14ac:dyDescent="0.2">
      <c r="A2162" s="8">
        <v>2161</v>
      </c>
      <c r="B2162" s="8">
        <f t="shared" si="68"/>
        <v>2023</v>
      </c>
      <c r="C2162" s="8">
        <f t="shared" si="69"/>
        <v>1</v>
      </c>
      <c r="D2162" s="85">
        <v>44955</v>
      </c>
      <c r="E2162" s="31">
        <v>0</v>
      </c>
      <c r="F2162" s="31">
        <v>100000</v>
      </c>
      <c r="G2162" s="31">
        <v>0</v>
      </c>
      <c r="H2162" s="31">
        <v>0</v>
      </c>
      <c r="I2162" s="31" t="s">
        <v>85</v>
      </c>
      <c r="J2162" s="5" t="s">
        <v>1829</v>
      </c>
      <c r="K2162" s="8"/>
    </row>
    <row r="2163" spans="1:11" x14ac:dyDescent="0.2">
      <c r="A2163" s="8">
        <v>2162</v>
      </c>
      <c r="B2163" s="8">
        <f t="shared" si="68"/>
        <v>2023</v>
      </c>
      <c r="C2163" s="8">
        <f t="shared" si="69"/>
        <v>1</v>
      </c>
      <c r="D2163" s="85">
        <v>44956</v>
      </c>
      <c r="E2163" s="31">
        <v>0</v>
      </c>
      <c r="F2163" s="31">
        <v>40000</v>
      </c>
      <c r="G2163" s="31">
        <v>0</v>
      </c>
      <c r="H2163" s="31">
        <v>0</v>
      </c>
      <c r="I2163" s="31" t="s">
        <v>88</v>
      </c>
      <c r="J2163" s="5" t="s">
        <v>356</v>
      </c>
      <c r="K2163" s="8"/>
    </row>
    <row r="2164" spans="1:11" x14ac:dyDescent="0.2">
      <c r="A2164" s="8">
        <v>2163</v>
      </c>
      <c r="B2164" s="8">
        <f t="shared" si="68"/>
        <v>2023</v>
      </c>
      <c r="C2164" s="8">
        <f t="shared" si="69"/>
        <v>1</v>
      </c>
      <c r="D2164" s="85">
        <v>44956</v>
      </c>
      <c r="E2164" s="31">
        <v>0</v>
      </c>
      <c r="F2164" s="31">
        <v>200000</v>
      </c>
      <c r="G2164" s="31">
        <v>0</v>
      </c>
      <c r="H2164" s="31">
        <v>0</v>
      </c>
      <c r="I2164" s="31" t="s">
        <v>85</v>
      </c>
      <c r="J2164" s="5" t="s">
        <v>1297</v>
      </c>
      <c r="K2164" s="8"/>
    </row>
    <row r="2165" spans="1:11" x14ac:dyDescent="0.2">
      <c r="A2165" s="8">
        <v>2164</v>
      </c>
      <c r="B2165" s="8">
        <f t="shared" si="68"/>
        <v>2023</v>
      </c>
      <c r="C2165" s="8">
        <f t="shared" si="69"/>
        <v>1</v>
      </c>
      <c r="D2165" s="85">
        <v>44957</v>
      </c>
      <c r="E2165" s="31">
        <v>0</v>
      </c>
      <c r="F2165" s="31">
        <v>18000</v>
      </c>
      <c r="G2165" s="31">
        <v>0</v>
      </c>
      <c r="H2165" s="31">
        <v>0</v>
      </c>
      <c r="I2165" s="31" t="s">
        <v>88</v>
      </c>
      <c r="J2165" s="5" t="s">
        <v>1273</v>
      </c>
      <c r="K2165" s="8"/>
    </row>
    <row r="2166" spans="1:11" x14ac:dyDescent="0.2">
      <c r="A2166" s="8">
        <v>2165</v>
      </c>
      <c r="B2166" s="8">
        <f t="shared" si="68"/>
        <v>2023</v>
      </c>
      <c r="C2166" s="8">
        <f t="shared" si="69"/>
        <v>1</v>
      </c>
      <c r="D2166" s="85">
        <v>44957</v>
      </c>
      <c r="E2166" s="31">
        <v>0</v>
      </c>
      <c r="F2166" s="31">
        <v>250000</v>
      </c>
      <c r="G2166" s="31">
        <v>0</v>
      </c>
      <c r="H2166" s="31">
        <v>0</v>
      </c>
      <c r="I2166" s="31" t="s">
        <v>85</v>
      </c>
      <c r="J2166" s="5" t="s">
        <v>1830</v>
      </c>
      <c r="K2166" s="8"/>
    </row>
    <row r="2167" spans="1:11" x14ac:dyDescent="0.2">
      <c r="A2167" s="8">
        <v>2166</v>
      </c>
      <c r="B2167" s="8">
        <f t="shared" si="68"/>
        <v>2023</v>
      </c>
      <c r="C2167" s="8">
        <f t="shared" si="69"/>
        <v>1</v>
      </c>
      <c r="D2167" s="85">
        <v>44957</v>
      </c>
      <c r="E2167" s="31">
        <v>0</v>
      </c>
      <c r="F2167" s="31">
        <v>130000</v>
      </c>
      <c r="G2167" s="31">
        <v>0</v>
      </c>
      <c r="H2167" s="31">
        <v>0</v>
      </c>
      <c r="I2167" s="31" t="s">
        <v>299</v>
      </c>
      <c r="J2167" s="5" t="s">
        <v>299</v>
      </c>
      <c r="K2167" s="8"/>
    </row>
    <row r="2168" spans="1:11" x14ac:dyDescent="0.2">
      <c r="A2168" s="8">
        <v>2167</v>
      </c>
      <c r="B2168" s="8">
        <f t="shared" si="68"/>
        <v>2023</v>
      </c>
      <c r="C2168" s="8">
        <f t="shared" si="69"/>
        <v>2</v>
      </c>
      <c r="D2168" s="85">
        <v>44958</v>
      </c>
      <c r="E2168" s="31">
        <v>0</v>
      </c>
      <c r="F2168" s="31">
        <v>20000</v>
      </c>
      <c r="G2168" s="31">
        <v>0</v>
      </c>
      <c r="H2168" s="31">
        <v>0</v>
      </c>
      <c r="I2168" s="31" t="s">
        <v>85</v>
      </c>
      <c r="J2168" s="5" t="s">
        <v>1831</v>
      </c>
      <c r="K2168" s="8"/>
    </row>
    <row r="2169" spans="1:11" x14ac:dyDescent="0.2">
      <c r="A2169" s="8"/>
      <c r="B2169" s="8"/>
      <c r="C2169" s="8"/>
      <c r="D2169" s="85"/>
      <c r="E2169" s="31"/>
      <c r="F2169" s="31"/>
      <c r="G2169" s="31"/>
      <c r="H2169" s="31"/>
      <c r="I2169" s="31"/>
      <c r="J2169" s="5"/>
      <c r="K2169" s="8"/>
    </row>
    <row r="2170" spans="1:11" x14ac:dyDescent="0.2">
      <c r="A2170" s="8">
        <v>2167</v>
      </c>
      <c r="B2170" s="8">
        <f t="shared" ref="B2170:B2201" si="70">YEAR(D2170)</f>
        <v>2023</v>
      </c>
      <c r="C2170" s="8">
        <f t="shared" ref="C2170:C2201" si="71">MONTH(D2170)</f>
        <v>2</v>
      </c>
      <c r="D2170" s="85">
        <v>44959</v>
      </c>
      <c r="E2170" s="31">
        <v>0</v>
      </c>
      <c r="F2170" s="31">
        <v>100000</v>
      </c>
      <c r="G2170" s="31">
        <v>0</v>
      </c>
      <c r="H2170" s="31">
        <v>0</v>
      </c>
      <c r="I2170" s="31" t="s">
        <v>88</v>
      </c>
      <c r="J2170" s="5" t="s">
        <v>827</v>
      </c>
      <c r="K2170" s="8"/>
    </row>
    <row r="2171" spans="1:11" x14ac:dyDescent="0.2">
      <c r="A2171" s="8">
        <v>2168</v>
      </c>
      <c r="B2171" s="8">
        <f t="shared" si="70"/>
        <v>2023</v>
      </c>
      <c r="C2171" s="8">
        <f t="shared" si="71"/>
        <v>2</v>
      </c>
      <c r="D2171" s="85">
        <v>44959</v>
      </c>
      <c r="E2171" s="31">
        <v>0</v>
      </c>
      <c r="F2171" s="31">
        <v>50000</v>
      </c>
      <c r="G2171" s="31">
        <v>0</v>
      </c>
      <c r="H2171" s="31">
        <v>0</v>
      </c>
      <c r="I2171" s="31" t="s">
        <v>88</v>
      </c>
      <c r="J2171" s="5" t="s">
        <v>356</v>
      </c>
      <c r="K2171" s="8"/>
    </row>
    <row r="2172" spans="1:11" x14ac:dyDescent="0.2">
      <c r="A2172" s="8">
        <v>2169</v>
      </c>
      <c r="B2172" s="8">
        <f t="shared" si="70"/>
        <v>2023</v>
      </c>
      <c r="C2172" s="8">
        <f t="shared" si="71"/>
        <v>2</v>
      </c>
      <c r="D2172" s="85">
        <v>44960</v>
      </c>
      <c r="E2172" s="31">
        <v>0</v>
      </c>
      <c r="F2172" s="31">
        <v>250000</v>
      </c>
      <c r="G2172" s="31">
        <v>0</v>
      </c>
      <c r="H2172" s="31">
        <v>0</v>
      </c>
      <c r="I2172" s="31" t="s">
        <v>85</v>
      </c>
      <c r="J2172" s="5" t="s">
        <v>1832</v>
      </c>
      <c r="K2172" s="8"/>
    </row>
    <row r="2173" spans="1:11" x14ac:dyDescent="0.2">
      <c r="A2173" s="8">
        <v>2170</v>
      </c>
      <c r="B2173" s="8">
        <f t="shared" si="70"/>
        <v>2023</v>
      </c>
      <c r="C2173" s="8">
        <f t="shared" si="71"/>
        <v>2</v>
      </c>
      <c r="D2173" s="85">
        <v>44960</v>
      </c>
      <c r="E2173" s="31">
        <v>0</v>
      </c>
      <c r="F2173" s="31">
        <v>300000</v>
      </c>
      <c r="G2173" s="31">
        <v>0</v>
      </c>
      <c r="H2173" s="31">
        <v>0</v>
      </c>
      <c r="I2173" s="31" t="s">
        <v>85</v>
      </c>
      <c r="J2173" s="5" t="s">
        <v>1833</v>
      </c>
      <c r="K2173" s="8"/>
    </row>
    <row r="2174" spans="1:11" x14ac:dyDescent="0.2">
      <c r="A2174" s="8">
        <v>2171</v>
      </c>
      <c r="B2174" s="8">
        <f t="shared" si="70"/>
        <v>2023</v>
      </c>
      <c r="C2174" s="8">
        <f t="shared" si="71"/>
        <v>2</v>
      </c>
      <c r="D2174" s="85">
        <v>44960</v>
      </c>
      <c r="E2174" s="31">
        <v>0</v>
      </c>
      <c r="F2174" s="31">
        <v>950000</v>
      </c>
      <c r="G2174" s="31">
        <v>0</v>
      </c>
      <c r="H2174" s="31">
        <v>0</v>
      </c>
      <c r="I2174" s="139" t="s">
        <v>1834</v>
      </c>
      <c r="J2174" s="5" t="s">
        <v>1835</v>
      </c>
      <c r="K2174" s="8"/>
    </row>
    <row r="2175" spans="1:11" x14ac:dyDescent="0.2">
      <c r="A2175" s="8">
        <v>2172</v>
      </c>
      <c r="B2175" s="8">
        <f t="shared" si="70"/>
        <v>2023</v>
      </c>
      <c r="C2175" s="8">
        <f t="shared" si="71"/>
        <v>2</v>
      </c>
      <c r="D2175" s="85">
        <v>44960</v>
      </c>
      <c r="E2175" s="31">
        <v>0</v>
      </c>
      <c r="F2175" s="31">
        <v>70000</v>
      </c>
      <c r="G2175" s="31">
        <v>0</v>
      </c>
      <c r="H2175" s="31">
        <v>0</v>
      </c>
      <c r="I2175" s="31" t="s">
        <v>1815</v>
      </c>
      <c r="J2175" s="5" t="s">
        <v>1836</v>
      </c>
      <c r="K2175" s="8"/>
    </row>
    <row r="2176" spans="1:11" x14ac:dyDescent="0.2">
      <c r="A2176" s="8">
        <v>2173</v>
      </c>
      <c r="B2176" s="8">
        <f t="shared" si="70"/>
        <v>2023</v>
      </c>
      <c r="C2176" s="8">
        <f t="shared" si="71"/>
        <v>2</v>
      </c>
      <c r="D2176" s="85">
        <v>44961</v>
      </c>
      <c r="E2176" s="31">
        <v>0</v>
      </c>
      <c r="F2176" s="31">
        <v>25000</v>
      </c>
      <c r="G2176" s="31">
        <v>0</v>
      </c>
      <c r="H2176" s="31">
        <v>0</v>
      </c>
      <c r="I2176" s="31" t="s">
        <v>88</v>
      </c>
      <c r="J2176" s="5" t="s">
        <v>1273</v>
      </c>
      <c r="K2176" s="8"/>
    </row>
    <row r="2177" spans="1:11" x14ac:dyDescent="0.2">
      <c r="A2177" s="8">
        <v>2174</v>
      </c>
      <c r="B2177" s="8">
        <f t="shared" si="70"/>
        <v>2023</v>
      </c>
      <c r="C2177" s="8">
        <f t="shared" si="71"/>
        <v>2</v>
      </c>
      <c r="D2177" s="85">
        <v>44961</v>
      </c>
      <c r="E2177" s="31">
        <v>0</v>
      </c>
      <c r="F2177" s="31">
        <v>50000</v>
      </c>
      <c r="G2177" s="31">
        <v>0</v>
      </c>
      <c r="H2177" s="31">
        <v>0</v>
      </c>
      <c r="I2177" s="31" t="s">
        <v>88</v>
      </c>
      <c r="J2177" s="5" t="s">
        <v>356</v>
      </c>
      <c r="K2177" s="8"/>
    </row>
    <row r="2178" spans="1:11" x14ac:dyDescent="0.2">
      <c r="A2178" s="8">
        <v>2175</v>
      </c>
      <c r="B2178" s="8">
        <f t="shared" si="70"/>
        <v>2023</v>
      </c>
      <c r="C2178" s="8">
        <f t="shared" si="71"/>
        <v>2</v>
      </c>
      <c r="D2178" s="85">
        <v>44961</v>
      </c>
      <c r="E2178" s="31">
        <v>0</v>
      </c>
      <c r="F2178" s="31">
        <v>20000</v>
      </c>
      <c r="G2178" s="31">
        <v>0</v>
      </c>
      <c r="H2178" s="31">
        <v>0</v>
      </c>
      <c r="I2178" s="31" t="s">
        <v>85</v>
      </c>
      <c r="J2178" s="5" t="s">
        <v>1837</v>
      </c>
      <c r="K2178" s="8"/>
    </row>
    <row r="2179" spans="1:11" x14ac:dyDescent="0.2">
      <c r="A2179" s="8">
        <v>2176</v>
      </c>
      <c r="B2179" s="8">
        <f t="shared" si="70"/>
        <v>2023</v>
      </c>
      <c r="C2179" s="8">
        <f t="shared" si="71"/>
        <v>2</v>
      </c>
      <c r="D2179" s="85">
        <v>44961</v>
      </c>
      <c r="E2179" s="31">
        <v>0</v>
      </c>
      <c r="F2179" s="31">
        <v>130000</v>
      </c>
      <c r="G2179" s="31">
        <v>0</v>
      </c>
      <c r="H2179" s="31">
        <v>0</v>
      </c>
      <c r="I2179" s="31" t="s">
        <v>299</v>
      </c>
      <c r="J2179" s="5" t="s">
        <v>299</v>
      </c>
      <c r="K2179" s="8"/>
    </row>
    <row r="2180" spans="1:11" x14ac:dyDescent="0.2">
      <c r="A2180" s="8">
        <v>2177</v>
      </c>
      <c r="B2180" s="8">
        <f t="shared" si="70"/>
        <v>2023</v>
      </c>
      <c r="C2180" s="8">
        <f t="shared" si="71"/>
        <v>2</v>
      </c>
      <c r="D2180" s="85">
        <v>44961</v>
      </c>
      <c r="E2180" s="31">
        <v>0</v>
      </c>
      <c r="F2180" s="31">
        <v>80000</v>
      </c>
      <c r="G2180" s="31">
        <v>0</v>
      </c>
      <c r="H2180" s="31">
        <v>0</v>
      </c>
      <c r="I2180" s="31" t="s">
        <v>85</v>
      </c>
      <c r="J2180" s="5" t="s">
        <v>1838</v>
      </c>
      <c r="K2180" s="8"/>
    </row>
    <row r="2181" spans="1:11" x14ac:dyDescent="0.2">
      <c r="A2181" s="8">
        <v>2178</v>
      </c>
      <c r="B2181" s="8">
        <f t="shared" si="70"/>
        <v>2023</v>
      </c>
      <c r="C2181" s="8">
        <f t="shared" si="71"/>
        <v>2</v>
      </c>
      <c r="D2181" s="85">
        <v>44962</v>
      </c>
      <c r="E2181" s="31">
        <v>0</v>
      </c>
      <c r="F2181" s="31">
        <v>85000</v>
      </c>
      <c r="G2181" s="31">
        <v>0</v>
      </c>
      <c r="H2181" s="31">
        <v>0</v>
      </c>
      <c r="I2181" s="31" t="s">
        <v>1815</v>
      </c>
      <c r="J2181" s="5" t="s">
        <v>681</v>
      </c>
      <c r="K2181" s="8"/>
    </row>
    <row r="2182" spans="1:11" x14ac:dyDescent="0.2">
      <c r="A2182" s="8">
        <v>2179</v>
      </c>
      <c r="B2182" s="8">
        <f t="shared" si="70"/>
        <v>2023</v>
      </c>
      <c r="C2182" s="8">
        <f t="shared" si="71"/>
        <v>2</v>
      </c>
      <c r="D2182" s="85">
        <v>44962</v>
      </c>
      <c r="E2182" s="31">
        <v>0</v>
      </c>
      <c r="F2182" s="31">
        <v>10000</v>
      </c>
      <c r="G2182" s="31">
        <v>0</v>
      </c>
      <c r="H2182" s="31">
        <v>0</v>
      </c>
      <c r="I2182" s="31" t="s">
        <v>88</v>
      </c>
      <c r="J2182" s="5" t="s">
        <v>827</v>
      </c>
      <c r="K2182" s="8"/>
    </row>
    <row r="2183" spans="1:11" x14ac:dyDescent="0.2">
      <c r="A2183" s="8">
        <v>2180</v>
      </c>
      <c r="B2183" s="8">
        <f t="shared" si="70"/>
        <v>2023</v>
      </c>
      <c r="C2183" s="8">
        <f t="shared" si="71"/>
        <v>2</v>
      </c>
      <c r="D2183" s="85">
        <v>44963</v>
      </c>
      <c r="E2183" s="31">
        <v>0</v>
      </c>
      <c r="F2183" s="31">
        <v>24000</v>
      </c>
      <c r="G2183" s="31">
        <v>0</v>
      </c>
      <c r="H2183" s="31">
        <v>0</v>
      </c>
      <c r="I2183" s="31" t="s">
        <v>88</v>
      </c>
      <c r="J2183" s="5" t="s">
        <v>356</v>
      </c>
      <c r="K2183" s="8"/>
    </row>
    <row r="2184" spans="1:11" x14ac:dyDescent="0.2">
      <c r="A2184" s="8">
        <v>2181</v>
      </c>
      <c r="B2184" s="8">
        <f t="shared" si="70"/>
        <v>2023</v>
      </c>
      <c r="C2184" s="8">
        <f t="shared" si="71"/>
        <v>2</v>
      </c>
      <c r="D2184" s="85">
        <v>44963</v>
      </c>
      <c r="E2184" s="31">
        <v>0</v>
      </c>
      <c r="F2184" s="31">
        <v>200000</v>
      </c>
      <c r="G2184" s="31">
        <v>0</v>
      </c>
      <c r="H2184" s="31">
        <v>0</v>
      </c>
      <c r="I2184" s="31" t="s">
        <v>85</v>
      </c>
      <c r="J2184" s="5" t="s">
        <v>1839</v>
      </c>
      <c r="K2184" s="8"/>
    </row>
    <row r="2185" spans="1:11" x14ac:dyDescent="0.2">
      <c r="A2185" s="8">
        <v>2182</v>
      </c>
      <c r="B2185" s="8">
        <f t="shared" si="70"/>
        <v>2023</v>
      </c>
      <c r="C2185" s="8">
        <f t="shared" si="71"/>
        <v>2</v>
      </c>
      <c r="D2185" s="85">
        <v>44963</v>
      </c>
      <c r="E2185" s="31">
        <v>0</v>
      </c>
      <c r="F2185" s="31">
        <v>40000</v>
      </c>
      <c r="G2185" s="31">
        <v>0</v>
      </c>
      <c r="H2185" s="31">
        <v>0</v>
      </c>
      <c r="I2185" s="31" t="s">
        <v>92</v>
      </c>
      <c r="J2185" s="5" t="s">
        <v>1840</v>
      </c>
      <c r="K2185" s="8"/>
    </row>
    <row r="2186" spans="1:11" x14ac:dyDescent="0.2">
      <c r="A2186" s="8">
        <v>2183</v>
      </c>
      <c r="B2186" s="8">
        <f t="shared" si="70"/>
        <v>2023</v>
      </c>
      <c r="C2186" s="8">
        <f t="shared" si="71"/>
        <v>2</v>
      </c>
      <c r="D2186" s="85">
        <v>44964</v>
      </c>
      <c r="E2186" s="31">
        <v>0</v>
      </c>
      <c r="F2186" s="31">
        <v>600000</v>
      </c>
      <c r="G2186" s="31">
        <v>0</v>
      </c>
      <c r="H2186" s="31">
        <v>0</v>
      </c>
      <c r="I2186" s="139" t="s">
        <v>1834</v>
      </c>
      <c r="J2186" s="5" t="s">
        <v>1841</v>
      </c>
      <c r="K2186" s="8"/>
    </row>
    <row r="2187" spans="1:11" x14ac:dyDescent="0.2">
      <c r="A2187" s="8">
        <v>2184</v>
      </c>
      <c r="B2187" s="8">
        <f t="shared" si="70"/>
        <v>2023</v>
      </c>
      <c r="C2187" s="8">
        <f t="shared" si="71"/>
        <v>2</v>
      </c>
      <c r="D2187" s="85">
        <v>44965</v>
      </c>
      <c r="E2187" s="31">
        <v>0</v>
      </c>
      <c r="F2187" s="31">
        <v>200000</v>
      </c>
      <c r="G2187" s="31">
        <v>0</v>
      </c>
      <c r="H2187" s="31">
        <v>0</v>
      </c>
      <c r="I2187" s="31" t="s">
        <v>85</v>
      </c>
      <c r="J2187" s="5" t="s">
        <v>1842</v>
      </c>
      <c r="K2187" s="8"/>
    </row>
    <row r="2188" spans="1:11" x14ac:dyDescent="0.2">
      <c r="A2188" s="8">
        <v>2185</v>
      </c>
      <c r="B2188" s="8">
        <f t="shared" si="70"/>
        <v>2023</v>
      </c>
      <c r="C2188" s="8">
        <f t="shared" si="71"/>
        <v>2</v>
      </c>
      <c r="D2188" s="85">
        <v>44966</v>
      </c>
      <c r="E2188" s="31">
        <v>0</v>
      </c>
      <c r="F2188" s="31">
        <v>60000</v>
      </c>
      <c r="G2188" s="31">
        <v>0</v>
      </c>
      <c r="H2188" s="31">
        <v>0</v>
      </c>
      <c r="I2188" s="31" t="s">
        <v>1815</v>
      </c>
      <c r="J2188" s="5" t="s">
        <v>681</v>
      </c>
      <c r="K2188" s="8"/>
    </row>
    <row r="2189" spans="1:11" x14ac:dyDescent="0.2">
      <c r="A2189" s="8">
        <v>2186</v>
      </c>
      <c r="B2189" s="8">
        <f t="shared" si="70"/>
        <v>2023</v>
      </c>
      <c r="C2189" s="8">
        <f t="shared" si="71"/>
        <v>2</v>
      </c>
      <c r="D2189" s="85">
        <v>44966</v>
      </c>
      <c r="E2189" s="31">
        <v>0</v>
      </c>
      <c r="F2189" s="31">
        <v>50000</v>
      </c>
      <c r="G2189" s="31">
        <v>0</v>
      </c>
      <c r="H2189" s="31">
        <v>0</v>
      </c>
      <c r="I2189" s="31" t="s">
        <v>1779</v>
      </c>
      <c r="J2189" s="5" t="s">
        <v>1843</v>
      </c>
      <c r="K2189" s="8"/>
    </row>
    <row r="2190" spans="1:11" x14ac:dyDescent="0.2">
      <c r="A2190" s="8">
        <v>2187</v>
      </c>
      <c r="B2190" s="8">
        <f t="shared" si="70"/>
        <v>2023</v>
      </c>
      <c r="C2190" s="8">
        <f t="shared" si="71"/>
        <v>2</v>
      </c>
      <c r="D2190" s="85">
        <v>44966</v>
      </c>
      <c r="E2190" s="31">
        <v>0</v>
      </c>
      <c r="F2190" s="31">
        <v>20000</v>
      </c>
      <c r="G2190" s="31">
        <v>0</v>
      </c>
      <c r="H2190" s="31">
        <v>0</v>
      </c>
      <c r="I2190" s="31" t="s">
        <v>88</v>
      </c>
      <c r="J2190" s="5" t="s">
        <v>356</v>
      </c>
      <c r="K2190" s="8"/>
    </row>
    <row r="2191" spans="1:11" x14ac:dyDescent="0.2">
      <c r="A2191" s="8">
        <v>2188</v>
      </c>
      <c r="B2191" s="8">
        <f t="shared" si="70"/>
        <v>2023</v>
      </c>
      <c r="C2191" s="8">
        <f t="shared" si="71"/>
        <v>2</v>
      </c>
      <c r="D2191" s="85">
        <v>44966</v>
      </c>
      <c r="E2191" s="31">
        <v>0</v>
      </c>
      <c r="F2191" s="31">
        <v>100000</v>
      </c>
      <c r="G2191" s="31">
        <v>0</v>
      </c>
      <c r="H2191" s="31">
        <v>0</v>
      </c>
      <c r="I2191" s="31" t="s">
        <v>1779</v>
      </c>
      <c r="J2191" s="5" t="s">
        <v>1844</v>
      </c>
      <c r="K2191" s="8"/>
    </row>
    <row r="2192" spans="1:11" x14ac:dyDescent="0.2">
      <c r="A2192" s="8">
        <v>2189</v>
      </c>
      <c r="B2192" s="8">
        <f t="shared" si="70"/>
        <v>2023</v>
      </c>
      <c r="C2192" s="8">
        <f t="shared" si="71"/>
        <v>2</v>
      </c>
      <c r="D2192" s="85">
        <v>44967</v>
      </c>
      <c r="E2192" s="31">
        <v>0</v>
      </c>
      <c r="F2192" s="31">
        <v>700000</v>
      </c>
      <c r="G2192" s="31">
        <v>0</v>
      </c>
      <c r="H2192" s="31">
        <v>0</v>
      </c>
      <c r="I2192" s="31" t="s">
        <v>1845</v>
      </c>
      <c r="J2192" s="5" t="s">
        <v>1846</v>
      </c>
      <c r="K2192" s="8"/>
    </row>
    <row r="2193" spans="1:11" x14ac:dyDescent="0.2">
      <c r="A2193" s="8">
        <v>2190</v>
      </c>
      <c r="B2193" s="8">
        <f t="shared" si="70"/>
        <v>2023</v>
      </c>
      <c r="C2193" s="8">
        <f t="shared" si="71"/>
        <v>2</v>
      </c>
      <c r="D2193" s="85">
        <v>44967</v>
      </c>
      <c r="E2193" s="31">
        <v>0</v>
      </c>
      <c r="F2193" s="31">
        <v>0</v>
      </c>
      <c r="G2193" s="31">
        <v>0</v>
      </c>
      <c r="H2193" s="31">
        <v>0</v>
      </c>
      <c r="I2193" s="31" t="s">
        <v>92</v>
      </c>
      <c r="J2193" s="5" t="s">
        <v>1847</v>
      </c>
      <c r="K2193" s="8"/>
    </row>
    <row r="2194" spans="1:11" x14ac:dyDescent="0.2">
      <c r="A2194" s="8">
        <v>2191</v>
      </c>
      <c r="B2194" s="8">
        <f t="shared" si="70"/>
        <v>2023</v>
      </c>
      <c r="C2194" s="8">
        <f t="shared" si="71"/>
        <v>2</v>
      </c>
      <c r="D2194" s="85">
        <v>44967</v>
      </c>
      <c r="E2194" s="31">
        <v>0</v>
      </c>
      <c r="F2194" s="31">
        <v>35000</v>
      </c>
      <c r="G2194" s="31">
        <v>0</v>
      </c>
      <c r="H2194" s="31">
        <v>0</v>
      </c>
      <c r="I2194" s="31" t="s">
        <v>1815</v>
      </c>
      <c r="J2194" s="5" t="s">
        <v>439</v>
      </c>
      <c r="K2194" s="8"/>
    </row>
    <row r="2195" spans="1:11" x14ac:dyDescent="0.2">
      <c r="A2195" s="8">
        <v>2192</v>
      </c>
      <c r="B2195" s="8">
        <f t="shared" si="70"/>
        <v>2023</v>
      </c>
      <c r="C2195" s="8">
        <f t="shared" si="71"/>
        <v>2</v>
      </c>
      <c r="D2195" s="85">
        <v>44967</v>
      </c>
      <c r="E2195" s="31">
        <v>0</v>
      </c>
      <c r="F2195" s="31">
        <v>100000</v>
      </c>
      <c r="G2195" s="31">
        <v>0</v>
      </c>
      <c r="H2195" s="31">
        <v>0</v>
      </c>
      <c r="I2195" s="31" t="s">
        <v>1779</v>
      </c>
      <c r="J2195" s="5" t="s">
        <v>1848</v>
      </c>
      <c r="K2195" s="8"/>
    </row>
    <row r="2196" spans="1:11" x14ac:dyDescent="0.2">
      <c r="A2196" s="8">
        <v>2193</v>
      </c>
      <c r="B2196" s="8">
        <f t="shared" si="70"/>
        <v>2023</v>
      </c>
      <c r="C2196" s="8">
        <f t="shared" si="71"/>
        <v>2</v>
      </c>
      <c r="D2196" s="85">
        <v>44970</v>
      </c>
      <c r="E2196" s="31">
        <v>0</v>
      </c>
      <c r="F2196" s="31">
        <v>20000</v>
      </c>
      <c r="G2196" s="31">
        <v>0</v>
      </c>
      <c r="H2196" s="31">
        <v>0</v>
      </c>
      <c r="I2196" s="31" t="s">
        <v>88</v>
      </c>
      <c r="J2196" s="5" t="s">
        <v>356</v>
      </c>
      <c r="K2196" s="8"/>
    </row>
    <row r="2197" spans="1:11" x14ac:dyDescent="0.2">
      <c r="A2197" s="8">
        <v>2194</v>
      </c>
      <c r="B2197" s="8">
        <f t="shared" si="70"/>
        <v>2023</v>
      </c>
      <c r="C2197" s="8">
        <f t="shared" si="71"/>
        <v>2</v>
      </c>
      <c r="D2197" s="85">
        <v>44970</v>
      </c>
      <c r="E2197" s="31">
        <v>0</v>
      </c>
      <c r="F2197" s="31">
        <v>125000</v>
      </c>
      <c r="G2197" s="31">
        <v>0</v>
      </c>
      <c r="H2197" s="31">
        <v>0</v>
      </c>
      <c r="I2197" s="31" t="s">
        <v>299</v>
      </c>
      <c r="J2197" s="5" t="s">
        <v>1849</v>
      </c>
      <c r="K2197" s="8"/>
    </row>
    <row r="2198" spans="1:11" x14ac:dyDescent="0.2">
      <c r="A2198" s="8">
        <v>2196</v>
      </c>
      <c r="B2198" s="8">
        <f t="shared" si="70"/>
        <v>2023</v>
      </c>
      <c r="C2198" s="8">
        <f t="shared" si="71"/>
        <v>2</v>
      </c>
      <c r="D2198" s="85">
        <v>44971</v>
      </c>
      <c r="E2198" s="31">
        <v>0</v>
      </c>
      <c r="F2198" s="31">
        <v>21000</v>
      </c>
      <c r="G2198" s="31">
        <v>0</v>
      </c>
      <c r="H2198" s="31">
        <v>0</v>
      </c>
      <c r="I2198" s="31" t="s">
        <v>88</v>
      </c>
      <c r="J2198" s="5" t="s">
        <v>1273</v>
      </c>
      <c r="K2198" s="8"/>
    </row>
    <row r="2199" spans="1:11" x14ac:dyDescent="0.2">
      <c r="A2199" s="8">
        <v>2197</v>
      </c>
      <c r="B2199" s="8">
        <f t="shared" si="70"/>
        <v>2023</v>
      </c>
      <c r="C2199" s="8">
        <f t="shared" si="71"/>
        <v>2</v>
      </c>
      <c r="D2199" s="85">
        <v>44971</v>
      </c>
      <c r="E2199" s="31">
        <v>0</v>
      </c>
      <c r="F2199" s="31">
        <v>10000</v>
      </c>
      <c r="G2199" s="31">
        <v>0</v>
      </c>
      <c r="H2199" s="31">
        <v>0</v>
      </c>
      <c r="I2199" s="31" t="s">
        <v>88</v>
      </c>
      <c r="J2199" s="5" t="s">
        <v>1273</v>
      </c>
      <c r="K2199" s="8"/>
    </row>
    <row r="2200" spans="1:11" x14ac:dyDescent="0.2">
      <c r="A2200" s="8">
        <v>2199</v>
      </c>
      <c r="B2200" s="8">
        <f t="shared" si="70"/>
        <v>2023</v>
      </c>
      <c r="C2200" s="8">
        <f t="shared" si="71"/>
        <v>2</v>
      </c>
      <c r="D2200" s="85">
        <v>44971</v>
      </c>
      <c r="E2200" s="31">
        <v>0</v>
      </c>
      <c r="F2200" s="31">
        <v>80000</v>
      </c>
      <c r="G2200" s="31">
        <v>0</v>
      </c>
      <c r="H2200" s="31">
        <v>0</v>
      </c>
      <c r="I2200" s="139" t="s">
        <v>1834</v>
      </c>
      <c r="J2200" s="5" t="s">
        <v>1850</v>
      </c>
      <c r="K2200" s="8"/>
    </row>
    <row r="2201" spans="1:11" x14ac:dyDescent="0.2">
      <c r="A2201" s="8">
        <v>2200</v>
      </c>
      <c r="B2201" s="8">
        <f t="shared" si="70"/>
        <v>2023</v>
      </c>
      <c r="C2201" s="8">
        <f t="shared" si="71"/>
        <v>2</v>
      </c>
      <c r="D2201" s="85">
        <v>44972</v>
      </c>
      <c r="E2201" s="31">
        <v>0</v>
      </c>
      <c r="F2201" s="31">
        <v>40000</v>
      </c>
      <c r="G2201" s="31">
        <v>0</v>
      </c>
      <c r="H2201" s="31">
        <v>0</v>
      </c>
      <c r="I2201" s="31" t="s">
        <v>88</v>
      </c>
      <c r="J2201" s="5" t="s">
        <v>356</v>
      </c>
      <c r="K2201" s="8"/>
    </row>
    <row r="2202" spans="1:11" x14ac:dyDescent="0.2">
      <c r="A2202" s="8">
        <v>2201</v>
      </c>
      <c r="B2202" s="8">
        <f t="shared" ref="B2202:B2233" si="72">YEAR(D2202)</f>
        <v>2023</v>
      </c>
      <c r="C2202" s="8">
        <f t="shared" ref="C2202:C2233" si="73">MONTH(D2202)</f>
        <v>2</v>
      </c>
      <c r="D2202" s="85">
        <v>44972</v>
      </c>
      <c r="E2202" s="31">
        <v>0</v>
      </c>
      <c r="F2202" s="31">
        <v>450000</v>
      </c>
      <c r="G2202" s="31">
        <v>0</v>
      </c>
      <c r="H2202" s="31">
        <v>0</v>
      </c>
      <c r="I2202" s="139" t="s">
        <v>1834</v>
      </c>
      <c r="J2202" s="5" t="s">
        <v>1851</v>
      </c>
      <c r="K2202" s="8"/>
    </row>
    <row r="2203" spans="1:11" x14ac:dyDescent="0.2">
      <c r="A2203" s="8">
        <v>2202</v>
      </c>
      <c r="B2203" s="8">
        <f t="shared" si="72"/>
        <v>2023</v>
      </c>
      <c r="C2203" s="8">
        <f t="shared" si="73"/>
        <v>2</v>
      </c>
      <c r="D2203" s="85">
        <v>44973</v>
      </c>
      <c r="E2203" s="31">
        <v>0</v>
      </c>
      <c r="F2203" s="31">
        <v>40000</v>
      </c>
      <c r="G2203" s="31">
        <v>0</v>
      </c>
      <c r="H2203" s="31">
        <v>0</v>
      </c>
      <c r="I2203" s="31" t="s">
        <v>88</v>
      </c>
      <c r="J2203" s="5" t="s">
        <v>356</v>
      </c>
      <c r="K2203" s="8"/>
    </row>
    <row r="2204" spans="1:11" x14ac:dyDescent="0.2">
      <c r="A2204" s="8">
        <v>2203</v>
      </c>
      <c r="B2204" s="8">
        <f t="shared" si="72"/>
        <v>2023</v>
      </c>
      <c r="C2204" s="8">
        <f t="shared" si="73"/>
        <v>2</v>
      </c>
      <c r="D2204" s="85">
        <v>44973</v>
      </c>
      <c r="E2204" s="31">
        <v>0</v>
      </c>
      <c r="F2204" s="31">
        <v>20000</v>
      </c>
      <c r="G2204" s="31">
        <v>0</v>
      </c>
      <c r="H2204" s="31">
        <v>0</v>
      </c>
      <c r="I2204" s="31" t="s">
        <v>85</v>
      </c>
      <c r="J2204" s="5" t="s">
        <v>1852</v>
      </c>
      <c r="K2204" s="8"/>
    </row>
    <row r="2205" spans="1:11" x14ac:dyDescent="0.2">
      <c r="A2205" s="8">
        <v>2204</v>
      </c>
      <c r="B2205" s="8">
        <f t="shared" si="72"/>
        <v>2023</v>
      </c>
      <c r="C2205" s="8">
        <f t="shared" si="73"/>
        <v>2</v>
      </c>
      <c r="D2205" s="85">
        <v>44973</v>
      </c>
      <c r="E2205" s="31">
        <v>0</v>
      </c>
      <c r="F2205" s="31">
        <v>150000</v>
      </c>
      <c r="G2205" s="31">
        <v>0</v>
      </c>
      <c r="H2205" s="31">
        <v>0</v>
      </c>
      <c r="I2205" s="31" t="s">
        <v>85</v>
      </c>
      <c r="J2205" s="5" t="s">
        <v>1853</v>
      </c>
      <c r="K2205" s="8"/>
    </row>
    <row r="2206" spans="1:11" x14ac:dyDescent="0.2">
      <c r="A2206" s="8">
        <v>2205</v>
      </c>
      <c r="B2206" s="8">
        <f t="shared" si="72"/>
        <v>2023</v>
      </c>
      <c r="C2206" s="8">
        <f t="shared" si="73"/>
        <v>2</v>
      </c>
      <c r="D2206" s="85">
        <v>44973</v>
      </c>
      <c r="E2206" s="31">
        <v>0</v>
      </c>
      <c r="F2206" s="31">
        <v>150000</v>
      </c>
      <c r="G2206" s="31">
        <v>0</v>
      </c>
      <c r="H2206" s="31">
        <v>0</v>
      </c>
      <c r="I2206" s="31" t="s">
        <v>85</v>
      </c>
      <c r="J2206" s="5" t="s">
        <v>1854</v>
      </c>
      <c r="K2206" s="8"/>
    </row>
    <row r="2207" spans="1:11" x14ac:dyDescent="0.2">
      <c r="A2207" s="8">
        <v>2206</v>
      </c>
      <c r="B2207" s="8">
        <f t="shared" si="72"/>
        <v>2023</v>
      </c>
      <c r="C2207" s="8">
        <f t="shared" si="73"/>
        <v>2</v>
      </c>
      <c r="D2207" s="85">
        <v>44973</v>
      </c>
      <c r="E2207" s="31">
        <v>0</v>
      </c>
      <c r="F2207" s="31">
        <v>100000</v>
      </c>
      <c r="G2207" s="31">
        <v>0</v>
      </c>
      <c r="H2207" s="31">
        <v>0</v>
      </c>
      <c r="I2207" s="31" t="s">
        <v>85</v>
      </c>
      <c r="J2207" s="5" t="s">
        <v>1855</v>
      </c>
      <c r="K2207" s="8"/>
    </row>
    <row r="2208" spans="1:11" x14ac:dyDescent="0.2">
      <c r="A2208" s="8">
        <v>2207</v>
      </c>
      <c r="B2208" s="8">
        <f t="shared" si="72"/>
        <v>2023</v>
      </c>
      <c r="C2208" s="8">
        <f t="shared" si="73"/>
        <v>2</v>
      </c>
      <c r="D2208" s="85">
        <v>44974</v>
      </c>
      <c r="E2208" s="31">
        <v>0</v>
      </c>
      <c r="F2208" s="31">
        <v>75000</v>
      </c>
      <c r="G2208" s="31">
        <v>0</v>
      </c>
      <c r="H2208" s="31">
        <v>0</v>
      </c>
      <c r="I2208" s="139" t="s">
        <v>1834</v>
      </c>
      <c r="J2208" s="5" t="s">
        <v>1844</v>
      </c>
      <c r="K2208" s="8"/>
    </row>
    <row r="2209" spans="1:11" x14ac:dyDescent="0.2">
      <c r="A2209" s="8">
        <v>2208</v>
      </c>
      <c r="B2209" s="8">
        <f t="shared" si="72"/>
        <v>2023</v>
      </c>
      <c r="C2209" s="8">
        <f t="shared" si="73"/>
        <v>2</v>
      </c>
      <c r="D2209" s="85">
        <v>44975</v>
      </c>
      <c r="E2209" s="31">
        <v>0</v>
      </c>
      <c r="F2209" s="31">
        <v>10000</v>
      </c>
      <c r="G2209" s="31">
        <v>0</v>
      </c>
      <c r="H2209" s="31">
        <v>0</v>
      </c>
      <c r="I2209" s="31" t="s">
        <v>85</v>
      </c>
      <c r="J2209" s="5" t="s">
        <v>1856</v>
      </c>
      <c r="K2209" s="8"/>
    </row>
    <row r="2210" spans="1:11" x14ac:dyDescent="0.2">
      <c r="A2210" s="8">
        <v>2209</v>
      </c>
      <c r="B2210" s="8">
        <f t="shared" si="72"/>
        <v>2023</v>
      </c>
      <c r="C2210" s="8">
        <f t="shared" si="73"/>
        <v>2</v>
      </c>
      <c r="D2210" s="85">
        <v>44975</v>
      </c>
      <c r="E2210" s="31">
        <v>0</v>
      </c>
      <c r="F2210" s="31">
        <v>14000</v>
      </c>
      <c r="G2210" s="31">
        <v>0</v>
      </c>
      <c r="H2210" s="31">
        <v>0</v>
      </c>
      <c r="I2210" s="31" t="s">
        <v>88</v>
      </c>
      <c r="J2210" s="5" t="s">
        <v>91</v>
      </c>
      <c r="K2210" s="8"/>
    </row>
    <row r="2211" spans="1:11" x14ac:dyDescent="0.2">
      <c r="A2211" s="8">
        <v>2210</v>
      </c>
      <c r="B2211" s="8">
        <f t="shared" si="72"/>
        <v>2023</v>
      </c>
      <c r="C2211" s="8">
        <f t="shared" si="73"/>
        <v>2</v>
      </c>
      <c r="D2211" s="85">
        <v>44975</v>
      </c>
      <c r="E2211" s="31">
        <v>0</v>
      </c>
      <c r="F2211" s="31">
        <v>10000</v>
      </c>
      <c r="G2211" s="31">
        <v>0</v>
      </c>
      <c r="H2211" s="31">
        <v>0</v>
      </c>
      <c r="I2211" s="31" t="s">
        <v>85</v>
      </c>
      <c r="J2211" s="5" t="s">
        <v>1857</v>
      </c>
      <c r="K2211" s="8"/>
    </row>
    <row r="2212" spans="1:11" x14ac:dyDescent="0.2">
      <c r="A2212" s="8">
        <v>2211</v>
      </c>
      <c r="B2212" s="8">
        <f t="shared" si="72"/>
        <v>2023</v>
      </c>
      <c r="C2212" s="8">
        <f t="shared" si="73"/>
        <v>2</v>
      </c>
      <c r="D2212" s="85">
        <v>44975</v>
      </c>
      <c r="E2212" s="31">
        <v>0</v>
      </c>
      <c r="F2212" s="31">
        <v>5000</v>
      </c>
      <c r="G2212" s="31">
        <v>0</v>
      </c>
      <c r="H2212" s="31">
        <v>0</v>
      </c>
      <c r="I2212" s="31" t="s">
        <v>88</v>
      </c>
      <c r="J2212" s="5" t="s">
        <v>1706</v>
      </c>
      <c r="K2212" s="8"/>
    </row>
    <row r="2213" spans="1:11" x14ac:dyDescent="0.2">
      <c r="A2213" s="8">
        <v>2212</v>
      </c>
      <c r="B2213" s="8">
        <f t="shared" si="72"/>
        <v>2023</v>
      </c>
      <c r="C2213" s="8">
        <f t="shared" si="73"/>
        <v>2</v>
      </c>
      <c r="D2213" s="85">
        <v>44975</v>
      </c>
      <c r="E2213" s="31">
        <v>0</v>
      </c>
      <c r="F2213" s="31">
        <v>5000</v>
      </c>
      <c r="G2213" s="31">
        <v>0</v>
      </c>
      <c r="H2213" s="31">
        <v>0</v>
      </c>
      <c r="I2213" s="31" t="s">
        <v>88</v>
      </c>
      <c r="J2213" s="5" t="s">
        <v>1858</v>
      </c>
      <c r="K2213" s="8"/>
    </row>
    <row r="2214" spans="1:11" x14ac:dyDescent="0.2">
      <c r="A2214" s="8">
        <v>2213</v>
      </c>
      <c r="B2214" s="8">
        <f t="shared" si="72"/>
        <v>2023</v>
      </c>
      <c r="C2214" s="8">
        <f t="shared" si="73"/>
        <v>2</v>
      </c>
      <c r="D2214" s="85">
        <v>44975</v>
      </c>
      <c r="E2214" s="31">
        <v>0</v>
      </c>
      <c r="F2214" s="31">
        <v>25000</v>
      </c>
      <c r="G2214" s="31">
        <v>0</v>
      </c>
      <c r="H2214" s="31">
        <v>0</v>
      </c>
      <c r="I2214" s="31" t="s">
        <v>88</v>
      </c>
      <c r="J2214" s="5" t="s">
        <v>1859</v>
      </c>
      <c r="K2214" s="8"/>
    </row>
    <row r="2215" spans="1:11" x14ac:dyDescent="0.2">
      <c r="A2215" s="8">
        <v>2214</v>
      </c>
      <c r="B2215" s="8">
        <f t="shared" si="72"/>
        <v>2023</v>
      </c>
      <c r="C2215" s="8">
        <f t="shared" si="73"/>
        <v>2</v>
      </c>
      <c r="D2215" s="85">
        <v>44975</v>
      </c>
      <c r="E2215" s="31">
        <v>0</v>
      </c>
      <c r="F2215" s="31">
        <v>10000</v>
      </c>
      <c r="G2215" s="31">
        <v>0</v>
      </c>
      <c r="H2215" s="31">
        <v>0</v>
      </c>
      <c r="I2215" s="31" t="s">
        <v>88</v>
      </c>
      <c r="J2215" s="5" t="s">
        <v>1860</v>
      </c>
      <c r="K2215" s="8"/>
    </row>
    <row r="2216" spans="1:11" x14ac:dyDescent="0.2">
      <c r="A2216" s="8">
        <v>2215</v>
      </c>
      <c r="B2216" s="8">
        <f t="shared" si="72"/>
        <v>2023</v>
      </c>
      <c r="C2216" s="8">
        <f t="shared" si="73"/>
        <v>2</v>
      </c>
      <c r="D2216" s="85">
        <v>44976</v>
      </c>
      <c r="E2216" s="31">
        <v>0</v>
      </c>
      <c r="F2216" s="31">
        <v>1000000</v>
      </c>
      <c r="G2216" s="31">
        <v>0</v>
      </c>
      <c r="H2216" s="31">
        <v>0</v>
      </c>
      <c r="I2216" s="31" t="s">
        <v>85</v>
      </c>
      <c r="J2216" s="5" t="s">
        <v>1861</v>
      </c>
      <c r="K2216" s="8"/>
    </row>
    <row r="2217" spans="1:11" x14ac:dyDescent="0.2">
      <c r="A2217" s="8">
        <v>2216</v>
      </c>
      <c r="B2217" s="8">
        <f t="shared" si="72"/>
        <v>2023</v>
      </c>
      <c r="C2217" s="8">
        <f t="shared" si="73"/>
        <v>2</v>
      </c>
      <c r="D2217" s="85">
        <v>44976</v>
      </c>
      <c r="E2217" s="31">
        <v>0</v>
      </c>
      <c r="F2217" s="31">
        <v>600000</v>
      </c>
      <c r="G2217" s="31">
        <v>0</v>
      </c>
      <c r="H2217" s="31">
        <v>0</v>
      </c>
      <c r="I2217" s="31" t="s">
        <v>201</v>
      </c>
      <c r="J2217" s="5" t="s">
        <v>316</v>
      </c>
      <c r="K2217" s="8"/>
    </row>
    <row r="2218" spans="1:11" x14ac:dyDescent="0.2">
      <c r="A2218" s="8">
        <v>2217</v>
      </c>
      <c r="B2218" s="8">
        <f t="shared" si="72"/>
        <v>2023</v>
      </c>
      <c r="C2218" s="8">
        <f t="shared" si="73"/>
        <v>2</v>
      </c>
      <c r="D2218" s="85">
        <v>44976</v>
      </c>
      <c r="E2218" s="31">
        <v>0</v>
      </c>
      <c r="F2218" s="31">
        <v>60000</v>
      </c>
      <c r="G2218" s="31">
        <v>0</v>
      </c>
      <c r="H2218" s="31">
        <v>0</v>
      </c>
      <c r="I2218" s="31" t="s">
        <v>85</v>
      </c>
      <c r="J2218" s="5" t="s">
        <v>1862</v>
      </c>
      <c r="K2218" s="8"/>
    </row>
    <row r="2219" spans="1:11" x14ac:dyDescent="0.2">
      <c r="A2219" s="8">
        <v>2218</v>
      </c>
      <c r="B2219" s="8">
        <f t="shared" si="72"/>
        <v>2023</v>
      </c>
      <c r="C2219" s="8">
        <f t="shared" si="73"/>
        <v>2</v>
      </c>
      <c r="D2219" s="85">
        <v>44977</v>
      </c>
      <c r="E2219" s="31">
        <v>12000000</v>
      </c>
      <c r="F2219" s="31">
        <v>0</v>
      </c>
      <c r="G2219" s="31">
        <v>0</v>
      </c>
      <c r="H2219" s="31">
        <v>0</v>
      </c>
      <c r="I2219" s="31" t="s">
        <v>109</v>
      </c>
      <c r="J2219" s="5" t="s">
        <v>1863</v>
      </c>
      <c r="K2219" s="8"/>
    </row>
    <row r="2220" spans="1:11" x14ac:dyDescent="0.2">
      <c r="A2220" s="8">
        <v>2220</v>
      </c>
      <c r="B2220" s="8">
        <f t="shared" si="72"/>
        <v>2023</v>
      </c>
      <c r="C2220" s="8">
        <f t="shared" si="73"/>
        <v>2</v>
      </c>
      <c r="D2220" s="85">
        <v>44977</v>
      </c>
      <c r="E2220" s="31">
        <v>0</v>
      </c>
      <c r="F2220" s="31">
        <v>1970000</v>
      </c>
      <c r="G2220" s="31">
        <v>0</v>
      </c>
      <c r="H2220" s="31">
        <v>0</v>
      </c>
      <c r="I2220" s="31" t="s">
        <v>1779</v>
      </c>
      <c r="J2220" s="5" t="s">
        <v>1864</v>
      </c>
      <c r="K2220" s="8"/>
    </row>
    <row r="2221" spans="1:11" x14ac:dyDescent="0.2">
      <c r="A2221" s="8">
        <v>2221</v>
      </c>
      <c r="B2221" s="8">
        <f t="shared" si="72"/>
        <v>2023</v>
      </c>
      <c r="C2221" s="8">
        <f t="shared" si="73"/>
        <v>2</v>
      </c>
      <c r="D2221" s="85">
        <v>44977</v>
      </c>
      <c r="E2221" s="31">
        <v>0</v>
      </c>
      <c r="F2221" s="31">
        <v>12000</v>
      </c>
      <c r="G2221" s="31">
        <v>0</v>
      </c>
      <c r="H2221" s="31">
        <v>0</v>
      </c>
      <c r="I2221" s="31" t="s">
        <v>88</v>
      </c>
      <c r="J2221" s="5" t="s">
        <v>356</v>
      </c>
      <c r="K2221" s="8"/>
    </row>
    <row r="2222" spans="1:11" x14ac:dyDescent="0.2">
      <c r="A2222" s="8">
        <v>2222</v>
      </c>
      <c r="B2222" s="8">
        <f t="shared" si="72"/>
        <v>2023</v>
      </c>
      <c r="C2222" s="8">
        <f t="shared" si="73"/>
        <v>2</v>
      </c>
      <c r="D2222" s="85">
        <v>44978</v>
      </c>
      <c r="E2222" s="31">
        <v>0</v>
      </c>
      <c r="F2222" s="31">
        <v>120000</v>
      </c>
      <c r="G2222" s="31">
        <v>0</v>
      </c>
      <c r="H2222" s="31">
        <v>0</v>
      </c>
      <c r="I2222" s="139" t="s">
        <v>1834</v>
      </c>
      <c r="J2222" s="5" t="s">
        <v>1865</v>
      </c>
      <c r="K2222" s="8"/>
    </row>
    <row r="2223" spans="1:11" x14ac:dyDescent="0.2">
      <c r="A2223" s="8">
        <v>2223</v>
      </c>
      <c r="B2223" s="8">
        <f t="shared" si="72"/>
        <v>2023</v>
      </c>
      <c r="C2223" s="8">
        <f t="shared" si="73"/>
        <v>2</v>
      </c>
      <c r="D2223" s="85">
        <v>44978</v>
      </c>
      <c r="E2223" s="31">
        <v>0</v>
      </c>
      <c r="F2223" s="31">
        <v>50000</v>
      </c>
      <c r="G2223" s="31">
        <v>0</v>
      </c>
      <c r="H2223" s="31">
        <v>0</v>
      </c>
      <c r="I2223" s="139" t="s">
        <v>1834</v>
      </c>
      <c r="J2223" s="5" t="s">
        <v>1866</v>
      </c>
      <c r="K2223" s="8"/>
    </row>
    <row r="2224" spans="1:11" x14ac:dyDescent="0.2">
      <c r="A2224" s="8">
        <v>2224</v>
      </c>
      <c r="B2224" s="8">
        <f t="shared" si="72"/>
        <v>2023</v>
      </c>
      <c r="C2224" s="8">
        <f t="shared" si="73"/>
        <v>2</v>
      </c>
      <c r="D2224" s="85">
        <v>44978</v>
      </c>
      <c r="E2224" s="31">
        <v>0</v>
      </c>
      <c r="F2224" s="31">
        <v>50000</v>
      </c>
      <c r="G2224" s="31">
        <v>0</v>
      </c>
      <c r="H2224" s="31">
        <v>0</v>
      </c>
      <c r="I2224" s="139" t="s">
        <v>1834</v>
      </c>
      <c r="J2224" s="5" t="s">
        <v>1867</v>
      </c>
      <c r="K2224" s="8"/>
    </row>
    <row r="2225" spans="1:11" x14ac:dyDescent="0.2">
      <c r="A2225" s="8">
        <v>2225</v>
      </c>
      <c r="B2225" s="8">
        <f t="shared" si="72"/>
        <v>2023</v>
      </c>
      <c r="C2225" s="8">
        <f t="shared" si="73"/>
        <v>2</v>
      </c>
      <c r="D2225" s="85">
        <v>44978</v>
      </c>
      <c r="E2225" s="31">
        <v>0</v>
      </c>
      <c r="F2225" s="31">
        <v>12000</v>
      </c>
      <c r="G2225" s="31">
        <v>0</v>
      </c>
      <c r="H2225" s="31">
        <v>0</v>
      </c>
      <c r="I2225" s="31" t="s">
        <v>88</v>
      </c>
      <c r="J2225" s="5" t="s">
        <v>91</v>
      </c>
      <c r="K2225" s="8"/>
    </row>
    <row r="2226" spans="1:11" x14ac:dyDescent="0.2">
      <c r="A2226" s="8">
        <v>2226</v>
      </c>
      <c r="B2226" s="8">
        <f t="shared" si="72"/>
        <v>2023</v>
      </c>
      <c r="C2226" s="8">
        <f t="shared" si="73"/>
        <v>2</v>
      </c>
      <c r="D2226" s="85">
        <v>44978</v>
      </c>
      <c r="E2226" s="31">
        <v>0</v>
      </c>
      <c r="F2226" s="31">
        <v>100000</v>
      </c>
      <c r="G2226" s="31">
        <v>0</v>
      </c>
      <c r="H2226" s="31">
        <v>0</v>
      </c>
      <c r="I2226" s="139" t="s">
        <v>1834</v>
      </c>
      <c r="J2226" s="5" t="s">
        <v>1868</v>
      </c>
      <c r="K2226" s="8"/>
    </row>
    <row r="2227" spans="1:11" x14ac:dyDescent="0.2">
      <c r="A2227" s="8">
        <v>2227</v>
      </c>
      <c r="B2227" s="8">
        <f t="shared" si="72"/>
        <v>2023</v>
      </c>
      <c r="C2227" s="8">
        <f t="shared" si="73"/>
        <v>2</v>
      </c>
      <c r="D2227" s="85">
        <v>44978</v>
      </c>
      <c r="E2227" s="31">
        <v>0</v>
      </c>
      <c r="F2227" s="31">
        <v>45000</v>
      </c>
      <c r="G2227" s="31">
        <v>0</v>
      </c>
      <c r="H2227" s="31">
        <v>0</v>
      </c>
      <c r="I2227" s="139" t="s">
        <v>1834</v>
      </c>
      <c r="J2227" s="5" t="s">
        <v>1869</v>
      </c>
      <c r="K2227" s="8"/>
    </row>
    <row r="2228" spans="1:11" x14ac:dyDescent="0.2">
      <c r="A2228" s="8">
        <v>2228</v>
      </c>
      <c r="B2228" s="8">
        <f t="shared" si="72"/>
        <v>2023</v>
      </c>
      <c r="C2228" s="8">
        <f t="shared" si="73"/>
        <v>2</v>
      </c>
      <c r="D2228" s="85">
        <v>44979</v>
      </c>
      <c r="E2228" s="31">
        <v>0</v>
      </c>
      <c r="F2228" s="31">
        <v>25000</v>
      </c>
      <c r="G2228" s="31">
        <v>0</v>
      </c>
      <c r="H2228" s="31">
        <v>0</v>
      </c>
      <c r="I2228" s="31" t="s">
        <v>85</v>
      </c>
      <c r="J2228" s="5" t="s">
        <v>1870</v>
      </c>
      <c r="K2228" s="8"/>
    </row>
    <row r="2229" spans="1:11" x14ac:dyDescent="0.2">
      <c r="A2229" s="8">
        <v>2230</v>
      </c>
      <c r="B2229" s="8">
        <f t="shared" si="72"/>
        <v>2023</v>
      </c>
      <c r="C2229" s="8">
        <f t="shared" si="73"/>
        <v>2</v>
      </c>
      <c r="D2229" s="85">
        <v>44980</v>
      </c>
      <c r="E2229" s="31">
        <v>0</v>
      </c>
      <c r="F2229" s="31">
        <v>27000</v>
      </c>
      <c r="G2229" s="31">
        <v>0</v>
      </c>
      <c r="H2229" s="31">
        <v>0</v>
      </c>
      <c r="I2229" s="31" t="s">
        <v>85</v>
      </c>
      <c r="J2229" s="5" t="s">
        <v>1871</v>
      </c>
      <c r="K2229" s="8"/>
    </row>
    <row r="2230" spans="1:11" x14ac:dyDescent="0.2">
      <c r="A2230" s="8">
        <v>2231</v>
      </c>
      <c r="B2230" s="8">
        <f t="shared" si="72"/>
        <v>2023</v>
      </c>
      <c r="C2230" s="8">
        <f t="shared" si="73"/>
        <v>2</v>
      </c>
      <c r="D2230" s="85">
        <v>44980</v>
      </c>
      <c r="E2230" s="31">
        <v>0</v>
      </c>
      <c r="F2230" s="31">
        <v>7000</v>
      </c>
      <c r="G2230" s="31">
        <v>0</v>
      </c>
      <c r="H2230" s="31">
        <v>0</v>
      </c>
      <c r="I2230" s="31" t="s">
        <v>88</v>
      </c>
      <c r="J2230" s="5" t="s">
        <v>89</v>
      </c>
      <c r="K2230" s="8"/>
    </row>
    <row r="2231" spans="1:11" x14ac:dyDescent="0.2">
      <c r="A2231" s="8">
        <v>2232</v>
      </c>
      <c r="B2231" s="8">
        <f t="shared" si="72"/>
        <v>2023</v>
      </c>
      <c r="C2231" s="8">
        <f t="shared" si="73"/>
        <v>2</v>
      </c>
      <c r="D2231" s="85">
        <v>44980</v>
      </c>
      <c r="E2231" s="31">
        <v>0</v>
      </c>
      <c r="F2231" s="31">
        <v>20000</v>
      </c>
      <c r="G2231" s="31">
        <v>0</v>
      </c>
      <c r="H2231" s="31">
        <v>0</v>
      </c>
      <c r="I2231" s="139" t="s">
        <v>1834</v>
      </c>
      <c r="J2231" s="5" t="s">
        <v>827</v>
      </c>
      <c r="K2231" s="8"/>
    </row>
    <row r="2232" spans="1:11" x14ac:dyDescent="0.2">
      <c r="A2232" s="8">
        <v>2233</v>
      </c>
      <c r="B2232" s="8">
        <f t="shared" si="72"/>
        <v>2023</v>
      </c>
      <c r="C2232" s="8">
        <f t="shared" si="73"/>
        <v>2</v>
      </c>
      <c r="D2232" s="85">
        <v>44981</v>
      </c>
      <c r="E2232" s="31">
        <v>0</v>
      </c>
      <c r="F2232" s="31">
        <v>135000</v>
      </c>
      <c r="G2232" s="31">
        <v>0</v>
      </c>
      <c r="H2232" s="31">
        <v>0</v>
      </c>
      <c r="I2232" s="31"/>
      <c r="J2232" s="5" t="s">
        <v>1872</v>
      </c>
      <c r="K2232" s="8"/>
    </row>
    <row r="2233" spans="1:11" x14ac:dyDescent="0.2">
      <c r="A2233" s="8">
        <v>2234</v>
      </c>
      <c r="B2233" s="8">
        <f t="shared" si="72"/>
        <v>2023</v>
      </c>
      <c r="C2233" s="8">
        <f t="shared" si="73"/>
        <v>2</v>
      </c>
      <c r="D2233" s="85">
        <v>44981</v>
      </c>
      <c r="E2233" s="31">
        <v>0</v>
      </c>
      <c r="F2233" s="31">
        <v>200000</v>
      </c>
      <c r="G2233" s="31">
        <v>0</v>
      </c>
      <c r="H2233" s="31">
        <v>0</v>
      </c>
      <c r="I2233" s="139" t="s">
        <v>1834</v>
      </c>
      <c r="J2233" s="5" t="s">
        <v>1873</v>
      </c>
      <c r="K2233" s="8"/>
    </row>
    <row r="2234" spans="1:11" x14ac:dyDescent="0.2">
      <c r="A2234" s="8">
        <v>2235</v>
      </c>
      <c r="B2234" s="8">
        <f t="shared" ref="B2234:B2241" si="74">YEAR(D2234)</f>
        <v>2023</v>
      </c>
      <c r="C2234" s="8">
        <f t="shared" ref="C2234:C2241" si="75">MONTH(D2234)</f>
        <v>2</v>
      </c>
      <c r="D2234" s="85">
        <v>44981</v>
      </c>
      <c r="E2234" s="31">
        <v>0</v>
      </c>
      <c r="F2234" s="31">
        <v>105000</v>
      </c>
      <c r="G2234" s="31">
        <v>0</v>
      </c>
      <c r="H2234" s="31">
        <v>0</v>
      </c>
      <c r="I2234" s="139" t="s">
        <v>1834</v>
      </c>
      <c r="J2234" s="5" t="s">
        <v>192</v>
      </c>
      <c r="K2234" s="8"/>
    </row>
    <row r="2235" spans="1:11" x14ac:dyDescent="0.2">
      <c r="A2235" s="8">
        <v>2236</v>
      </c>
      <c r="B2235" s="8">
        <f t="shared" si="74"/>
        <v>2023</v>
      </c>
      <c r="C2235" s="8">
        <f t="shared" si="75"/>
        <v>2</v>
      </c>
      <c r="D2235" s="85">
        <v>44981</v>
      </c>
      <c r="E2235" s="31">
        <v>0</v>
      </c>
      <c r="F2235" s="31">
        <v>170000</v>
      </c>
      <c r="G2235" s="31">
        <v>0</v>
      </c>
      <c r="H2235" s="31">
        <v>0</v>
      </c>
      <c r="I2235" s="139" t="s">
        <v>1834</v>
      </c>
      <c r="J2235" s="5" t="s">
        <v>1874</v>
      </c>
      <c r="K2235" s="8"/>
    </row>
    <row r="2236" spans="1:11" x14ac:dyDescent="0.2">
      <c r="A2236" s="8">
        <v>2237</v>
      </c>
      <c r="B2236" s="8">
        <f t="shared" si="74"/>
        <v>2023</v>
      </c>
      <c r="C2236" s="8">
        <f t="shared" si="75"/>
        <v>2</v>
      </c>
      <c r="D2236" s="85">
        <v>44981</v>
      </c>
      <c r="E2236" s="31">
        <v>0</v>
      </c>
      <c r="F2236" s="31">
        <v>560000</v>
      </c>
      <c r="G2236" s="31">
        <v>0</v>
      </c>
      <c r="H2236" s="31">
        <v>0</v>
      </c>
      <c r="I2236" s="31" t="s">
        <v>85</v>
      </c>
      <c r="J2236" s="5" t="s">
        <v>1875</v>
      </c>
      <c r="K2236" s="8"/>
    </row>
    <row r="2237" spans="1:11" x14ac:dyDescent="0.2">
      <c r="A2237" s="8">
        <v>2238</v>
      </c>
      <c r="B2237" s="8">
        <f t="shared" si="74"/>
        <v>2023</v>
      </c>
      <c r="C2237" s="8">
        <f t="shared" si="75"/>
        <v>2</v>
      </c>
      <c r="D2237" s="85">
        <v>44981</v>
      </c>
      <c r="E2237" s="31">
        <v>0</v>
      </c>
      <c r="F2237" s="31">
        <v>54000</v>
      </c>
      <c r="G2237" s="31">
        <v>0</v>
      </c>
      <c r="H2237" s="31">
        <v>0</v>
      </c>
      <c r="I2237" s="31" t="s">
        <v>88</v>
      </c>
      <c r="J2237" s="5" t="s">
        <v>356</v>
      </c>
      <c r="K2237" s="8"/>
    </row>
    <row r="2238" spans="1:11" x14ac:dyDescent="0.2">
      <c r="A2238" s="8">
        <v>2239</v>
      </c>
      <c r="B2238" s="8">
        <f t="shared" si="74"/>
        <v>2023</v>
      </c>
      <c r="C2238" s="8">
        <f t="shared" si="75"/>
        <v>2</v>
      </c>
      <c r="D2238" s="85">
        <v>44982</v>
      </c>
      <c r="E2238" s="31">
        <v>0</v>
      </c>
      <c r="F2238" s="31">
        <v>700000</v>
      </c>
      <c r="G2238" s="31">
        <v>0</v>
      </c>
      <c r="H2238" s="31">
        <v>0</v>
      </c>
      <c r="I2238" s="139" t="s">
        <v>1834</v>
      </c>
      <c r="J2238" s="5" t="s">
        <v>1876</v>
      </c>
      <c r="K2238" s="8"/>
    </row>
    <row r="2239" spans="1:11" x14ac:dyDescent="0.2">
      <c r="A2239" s="8">
        <v>2240</v>
      </c>
      <c r="B2239" s="8">
        <f t="shared" si="74"/>
        <v>2023</v>
      </c>
      <c r="C2239" s="8">
        <f t="shared" si="75"/>
        <v>2</v>
      </c>
      <c r="D2239" s="85">
        <v>44982</v>
      </c>
      <c r="E2239" s="31">
        <v>0</v>
      </c>
      <c r="F2239" s="31">
        <v>30000</v>
      </c>
      <c r="G2239" s="31">
        <v>0</v>
      </c>
      <c r="H2239" s="31">
        <v>0</v>
      </c>
      <c r="I2239" s="31" t="s">
        <v>88</v>
      </c>
      <c r="J2239" s="5" t="s">
        <v>356</v>
      </c>
      <c r="K2239" s="8"/>
    </row>
    <row r="2240" spans="1:11" x14ac:dyDescent="0.2">
      <c r="A2240" s="8">
        <v>2242</v>
      </c>
      <c r="B2240" s="8">
        <f t="shared" si="74"/>
        <v>2023</v>
      </c>
      <c r="C2240" s="8">
        <f t="shared" si="75"/>
        <v>2</v>
      </c>
      <c r="D2240" s="85">
        <v>44982</v>
      </c>
      <c r="E2240" s="31">
        <v>0</v>
      </c>
      <c r="F2240" s="31">
        <v>7000</v>
      </c>
      <c r="G2240" s="31">
        <v>0</v>
      </c>
      <c r="H2240" s="31">
        <v>0</v>
      </c>
      <c r="I2240" s="31" t="s">
        <v>85</v>
      </c>
      <c r="J2240" s="5" t="s">
        <v>1706</v>
      </c>
      <c r="K2240" s="8"/>
    </row>
    <row r="2241" spans="1:11" x14ac:dyDescent="0.2">
      <c r="A2241" s="8">
        <v>2243</v>
      </c>
      <c r="B2241" s="8">
        <f t="shared" si="74"/>
        <v>2023</v>
      </c>
      <c r="C2241" s="8">
        <f t="shared" si="75"/>
        <v>2</v>
      </c>
      <c r="D2241" s="85">
        <v>44983</v>
      </c>
      <c r="E2241" s="31">
        <v>0</v>
      </c>
      <c r="F2241" s="31">
        <v>50000</v>
      </c>
      <c r="G2241" s="31">
        <v>0</v>
      </c>
      <c r="H2241" s="31">
        <v>0</v>
      </c>
      <c r="I2241" s="31" t="s">
        <v>85</v>
      </c>
      <c r="J2241" s="5" t="s">
        <v>1046</v>
      </c>
      <c r="K2241" s="8"/>
    </row>
    <row r="2242" spans="1:11" x14ac:dyDescent="0.2">
      <c r="A2242" s="8"/>
      <c r="B2242" s="8"/>
      <c r="C2242" s="8"/>
      <c r="D2242" s="85"/>
      <c r="E2242" s="31"/>
      <c r="F2242" s="31"/>
      <c r="G2242" s="31"/>
      <c r="H2242" s="31"/>
      <c r="I2242" s="31"/>
      <c r="J2242" s="5"/>
      <c r="K2242" s="8"/>
    </row>
    <row r="2243" spans="1:11" x14ac:dyDescent="0.2">
      <c r="A2243" s="8">
        <v>2246</v>
      </c>
      <c r="B2243" s="8">
        <f t="shared" ref="B2243:B2306" si="76">YEAR(D2243)</f>
        <v>2023</v>
      </c>
      <c r="C2243" s="8">
        <f t="shared" ref="C2243:C2306" si="77">MONTH(D2243)</f>
        <v>2</v>
      </c>
      <c r="D2243" s="85">
        <v>44984</v>
      </c>
      <c r="E2243" s="31">
        <v>0</v>
      </c>
      <c r="F2243" s="31">
        <v>100000</v>
      </c>
      <c r="G2243" s="31">
        <v>0</v>
      </c>
      <c r="H2243" s="31">
        <v>0</v>
      </c>
      <c r="I2243" s="31" t="s">
        <v>85</v>
      </c>
      <c r="J2243" s="5" t="s">
        <v>1877</v>
      </c>
      <c r="K2243" s="8"/>
    </row>
    <row r="2244" spans="1:11" x14ac:dyDescent="0.2">
      <c r="A2244" s="8">
        <v>2247</v>
      </c>
      <c r="B2244" s="8">
        <f t="shared" si="76"/>
        <v>2023</v>
      </c>
      <c r="C2244" s="8">
        <f t="shared" si="77"/>
        <v>2</v>
      </c>
      <c r="D2244" s="85">
        <v>44984</v>
      </c>
      <c r="E2244" s="31">
        <v>0</v>
      </c>
      <c r="F2244" s="31">
        <v>98000</v>
      </c>
      <c r="G2244" s="31">
        <v>0</v>
      </c>
      <c r="H2244" s="31">
        <v>0</v>
      </c>
      <c r="I2244" s="31" t="s">
        <v>85</v>
      </c>
      <c r="J2244" s="5" t="s">
        <v>389</v>
      </c>
      <c r="K2244" s="8"/>
    </row>
    <row r="2245" spans="1:11" x14ac:dyDescent="0.2">
      <c r="A2245" s="8">
        <v>2248</v>
      </c>
      <c r="B2245" s="8">
        <f t="shared" si="76"/>
        <v>2023</v>
      </c>
      <c r="C2245" s="8">
        <f t="shared" si="77"/>
        <v>2</v>
      </c>
      <c r="D2245" s="85">
        <v>44984</v>
      </c>
      <c r="E2245" s="31">
        <v>0</v>
      </c>
      <c r="F2245" s="31">
        <v>30000</v>
      </c>
      <c r="G2245" s="31">
        <v>0</v>
      </c>
      <c r="H2245" s="31">
        <v>0</v>
      </c>
      <c r="I2245" s="31" t="s">
        <v>85</v>
      </c>
      <c r="J2245" s="5" t="s">
        <v>1878</v>
      </c>
      <c r="K2245" s="8"/>
    </row>
    <row r="2246" spans="1:11" x14ac:dyDescent="0.2">
      <c r="A2246" s="8">
        <v>2249</v>
      </c>
      <c r="B2246" s="8">
        <f t="shared" si="76"/>
        <v>2023</v>
      </c>
      <c r="C2246" s="8">
        <f t="shared" si="77"/>
        <v>2</v>
      </c>
      <c r="D2246" s="85">
        <v>44984</v>
      </c>
      <c r="E2246" s="31">
        <v>0</v>
      </c>
      <c r="F2246" s="31">
        <v>21000</v>
      </c>
      <c r="G2246" s="31">
        <v>0</v>
      </c>
      <c r="H2246" s="31">
        <v>0</v>
      </c>
      <c r="I2246" s="31" t="s">
        <v>85</v>
      </c>
      <c r="J2246" s="5" t="s">
        <v>1879</v>
      </c>
      <c r="K2246" s="8"/>
    </row>
    <row r="2247" spans="1:11" x14ac:dyDescent="0.2">
      <c r="A2247" s="8">
        <v>2252</v>
      </c>
      <c r="B2247" s="8">
        <f t="shared" si="76"/>
        <v>2023</v>
      </c>
      <c r="C2247" s="8">
        <f t="shared" si="77"/>
        <v>2</v>
      </c>
      <c r="D2247" s="85">
        <v>44985</v>
      </c>
      <c r="E2247" s="31">
        <v>0</v>
      </c>
      <c r="F2247" s="31">
        <v>35000</v>
      </c>
      <c r="G2247" s="31">
        <v>0</v>
      </c>
      <c r="H2247" s="31">
        <v>0</v>
      </c>
      <c r="I2247" s="31" t="s">
        <v>1779</v>
      </c>
      <c r="J2247" s="5" t="s">
        <v>1880</v>
      </c>
      <c r="K2247" s="8"/>
    </row>
    <row r="2248" spans="1:11" x14ac:dyDescent="0.2">
      <c r="A2248" s="8">
        <v>2253</v>
      </c>
      <c r="B2248" s="8">
        <f t="shared" si="76"/>
        <v>2023</v>
      </c>
      <c r="C2248" s="8">
        <f t="shared" si="77"/>
        <v>2</v>
      </c>
      <c r="D2248" s="85">
        <v>44985</v>
      </c>
      <c r="E2248" s="31">
        <v>0</v>
      </c>
      <c r="F2248" s="31">
        <v>20000</v>
      </c>
      <c r="G2248" s="31">
        <v>0</v>
      </c>
      <c r="H2248" s="31">
        <v>0</v>
      </c>
      <c r="I2248" s="31" t="s">
        <v>85</v>
      </c>
      <c r="J2248" s="5" t="s">
        <v>175</v>
      </c>
      <c r="K2248" s="8"/>
    </row>
    <row r="2249" spans="1:11" x14ac:dyDescent="0.2">
      <c r="A2249" s="8">
        <v>2254</v>
      </c>
      <c r="B2249" s="8">
        <f t="shared" si="76"/>
        <v>2023</v>
      </c>
      <c r="C2249" s="8">
        <f t="shared" si="77"/>
        <v>3</v>
      </c>
      <c r="D2249" s="85">
        <v>44986</v>
      </c>
      <c r="E2249" s="31">
        <v>0</v>
      </c>
      <c r="F2249" s="31">
        <v>360000</v>
      </c>
      <c r="G2249" s="31">
        <v>0</v>
      </c>
      <c r="H2249" s="31">
        <v>0</v>
      </c>
      <c r="I2249" s="31" t="s">
        <v>74</v>
      </c>
      <c r="J2249" s="5" t="s">
        <v>1881</v>
      </c>
      <c r="K2249" s="8"/>
    </row>
    <row r="2250" spans="1:11" x14ac:dyDescent="0.2">
      <c r="A2250" s="8">
        <v>2255</v>
      </c>
      <c r="B2250" s="8">
        <f t="shared" si="76"/>
        <v>2023</v>
      </c>
      <c r="C2250" s="8">
        <f t="shared" si="77"/>
        <v>3</v>
      </c>
      <c r="D2250" s="85">
        <v>44986</v>
      </c>
      <c r="E2250" s="31">
        <v>700000</v>
      </c>
      <c r="F2250" s="31">
        <v>0</v>
      </c>
      <c r="G2250" s="31">
        <v>0</v>
      </c>
      <c r="H2250" s="31">
        <v>0</v>
      </c>
      <c r="I2250" s="31" t="s">
        <v>109</v>
      </c>
      <c r="J2250" s="5" t="s">
        <v>1882</v>
      </c>
      <c r="K2250" s="8"/>
    </row>
    <row r="2251" spans="1:11" x14ac:dyDescent="0.2">
      <c r="A2251" s="8">
        <v>2256</v>
      </c>
      <c r="B2251" s="8">
        <f t="shared" si="76"/>
        <v>2023</v>
      </c>
      <c r="C2251" s="8">
        <f t="shared" si="77"/>
        <v>3</v>
      </c>
      <c r="D2251" s="85">
        <v>44986</v>
      </c>
      <c r="E2251" s="31">
        <v>0</v>
      </c>
      <c r="F2251" s="31">
        <v>12000</v>
      </c>
      <c r="G2251" s="31">
        <v>0</v>
      </c>
      <c r="H2251" s="31">
        <v>0</v>
      </c>
      <c r="I2251" s="31" t="s">
        <v>88</v>
      </c>
      <c r="J2251" s="5" t="s">
        <v>91</v>
      </c>
      <c r="K2251" s="8"/>
    </row>
    <row r="2252" spans="1:11" x14ac:dyDescent="0.2">
      <c r="A2252" s="8">
        <v>2257</v>
      </c>
      <c r="B2252" s="8">
        <f t="shared" si="76"/>
        <v>2023</v>
      </c>
      <c r="C2252" s="8">
        <f t="shared" si="77"/>
        <v>3</v>
      </c>
      <c r="D2252" s="85">
        <v>44986</v>
      </c>
      <c r="E2252" s="31">
        <v>0</v>
      </c>
      <c r="F2252" s="31">
        <v>16000</v>
      </c>
      <c r="G2252" s="31">
        <v>0</v>
      </c>
      <c r="H2252" s="31">
        <v>0</v>
      </c>
      <c r="I2252" s="31" t="s">
        <v>88</v>
      </c>
      <c r="J2252" s="5" t="s">
        <v>120</v>
      </c>
      <c r="K2252" s="8"/>
    </row>
    <row r="2253" spans="1:11" x14ac:dyDescent="0.2">
      <c r="A2253" s="8">
        <v>2258</v>
      </c>
      <c r="B2253" s="8">
        <f t="shared" si="76"/>
        <v>2023</v>
      </c>
      <c r="C2253" s="8">
        <f t="shared" si="77"/>
        <v>3</v>
      </c>
      <c r="D2253" s="85">
        <v>44987</v>
      </c>
      <c r="E2253" s="31">
        <v>0</v>
      </c>
      <c r="F2253" s="31">
        <v>20000</v>
      </c>
      <c r="G2253" s="31">
        <v>0</v>
      </c>
      <c r="H2253" s="31">
        <v>0</v>
      </c>
      <c r="I2253" s="31" t="s">
        <v>88</v>
      </c>
      <c r="J2253" s="5" t="s">
        <v>356</v>
      </c>
      <c r="K2253" s="8"/>
    </row>
    <row r="2254" spans="1:11" x14ac:dyDescent="0.2">
      <c r="A2254" s="8">
        <v>2259</v>
      </c>
      <c r="B2254" s="8">
        <f t="shared" si="76"/>
        <v>2023</v>
      </c>
      <c r="C2254" s="8">
        <f t="shared" si="77"/>
        <v>3</v>
      </c>
      <c r="D2254" s="85">
        <v>44988</v>
      </c>
      <c r="E2254" s="31">
        <v>0</v>
      </c>
      <c r="F2254" s="31">
        <v>22000</v>
      </c>
      <c r="G2254" s="31">
        <v>0</v>
      </c>
      <c r="H2254" s="31">
        <v>0</v>
      </c>
      <c r="I2254" s="31" t="s">
        <v>88</v>
      </c>
      <c r="J2254" s="5" t="s">
        <v>356</v>
      </c>
      <c r="K2254" s="8"/>
    </row>
    <row r="2255" spans="1:11" x14ac:dyDescent="0.2">
      <c r="A2255" s="8">
        <v>2260</v>
      </c>
      <c r="B2255" s="8">
        <f t="shared" si="76"/>
        <v>2023</v>
      </c>
      <c r="C2255" s="8">
        <f t="shared" si="77"/>
        <v>3</v>
      </c>
      <c r="D2255" s="85">
        <v>44988</v>
      </c>
      <c r="E2255" s="31">
        <v>0</v>
      </c>
      <c r="F2255" s="31">
        <v>85000</v>
      </c>
      <c r="G2255" s="31">
        <v>0</v>
      </c>
      <c r="H2255" s="31">
        <v>0</v>
      </c>
      <c r="I2255" s="31" t="s">
        <v>1779</v>
      </c>
      <c r="J2255" s="5" t="s">
        <v>1883</v>
      </c>
      <c r="K2255" s="8"/>
    </row>
    <row r="2256" spans="1:11" x14ac:dyDescent="0.2">
      <c r="A2256" s="8">
        <v>2261</v>
      </c>
      <c r="B2256" s="8">
        <f t="shared" si="76"/>
        <v>2023</v>
      </c>
      <c r="C2256" s="8">
        <f t="shared" si="77"/>
        <v>3</v>
      </c>
      <c r="D2256" s="85">
        <v>44988</v>
      </c>
      <c r="E2256" s="31">
        <v>0</v>
      </c>
      <c r="F2256" s="31">
        <v>250000</v>
      </c>
      <c r="G2256" s="31">
        <v>0</v>
      </c>
      <c r="H2256" s="31">
        <v>0</v>
      </c>
      <c r="I2256" s="139" t="s">
        <v>1834</v>
      </c>
      <c r="J2256" s="5" t="s">
        <v>1884</v>
      </c>
      <c r="K2256" s="8"/>
    </row>
    <row r="2257" spans="1:11" x14ac:dyDescent="0.2">
      <c r="A2257" s="8">
        <v>2262</v>
      </c>
      <c r="B2257" s="8">
        <f t="shared" si="76"/>
        <v>2023</v>
      </c>
      <c r="C2257" s="8">
        <f t="shared" si="77"/>
        <v>3</v>
      </c>
      <c r="D2257" s="85">
        <v>44989</v>
      </c>
      <c r="E2257" s="31">
        <v>0</v>
      </c>
      <c r="F2257" s="31">
        <v>430000</v>
      </c>
      <c r="G2257" s="31">
        <v>0</v>
      </c>
      <c r="H2257" s="31">
        <v>0</v>
      </c>
      <c r="I2257" s="31" t="s">
        <v>1779</v>
      </c>
      <c r="J2257" s="5" t="s">
        <v>1885</v>
      </c>
      <c r="K2257" s="8"/>
    </row>
    <row r="2258" spans="1:11" x14ac:dyDescent="0.2">
      <c r="A2258" s="8">
        <v>2263</v>
      </c>
      <c r="B2258" s="8">
        <f t="shared" si="76"/>
        <v>2023</v>
      </c>
      <c r="C2258" s="8">
        <f t="shared" si="77"/>
        <v>3</v>
      </c>
      <c r="D2258" s="85">
        <v>44989</v>
      </c>
      <c r="E2258" s="31">
        <v>0</v>
      </c>
      <c r="F2258" s="31">
        <v>20000</v>
      </c>
      <c r="G2258" s="31">
        <v>0</v>
      </c>
      <c r="H2258" s="31">
        <v>0</v>
      </c>
      <c r="I2258" s="31" t="s">
        <v>88</v>
      </c>
      <c r="J2258" s="5" t="s">
        <v>356</v>
      </c>
      <c r="K2258" s="8"/>
    </row>
    <row r="2259" spans="1:11" x14ac:dyDescent="0.2">
      <c r="A2259" s="8">
        <v>2264</v>
      </c>
      <c r="B2259" s="8">
        <f t="shared" si="76"/>
        <v>2023</v>
      </c>
      <c r="C2259" s="8">
        <f t="shared" si="77"/>
        <v>3</v>
      </c>
      <c r="D2259" s="85">
        <v>44990</v>
      </c>
      <c r="E2259" s="31">
        <v>0</v>
      </c>
      <c r="F2259" s="31">
        <v>493000</v>
      </c>
      <c r="G2259" s="31">
        <v>0</v>
      </c>
      <c r="H2259" s="31">
        <v>0</v>
      </c>
      <c r="I2259" s="31" t="s">
        <v>1779</v>
      </c>
      <c r="J2259" s="5" t="s">
        <v>1886</v>
      </c>
      <c r="K2259" s="8"/>
    </row>
    <row r="2260" spans="1:11" x14ac:dyDescent="0.2">
      <c r="A2260" s="8">
        <v>2265</v>
      </c>
      <c r="B2260" s="8">
        <f t="shared" si="76"/>
        <v>2023</v>
      </c>
      <c r="C2260" s="8">
        <f t="shared" si="77"/>
        <v>3</v>
      </c>
      <c r="D2260" s="85">
        <v>44990</v>
      </c>
      <c r="E2260" s="31">
        <v>0</v>
      </c>
      <c r="F2260" s="31">
        <v>5000</v>
      </c>
      <c r="G2260" s="31">
        <v>0</v>
      </c>
      <c r="H2260" s="31">
        <v>0</v>
      </c>
      <c r="I2260" s="31" t="s">
        <v>85</v>
      </c>
      <c r="J2260" s="5" t="s">
        <v>175</v>
      </c>
      <c r="K2260" s="8"/>
    </row>
    <row r="2261" spans="1:11" x14ac:dyDescent="0.2">
      <c r="A2261" s="8">
        <v>2266</v>
      </c>
      <c r="B2261" s="8">
        <f t="shared" si="76"/>
        <v>2023</v>
      </c>
      <c r="C2261" s="8">
        <f t="shared" si="77"/>
        <v>3</v>
      </c>
      <c r="D2261" s="85">
        <v>44991</v>
      </c>
      <c r="E2261" s="31">
        <v>0</v>
      </c>
      <c r="F2261" s="31">
        <v>150000</v>
      </c>
      <c r="G2261" s="31">
        <v>0</v>
      </c>
      <c r="H2261" s="31">
        <v>0</v>
      </c>
      <c r="I2261" s="31" t="s">
        <v>85</v>
      </c>
      <c r="J2261" s="5" t="s">
        <v>1887</v>
      </c>
      <c r="K2261" s="8"/>
    </row>
    <row r="2262" spans="1:11" x14ac:dyDescent="0.2">
      <c r="A2262" s="8">
        <v>2267</v>
      </c>
      <c r="B2262" s="8">
        <f t="shared" si="76"/>
        <v>2023</v>
      </c>
      <c r="C2262" s="8">
        <f t="shared" si="77"/>
        <v>3</v>
      </c>
      <c r="D2262" s="85">
        <v>44991</v>
      </c>
      <c r="E2262" s="31">
        <v>0</v>
      </c>
      <c r="F2262" s="31">
        <v>126000</v>
      </c>
      <c r="G2262" s="31">
        <v>0</v>
      </c>
      <c r="H2262" s="31">
        <v>0</v>
      </c>
      <c r="I2262" s="31" t="s">
        <v>299</v>
      </c>
      <c r="J2262" s="5" t="s">
        <v>1888</v>
      </c>
      <c r="K2262" s="8"/>
    </row>
    <row r="2263" spans="1:11" x14ac:dyDescent="0.2">
      <c r="A2263" s="8">
        <v>2268</v>
      </c>
      <c r="B2263" s="8">
        <f t="shared" si="76"/>
        <v>2023</v>
      </c>
      <c r="C2263" s="8">
        <f t="shared" si="77"/>
        <v>3</v>
      </c>
      <c r="D2263" s="85">
        <v>44992</v>
      </c>
      <c r="E2263" s="31">
        <v>0</v>
      </c>
      <c r="F2263" s="31">
        <v>1000000</v>
      </c>
      <c r="G2263" s="31">
        <v>0</v>
      </c>
      <c r="H2263" s="31">
        <v>0</v>
      </c>
      <c r="I2263" s="31" t="s">
        <v>1845</v>
      </c>
      <c r="J2263" s="5" t="s">
        <v>1889</v>
      </c>
      <c r="K2263" s="8"/>
    </row>
    <row r="2264" spans="1:11" x14ac:dyDescent="0.2">
      <c r="A2264" s="8">
        <v>2269</v>
      </c>
      <c r="B2264" s="8">
        <f t="shared" si="76"/>
        <v>2023</v>
      </c>
      <c r="C2264" s="8">
        <f t="shared" si="77"/>
        <v>3</v>
      </c>
      <c r="D2264" s="85">
        <v>44992</v>
      </c>
      <c r="E2264" s="31">
        <v>0</v>
      </c>
      <c r="F2264" s="31">
        <v>50000</v>
      </c>
      <c r="G2264" s="31">
        <v>0</v>
      </c>
      <c r="H2264" s="31">
        <v>0</v>
      </c>
      <c r="I2264" s="31" t="s">
        <v>85</v>
      </c>
      <c r="J2264" s="5" t="s">
        <v>287</v>
      </c>
      <c r="K2264" s="8"/>
    </row>
    <row r="2265" spans="1:11" x14ac:dyDescent="0.2">
      <c r="A2265" s="8">
        <v>2270</v>
      </c>
      <c r="B2265" s="8">
        <f t="shared" si="76"/>
        <v>2023</v>
      </c>
      <c r="C2265" s="8">
        <f t="shared" si="77"/>
        <v>3</v>
      </c>
      <c r="D2265" s="85">
        <v>44993</v>
      </c>
      <c r="E2265" s="31">
        <v>0</v>
      </c>
      <c r="F2265" s="31">
        <v>2065000</v>
      </c>
      <c r="G2265" s="31">
        <v>0</v>
      </c>
      <c r="H2265" s="31">
        <v>0</v>
      </c>
      <c r="I2265" s="31" t="s">
        <v>1779</v>
      </c>
      <c r="J2265" s="5" t="s">
        <v>1864</v>
      </c>
      <c r="K2265" s="8"/>
    </row>
    <row r="2266" spans="1:11" x14ac:dyDescent="0.2">
      <c r="A2266" s="8">
        <v>2271</v>
      </c>
      <c r="B2266" s="8">
        <f t="shared" si="76"/>
        <v>2023</v>
      </c>
      <c r="C2266" s="8">
        <f t="shared" si="77"/>
        <v>3</v>
      </c>
      <c r="D2266" s="85">
        <v>44993</v>
      </c>
      <c r="E2266" s="31">
        <v>0</v>
      </c>
      <c r="F2266" s="31">
        <v>20000</v>
      </c>
      <c r="G2266" s="31">
        <v>0</v>
      </c>
      <c r="H2266" s="31">
        <v>0</v>
      </c>
      <c r="I2266" s="31" t="s">
        <v>88</v>
      </c>
      <c r="J2266" s="5" t="s">
        <v>356</v>
      </c>
      <c r="K2266" s="8"/>
    </row>
    <row r="2267" spans="1:11" x14ac:dyDescent="0.2">
      <c r="A2267" s="8">
        <v>2272</v>
      </c>
      <c r="B2267" s="8">
        <f t="shared" si="76"/>
        <v>2023</v>
      </c>
      <c r="C2267" s="8">
        <f t="shared" si="77"/>
        <v>3</v>
      </c>
      <c r="D2267" s="85">
        <v>44993</v>
      </c>
      <c r="E2267" s="31">
        <v>0</v>
      </c>
      <c r="F2267" s="31">
        <v>10000</v>
      </c>
      <c r="G2267" s="31">
        <v>0</v>
      </c>
      <c r="H2267" s="31">
        <v>0</v>
      </c>
      <c r="I2267" s="31" t="s">
        <v>88</v>
      </c>
      <c r="J2267" s="5" t="s">
        <v>1890</v>
      </c>
      <c r="K2267" s="8"/>
    </row>
    <row r="2268" spans="1:11" x14ac:dyDescent="0.2">
      <c r="A2268" s="8">
        <v>2273</v>
      </c>
      <c r="B2268" s="8">
        <f t="shared" si="76"/>
        <v>2023</v>
      </c>
      <c r="C2268" s="8">
        <f t="shared" si="77"/>
        <v>3</v>
      </c>
      <c r="D2268" s="85">
        <v>44994</v>
      </c>
      <c r="E2268" s="31">
        <v>0</v>
      </c>
      <c r="F2268" s="31">
        <v>12000</v>
      </c>
      <c r="G2268" s="31">
        <v>0</v>
      </c>
      <c r="H2268" s="31">
        <v>0</v>
      </c>
      <c r="I2268" s="31" t="s">
        <v>88</v>
      </c>
      <c r="J2268" s="5" t="s">
        <v>356</v>
      </c>
      <c r="K2268" s="8"/>
    </row>
    <row r="2269" spans="1:11" x14ac:dyDescent="0.2">
      <c r="A2269" s="8">
        <v>2274</v>
      </c>
      <c r="B2269" s="8">
        <f t="shared" si="76"/>
        <v>2023</v>
      </c>
      <c r="C2269" s="8">
        <f t="shared" si="77"/>
        <v>3</v>
      </c>
      <c r="D2269" s="85">
        <v>44996</v>
      </c>
      <c r="E2269" s="31">
        <v>0</v>
      </c>
      <c r="F2269" s="31">
        <v>105000</v>
      </c>
      <c r="G2269" s="31">
        <v>0</v>
      </c>
      <c r="H2269" s="31">
        <v>0</v>
      </c>
      <c r="I2269" s="31" t="s">
        <v>88</v>
      </c>
      <c r="J2269" s="5" t="s">
        <v>1891</v>
      </c>
      <c r="K2269" s="8"/>
    </row>
    <row r="2270" spans="1:11" x14ac:dyDescent="0.2">
      <c r="A2270" s="8">
        <v>2275</v>
      </c>
      <c r="B2270" s="8">
        <f t="shared" si="76"/>
        <v>2023</v>
      </c>
      <c r="C2270" s="8">
        <f t="shared" si="77"/>
        <v>3</v>
      </c>
      <c r="D2270" s="85">
        <v>44997</v>
      </c>
      <c r="E2270" s="31">
        <v>0</v>
      </c>
      <c r="F2270" s="31">
        <v>55000</v>
      </c>
      <c r="G2270" s="31">
        <v>0</v>
      </c>
      <c r="H2270" s="31">
        <v>0</v>
      </c>
      <c r="I2270" s="31" t="s">
        <v>88</v>
      </c>
      <c r="J2270" s="5" t="s">
        <v>356</v>
      </c>
      <c r="K2270" s="8"/>
    </row>
    <row r="2271" spans="1:11" x14ac:dyDescent="0.2">
      <c r="A2271" s="8">
        <v>2276</v>
      </c>
      <c r="B2271" s="8">
        <f t="shared" si="76"/>
        <v>2023</v>
      </c>
      <c r="C2271" s="8">
        <f t="shared" si="77"/>
        <v>3</v>
      </c>
      <c r="D2271" s="85">
        <v>44997</v>
      </c>
      <c r="E2271" s="31">
        <v>0</v>
      </c>
      <c r="F2271" s="31">
        <v>20000</v>
      </c>
      <c r="G2271" s="31">
        <v>0</v>
      </c>
      <c r="H2271" s="31">
        <v>0</v>
      </c>
      <c r="I2271" s="31" t="s">
        <v>88</v>
      </c>
      <c r="J2271" s="5" t="s">
        <v>146</v>
      </c>
      <c r="K2271" s="8"/>
    </row>
    <row r="2272" spans="1:11" x14ac:dyDescent="0.2">
      <c r="A2272" s="8">
        <v>2277</v>
      </c>
      <c r="B2272" s="8">
        <f t="shared" si="76"/>
        <v>2023</v>
      </c>
      <c r="C2272" s="8">
        <f t="shared" si="77"/>
        <v>3</v>
      </c>
      <c r="D2272" s="85">
        <v>44998</v>
      </c>
      <c r="E2272" s="31">
        <v>0</v>
      </c>
      <c r="F2272" s="31">
        <v>10000</v>
      </c>
      <c r="G2272" s="31">
        <v>0</v>
      </c>
      <c r="H2272" s="31">
        <v>0</v>
      </c>
      <c r="I2272" s="31" t="s">
        <v>88</v>
      </c>
      <c r="J2272" s="5" t="s">
        <v>356</v>
      </c>
      <c r="K2272" s="8"/>
    </row>
    <row r="2273" spans="1:11" x14ac:dyDescent="0.2">
      <c r="A2273" s="8">
        <v>2278</v>
      </c>
      <c r="B2273" s="8">
        <f t="shared" si="76"/>
        <v>2023</v>
      </c>
      <c r="C2273" s="8">
        <f t="shared" si="77"/>
        <v>3</v>
      </c>
      <c r="D2273" s="85">
        <v>44999</v>
      </c>
      <c r="E2273" s="31">
        <v>0</v>
      </c>
      <c r="F2273" s="31">
        <v>50000</v>
      </c>
      <c r="G2273" s="31">
        <v>0</v>
      </c>
      <c r="H2273" s="31">
        <v>0</v>
      </c>
      <c r="I2273" s="31" t="s">
        <v>1779</v>
      </c>
      <c r="J2273" s="5" t="s">
        <v>1892</v>
      </c>
      <c r="K2273" s="8"/>
    </row>
    <row r="2274" spans="1:11" x14ac:dyDescent="0.2">
      <c r="A2274" s="8">
        <v>2279</v>
      </c>
      <c r="B2274" s="8">
        <f t="shared" si="76"/>
        <v>2023</v>
      </c>
      <c r="C2274" s="8">
        <f t="shared" si="77"/>
        <v>3</v>
      </c>
      <c r="D2274" s="85">
        <v>44999</v>
      </c>
      <c r="E2274" s="31">
        <v>0</v>
      </c>
      <c r="F2274" s="31">
        <v>39000</v>
      </c>
      <c r="G2274" s="31">
        <v>0</v>
      </c>
      <c r="H2274" s="31">
        <v>0</v>
      </c>
      <c r="I2274" s="31" t="s">
        <v>85</v>
      </c>
      <c r="J2274" s="5" t="s">
        <v>1578</v>
      </c>
      <c r="K2274" s="8"/>
    </row>
    <row r="2275" spans="1:11" x14ac:dyDescent="0.2">
      <c r="A2275" s="8">
        <v>2280</v>
      </c>
      <c r="B2275" s="8">
        <f t="shared" si="76"/>
        <v>2023</v>
      </c>
      <c r="C2275" s="8">
        <f t="shared" si="77"/>
        <v>3</v>
      </c>
      <c r="D2275" s="85">
        <v>45000</v>
      </c>
      <c r="E2275" s="31">
        <v>0</v>
      </c>
      <c r="F2275" s="31">
        <v>40000</v>
      </c>
      <c r="G2275" s="31">
        <v>0</v>
      </c>
      <c r="H2275" s="31">
        <v>0</v>
      </c>
      <c r="I2275" s="31" t="s">
        <v>88</v>
      </c>
      <c r="J2275" s="5" t="s">
        <v>1893</v>
      </c>
      <c r="K2275" s="8"/>
    </row>
    <row r="2276" spans="1:11" x14ac:dyDescent="0.2">
      <c r="A2276" s="8">
        <v>2281</v>
      </c>
      <c r="B2276" s="8">
        <f t="shared" si="76"/>
        <v>2023</v>
      </c>
      <c r="C2276" s="8">
        <f t="shared" si="77"/>
        <v>3</v>
      </c>
      <c r="D2276" s="85">
        <v>45001</v>
      </c>
      <c r="E2276" s="31">
        <v>0</v>
      </c>
      <c r="F2276" s="31">
        <v>150000</v>
      </c>
      <c r="G2276" s="31">
        <v>0</v>
      </c>
      <c r="H2276" s="31">
        <v>0</v>
      </c>
      <c r="I2276" s="31" t="s">
        <v>390</v>
      </c>
      <c r="J2276" s="5" t="s">
        <v>1894</v>
      </c>
      <c r="K2276" s="8"/>
    </row>
    <row r="2277" spans="1:11" x14ac:dyDescent="0.2">
      <c r="A2277" s="8">
        <v>2282</v>
      </c>
      <c r="B2277" s="8">
        <f t="shared" si="76"/>
        <v>2023</v>
      </c>
      <c r="C2277" s="8">
        <f t="shared" si="77"/>
        <v>3</v>
      </c>
      <c r="D2277" s="85">
        <v>45001</v>
      </c>
      <c r="E2277" s="31">
        <v>0</v>
      </c>
      <c r="F2277" s="31">
        <v>70000</v>
      </c>
      <c r="G2277" s="31">
        <v>0</v>
      </c>
      <c r="H2277" s="31">
        <v>0</v>
      </c>
      <c r="I2277" s="31" t="s">
        <v>1779</v>
      </c>
      <c r="J2277" s="5" t="s">
        <v>1895</v>
      </c>
      <c r="K2277" s="8"/>
    </row>
    <row r="2278" spans="1:11" x14ac:dyDescent="0.2">
      <c r="A2278" s="8">
        <v>2283</v>
      </c>
      <c r="B2278" s="8">
        <f t="shared" si="76"/>
        <v>2023</v>
      </c>
      <c r="C2278" s="8">
        <f t="shared" si="77"/>
        <v>3</v>
      </c>
      <c r="D2278" s="85">
        <v>45002</v>
      </c>
      <c r="E2278" s="31">
        <v>0</v>
      </c>
      <c r="F2278" s="31">
        <v>150000</v>
      </c>
      <c r="G2278" s="31">
        <v>0</v>
      </c>
      <c r="H2278" s="31">
        <v>0</v>
      </c>
      <c r="I2278" s="31" t="s">
        <v>1719</v>
      </c>
      <c r="J2278" s="5" t="s">
        <v>1896</v>
      </c>
      <c r="K2278" s="8"/>
    </row>
    <row r="2279" spans="1:11" x14ac:dyDescent="0.2">
      <c r="A2279" s="8">
        <v>2284</v>
      </c>
      <c r="B2279" s="8">
        <f t="shared" si="76"/>
        <v>2023</v>
      </c>
      <c r="C2279" s="8">
        <f t="shared" si="77"/>
        <v>3</v>
      </c>
      <c r="D2279" s="85">
        <v>45002</v>
      </c>
      <c r="E2279" s="31">
        <v>0</v>
      </c>
      <c r="F2279" s="31">
        <v>90000</v>
      </c>
      <c r="G2279" s="31">
        <v>0</v>
      </c>
      <c r="H2279" s="31">
        <v>0</v>
      </c>
      <c r="I2279" s="31" t="s">
        <v>1779</v>
      </c>
      <c r="J2279" s="5" t="s">
        <v>1897</v>
      </c>
      <c r="K2279" s="8"/>
    </row>
    <row r="2280" spans="1:11" x14ac:dyDescent="0.2">
      <c r="A2280" s="8">
        <v>2285</v>
      </c>
      <c r="B2280" s="8">
        <f t="shared" si="76"/>
        <v>2023</v>
      </c>
      <c r="C2280" s="8">
        <f t="shared" si="77"/>
        <v>3</v>
      </c>
      <c r="D2280" s="85">
        <v>45002</v>
      </c>
      <c r="E2280" s="31">
        <v>0</v>
      </c>
      <c r="F2280" s="31">
        <v>106000</v>
      </c>
      <c r="G2280" s="31">
        <v>0</v>
      </c>
      <c r="H2280" s="31">
        <v>0</v>
      </c>
      <c r="I2280" s="31" t="s">
        <v>1719</v>
      </c>
      <c r="J2280" s="5" t="s">
        <v>1799</v>
      </c>
      <c r="K2280" s="8"/>
    </row>
    <row r="2281" spans="1:11" x14ac:dyDescent="0.2">
      <c r="A2281" s="8">
        <v>2286</v>
      </c>
      <c r="B2281" s="8">
        <f t="shared" si="76"/>
        <v>2023</v>
      </c>
      <c r="C2281" s="8">
        <f t="shared" si="77"/>
        <v>3</v>
      </c>
      <c r="D2281" s="85">
        <v>45002</v>
      </c>
      <c r="E2281" s="31">
        <v>0</v>
      </c>
      <c r="F2281" s="31">
        <v>200000</v>
      </c>
      <c r="G2281" s="31">
        <v>0</v>
      </c>
      <c r="H2281" s="31">
        <v>0</v>
      </c>
      <c r="I2281" s="31" t="s">
        <v>85</v>
      </c>
      <c r="J2281" s="5" t="s">
        <v>1898</v>
      </c>
      <c r="K2281" s="8"/>
    </row>
    <row r="2282" spans="1:11" x14ac:dyDescent="0.2">
      <c r="A2282" s="8">
        <v>2287</v>
      </c>
      <c r="B2282" s="8">
        <f t="shared" si="76"/>
        <v>2023</v>
      </c>
      <c r="C2282" s="8">
        <f t="shared" si="77"/>
        <v>3</v>
      </c>
      <c r="D2282" s="85">
        <v>45002</v>
      </c>
      <c r="E2282" s="31">
        <v>0</v>
      </c>
      <c r="F2282" s="31">
        <v>264000</v>
      </c>
      <c r="G2282" s="31">
        <v>0</v>
      </c>
      <c r="H2282" s="31">
        <v>0</v>
      </c>
      <c r="I2282" s="139" t="s">
        <v>1834</v>
      </c>
      <c r="J2282" s="5" t="s">
        <v>1899</v>
      </c>
      <c r="K2282" s="8"/>
    </row>
    <row r="2283" spans="1:11" x14ac:dyDescent="0.2">
      <c r="A2283" s="8">
        <v>2288</v>
      </c>
      <c r="B2283" s="8">
        <f t="shared" si="76"/>
        <v>2023</v>
      </c>
      <c r="C2283" s="8">
        <f t="shared" si="77"/>
        <v>3</v>
      </c>
      <c r="D2283" s="85">
        <v>45002</v>
      </c>
      <c r="E2283" s="31">
        <v>0</v>
      </c>
      <c r="F2283" s="31">
        <v>11000</v>
      </c>
      <c r="G2283" s="31">
        <v>0</v>
      </c>
      <c r="H2283" s="31">
        <v>0</v>
      </c>
      <c r="I2283" s="31" t="s">
        <v>85</v>
      </c>
      <c r="J2283" s="5" t="s">
        <v>364</v>
      </c>
      <c r="K2283" s="8"/>
    </row>
    <row r="2284" spans="1:11" x14ac:dyDescent="0.2">
      <c r="A2284" s="8">
        <v>2289</v>
      </c>
      <c r="B2284" s="8">
        <f t="shared" si="76"/>
        <v>2023</v>
      </c>
      <c r="C2284" s="8">
        <f t="shared" si="77"/>
        <v>3</v>
      </c>
      <c r="D2284" s="85">
        <v>45002</v>
      </c>
      <c r="E2284" s="31">
        <v>0</v>
      </c>
      <c r="F2284" s="31">
        <v>42000</v>
      </c>
      <c r="G2284" s="31">
        <v>0</v>
      </c>
      <c r="H2284" s="31">
        <v>0</v>
      </c>
      <c r="I2284" s="31" t="s">
        <v>1719</v>
      </c>
      <c r="J2284" s="5" t="s">
        <v>1900</v>
      </c>
      <c r="K2284" s="8"/>
    </row>
    <row r="2285" spans="1:11" x14ac:dyDescent="0.2">
      <c r="A2285" s="8">
        <v>2290</v>
      </c>
      <c r="B2285" s="8">
        <f t="shared" si="76"/>
        <v>2023</v>
      </c>
      <c r="C2285" s="8">
        <f t="shared" si="77"/>
        <v>3</v>
      </c>
      <c r="D2285" s="85">
        <v>45002</v>
      </c>
      <c r="E2285" s="31">
        <v>0</v>
      </c>
      <c r="F2285" s="31">
        <v>258000</v>
      </c>
      <c r="G2285" s="31">
        <v>0</v>
      </c>
      <c r="H2285" s="31">
        <v>0</v>
      </c>
      <c r="I2285" s="31" t="s">
        <v>1719</v>
      </c>
      <c r="J2285" s="5" t="s">
        <v>1901</v>
      </c>
      <c r="K2285" s="8"/>
    </row>
    <row r="2286" spans="1:11" x14ac:dyDescent="0.2">
      <c r="A2286" s="8">
        <v>2291</v>
      </c>
      <c r="B2286" s="8">
        <f t="shared" si="76"/>
        <v>2023</v>
      </c>
      <c r="C2286" s="8">
        <f t="shared" si="77"/>
        <v>3</v>
      </c>
      <c r="D2286" s="85">
        <v>45002</v>
      </c>
      <c r="E2286" s="31">
        <v>0</v>
      </c>
      <c r="F2286" s="31">
        <v>30000</v>
      </c>
      <c r="G2286" s="31">
        <v>0</v>
      </c>
      <c r="H2286" s="31">
        <v>0</v>
      </c>
      <c r="I2286" s="31" t="s">
        <v>85</v>
      </c>
      <c r="J2286" s="5" t="s">
        <v>1902</v>
      </c>
      <c r="K2286" s="8"/>
    </row>
    <row r="2287" spans="1:11" x14ac:dyDescent="0.2">
      <c r="A2287" s="8">
        <v>2292</v>
      </c>
      <c r="B2287" s="8">
        <f t="shared" si="76"/>
        <v>2023</v>
      </c>
      <c r="C2287" s="8">
        <f t="shared" si="77"/>
        <v>3</v>
      </c>
      <c r="D2287" s="85">
        <v>45002</v>
      </c>
      <c r="E2287" s="31">
        <v>0</v>
      </c>
      <c r="F2287" s="31">
        <v>27000</v>
      </c>
      <c r="G2287" s="31">
        <v>0</v>
      </c>
      <c r="H2287" s="31">
        <v>0</v>
      </c>
      <c r="I2287" s="31" t="s">
        <v>85</v>
      </c>
      <c r="J2287" s="5" t="s">
        <v>1903</v>
      </c>
      <c r="K2287" s="8"/>
    </row>
    <row r="2288" spans="1:11" x14ac:dyDescent="0.2">
      <c r="A2288" s="8">
        <v>2293</v>
      </c>
      <c r="B2288" s="8">
        <f t="shared" si="76"/>
        <v>2023</v>
      </c>
      <c r="C2288" s="8">
        <f t="shared" si="77"/>
        <v>3</v>
      </c>
      <c r="D2288" s="85">
        <v>45002</v>
      </c>
      <c r="E2288" s="31">
        <v>0</v>
      </c>
      <c r="F2288" s="31">
        <v>370000</v>
      </c>
      <c r="G2288" s="31">
        <v>0</v>
      </c>
      <c r="H2288" s="31">
        <v>0</v>
      </c>
      <c r="I2288" s="31" t="s">
        <v>1719</v>
      </c>
      <c r="J2288" s="5" t="s">
        <v>1904</v>
      </c>
      <c r="K2288" s="8"/>
    </row>
    <row r="2289" spans="1:11" x14ac:dyDescent="0.2">
      <c r="A2289" s="8">
        <v>2293</v>
      </c>
      <c r="B2289" s="8">
        <f t="shared" si="76"/>
        <v>2023</v>
      </c>
      <c r="C2289" s="8">
        <f t="shared" si="77"/>
        <v>3</v>
      </c>
      <c r="D2289" s="85">
        <v>45003</v>
      </c>
      <c r="E2289" s="31">
        <v>0</v>
      </c>
      <c r="F2289" s="31">
        <v>130000</v>
      </c>
      <c r="G2289" s="31">
        <v>0</v>
      </c>
      <c r="H2289" s="31">
        <v>0</v>
      </c>
      <c r="I2289" s="31" t="s">
        <v>299</v>
      </c>
      <c r="J2289" s="5" t="s">
        <v>1905</v>
      </c>
      <c r="K2289" s="8"/>
    </row>
    <row r="2290" spans="1:11" x14ac:dyDescent="0.2">
      <c r="A2290" s="8">
        <v>2294</v>
      </c>
      <c r="B2290" s="8">
        <f t="shared" si="76"/>
        <v>2023</v>
      </c>
      <c r="C2290" s="8">
        <f t="shared" si="77"/>
        <v>3</v>
      </c>
      <c r="D2290" s="85">
        <v>45003</v>
      </c>
      <c r="E2290" s="31">
        <v>0</v>
      </c>
      <c r="F2290" s="31">
        <v>70000</v>
      </c>
      <c r="G2290" s="31">
        <v>0</v>
      </c>
      <c r="H2290" s="31">
        <v>0</v>
      </c>
      <c r="I2290" s="139" t="s">
        <v>1834</v>
      </c>
      <c r="J2290" s="5" t="s">
        <v>1844</v>
      </c>
      <c r="K2290" s="8"/>
    </row>
    <row r="2291" spans="1:11" x14ac:dyDescent="0.2">
      <c r="A2291" s="8">
        <v>2295</v>
      </c>
      <c r="B2291" s="8">
        <f t="shared" si="76"/>
        <v>2023</v>
      </c>
      <c r="C2291" s="8">
        <f t="shared" si="77"/>
        <v>3</v>
      </c>
      <c r="D2291" s="85">
        <v>45004</v>
      </c>
      <c r="E2291" s="31">
        <v>0</v>
      </c>
      <c r="F2291" s="31">
        <v>50000</v>
      </c>
      <c r="G2291" s="31">
        <v>0</v>
      </c>
      <c r="H2291" s="31">
        <v>0</v>
      </c>
      <c r="I2291" s="31" t="s">
        <v>85</v>
      </c>
      <c r="J2291" s="5" t="s">
        <v>287</v>
      </c>
      <c r="K2291" s="8"/>
    </row>
    <row r="2292" spans="1:11" x14ac:dyDescent="0.2">
      <c r="A2292" s="8">
        <v>2296</v>
      </c>
      <c r="B2292" s="8">
        <f t="shared" si="76"/>
        <v>2023</v>
      </c>
      <c r="C2292" s="8">
        <f t="shared" si="77"/>
        <v>3</v>
      </c>
      <c r="D2292" s="85">
        <v>45005</v>
      </c>
      <c r="E2292" s="31">
        <v>0</v>
      </c>
      <c r="F2292" s="31">
        <v>50000</v>
      </c>
      <c r="G2292" s="31">
        <v>0</v>
      </c>
      <c r="H2292" s="31">
        <v>0</v>
      </c>
      <c r="I2292" s="31" t="s">
        <v>85</v>
      </c>
      <c r="J2292" s="5" t="s">
        <v>287</v>
      </c>
      <c r="K2292" s="8"/>
    </row>
    <row r="2293" spans="1:11" x14ac:dyDescent="0.2">
      <c r="A2293" s="8">
        <v>2297</v>
      </c>
      <c r="B2293" s="8">
        <f t="shared" si="76"/>
        <v>2023</v>
      </c>
      <c r="C2293" s="8">
        <f t="shared" si="77"/>
        <v>3</v>
      </c>
      <c r="D2293" s="85">
        <v>45006</v>
      </c>
      <c r="E2293" s="31">
        <v>0</v>
      </c>
      <c r="F2293" s="31">
        <v>20000</v>
      </c>
      <c r="G2293" s="31">
        <v>0</v>
      </c>
      <c r="H2293" s="31">
        <v>0</v>
      </c>
      <c r="I2293" s="31" t="s">
        <v>88</v>
      </c>
      <c r="J2293" s="5" t="s">
        <v>91</v>
      </c>
      <c r="K2293" s="8"/>
    </row>
    <row r="2294" spans="1:11" x14ac:dyDescent="0.2">
      <c r="A2294" s="8">
        <v>2298</v>
      </c>
      <c r="B2294" s="8">
        <f t="shared" si="76"/>
        <v>2023</v>
      </c>
      <c r="C2294" s="8">
        <f t="shared" si="77"/>
        <v>3</v>
      </c>
      <c r="D2294" s="85">
        <v>45007</v>
      </c>
      <c r="E2294" s="31">
        <v>0</v>
      </c>
      <c r="F2294" s="31">
        <v>20000</v>
      </c>
      <c r="G2294" s="31">
        <v>0</v>
      </c>
      <c r="H2294" s="31">
        <v>0</v>
      </c>
      <c r="I2294" s="31" t="s">
        <v>88</v>
      </c>
      <c r="J2294" s="5" t="s">
        <v>91</v>
      </c>
      <c r="K2294" s="8"/>
    </row>
    <row r="2295" spans="1:11" x14ac:dyDescent="0.2">
      <c r="A2295" s="8">
        <v>2299</v>
      </c>
      <c r="B2295" s="8">
        <f t="shared" si="76"/>
        <v>2023</v>
      </c>
      <c r="C2295" s="8">
        <f t="shared" si="77"/>
        <v>3</v>
      </c>
      <c r="D2295" s="85">
        <v>45008</v>
      </c>
      <c r="E2295" s="31">
        <v>0</v>
      </c>
      <c r="F2295" s="31">
        <v>55000</v>
      </c>
      <c r="G2295" s="31">
        <v>0</v>
      </c>
      <c r="H2295" s="31">
        <v>0</v>
      </c>
      <c r="I2295" s="31" t="s">
        <v>85</v>
      </c>
      <c r="J2295" s="5" t="s">
        <v>1906</v>
      </c>
      <c r="K2295" s="8"/>
    </row>
    <row r="2296" spans="1:11" x14ac:dyDescent="0.2">
      <c r="A2296" s="8">
        <v>2300</v>
      </c>
      <c r="B2296" s="8">
        <f t="shared" si="76"/>
        <v>2023</v>
      </c>
      <c r="C2296" s="8">
        <f t="shared" si="77"/>
        <v>3</v>
      </c>
      <c r="D2296" s="85">
        <v>45009</v>
      </c>
      <c r="E2296" s="31">
        <v>525000</v>
      </c>
      <c r="F2296" s="31">
        <v>0</v>
      </c>
      <c r="G2296" s="31">
        <v>0</v>
      </c>
      <c r="H2296" s="31">
        <v>0</v>
      </c>
      <c r="I2296" s="31" t="s">
        <v>109</v>
      </c>
      <c r="J2296" s="5" t="s">
        <v>1907</v>
      </c>
      <c r="K2296" s="8"/>
    </row>
    <row r="2297" spans="1:11" x14ac:dyDescent="0.2">
      <c r="A2297" s="8">
        <v>2301</v>
      </c>
      <c r="B2297" s="8">
        <f t="shared" si="76"/>
        <v>2023</v>
      </c>
      <c r="C2297" s="8">
        <f t="shared" si="77"/>
        <v>3</v>
      </c>
      <c r="D2297" s="85">
        <v>45009</v>
      </c>
      <c r="E2297" s="31">
        <v>525000</v>
      </c>
      <c r="F2297" s="31">
        <v>0</v>
      </c>
      <c r="G2297" s="31">
        <v>0</v>
      </c>
      <c r="H2297" s="31">
        <v>0</v>
      </c>
      <c r="I2297" s="31" t="s">
        <v>109</v>
      </c>
      <c r="J2297" s="5" t="s">
        <v>1908</v>
      </c>
      <c r="K2297" s="8"/>
    </row>
    <row r="2298" spans="1:11" x14ac:dyDescent="0.2">
      <c r="A2298" s="8">
        <v>2302</v>
      </c>
      <c r="B2298" s="8">
        <f t="shared" si="76"/>
        <v>2023</v>
      </c>
      <c r="C2298" s="8">
        <f t="shared" si="77"/>
        <v>3</v>
      </c>
      <c r="D2298" s="85">
        <v>45009</v>
      </c>
      <c r="E2298" s="31">
        <v>31500</v>
      </c>
      <c r="F2298" s="31">
        <v>0</v>
      </c>
      <c r="G2298" s="31">
        <v>0</v>
      </c>
      <c r="H2298" s="31">
        <v>0</v>
      </c>
      <c r="I2298" s="31" t="s">
        <v>109</v>
      </c>
      <c r="J2298" s="5" t="s">
        <v>1909</v>
      </c>
      <c r="K2298" s="8"/>
    </row>
    <row r="2299" spans="1:11" x14ac:dyDescent="0.2">
      <c r="A2299" s="8">
        <v>2303</v>
      </c>
      <c r="B2299" s="8">
        <f t="shared" si="76"/>
        <v>2023</v>
      </c>
      <c r="C2299" s="8">
        <f t="shared" si="77"/>
        <v>3</v>
      </c>
      <c r="D2299" s="85">
        <v>45009</v>
      </c>
      <c r="E2299" s="31">
        <v>1125000</v>
      </c>
      <c r="F2299" s="31">
        <v>0</v>
      </c>
      <c r="G2299" s="31">
        <v>0</v>
      </c>
      <c r="H2299" s="31">
        <v>0</v>
      </c>
      <c r="I2299" s="31" t="s">
        <v>109</v>
      </c>
      <c r="J2299" s="5" t="s">
        <v>1910</v>
      </c>
      <c r="K2299" s="8"/>
    </row>
    <row r="2300" spans="1:11" x14ac:dyDescent="0.2">
      <c r="A2300" s="8">
        <v>2304</v>
      </c>
      <c r="B2300" s="8">
        <f t="shared" si="76"/>
        <v>2023</v>
      </c>
      <c r="C2300" s="8">
        <f t="shared" si="77"/>
        <v>3</v>
      </c>
      <c r="D2300" s="85">
        <v>45009</v>
      </c>
      <c r="E2300" s="31">
        <v>70500</v>
      </c>
      <c r="F2300" s="31">
        <v>0</v>
      </c>
      <c r="G2300" s="31">
        <v>0</v>
      </c>
      <c r="H2300" s="31">
        <v>0</v>
      </c>
      <c r="I2300" s="31" t="s">
        <v>109</v>
      </c>
      <c r="J2300" s="5" t="s">
        <v>1909</v>
      </c>
      <c r="K2300" s="8"/>
    </row>
    <row r="2301" spans="1:11" x14ac:dyDescent="0.2">
      <c r="A2301" s="8">
        <v>2305</v>
      </c>
      <c r="B2301" s="8">
        <f t="shared" si="76"/>
        <v>2023</v>
      </c>
      <c r="C2301" s="8">
        <f t="shared" si="77"/>
        <v>3</v>
      </c>
      <c r="D2301" s="85">
        <v>45010</v>
      </c>
      <c r="E2301" s="31">
        <v>0</v>
      </c>
      <c r="F2301" s="31">
        <v>83000</v>
      </c>
      <c r="G2301" s="31">
        <v>0</v>
      </c>
      <c r="H2301" s="31">
        <v>0</v>
      </c>
      <c r="I2301" s="31" t="s">
        <v>85</v>
      </c>
      <c r="J2301" s="5" t="s">
        <v>1911</v>
      </c>
      <c r="K2301" s="8"/>
    </row>
    <row r="2302" spans="1:11" x14ac:dyDescent="0.2">
      <c r="A2302" s="8">
        <v>2306</v>
      </c>
      <c r="B2302" s="8">
        <f t="shared" si="76"/>
        <v>2023</v>
      </c>
      <c r="C2302" s="8">
        <f t="shared" si="77"/>
        <v>3</v>
      </c>
      <c r="D2302" s="85">
        <v>45010</v>
      </c>
      <c r="E2302" s="31">
        <v>0</v>
      </c>
      <c r="F2302" s="31">
        <v>83000</v>
      </c>
      <c r="G2302" s="31">
        <v>0</v>
      </c>
      <c r="H2302" s="31">
        <v>0</v>
      </c>
      <c r="I2302" s="31" t="s">
        <v>85</v>
      </c>
      <c r="J2302" s="5" t="s">
        <v>1912</v>
      </c>
      <c r="K2302" s="8"/>
    </row>
    <row r="2303" spans="1:11" x14ac:dyDescent="0.2">
      <c r="A2303" s="8">
        <v>2307</v>
      </c>
      <c r="B2303" s="8">
        <f t="shared" si="76"/>
        <v>2023</v>
      </c>
      <c r="C2303" s="8">
        <f t="shared" si="77"/>
        <v>3</v>
      </c>
      <c r="D2303" s="85">
        <v>45010</v>
      </c>
      <c r="E2303" s="31">
        <v>0</v>
      </c>
      <c r="F2303" s="31">
        <v>83000</v>
      </c>
      <c r="G2303" s="31">
        <v>0</v>
      </c>
      <c r="H2303" s="31">
        <v>0</v>
      </c>
      <c r="I2303" s="31" t="s">
        <v>85</v>
      </c>
      <c r="J2303" s="5" t="s">
        <v>1913</v>
      </c>
      <c r="K2303" s="8"/>
    </row>
    <row r="2304" spans="1:11" x14ac:dyDescent="0.2">
      <c r="A2304" s="8">
        <v>2308</v>
      </c>
      <c r="B2304" s="8">
        <f t="shared" si="76"/>
        <v>2023</v>
      </c>
      <c r="C2304" s="8">
        <f t="shared" si="77"/>
        <v>3</v>
      </c>
      <c r="D2304" s="85">
        <v>45010</v>
      </c>
      <c r="E2304" s="31">
        <v>0</v>
      </c>
      <c r="F2304" s="31">
        <v>34000</v>
      </c>
      <c r="G2304" s="31">
        <v>0</v>
      </c>
      <c r="H2304" s="31">
        <v>0</v>
      </c>
      <c r="I2304" s="31" t="s">
        <v>85</v>
      </c>
      <c r="J2304" s="5" t="s">
        <v>1914</v>
      </c>
      <c r="K2304" s="8"/>
    </row>
    <row r="2305" spans="1:11" x14ac:dyDescent="0.2">
      <c r="A2305" s="8">
        <v>2309</v>
      </c>
      <c r="B2305" s="8">
        <f t="shared" si="76"/>
        <v>2023</v>
      </c>
      <c r="C2305" s="8">
        <f t="shared" si="77"/>
        <v>3</v>
      </c>
      <c r="D2305" s="85">
        <v>45010</v>
      </c>
      <c r="E2305" s="31">
        <v>0</v>
      </c>
      <c r="F2305" s="31">
        <v>108000</v>
      </c>
      <c r="G2305" s="31">
        <v>0</v>
      </c>
      <c r="H2305" s="31">
        <v>0</v>
      </c>
      <c r="I2305" s="31" t="s">
        <v>1779</v>
      </c>
      <c r="J2305" s="5" t="s">
        <v>1915</v>
      </c>
      <c r="K2305" s="8"/>
    </row>
    <row r="2306" spans="1:11" x14ac:dyDescent="0.2">
      <c r="A2306" s="8">
        <v>2310</v>
      </c>
      <c r="B2306" s="8">
        <f t="shared" si="76"/>
        <v>2023</v>
      </c>
      <c r="C2306" s="8">
        <f t="shared" si="77"/>
        <v>3</v>
      </c>
      <c r="D2306" s="85">
        <v>45010</v>
      </c>
      <c r="E2306" s="31">
        <v>0</v>
      </c>
      <c r="F2306" s="31">
        <v>500000</v>
      </c>
      <c r="G2306" s="31">
        <v>0</v>
      </c>
      <c r="H2306" s="31">
        <v>0</v>
      </c>
      <c r="I2306" s="31" t="s">
        <v>92</v>
      </c>
      <c r="J2306" s="5" t="s">
        <v>1916</v>
      </c>
      <c r="K2306" s="8"/>
    </row>
    <row r="2307" spans="1:11" x14ac:dyDescent="0.2">
      <c r="A2307" s="8">
        <v>2312</v>
      </c>
      <c r="B2307" s="8">
        <f t="shared" ref="B2307:B2370" si="78">YEAR(D2307)</f>
        <v>2023</v>
      </c>
      <c r="C2307" s="8">
        <f t="shared" ref="C2307:C2370" si="79">MONTH(D2307)</f>
        <v>3</v>
      </c>
      <c r="D2307" s="85">
        <v>45013</v>
      </c>
      <c r="E2307" s="31">
        <v>1000000</v>
      </c>
      <c r="F2307" s="31">
        <v>0</v>
      </c>
      <c r="G2307" s="31">
        <v>0</v>
      </c>
      <c r="H2307" s="31">
        <v>0</v>
      </c>
      <c r="I2307" s="139" t="s">
        <v>1834</v>
      </c>
      <c r="J2307" s="5" t="s">
        <v>1917</v>
      </c>
      <c r="K2307" s="8"/>
    </row>
    <row r="2308" spans="1:11" x14ac:dyDescent="0.2">
      <c r="A2308" s="8">
        <v>2313</v>
      </c>
      <c r="B2308" s="8">
        <f t="shared" si="78"/>
        <v>2023</v>
      </c>
      <c r="C2308" s="8">
        <f t="shared" si="79"/>
        <v>3</v>
      </c>
      <c r="D2308" s="85">
        <v>45009</v>
      </c>
      <c r="E2308" s="31">
        <v>0</v>
      </c>
      <c r="F2308" s="31">
        <v>13000</v>
      </c>
      <c r="G2308" s="31">
        <v>0</v>
      </c>
      <c r="H2308" s="31">
        <v>0</v>
      </c>
      <c r="I2308" s="31" t="s">
        <v>88</v>
      </c>
      <c r="J2308" s="5" t="s">
        <v>1096</v>
      </c>
      <c r="K2308" s="8"/>
    </row>
    <row r="2309" spans="1:11" x14ac:dyDescent="0.2">
      <c r="A2309" s="8">
        <v>2314</v>
      </c>
      <c r="B2309" s="8">
        <f t="shared" si="78"/>
        <v>2023</v>
      </c>
      <c r="C2309" s="8">
        <f t="shared" si="79"/>
        <v>3</v>
      </c>
      <c r="D2309" s="85">
        <v>45010</v>
      </c>
      <c r="E2309" s="31">
        <v>0</v>
      </c>
      <c r="F2309" s="31">
        <v>132000</v>
      </c>
      <c r="G2309" s="31">
        <v>0</v>
      </c>
      <c r="H2309" s="31">
        <v>0</v>
      </c>
      <c r="I2309" s="31" t="s">
        <v>85</v>
      </c>
      <c r="J2309" s="5" t="s">
        <v>1918</v>
      </c>
      <c r="K2309" s="8"/>
    </row>
    <row r="2310" spans="1:11" x14ac:dyDescent="0.2">
      <c r="A2310" s="8">
        <v>2315</v>
      </c>
      <c r="B2310" s="8">
        <f t="shared" si="78"/>
        <v>2023</v>
      </c>
      <c r="C2310" s="8">
        <f t="shared" si="79"/>
        <v>3</v>
      </c>
      <c r="D2310" s="85">
        <v>45010</v>
      </c>
      <c r="E2310" s="31">
        <v>0</v>
      </c>
      <c r="F2310" s="31">
        <v>25000</v>
      </c>
      <c r="G2310" s="31">
        <v>0</v>
      </c>
      <c r="H2310" s="31">
        <v>0</v>
      </c>
      <c r="I2310" s="31" t="s">
        <v>1919</v>
      </c>
      <c r="J2310" s="5" t="s">
        <v>1859</v>
      </c>
      <c r="K2310" s="8"/>
    </row>
    <row r="2311" spans="1:11" x14ac:dyDescent="0.2">
      <c r="A2311" s="8">
        <v>2316</v>
      </c>
      <c r="B2311" s="8">
        <f t="shared" si="78"/>
        <v>2023</v>
      </c>
      <c r="C2311" s="8">
        <f t="shared" si="79"/>
        <v>3</v>
      </c>
      <c r="D2311" s="85">
        <v>45010</v>
      </c>
      <c r="E2311" s="31">
        <v>0</v>
      </c>
      <c r="F2311" s="31">
        <v>283000</v>
      </c>
      <c r="G2311" s="31">
        <v>0</v>
      </c>
      <c r="H2311" s="31">
        <v>0</v>
      </c>
      <c r="I2311" s="31" t="s">
        <v>85</v>
      </c>
      <c r="J2311" s="5" t="s">
        <v>1920</v>
      </c>
      <c r="K2311" s="8"/>
    </row>
    <row r="2312" spans="1:11" x14ac:dyDescent="0.2">
      <c r="A2312" s="8">
        <v>2317</v>
      </c>
      <c r="B2312" s="8">
        <f t="shared" si="78"/>
        <v>2023</v>
      </c>
      <c r="C2312" s="8">
        <f t="shared" si="79"/>
        <v>3</v>
      </c>
      <c r="D2312" s="85">
        <v>45011</v>
      </c>
      <c r="E2312" s="31">
        <v>0</v>
      </c>
      <c r="F2312" s="31">
        <v>600000</v>
      </c>
      <c r="G2312" s="31">
        <v>0</v>
      </c>
      <c r="H2312" s="31">
        <v>0</v>
      </c>
      <c r="I2312" s="31" t="s">
        <v>201</v>
      </c>
      <c r="J2312" s="5" t="s">
        <v>316</v>
      </c>
      <c r="K2312" s="8"/>
    </row>
    <row r="2313" spans="1:11" x14ac:dyDescent="0.2">
      <c r="A2313" s="8">
        <v>2318</v>
      </c>
      <c r="B2313" s="8">
        <f t="shared" si="78"/>
        <v>2023</v>
      </c>
      <c r="C2313" s="8">
        <f t="shared" si="79"/>
        <v>3</v>
      </c>
      <c r="D2313" s="85">
        <v>45011</v>
      </c>
      <c r="E2313" s="31">
        <v>0</v>
      </c>
      <c r="F2313" s="31">
        <v>30000</v>
      </c>
      <c r="G2313" s="31">
        <v>0</v>
      </c>
      <c r="H2313" s="31">
        <v>0</v>
      </c>
      <c r="I2313" s="31" t="s">
        <v>85</v>
      </c>
      <c r="J2313" s="5" t="s">
        <v>287</v>
      </c>
      <c r="K2313" s="8"/>
    </row>
    <row r="2314" spans="1:11" x14ac:dyDescent="0.2">
      <c r="A2314" s="8">
        <v>2319</v>
      </c>
      <c r="B2314" s="8">
        <f t="shared" si="78"/>
        <v>2023</v>
      </c>
      <c r="C2314" s="8">
        <f t="shared" si="79"/>
        <v>3</v>
      </c>
      <c r="D2314" s="85">
        <v>45012</v>
      </c>
      <c r="E2314" s="31">
        <v>0</v>
      </c>
      <c r="F2314" s="31">
        <v>105000</v>
      </c>
      <c r="G2314" s="31">
        <v>0</v>
      </c>
      <c r="H2314" s="31">
        <v>0</v>
      </c>
      <c r="I2314" s="31" t="s">
        <v>299</v>
      </c>
      <c r="J2314" s="5" t="s">
        <v>1921</v>
      </c>
      <c r="K2314" s="8"/>
    </row>
    <row r="2315" spans="1:11" x14ac:dyDescent="0.2">
      <c r="A2315" s="8">
        <v>2320</v>
      </c>
      <c r="B2315" s="8">
        <f t="shared" si="78"/>
        <v>2023</v>
      </c>
      <c r="C2315" s="8">
        <f t="shared" si="79"/>
        <v>3</v>
      </c>
      <c r="D2315" s="85">
        <v>45012</v>
      </c>
      <c r="E2315" s="31">
        <v>0</v>
      </c>
      <c r="F2315" s="31">
        <v>20000</v>
      </c>
      <c r="G2315" s="31">
        <v>0</v>
      </c>
      <c r="H2315" s="31">
        <v>0</v>
      </c>
      <c r="I2315" s="31" t="s">
        <v>85</v>
      </c>
      <c r="J2315" s="5" t="s">
        <v>1272</v>
      </c>
      <c r="K2315" s="8"/>
    </row>
    <row r="2316" spans="1:11" x14ac:dyDescent="0.2">
      <c r="A2316" s="8">
        <v>2321</v>
      </c>
      <c r="B2316" s="8">
        <f t="shared" si="78"/>
        <v>2023</v>
      </c>
      <c r="C2316" s="8">
        <f t="shared" si="79"/>
        <v>3</v>
      </c>
      <c r="D2316" s="85">
        <v>45012</v>
      </c>
      <c r="E2316" s="31">
        <v>0</v>
      </c>
      <c r="F2316" s="31">
        <v>30000</v>
      </c>
      <c r="G2316" s="31">
        <v>0</v>
      </c>
      <c r="H2316" s="31">
        <v>0</v>
      </c>
      <c r="I2316" s="31" t="s">
        <v>88</v>
      </c>
      <c r="J2316" s="5" t="s">
        <v>827</v>
      </c>
      <c r="K2316" s="8"/>
    </row>
    <row r="2317" spans="1:11" x14ac:dyDescent="0.2">
      <c r="A2317" s="8">
        <v>2322</v>
      </c>
      <c r="B2317" s="8">
        <f t="shared" si="78"/>
        <v>2023</v>
      </c>
      <c r="C2317" s="8">
        <f t="shared" si="79"/>
        <v>3</v>
      </c>
      <c r="D2317" s="85">
        <v>45013</v>
      </c>
      <c r="E2317" s="31">
        <v>0</v>
      </c>
      <c r="F2317" s="31">
        <v>17000</v>
      </c>
      <c r="G2317" s="31">
        <v>0</v>
      </c>
      <c r="H2317" s="31">
        <v>0</v>
      </c>
      <c r="I2317" s="31" t="s">
        <v>85</v>
      </c>
      <c r="J2317" s="5" t="s">
        <v>1922</v>
      </c>
      <c r="K2317" s="8"/>
    </row>
    <row r="2318" spans="1:11" x14ac:dyDescent="0.2">
      <c r="A2318" s="8">
        <v>2323</v>
      </c>
      <c r="B2318" s="8">
        <f t="shared" si="78"/>
        <v>2023</v>
      </c>
      <c r="C2318" s="8">
        <f t="shared" si="79"/>
        <v>3</v>
      </c>
      <c r="D2318" s="85">
        <v>45013</v>
      </c>
      <c r="E2318" s="31">
        <v>0</v>
      </c>
      <c r="F2318" s="31">
        <v>5000</v>
      </c>
      <c r="G2318" s="31">
        <v>0</v>
      </c>
      <c r="H2318" s="31">
        <v>0</v>
      </c>
      <c r="I2318" s="31" t="s">
        <v>88</v>
      </c>
      <c r="J2318" s="5" t="s">
        <v>1827</v>
      </c>
      <c r="K2318" s="8"/>
    </row>
    <row r="2319" spans="1:11" x14ac:dyDescent="0.2">
      <c r="A2319" s="8">
        <v>2324</v>
      </c>
      <c r="B2319" s="8">
        <f t="shared" si="78"/>
        <v>2023</v>
      </c>
      <c r="C2319" s="8">
        <f t="shared" si="79"/>
        <v>3</v>
      </c>
      <c r="D2319" s="85">
        <v>45013</v>
      </c>
      <c r="E2319" s="31">
        <v>0</v>
      </c>
      <c r="F2319" s="31">
        <v>16000</v>
      </c>
      <c r="G2319" s="31">
        <v>0</v>
      </c>
      <c r="H2319" s="31">
        <v>0</v>
      </c>
      <c r="I2319" s="31" t="s">
        <v>85</v>
      </c>
      <c r="J2319" s="5" t="s">
        <v>1923</v>
      </c>
      <c r="K2319" s="8"/>
    </row>
    <row r="2320" spans="1:11" x14ac:dyDescent="0.2">
      <c r="A2320" s="8">
        <v>2325</v>
      </c>
      <c r="B2320" s="8">
        <f t="shared" si="78"/>
        <v>2023</v>
      </c>
      <c r="C2320" s="8">
        <f t="shared" si="79"/>
        <v>3</v>
      </c>
      <c r="D2320" s="85">
        <v>45013</v>
      </c>
      <c r="E2320" s="31">
        <v>0</v>
      </c>
      <c r="F2320" s="31">
        <v>603000</v>
      </c>
      <c r="G2320" s="31">
        <v>0</v>
      </c>
      <c r="H2320" s="31">
        <v>0</v>
      </c>
      <c r="I2320" s="31" t="s">
        <v>85</v>
      </c>
      <c r="J2320" s="5" t="s">
        <v>1924</v>
      </c>
      <c r="K2320" s="8"/>
    </row>
    <row r="2321" spans="1:11" x14ac:dyDescent="0.2">
      <c r="A2321" s="8">
        <v>2326</v>
      </c>
      <c r="B2321" s="8">
        <f t="shared" si="78"/>
        <v>2023</v>
      </c>
      <c r="C2321" s="8">
        <f t="shared" si="79"/>
        <v>3</v>
      </c>
      <c r="D2321" s="85">
        <v>45013</v>
      </c>
      <c r="E2321" s="31">
        <v>0</v>
      </c>
      <c r="F2321" s="31">
        <v>200000</v>
      </c>
      <c r="G2321" s="31">
        <v>0</v>
      </c>
      <c r="H2321" s="31">
        <v>0</v>
      </c>
      <c r="I2321" s="31" t="s">
        <v>85</v>
      </c>
      <c r="J2321" s="5" t="s">
        <v>1925</v>
      </c>
      <c r="K2321" s="8"/>
    </row>
    <row r="2322" spans="1:11" x14ac:dyDescent="0.2">
      <c r="A2322" s="8">
        <v>2327</v>
      </c>
      <c r="B2322" s="8">
        <f t="shared" si="78"/>
        <v>2023</v>
      </c>
      <c r="C2322" s="8">
        <f t="shared" si="79"/>
        <v>3</v>
      </c>
      <c r="D2322" s="85">
        <v>45013</v>
      </c>
      <c r="E2322" s="31">
        <v>0</v>
      </c>
      <c r="F2322" s="31">
        <v>10000</v>
      </c>
      <c r="G2322" s="31">
        <v>0</v>
      </c>
      <c r="H2322" s="31">
        <v>0</v>
      </c>
      <c r="I2322" s="31" t="s">
        <v>85</v>
      </c>
      <c r="J2322" s="5" t="s">
        <v>149</v>
      </c>
      <c r="K2322" s="8"/>
    </row>
    <row r="2323" spans="1:11" x14ac:dyDescent="0.2">
      <c r="A2323" s="8">
        <v>2328</v>
      </c>
      <c r="B2323" s="8">
        <f t="shared" si="78"/>
        <v>2023</v>
      </c>
      <c r="C2323" s="8">
        <f t="shared" si="79"/>
        <v>3</v>
      </c>
      <c r="D2323" s="85">
        <v>45013</v>
      </c>
      <c r="E2323" s="31">
        <v>0</v>
      </c>
      <c r="F2323" s="31">
        <v>40000</v>
      </c>
      <c r="G2323" s="31">
        <v>0</v>
      </c>
      <c r="H2323" s="31">
        <v>0</v>
      </c>
      <c r="I2323" s="31" t="s">
        <v>88</v>
      </c>
      <c r="J2323" s="5" t="s">
        <v>356</v>
      </c>
      <c r="K2323" s="8"/>
    </row>
    <row r="2324" spans="1:11" x14ac:dyDescent="0.2">
      <c r="A2324" s="8">
        <v>2329</v>
      </c>
      <c r="B2324" s="8">
        <f t="shared" si="78"/>
        <v>2023</v>
      </c>
      <c r="C2324" s="8">
        <f t="shared" si="79"/>
        <v>3</v>
      </c>
      <c r="D2324" s="85">
        <v>45013</v>
      </c>
      <c r="E2324" s="31">
        <v>0</v>
      </c>
      <c r="F2324" s="31">
        <v>91000</v>
      </c>
      <c r="G2324" s="31">
        <v>0</v>
      </c>
      <c r="H2324" s="31">
        <v>0</v>
      </c>
      <c r="I2324" s="139" t="s">
        <v>1834</v>
      </c>
      <c r="J2324" s="5" t="s">
        <v>1926</v>
      </c>
      <c r="K2324" s="8"/>
    </row>
    <row r="2325" spans="1:11" x14ac:dyDescent="0.2">
      <c r="A2325" s="8">
        <v>2330</v>
      </c>
      <c r="B2325" s="8">
        <f t="shared" si="78"/>
        <v>2023</v>
      </c>
      <c r="C2325" s="8">
        <f t="shared" si="79"/>
        <v>3</v>
      </c>
      <c r="D2325" s="85">
        <v>45013</v>
      </c>
      <c r="E2325" s="31">
        <v>0</v>
      </c>
      <c r="F2325" s="31">
        <v>75000</v>
      </c>
      <c r="G2325" s="31">
        <v>0</v>
      </c>
      <c r="H2325" s="31">
        <v>0</v>
      </c>
      <c r="I2325" s="31" t="s">
        <v>299</v>
      </c>
      <c r="J2325" s="5" t="s">
        <v>1927</v>
      </c>
      <c r="K2325" s="8"/>
    </row>
    <row r="2326" spans="1:11" x14ac:dyDescent="0.2">
      <c r="A2326" s="8">
        <v>2331</v>
      </c>
      <c r="B2326" s="8">
        <f t="shared" si="78"/>
        <v>2023</v>
      </c>
      <c r="C2326" s="8">
        <f t="shared" si="79"/>
        <v>3</v>
      </c>
      <c r="D2326" s="85">
        <v>45013</v>
      </c>
      <c r="E2326" s="31">
        <v>0</v>
      </c>
      <c r="F2326" s="31">
        <v>500000</v>
      </c>
      <c r="G2326" s="31">
        <v>0</v>
      </c>
      <c r="H2326" s="31">
        <v>0</v>
      </c>
      <c r="I2326" s="31" t="s">
        <v>1387</v>
      </c>
      <c r="J2326" s="5" t="s">
        <v>1387</v>
      </c>
      <c r="K2326" s="8"/>
    </row>
    <row r="2327" spans="1:11" x14ac:dyDescent="0.2">
      <c r="A2327" s="8">
        <v>2332</v>
      </c>
      <c r="B2327" s="8">
        <f t="shared" si="78"/>
        <v>2023</v>
      </c>
      <c r="C2327" s="8">
        <f t="shared" si="79"/>
        <v>3</v>
      </c>
      <c r="D2327" s="85">
        <v>45014</v>
      </c>
      <c r="E2327" s="31">
        <v>0</v>
      </c>
      <c r="F2327" s="31">
        <v>50000</v>
      </c>
      <c r="G2327" s="31">
        <v>0</v>
      </c>
      <c r="H2327" s="31">
        <v>0</v>
      </c>
      <c r="I2327" s="31" t="s">
        <v>88</v>
      </c>
      <c r="J2327" s="5" t="s">
        <v>91</v>
      </c>
      <c r="K2327" s="8"/>
    </row>
    <row r="2328" spans="1:11" x14ac:dyDescent="0.2">
      <c r="A2328" s="8">
        <v>2333</v>
      </c>
      <c r="B2328" s="8">
        <f t="shared" si="78"/>
        <v>2023</v>
      </c>
      <c r="C2328" s="8">
        <f t="shared" si="79"/>
        <v>3</v>
      </c>
      <c r="D2328" s="85">
        <v>45014</v>
      </c>
      <c r="E2328" s="31">
        <v>0</v>
      </c>
      <c r="F2328" s="31">
        <v>3000</v>
      </c>
      <c r="G2328" s="31">
        <v>0</v>
      </c>
      <c r="H2328" s="31">
        <v>0</v>
      </c>
      <c r="I2328" s="31" t="s">
        <v>85</v>
      </c>
      <c r="J2328" s="5" t="s">
        <v>149</v>
      </c>
      <c r="K2328" s="8"/>
    </row>
    <row r="2329" spans="1:11" x14ac:dyDescent="0.2">
      <c r="A2329" s="8">
        <v>2334</v>
      </c>
      <c r="B2329" s="8">
        <f t="shared" si="78"/>
        <v>2023</v>
      </c>
      <c r="C2329" s="8">
        <f t="shared" si="79"/>
        <v>3</v>
      </c>
      <c r="D2329" s="85">
        <v>45015</v>
      </c>
      <c r="E2329" s="31">
        <v>0</v>
      </c>
      <c r="F2329" s="31">
        <v>50000</v>
      </c>
      <c r="G2329" s="31">
        <v>0</v>
      </c>
      <c r="H2329" s="31">
        <v>0</v>
      </c>
      <c r="I2329" s="31" t="s">
        <v>85</v>
      </c>
      <c r="J2329" s="5" t="s">
        <v>364</v>
      </c>
      <c r="K2329" s="8"/>
    </row>
    <row r="2330" spans="1:11" x14ac:dyDescent="0.2">
      <c r="A2330" s="8">
        <v>2335</v>
      </c>
      <c r="B2330" s="8">
        <f t="shared" si="78"/>
        <v>2023</v>
      </c>
      <c r="C2330" s="8">
        <f t="shared" si="79"/>
        <v>3</v>
      </c>
      <c r="D2330" s="85">
        <v>45015</v>
      </c>
      <c r="E2330" s="31">
        <v>0</v>
      </c>
      <c r="F2330" s="31">
        <v>50000</v>
      </c>
      <c r="G2330" s="31">
        <v>0</v>
      </c>
      <c r="H2330" s="31">
        <v>0</v>
      </c>
      <c r="I2330" s="31" t="s">
        <v>85</v>
      </c>
      <c r="J2330" s="5" t="s">
        <v>287</v>
      </c>
      <c r="K2330" s="8"/>
    </row>
    <row r="2331" spans="1:11" x14ac:dyDescent="0.2">
      <c r="A2331" s="8">
        <v>2336</v>
      </c>
      <c r="B2331" s="8">
        <f t="shared" si="78"/>
        <v>2023</v>
      </c>
      <c r="C2331" s="8">
        <f t="shared" si="79"/>
        <v>3</v>
      </c>
      <c r="D2331" s="85">
        <v>45016</v>
      </c>
      <c r="E2331" s="31">
        <v>0</v>
      </c>
      <c r="F2331" s="31">
        <v>50000</v>
      </c>
      <c r="G2331" s="31">
        <v>0</v>
      </c>
      <c r="H2331" s="31">
        <v>0</v>
      </c>
      <c r="I2331" s="31" t="s">
        <v>88</v>
      </c>
      <c r="J2331" s="5" t="s">
        <v>300</v>
      </c>
      <c r="K2331" s="8"/>
    </row>
    <row r="2332" spans="1:11" x14ac:dyDescent="0.2">
      <c r="A2332" s="8">
        <v>2337</v>
      </c>
      <c r="B2332" s="8">
        <f t="shared" si="78"/>
        <v>2023</v>
      </c>
      <c r="C2332" s="8">
        <f t="shared" si="79"/>
        <v>3</v>
      </c>
      <c r="D2332" s="85">
        <v>45016</v>
      </c>
      <c r="E2332" s="31">
        <v>0</v>
      </c>
      <c r="F2332" s="31">
        <v>25000</v>
      </c>
      <c r="G2332" s="31">
        <v>0</v>
      </c>
      <c r="H2332" s="31">
        <v>0</v>
      </c>
      <c r="I2332" s="31" t="s">
        <v>85</v>
      </c>
      <c r="J2332" s="5" t="s">
        <v>90</v>
      </c>
      <c r="K2332" s="8"/>
    </row>
    <row r="2333" spans="1:11" x14ac:dyDescent="0.2">
      <c r="A2333" s="8">
        <v>2338</v>
      </c>
      <c r="B2333" s="8">
        <f t="shared" si="78"/>
        <v>2023</v>
      </c>
      <c r="C2333" s="8">
        <f t="shared" si="79"/>
        <v>4</v>
      </c>
      <c r="D2333" s="85">
        <v>45017</v>
      </c>
      <c r="E2333" s="31">
        <v>0</v>
      </c>
      <c r="F2333" s="31">
        <v>14000</v>
      </c>
      <c r="G2333" s="31">
        <v>0</v>
      </c>
      <c r="H2333" s="31">
        <v>0</v>
      </c>
      <c r="I2333" s="31" t="s">
        <v>85</v>
      </c>
      <c r="J2333" s="5" t="s">
        <v>1928</v>
      </c>
      <c r="K2333" s="8"/>
    </row>
    <row r="2334" spans="1:11" x14ac:dyDescent="0.2">
      <c r="A2334" s="8">
        <v>2339</v>
      </c>
      <c r="B2334" s="8">
        <f t="shared" si="78"/>
        <v>2023</v>
      </c>
      <c r="C2334" s="8">
        <f t="shared" si="79"/>
        <v>4</v>
      </c>
      <c r="D2334" s="85">
        <v>45017</v>
      </c>
      <c r="E2334" s="31">
        <v>0</v>
      </c>
      <c r="F2334" s="31">
        <v>109000</v>
      </c>
      <c r="G2334" s="31">
        <v>0</v>
      </c>
      <c r="H2334" s="31">
        <v>0</v>
      </c>
      <c r="I2334" s="31" t="s">
        <v>85</v>
      </c>
      <c r="J2334" s="5" t="s">
        <v>1929</v>
      </c>
      <c r="K2334" s="8"/>
    </row>
    <row r="2335" spans="1:11" x14ac:dyDescent="0.2">
      <c r="A2335" s="8">
        <v>2340</v>
      </c>
      <c r="B2335" s="8">
        <f t="shared" si="78"/>
        <v>2023</v>
      </c>
      <c r="C2335" s="8">
        <f t="shared" si="79"/>
        <v>4</v>
      </c>
      <c r="D2335" s="85">
        <v>45017</v>
      </c>
      <c r="E2335" s="31">
        <v>0</v>
      </c>
      <c r="F2335" s="31">
        <v>50000</v>
      </c>
      <c r="G2335" s="31">
        <v>0</v>
      </c>
      <c r="H2335" s="31">
        <v>0</v>
      </c>
      <c r="I2335" s="31" t="s">
        <v>85</v>
      </c>
      <c r="J2335" s="5" t="s">
        <v>287</v>
      </c>
      <c r="K2335" s="8"/>
    </row>
    <row r="2336" spans="1:11" x14ac:dyDescent="0.2">
      <c r="A2336" s="8">
        <v>2341</v>
      </c>
      <c r="B2336" s="8">
        <f t="shared" si="78"/>
        <v>2023</v>
      </c>
      <c r="C2336" s="8">
        <f t="shared" si="79"/>
        <v>3</v>
      </c>
      <c r="D2336" s="85">
        <v>45000</v>
      </c>
      <c r="E2336" s="31">
        <v>0</v>
      </c>
      <c r="F2336" s="31">
        <v>12500000</v>
      </c>
      <c r="G2336" s="31">
        <v>0</v>
      </c>
      <c r="H2336" s="31">
        <v>0</v>
      </c>
      <c r="I2336" s="31" t="s">
        <v>85</v>
      </c>
      <c r="J2336" s="5" t="s">
        <v>1930</v>
      </c>
      <c r="K2336" s="8"/>
    </row>
    <row r="2337" spans="1:11" x14ac:dyDescent="0.2">
      <c r="A2337" s="8">
        <v>2342</v>
      </c>
      <c r="B2337" s="8">
        <f t="shared" si="78"/>
        <v>2023</v>
      </c>
      <c r="C2337" s="8">
        <f t="shared" si="79"/>
        <v>4</v>
      </c>
      <c r="D2337" s="85">
        <v>45018</v>
      </c>
      <c r="E2337" s="31">
        <v>0</v>
      </c>
      <c r="F2337" s="31">
        <v>100000</v>
      </c>
      <c r="G2337" s="31">
        <v>0</v>
      </c>
      <c r="H2337" s="31">
        <v>0</v>
      </c>
      <c r="I2337" s="31" t="s">
        <v>1815</v>
      </c>
      <c r="J2337" s="5" t="s">
        <v>1931</v>
      </c>
      <c r="K2337" s="8"/>
    </row>
    <row r="2338" spans="1:11" x14ac:dyDescent="0.2">
      <c r="A2338" s="8">
        <v>2343</v>
      </c>
      <c r="B2338" s="8">
        <f t="shared" si="78"/>
        <v>2023</v>
      </c>
      <c r="C2338" s="8">
        <f t="shared" si="79"/>
        <v>4</v>
      </c>
      <c r="D2338" s="85">
        <v>45018</v>
      </c>
      <c r="E2338" s="31">
        <v>0</v>
      </c>
      <c r="F2338" s="31">
        <v>25000</v>
      </c>
      <c r="G2338" s="31">
        <v>0</v>
      </c>
      <c r="H2338" s="31">
        <v>0</v>
      </c>
      <c r="I2338" s="31" t="s">
        <v>1787</v>
      </c>
      <c r="J2338" s="5" t="s">
        <v>848</v>
      </c>
      <c r="K2338" s="8"/>
    </row>
    <row r="2339" spans="1:11" x14ac:dyDescent="0.2">
      <c r="A2339" s="8">
        <v>2344</v>
      </c>
      <c r="B2339" s="8">
        <f t="shared" si="78"/>
        <v>2023</v>
      </c>
      <c r="C2339" s="8">
        <f t="shared" si="79"/>
        <v>4</v>
      </c>
      <c r="D2339" s="85">
        <v>45019</v>
      </c>
      <c r="E2339" s="31">
        <v>0</v>
      </c>
      <c r="F2339" s="31">
        <v>109000</v>
      </c>
      <c r="G2339" s="31">
        <v>0</v>
      </c>
      <c r="H2339" s="31">
        <v>0</v>
      </c>
      <c r="I2339" s="31" t="s">
        <v>1813</v>
      </c>
      <c r="J2339" s="5" t="s">
        <v>1932</v>
      </c>
      <c r="K2339" s="8"/>
    </row>
    <row r="2340" spans="1:11" x14ac:dyDescent="0.2">
      <c r="A2340" s="8">
        <v>2345</v>
      </c>
      <c r="B2340" s="8">
        <f t="shared" si="78"/>
        <v>2023</v>
      </c>
      <c r="C2340" s="8">
        <f t="shared" si="79"/>
        <v>4</v>
      </c>
      <c r="D2340" s="85">
        <v>45020</v>
      </c>
      <c r="E2340" s="31">
        <v>0</v>
      </c>
      <c r="F2340" s="31">
        <v>109000</v>
      </c>
      <c r="G2340" s="31">
        <v>0</v>
      </c>
      <c r="H2340" s="31">
        <v>0</v>
      </c>
      <c r="I2340" s="31" t="s">
        <v>1813</v>
      </c>
      <c r="J2340" s="5" t="s">
        <v>1933</v>
      </c>
      <c r="K2340" s="8"/>
    </row>
    <row r="2341" spans="1:11" x14ac:dyDescent="0.2">
      <c r="A2341" s="8">
        <v>2346</v>
      </c>
      <c r="B2341" s="8">
        <f t="shared" si="78"/>
        <v>2023</v>
      </c>
      <c r="C2341" s="8">
        <f t="shared" si="79"/>
        <v>4</v>
      </c>
      <c r="D2341" s="85">
        <v>45020</v>
      </c>
      <c r="E2341" s="31">
        <v>0</v>
      </c>
      <c r="F2341" s="31">
        <v>70000</v>
      </c>
      <c r="G2341" s="31">
        <v>0</v>
      </c>
      <c r="H2341" s="31">
        <v>0</v>
      </c>
      <c r="I2341" s="31" t="s">
        <v>1815</v>
      </c>
      <c r="J2341" s="5" t="s">
        <v>1934</v>
      </c>
      <c r="K2341" s="8"/>
    </row>
    <row r="2342" spans="1:11" x14ac:dyDescent="0.2">
      <c r="A2342" s="8">
        <v>2347</v>
      </c>
      <c r="B2342" s="8">
        <f t="shared" si="78"/>
        <v>2023</v>
      </c>
      <c r="C2342" s="8">
        <f t="shared" si="79"/>
        <v>4</v>
      </c>
      <c r="D2342" s="85">
        <v>45020</v>
      </c>
      <c r="E2342" s="31">
        <v>0</v>
      </c>
      <c r="F2342" s="31">
        <v>500000</v>
      </c>
      <c r="G2342" s="31">
        <v>0</v>
      </c>
      <c r="H2342" s="31">
        <v>0</v>
      </c>
      <c r="I2342" s="31" t="s">
        <v>1845</v>
      </c>
      <c r="J2342" s="5" t="s">
        <v>1935</v>
      </c>
      <c r="K2342" s="8"/>
    </row>
    <row r="2343" spans="1:11" x14ac:dyDescent="0.2">
      <c r="A2343" s="8">
        <v>2348</v>
      </c>
      <c r="B2343" s="8">
        <f t="shared" si="78"/>
        <v>2023</v>
      </c>
      <c r="C2343" s="8">
        <f t="shared" si="79"/>
        <v>4</v>
      </c>
      <c r="D2343" s="85">
        <v>45021</v>
      </c>
      <c r="E2343" s="31">
        <v>0</v>
      </c>
      <c r="F2343" s="31">
        <v>400000</v>
      </c>
      <c r="G2343" s="31">
        <v>0</v>
      </c>
      <c r="H2343" s="31">
        <v>0</v>
      </c>
      <c r="I2343" s="139" t="s">
        <v>1834</v>
      </c>
      <c r="J2343" s="5" t="s">
        <v>1936</v>
      </c>
      <c r="K2343" s="8"/>
    </row>
    <row r="2344" spans="1:11" x14ac:dyDescent="0.2">
      <c r="A2344" s="8">
        <v>2349</v>
      </c>
      <c r="B2344" s="8">
        <f t="shared" si="78"/>
        <v>2023</v>
      </c>
      <c r="C2344" s="8">
        <f t="shared" si="79"/>
        <v>4</v>
      </c>
      <c r="D2344" s="85">
        <v>45021</v>
      </c>
      <c r="E2344" s="31">
        <v>0</v>
      </c>
      <c r="F2344" s="31">
        <v>15000</v>
      </c>
      <c r="G2344" s="31">
        <v>0</v>
      </c>
      <c r="H2344" s="31">
        <v>0</v>
      </c>
      <c r="I2344" s="31" t="s">
        <v>88</v>
      </c>
      <c r="J2344" s="5" t="s">
        <v>89</v>
      </c>
      <c r="K2344" s="8"/>
    </row>
    <row r="2345" spans="1:11" x14ac:dyDescent="0.2">
      <c r="A2345" s="8">
        <v>2350</v>
      </c>
      <c r="B2345" s="8">
        <f t="shared" si="78"/>
        <v>2023</v>
      </c>
      <c r="C2345" s="8">
        <f t="shared" si="79"/>
        <v>4</v>
      </c>
      <c r="D2345" s="85">
        <v>45021</v>
      </c>
      <c r="E2345" s="31">
        <v>0</v>
      </c>
      <c r="F2345" s="31">
        <v>50000</v>
      </c>
      <c r="G2345" s="31">
        <v>0</v>
      </c>
      <c r="H2345" s="31">
        <v>0</v>
      </c>
      <c r="I2345" s="139" t="s">
        <v>1834</v>
      </c>
      <c r="J2345" s="5" t="s">
        <v>1844</v>
      </c>
      <c r="K2345" s="8"/>
    </row>
    <row r="2346" spans="1:11" x14ac:dyDescent="0.2">
      <c r="A2346" s="8">
        <v>2351</v>
      </c>
      <c r="B2346" s="8">
        <f t="shared" si="78"/>
        <v>2023</v>
      </c>
      <c r="C2346" s="8">
        <f t="shared" si="79"/>
        <v>4</v>
      </c>
      <c r="D2346" s="85">
        <v>45021</v>
      </c>
      <c r="E2346" s="31">
        <v>0</v>
      </c>
      <c r="F2346" s="31">
        <v>125000</v>
      </c>
      <c r="G2346" s="31">
        <v>0</v>
      </c>
      <c r="H2346" s="31">
        <v>0</v>
      </c>
      <c r="I2346" s="31" t="s">
        <v>85</v>
      </c>
      <c r="J2346" s="5" t="s">
        <v>1937</v>
      </c>
      <c r="K2346" s="8"/>
    </row>
    <row r="2347" spans="1:11" x14ac:dyDescent="0.2">
      <c r="A2347" s="8">
        <v>2352</v>
      </c>
      <c r="B2347" s="8">
        <f t="shared" si="78"/>
        <v>2023</v>
      </c>
      <c r="C2347" s="8">
        <f t="shared" si="79"/>
        <v>4</v>
      </c>
      <c r="D2347" s="85">
        <v>45021</v>
      </c>
      <c r="E2347" s="31">
        <v>0</v>
      </c>
      <c r="F2347" s="31">
        <v>113000</v>
      </c>
      <c r="G2347" s="31">
        <v>0</v>
      </c>
      <c r="H2347" s="31">
        <v>0</v>
      </c>
      <c r="I2347" s="31" t="s">
        <v>299</v>
      </c>
      <c r="J2347" s="5" t="s">
        <v>1938</v>
      </c>
      <c r="K2347" s="8"/>
    </row>
    <row r="2348" spans="1:11" x14ac:dyDescent="0.2">
      <c r="A2348" s="8">
        <v>2353</v>
      </c>
      <c r="B2348" s="8">
        <f t="shared" si="78"/>
        <v>2023</v>
      </c>
      <c r="C2348" s="8">
        <f t="shared" si="79"/>
        <v>4</v>
      </c>
      <c r="D2348" s="85">
        <v>45022</v>
      </c>
      <c r="E2348" s="31">
        <v>0</v>
      </c>
      <c r="F2348" s="31">
        <v>40000</v>
      </c>
      <c r="G2348" s="31">
        <v>0</v>
      </c>
      <c r="H2348" s="31">
        <v>0</v>
      </c>
      <c r="I2348" s="31" t="s">
        <v>1815</v>
      </c>
      <c r="J2348" s="5" t="s">
        <v>1268</v>
      </c>
      <c r="K2348" s="8"/>
    </row>
    <row r="2349" spans="1:11" x14ac:dyDescent="0.2">
      <c r="A2349" s="8">
        <v>2354</v>
      </c>
      <c r="B2349" s="8">
        <f t="shared" si="78"/>
        <v>2023</v>
      </c>
      <c r="C2349" s="8">
        <f t="shared" si="79"/>
        <v>4</v>
      </c>
      <c r="D2349" s="85">
        <v>45022</v>
      </c>
      <c r="E2349" s="31">
        <v>0</v>
      </c>
      <c r="F2349" s="31">
        <v>35000</v>
      </c>
      <c r="G2349" s="31">
        <v>0</v>
      </c>
      <c r="H2349" s="31">
        <v>0</v>
      </c>
      <c r="I2349" s="31" t="s">
        <v>85</v>
      </c>
      <c r="J2349" s="5" t="s">
        <v>1939</v>
      </c>
      <c r="K2349" s="8"/>
    </row>
    <row r="2350" spans="1:11" x14ac:dyDescent="0.2">
      <c r="A2350" s="8">
        <v>2355</v>
      </c>
      <c r="B2350" s="8">
        <f t="shared" si="78"/>
        <v>2023</v>
      </c>
      <c r="C2350" s="8">
        <f t="shared" si="79"/>
        <v>4</v>
      </c>
      <c r="D2350" s="85">
        <v>45022</v>
      </c>
      <c r="E2350" s="31">
        <v>0</v>
      </c>
      <c r="F2350" s="31">
        <v>35000</v>
      </c>
      <c r="G2350" s="31">
        <v>0</v>
      </c>
      <c r="H2350" s="31">
        <v>0</v>
      </c>
      <c r="I2350" s="31" t="s">
        <v>85</v>
      </c>
      <c r="J2350" s="5" t="s">
        <v>1940</v>
      </c>
      <c r="K2350" s="8"/>
    </row>
    <row r="2351" spans="1:11" x14ac:dyDescent="0.2">
      <c r="A2351" s="8">
        <v>2356</v>
      </c>
      <c r="B2351" s="8">
        <f t="shared" si="78"/>
        <v>2023</v>
      </c>
      <c r="C2351" s="8">
        <f t="shared" si="79"/>
        <v>4</v>
      </c>
      <c r="D2351" s="85">
        <v>45023</v>
      </c>
      <c r="E2351" s="31">
        <v>0</v>
      </c>
      <c r="F2351" s="31">
        <v>200000</v>
      </c>
      <c r="G2351" s="31">
        <v>0</v>
      </c>
      <c r="H2351" s="31">
        <v>0</v>
      </c>
      <c r="I2351" s="31" t="s">
        <v>1845</v>
      </c>
      <c r="J2351" s="5" t="s">
        <v>1941</v>
      </c>
      <c r="K2351" s="8"/>
    </row>
    <row r="2352" spans="1:11" x14ac:dyDescent="0.2">
      <c r="A2352" s="8">
        <v>2357</v>
      </c>
      <c r="B2352" s="8">
        <f t="shared" si="78"/>
        <v>2023</v>
      </c>
      <c r="C2352" s="8">
        <f t="shared" si="79"/>
        <v>4</v>
      </c>
      <c r="D2352" s="85">
        <v>45024</v>
      </c>
      <c r="E2352" s="31">
        <v>0</v>
      </c>
      <c r="F2352" s="31">
        <v>60000</v>
      </c>
      <c r="G2352" s="31">
        <v>0</v>
      </c>
      <c r="H2352" s="31">
        <v>0</v>
      </c>
      <c r="I2352" s="31" t="s">
        <v>85</v>
      </c>
      <c r="J2352" s="5" t="s">
        <v>1942</v>
      </c>
      <c r="K2352" s="8"/>
    </row>
    <row r="2353" spans="1:11" x14ac:dyDescent="0.2">
      <c r="A2353" s="8">
        <v>2358</v>
      </c>
      <c r="B2353" s="8">
        <f t="shared" si="78"/>
        <v>2023</v>
      </c>
      <c r="C2353" s="8">
        <f t="shared" si="79"/>
        <v>4</v>
      </c>
      <c r="D2353" s="85">
        <v>45024</v>
      </c>
      <c r="E2353" s="31">
        <v>0</v>
      </c>
      <c r="F2353" s="31">
        <v>155000</v>
      </c>
      <c r="G2353" s="31">
        <v>0</v>
      </c>
      <c r="H2353" s="31">
        <v>0</v>
      </c>
      <c r="I2353" s="139" t="s">
        <v>1834</v>
      </c>
      <c r="J2353" s="5" t="s">
        <v>1943</v>
      </c>
      <c r="K2353" s="8"/>
    </row>
    <row r="2354" spans="1:11" x14ac:dyDescent="0.2">
      <c r="A2354" s="8">
        <v>2359</v>
      </c>
      <c r="B2354" s="8">
        <f t="shared" si="78"/>
        <v>2023</v>
      </c>
      <c r="C2354" s="8">
        <f t="shared" si="79"/>
        <v>4</v>
      </c>
      <c r="D2354" s="85">
        <v>45025</v>
      </c>
      <c r="E2354" s="31">
        <v>0</v>
      </c>
      <c r="F2354" s="31">
        <v>30000</v>
      </c>
      <c r="G2354" s="31">
        <v>0</v>
      </c>
      <c r="H2354" s="31">
        <v>0</v>
      </c>
      <c r="I2354" s="31" t="s">
        <v>85</v>
      </c>
      <c r="J2354" s="5" t="s">
        <v>1944</v>
      </c>
      <c r="K2354" s="8"/>
    </row>
    <row r="2355" spans="1:11" x14ac:dyDescent="0.2">
      <c r="A2355" s="8">
        <v>2360</v>
      </c>
      <c r="B2355" s="8">
        <f t="shared" si="78"/>
        <v>2023</v>
      </c>
      <c r="C2355" s="8">
        <f t="shared" si="79"/>
        <v>4</v>
      </c>
      <c r="D2355" s="85">
        <v>45025</v>
      </c>
      <c r="E2355" s="31">
        <v>0</v>
      </c>
      <c r="F2355" s="31">
        <v>50000</v>
      </c>
      <c r="G2355" s="31">
        <v>0</v>
      </c>
      <c r="H2355" s="31">
        <v>0</v>
      </c>
      <c r="I2355" s="31" t="s">
        <v>85</v>
      </c>
      <c r="J2355" s="5" t="s">
        <v>287</v>
      </c>
      <c r="K2355" s="8"/>
    </row>
    <row r="2356" spans="1:11" x14ac:dyDescent="0.2">
      <c r="A2356" s="8">
        <v>2361</v>
      </c>
      <c r="B2356" s="8">
        <f t="shared" si="78"/>
        <v>2023</v>
      </c>
      <c r="C2356" s="8">
        <f t="shared" si="79"/>
        <v>4</v>
      </c>
      <c r="D2356" s="85">
        <v>45026</v>
      </c>
      <c r="E2356" s="31">
        <v>0</v>
      </c>
      <c r="F2356" s="31">
        <v>42000</v>
      </c>
      <c r="G2356" s="31">
        <v>0</v>
      </c>
      <c r="H2356" s="31">
        <v>0</v>
      </c>
      <c r="I2356" s="31" t="s">
        <v>88</v>
      </c>
      <c r="J2356" s="5" t="s">
        <v>1826</v>
      </c>
      <c r="K2356" s="8"/>
    </row>
    <row r="2357" spans="1:11" x14ac:dyDescent="0.2">
      <c r="A2357" s="8">
        <v>2362</v>
      </c>
      <c r="B2357" s="8">
        <f t="shared" si="78"/>
        <v>2023</v>
      </c>
      <c r="C2357" s="8">
        <f t="shared" si="79"/>
        <v>4</v>
      </c>
      <c r="D2357" s="85">
        <v>45026</v>
      </c>
      <c r="E2357" s="31">
        <v>0</v>
      </c>
      <c r="F2357" s="31">
        <v>300000</v>
      </c>
      <c r="G2357" s="31">
        <v>0</v>
      </c>
      <c r="H2357" s="31">
        <v>0</v>
      </c>
      <c r="I2357" s="31" t="s">
        <v>1845</v>
      </c>
      <c r="J2357" s="5" t="s">
        <v>1945</v>
      </c>
      <c r="K2357" s="8"/>
    </row>
    <row r="2358" spans="1:11" x14ac:dyDescent="0.2">
      <c r="A2358" s="8">
        <v>2363</v>
      </c>
      <c r="B2358" s="8">
        <f t="shared" si="78"/>
        <v>2023</v>
      </c>
      <c r="C2358" s="8">
        <f t="shared" si="79"/>
        <v>4</v>
      </c>
      <c r="D2358" s="85">
        <v>45026</v>
      </c>
      <c r="E2358" s="31">
        <v>0</v>
      </c>
      <c r="F2358" s="31">
        <v>12000</v>
      </c>
      <c r="G2358" s="31">
        <v>0</v>
      </c>
      <c r="H2358" s="31">
        <v>0</v>
      </c>
      <c r="I2358" s="31" t="s">
        <v>88</v>
      </c>
      <c r="J2358" s="5" t="s">
        <v>91</v>
      </c>
      <c r="K2358" s="8"/>
    </row>
    <row r="2359" spans="1:11" x14ac:dyDescent="0.2">
      <c r="A2359" s="8">
        <v>2364</v>
      </c>
      <c r="B2359" s="8">
        <f t="shared" si="78"/>
        <v>2023</v>
      </c>
      <c r="C2359" s="8">
        <f t="shared" si="79"/>
        <v>4</v>
      </c>
      <c r="D2359" s="85">
        <v>45027</v>
      </c>
      <c r="E2359" s="31">
        <v>0</v>
      </c>
      <c r="F2359" s="31">
        <v>50000</v>
      </c>
      <c r="G2359" s="31">
        <v>0</v>
      </c>
      <c r="H2359" s="31">
        <v>0</v>
      </c>
      <c r="I2359" s="31" t="s">
        <v>85</v>
      </c>
      <c r="J2359" s="5" t="s">
        <v>287</v>
      </c>
      <c r="K2359" s="8"/>
    </row>
    <row r="2360" spans="1:11" x14ac:dyDescent="0.2">
      <c r="A2360" s="8">
        <v>2365</v>
      </c>
      <c r="B2360" s="8">
        <f t="shared" si="78"/>
        <v>2023</v>
      </c>
      <c r="C2360" s="8">
        <f t="shared" si="79"/>
        <v>4</v>
      </c>
      <c r="D2360" s="85">
        <v>45028</v>
      </c>
      <c r="E2360" s="31">
        <v>0</v>
      </c>
      <c r="F2360" s="31">
        <v>50000</v>
      </c>
      <c r="G2360" s="31">
        <v>0</v>
      </c>
      <c r="H2360" s="31">
        <v>0</v>
      </c>
      <c r="I2360" s="31" t="s">
        <v>85</v>
      </c>
      <c r="J2360" s="5" t="s">
        <v>287</v>
      </c>
      <c r="K2360" s="8"/>
    </row>
    <row r="2361" spans="1:11" x14ac:dyDescent="0.2">
      <c r="A2361" s="8">
        <v>2366</v>
      </c>
      <c r="B2361" s="8">
        <f t="shared" si="78"/>
        <v>2023</v>
      </c>
      <c r="C2361" s="8">
        <f t="shared" si="79"/>
        <v>4</v>
      </c>
      <c r="D2361" s="85">
        <v>45029</v>
      </c>
      <c r="E2361" s="31">
        <v>0</v>
      </c>
      <c r="F2361" s="31">
        <v>500000</v>
      </c>
      <c r="G2361" s="31">
        <v>0</v>
      </c>
      <c r="H2361" s="31">
        <v>0</v>
      </c>
      <c r="I2361" s="31" t="s">
        <v>92</v>
      </c>
      <c r="J2361" s="5" t="s">
        <v>1946</v>
      </c>
      <c r="K2361" s="8"/>
    </row>
    <row r="2362" spans="1:11" x14ac:dyDescent="0.2">
      <c r="A2362" s="8">
        <v>2367</v>
      </c>
      <c r="B2362" s="8">
        <f t="shared" si="78"/>
        <v>2023</v>
      </c>
      <c r="C2362" s="8">
        <f t="shared" si="79"/>
        <v>4</v>
      </c>
      <c r="D2362" s="85">
        <v>45029</v>
      </c>
      <c r="E2362" s="31">
        <v>0</v>
      </c>
      <c r="F2362" s="31">
        <v>50000</v>
      </c>
      <c r="G2362" s="31">
        <v>0</v>
      </c>
      <c r="H2362" s="31">
        <v>0</v>
      </c>
      <c r="I2362" s="31" t="s">
        <v>1815</v>
      </c>
      <c r="J2362" s="5" t="s">
        <v>1947</v>
      </c>
      <c r="K2362" s="8"/>
    </row>
    <row r="2363" spans="1:11" x14ac:dyDescent="0.2">
      <c r="A2363" s="8">
        <v>2368</v>
      </c>
      <c r="B2363" s="8">
        <f t="shared" si="78"/>
        <v>2023</v>
      </c>
      <c r="C2363" s="8">
        <f t="shared" si="79"/>
        <v>4</v>
      </c>
      <c r="D2363" s="85">
        <v>45030</v>
      </c>
      <c r="E2363" s="31">
        <v>0</v>
      </c>
      <c r="F2363" s="31">
        <v>20000</v>
      </c>
      <c r="G2363" s="31">
        <v>0</v>
      </c>
      <c r="H2363" s="31">
        <v>0</v>
      </c>
      <c r="I2363" s="31" t="s">
        <v>88</v>
      </c>
      <c r="J2363" s="5" t="s">
        <v>91</v>
      </c>
      <c r="K2363" s="8"/>
    </row>
    <row r="2364" spans="1:11" ht="14" customHeight="1" x14ac:dyDescent="0.2">
      <c r="A2364" s="8">
        <v>2369</v>
      </c>
      <c r="B2364" s="8">
        <f t="shared" si="78"/>
        <v>2023</v>
      </c>
      <c r="C2364" s="8">
        <f t="shared" si="79"/>
        <v>4</v>
      </c>
      <c r="D2364" s="85">
        <v>45030</v>
      </c>
      <c r="E2364" s="31">
        <v>0</v>
      </c>
      <c r="F2364" s="31">
        <v>109000</v>
      </c>
      <c r="G2364" s="31">
        <v>0</v>
      </c>
      <c r="H2364" s="31">
        <v>0</v>
      </c>
      <c r="I2364" s="31" t="s">
        <v>1813</v>
      </c>
      <c r="J2364" s="5" t="s">
        <v>1932</v>
      </c>
      <c r="K2364" s="8"/>
    </row>
    <row r="2365" spans="1:11" x14ac:dyDescent="0.2">
      <c r="A2365" s="8">
        <v>2370</v>
      </c>
      <c r="B2365" s="8">
        <f t="shared" si="78"/>
        <v>2023</v>
      </c>
      <c r="C2365" s="8">
        <f t="shared" si="79"/>
        <v>4</v>
      </c>
      <c r="D2365" s="85">
        <v>45030</v>
      </c>
      <c r="E2365" s="31">
        <v>0</v>
      </c>
      <c r="F2365" s="31">
        <v>60000</v>
      </c>
      <c r="G2365" s="31">
        <v>0</v>
      </c>
      <c r="H2365" s="31">
        <v>0</v>
      </c>
      <c r="I2365" s="31" t="s">
        <v>1815</v>
      </c>
      <c r="J2365" s="5" t="s">
        <v>1948</v>
      </c>
      <c r="K2365" s="8"/>
    </row>
    <row r="2366" spans="1:11" x14ac:dyDescent="0.2">
      <c r="A2366" s="8">
        <v>2371</v>
      </c>
      <c r="B2366" s="8">
        <f t="shared" si="78"/>
        <v>2023</v>
      </c>
      <c r="C2366" s="8">
        <f t="shared" si="79"/>
        <v>4</v>
      </c>
      <c r="D2366" s="85">
        <v>45031</v>
      </c>
      <c r="E2366" s="31">
        <v>0</v>
      </c>
      <c r="F2366" s="31">
        <v>100000</v>
      </c>
      <c r="G2366" s="31">
        <v>0</v>
      </c>
      <c r="H2366" s="31">
        <v>0</v>
      </c>
      <c r="I2366" s="31" t="s">
        <v>1815</v>
      </c>
      <c r="J2366" s="5" t="s">
        <v>1511</v>
      </c>
      <c r="K2366" s="8"/>
    </row>
    <row r="2367" spans="1:11" x14ac:dyDescent="0.2">
      <c r="A2367" s="8">
        <v>2372</v>
      </c>
      <c r="B2367" s="8">
        <f t="shared" si="78"/>
        <v>2023</v>
      </c>
      <c r="C2367" s="8">
        <f t="shared" si="79"/>
        <v>4</v>
      </c>
      <c r="D2367" s="85">
        <v>45032</v>
      </c>
      <c r="E2367" s="31">
        <v>0</v>
      </c>
      <c r="F2367" s="31">
        <v>130000</v>
      </c>
      <c r="G2367" s="31">
        <v>0</v>
      </c>
      <c r="H2367" s="31">
        <v>0</v>
      </c>
      <c r="I2367" s="31" t="s">
        <v>299</v>
      </c>
      <c r="J2367" s="5" t="s">
        <v>1949</v>
      </c>
      <c r="K2367" s="8"/>
    </row>
    <row r="2368" spans="1:11" x14ac:dyDescent="0.2">
      <c r="A2368" s="8">
        <v>2373</v>
      </c>
      <c r="B2368" s="8">
        <f t="shared" si="78"/>
        <v>2023</v>
      </c>
      <c r="C2368" s="8">
        <f t="shared" si="79"/>
        <v>4</v>
      </c>
      <c r="D2368" s="85">
        <v>45032</v>
      </c>
      <c r="E2368" s="31">
        <v>0</v>
      </c>
      <c r="F2368" s="31">
        <v>50000</v>
      </c>
      <c r="G2368" s="31">
        <v>0</v>
      </c>
      <c r="H2368" s="31">
        <v>0</v>
      </c>
      <c r="I2368" s="31" t="s">
        <v>1815</v>
      </c>
      <c r="J2368" s="5" t="s">
        <v>1950</v>
      </c>
      <c r="K2368" s="8"/>
    </row>
    <row r="2369" spans="1:11" x14ac:dyDescent="0.2">
      <c r="A2369" s="8">
        <v>2374</v>
      </c>
      <c r="B2369" s="8">
        <f t="shared" si="78"/>
        <v>2023</v>
      </c>
      <c r="C2369" s="8">
        <f t="shared" si="79"/>
        <v>4</v>
      </c>
      <c r="D2369" s="85">
        <v>45033</v>
      </c>
      <c r="E2369" s="31">
        <v>0</v>
      </c>
      <c r="F2369" s="31">
        <v>16000</v>
      </c>
      <c r="G2369" s="31">
        <v>0</v>
      </c>
      <c r="H2369" s="31">
        <v>0</v>
      </c>
      <c r="I2369" s="139" t="s">
        <v>1834</v>
      </c>
      <c r="J2369" s="5" t="s">
        <v>1951</v>
      </c>
      <c r="K2369" s="8"/>
    </row>
    <row r="2370" spans="1:11" x14ac:dyDescent="0.2">
      <c r="A2370" s="8">
        <v>2375</v>
      </c>
      <c r="B2370" s="8">
        <f t="shared" si="78"/>
        <v>2023</v>
      </c>
      <c r="C2370" s="8">
        <f t="shared" si="79"/>
        <v>4</v>
      </c>
      <c r="D2370" s="85">
        <v>45033</v>
      </c>
      <c r="E2370" s="31">
        <v>0</v>
      </c>
      <c r="F2370" s="31">
        <v>315000</v>
      </c>
      <c r="G2370" s="31">
        <v>0</v>
      </c>
      <c r="H2370" s="31">
        <v>0</v>
      </c>
      <c r="I2370" s="139" t="s">
        <v>1834</v>
      </c>
      <c r="J2370" s="5" t="s">
        <v>1952</v>
      </c>
      <c r="K2370" s="8"/>
    </row>
    <row r="2371" spans="1:11" x14ac:dyDescent="0.2">
      <c r="A2371" s="8">
        <v>2376</v>
      </c>
      <c r="B2371" s="8">
        <f t="shared" ref="B2371:B2434" si="80">YEAR(D2371)</f>
        <v>2023</v>
      </c>
      <c r="C2371" s="8">
        <f t="shared" ref="C2371:C2434" si="81">MONTH(D2371)</f>
        <v>4</v>
      </c>
      <c r="D2371" s="85">
        <v>45033</v>
      </c>
      <c r="E2371" s="31">
        <v>0</v>
      </c>
      <c r="F2371" s="31">
        <v>50000</v>
      </c>
      <c r="G2371" s="31">
        <v>0</v>
      </c>
      <c r="H2371" s="31">
        <v>0</v>
      </c>
      <c r="I2371" s="139" t="s">
        <v>1834</v>
      </c>
      <c r="J2371" s="5" t="s">
        <v>1953</v>
      </c>
      <c r="K2371" s="8"/>
    </row>
    <row r="2372" spans="1:11" x14ac:dyDescent="0.2">
      <c r="A2372" s="8">
        <v>2377</v>
      </c>
      <c r="B2372" s="8">
        <f t="shared" si="80"/>
        <v>2023</v>
      </c>
      <c r="C2372" s="8">
        <f t="shared" si="81"/>
        <v>4</v>
      </c>
      <c r="D2372" s="85">
        <v>45033</v>
      </c>
      <c r="E2372" s="31">
        <v>0</v>
      </c>
      <c r="F2372" s="31">
        <v>125000</v>
      </c>
      <c r="G2372" s="31">
        <v>0</v>
      </c>
      <c r="H2372" s="31">
        <v>0</v>
      </c>
      <c r="I2372" s="31" t="s">
        <v>85</v>
      </c>
      <c r="J2372" s="5" t="s">
        <v>1954</v>
      </c>
      <c r="K2372" s="8"/>
    </row>
    <row r="2373" spans="1:11" x14ac:dyDescent="0.2">
      <c r="A2373" s="8">
        <v>2378</v>
      </c>
      <c r="B2373" s="8">
        <f t="shared" si="80"/>
        <v>2023</v>
      </c>
      <c r="C2373" s="8">
        <f t="shared" si="81"/>
        <v>4</v>
      </c>
      <c r="D2373" s="85">
        <v>45034</v>
      </c>
      <c r="E2373" s="31">
        <v>0</v>
      </c>
      <c r="F2373" s="31">
        <v>50000</v>
      </c>
      <c r="G2373" s="31">
        <v>0</v>
      </c>
      <c r="H2373" s="31">
        <v>0</v>
      </c>
      <c r="I2373" s="31" t="s">
        <v>85</v>
      </c>
      <c r="J2373" s="5" t="s">
        <v>287</v>
      </c>
      <c r="K2373" s="8"/>
    </row>
    <row r="2374" spans="1:11" x14ac:dyDescent="0.2">
      <c r="A2374" s="8">
        <v>2379</v>
      </c>
      <c r="B2374" s="8">
        <f t="shared" si="80"/>
        <v>2023</v>
      </c>
      <c r="C2374" s="8">
        <f t="shared" si="81"/>
        <v>4</v>
      </c>
      <c r="D2374" s="85">
        <v>45035</v>
      </c>
      <c r="E2374" s="31">
        <v>0</v>
      </c>
      <c r="F2374" s="31">
        <v>50000</v>
      </c>
      <c r="G2374" s="31">
        <v>0</v>
      </c>
      <c r="H2374" s="31">
        <v>0</v>
      </c>
      <c r="I2374" s="31" t="s">
        <v>85</v>
      </c>
      <c r="J2374" s="5" t="s">
        <v>287</v>
      </c>
      <c r="K2374" s="8"/>
    </row>
    <row r="2375" spans="1:11" x14ac:dyDescent="0.2">
      <c r="A2375" s="8">
        <v>2380</v>
      </c>
      <c r="B2375" s="8">
        <f t="shared" si="80"/>
        <v>2023</v>
      </c>
      <c r="C2375" s="8">
        <f t="shared" si="81"/>
        <v>4</v>
      </c>
      <c r="D2375" s="85">
        <v>45036</v>
      </c>
      <c r="E2375" s="31">
        <v>0</v>
      </c>
      <c r="F2375" s="31">
        <v>100000</v>
      </c>
      <c r="G2375" s="31">
        <v>0</v>
      </c>
      <c r="H2375" s="31">
        <v>0</v>
      </c>
      <c r="I2375" s="31" t="s">
        <v>1845</v>
      </c>
      <c r="J2375" s="5" t="s">
        <v>690</v>
      </c>
      <c r="K2375" s="8"/>
    </row>
    <row r="2376" spans="1:11" x14ac:dyDescent="0.2">
      <c r="A2376" s="8">
        <v>2381</v>
      </c>
      <c r="B2376" s="8">
        <f t="shared" si="80"/>
        <v>2023</v>
      </c>
      <c r="C2376" s="8">
        <f t="shared" si="81"/>
        <v>4</v>
      </c>
      <c r="D2376" s="85">
        <v>45036</v>
      </c>
      <c r="E2376" s="31">
        <v>0</v>
      </c>
      <c r="F2376" s="31">
        <v>23000</v>
      </c>
      <c r="G2376" s="31">
        <v>0</v>
      </c>
      <c r="H2376" s="31">
        <v>0</v>
      </c>
      <c r="I2376" s="31" t="s">
        <v>88</v>
      </c>
      <c r="J2376" s="5" t="s">
        <v>356</v>
      </c>
      <c r="K2376" s="8"/>
    </row>
    <row r="2377" spans="1:11" x14ac:dyDescent="0.2">
      <c r="A2377" s="8">
        <v>2382</v>
      </c>
      <c r="B2377" s="8">
        <f t="shared" si="80"/>
        <v>2023</v>
      </c>
      <c r="C2377" s="8">
        <f t="shared" si="81"/>
        <v>4</v>
      </c>
      <c r="D2377" s="85">
        <v>45036</v>
      </c>
      <c r="E2377" s="31">
        <v>0</v>
      </c>
      <c r="F2377" s="31">
        <v>7000</v>
      </c>
      <c r="G2377" s="31">
        <v>0</v>
      </c>
      <c r="H2377" s="31">
        <v>0</v>
      </c>
      <c r="I2377" s="31" t="s">
        <v>85</v>
      </c>
      <c r="J2377" s="5" t="s">
        <v>1955</v>
      </c>
      <c r="K2377" s="8"/>
    </row>
    <row r="2378" spans="1:11" x14ac:dyDescent="0.2">
      <c r="A2378" s="8">
        <v>2383</v>
      </c>
      <c r="B2378" s="8">
        <f t="shared" si="80"/>
        <v>2023</v>
      </c>
      <c r="C2378" s="8">
        <f t="shared" si="81"/>
        <v>4</v>
      </c>
      <c r="D2378" s="85">
        <v>45037</v>
      </c>
      <c r="E2378" s="31">
        <v>0</v>
      </c>
      <c r="F2378" s="31">
        <v>140000</v>
      </c>
      <c r="G2378" s="31">
        <v>0</v>
      </c>
      <c r="H2378" s="31">
        <v>0</v>
      </c>
      <c r="I2378" s="31" t="s">
        <v>85</v>
      </c>
      <c r="J2378" s="5" t="s">
        <v>1956</v>
      </c>
      <c r="K2378" s="8"/>
    </row>
    <row r="2379" spans="1:11" x14ac:dyDescent="0.2">
      <c r="A2379" s="8">
        <v>2384</v>
      </c>
      <c r="B2379" s="8">
        <f t="shared" si="80"/>
        <v>2023</v>
      </c>
      <c r="C2379" s="8">
        <f t="shared" si="81"/>
        <v>4</v>
      </c>
      <c r="D2379" s="85">
        <v>45037</v>
      </c>
      <c r="E2379" s="31">
        <v>0</v>
      </c>
      <c r="F2379" s="31">
        <v>0</v>
      </c>
      <c r="G2379" s="31">
        <v>0</v>
      </c>
      <c r="H2379" s="31">
        <v>0</v>
      </c>
      <c r="I2379" s="31" t="s">
        <v>92</v>
      </c>
      <c r="J2379" s="5" t="s">
        <v>1957</v>
      </c>
      <c r="K2379" s="8"/>
    </row>
    <row r="2380" spans="1:11" x14ac:dyDescent="0.2">
      <c r="A2380" s="8">
        <v>2385</v>
      </c>
      <c r="B2380" s="8">
        <f t="shared" si="80"/>
        <v>2023</v>
      </c>
      <c r="C2380" s="8">
        <f t="shared" si="81"/>
        <v>4</v>
      </c>
      <c r="D2380" s="85">
        <v>45038</v>
      </c>
      <c r="E2380" s="31">
        <v>0</v>
      </c>
      <c r="F2380" s="31">
        <v>30000</v>
      </c>
      <c r="G2380" s="31">
        <v>0</v>
      </c>
      <c r="H2380" s="31">
        <v>0</v>
      </c>
      <c r="I2380" s="139" t="s">
        <v>1834</v>
      </c>
      <c r="J2380" s="5" t="s">
        <v>1958</v>
      </c>
      <c r="K2380" s="8"/>
    </row>
    <row r="2381" spans="1:11" x14ac:dyDescent="0.2">
      <c r="A2381" s="8">
        <v>2386</v>
      </c>
      <c r="B2381" s="8">
        <f t="shared" si="80"/>
        <v>2023</v>
      </c>
      <c r="C2381" s="8">
        <f t="shared" si="81"/>
        <v>4</v>
      </c>
      <c r="D2381" s="85">
        <v>45038</v>
      </c>
      <c r="E2381" s="31">
        <v>0</v>
      </c>
      <c r="F2381" s="31">
        <v>24000</v>
      </c>
      <c r="G2381" s="31">
        <v>0</v>
      </c>
      <c r="H2381" s="31">
        <v>0</v>
      </c>
      <c r="I2381" s="31" t="s">
        <v>88</v>
      </c>
      <c r="J2381" s="5" t="s">
        <v>356</v>
      </c>
      <c r="K2381" s="8"/>
    </row>
    <row r="2382" spans="1:11" x14ac:dyDescent="0.2">
      <c r="A2382" s="8">
        <v>2387</v>
      </c>
      <c r="B2382" s="8">
        <f t="shared" si="80"/>
        <v>2023</v>
      </c>
      <c r="C2382" s="8">
        <f t="shared" si="81"/>
        <v>4</v>
      </c>
      <c r="D2382" s="85">
        <v>45039</v>
      </c>
      <c r="E2382" s="31">
        <v>0</v>
      </c>
      <c r="F2382" s="31">
        <v>24000</v>
      </c>
      <c r="G2382" s="31">
        <v>0</v>
      </c>
      <c r="H2382" s="31">
        <v>0</v>
      </c>
      <c r="I2382" s="31" t="s">
        <v>85</v>
      </c>
      <c r="J2382" s="5" t="s">
        <v>1774</v>
      </c>
      <c r="K2382" s="8"/>
    </row>
    <row r="2383" spans="1:11" x14ac:dyDescent="0.2">
      <c r="A2383" s="8">
        <v>2388</v>
      </c>
      <c r="B2383" s="8">
        <f t="shared" si="80"/>
        <v>2023</v>
      </c>
      <c r="C2383" s="8">
        <f t="shared" si="81"/>
        <v>4</v>
      </c>
      <c r="D2383" s="85">
        <v>45039</v>
      </c>
      <c r="E2383" s="31">
        <v>0</v>
      </c>
      <c r="F2383" s="31">
        <v>12000</v>
      </c>
      <c r="G2383" s="31">
        <v>0</v>
      </c>
      <c r="H2383" s="31">
        <v>0</v>
      </c>
      <c r="I2383" s="31" t="s">
        <v>85</v>
      </c>
      <c r="J2383" s="5" t="s">
        <v>175</v>
      </c>
      <c r="K2383" s="8"/>
    </row>
    <row r="2384" spans="1:11" x14ac:dyDescent="0.2">
      <c r="A2384" s="8">
        <v>2389</v>
      </c>
      <c r="B2384" s="8">
        <f t="shared" si="80"/>
        <v>2023</v>
      </c>
      <c r="C2384" s="8">
        <f t="shared" si="81"/>
        <v>4</v>
      </c>
      <c r="D2384" s="85">
        <v>45039</v>
      </c>
      <c r="E2384" s="31">
        <v>0</v>
      </c>
      <c r="F2384" s="31">
        <v>50000</v>
      </c>
      <c r="G2384" s="31">
        <v>0</v>
      </c>
      <c r="H2384" s="31">
        <v>0</v>
      </c>
      <c r="I2384" s="31" t="s">
        <v>1815</v>
      </c>
      <c r="J2384" s="5" t="s">
        <v>1959</v>
      </c>
      <c r="K2384" s="8"/>
    </row>
    <row r="2385" spans="1:11" x14ac:dyDescent="0.2">
      <c r="A2385" s="8">
        <v>2390</v>
      </c>
      <c r="B2385" s="8">
        <f t="shared" si="80"/>
        <v>2023</v>
      </c>
      <c r="C2385" s="8">
        <f t="shared" si="81"/>
        <v>4</v>
      </c>
      <c r="D2385" s="85">
        <v>45039</v>
      </c>
      <c r="E2385" s="31">
        <v>0</v>
      </c>
      <c r="F2385" s="31">
        <v>50000</v>
      </c>
      <c r="G2385" s="31">
        <v>0</v>
      </c>
      <c r="H2385" s="31">
        <v>0</v>
      </c>
      <c r="I2385" s="31" t="s">
        <v>85</v>
      </c>
      <c r="J2385" s="5" t="s">
        <v>287</v>
      </c>
      <c r="K2385" s="8"/>
    </row>
    <row r="2386" spans="1:11" x14ac:dyDescent="0.2">
      <c r="A2386" s="8">
        <v>2391</v>
      </c>
      <c r="B2386" s="8">
        <f t="shared" si="80"/>
        <v>2023</v>
      </c>
      <c r="C2386" s="8">
        <f t="shared" si="81"/>
        <v>4</v>
      </c>
      <c r="D2386" s="85">
        <v>45040</v>
      </c>
      <c r="E2386" s="31">
        <v>0</v>
      </c>
      <c r="F2386" s="31">
        <v>200000</v>
      </c>
      <c r="G2386" s="31">
        <v>0</v>
      </c>
      <c r="H2386" s="31">
        <v>0</v>
      </c>
      <c r="I2386" s="31" t="s">
        <v>85</v>
      </c>
      <c r="J2386" s="5" t="s">
        <v>1960</v>
      </c>
      <c r="K2386" s="8"/>
    </row>
    <row r="2387" spans="1:11" x14ac:dyDescent="0.2">
      <c r="A2387" s="8">
        <v>2392</v>
      </c>
      <c r="B2387" s="8">
        <f t="shared" si="80"/>
        <v>2023</v>
      </c>
      <c r="C2387" s="8">
        <f t="shared" si="81"/>
        <v>4</v>
      </c>
      <c r="D2387" s="85">
        <v>45041</v>
      </c>
      <c r="E2387" s="31">
        <v>0</v>
      </c>
      <c r="F2387" s="31">
        <v>66000</v>
      </c>
      <c r="G2387" s="31">
        <v>0</v>
      </c>
      <c r="H2387" s="31">
        <v>0</v>
      </c>
      <c r="I2387" s="31" t="s">
        <v>88</v>
      </c>
      <c r="J2387" s="5" t="s">
        <v>356</v>
      </c>
      <c r="K2387" s="8"/>
    </row>
    <row r="2388" spans="1:11" x14ac:dyDescent="0.2">
      <c r="A2388" s="8">
        <v>2393</v>
      </c>
      <c r="B2388" s="8">
        <f t="shared" si="80"/>
        <v>2023</v>
      </c>
      <c r="C2388" s="8">
        <f t="shared" si="81"/>
        <v>4</v>
      </c>
      <c r="D2388" s="85">
        <v>45041</v>
      </c>
      <c r="E2388" s="31">
        <v>0</v>
      </c>
      <c r="F2388" s="31">
        <v>50000</v>
      </c>
      <c r="G2388" s="31">
        <v>0</v>
      </c>
      <c r="H2388" s="31">
        <v>0</v>
      </c>
      <c r="I2388" s="139" t="s">
        <v>1834</v>
      </c>
      <c r="J2388" s="5" t="s">
        <v>1961</v>
      </c>
      <c r="K2388" s="8"/>
    </row>
    <row r="2389" spans="1:11" x14ac:dyDescent="0.2">
      <c r="A2389" s="8">
        <v>2394</v>
      </c>
      <c r="B2389" s="8">
        <f t="shared" si="80"/>
        <v>2023</v>
      </c>
      <c r="C2389" s="8">
        <f t="shared" si="81"/>
        <v>4</v>
      </c>
      <c r="D2389" s="85">
        <v>45041</v>
      </c>
      <c r="E2389" s="31">
        <v>0</v>
      </c>
      <c r="F2389" s="31">
        <v>32000</v>
      </c>
      <c r="G2389" s="31">
        <v>0</v>
      </c>
      <c r="H2389" s="31">
        <v>0</v>
      </c>
      <c r="I2389" s="139" t="s">
        <v>1834</v>
      </c>
      <c r="J2389" s="5" t="s">
        <v>1958</v>
      </c>
      <c r="K2389" s="8"/>
    </row>
    <row r="2390" spans="1:11" x14ac:dyDescent="0.2">
      <c r="A2390" s="8">
        <v>2395</v>
      </c>
      <c r="B2390" s="8">
        <f t="shared" si="80"/>
        <v>2023</v>
      </c>
      <c r="C2390" s="8">
        <f t="shared" si="81"/>
        <v>4</v>
      </c>
      <c r="D2390" s="85">
        <v>45042</v>
      </c>
      <c r="E2390" s="31">
        <v>0</v>
      </c>
      <c r="F2390" s="31">
        <v>100000</v>
      </c>
      <c r="G2390" s="31">
        <v>0</v>
      </c>
      <c r="H2390" s="31">
        <v>0</v>
      </c>
      <c r="I2390" s="31" t="s">
        <v>1387</v>
      </c>
      <c r="J2390" s="5" t="s">
        <v>1350</v>
      </c>
      <c r="K2390" s="8"/>
    </row>
    <row r="2391" spans="1:11" x14ac:dyDescent="0.2">
      <c r="A2391" s="8">
        <v>2396</v>
      </c>
      <c r="B2391" s="8">
        <f t="shared" si="80"/>
        <v>2023</v>
      </c>
      <c r="C2391" s="8">
        <f t="shared" si="81"/>
        <v>4</v>
      </c>
      <c r="D2391" s="85">
        <v>45042</v>
      </c>
      <c r="E2391" s="31">
        <v>0</v>
      </c>
      <c r="F2391" s="31">
        <v>26000</v>
      </c>
      <c r="G2391" s="31">
        <v>0</v>
      </c>
      <c r="H2391" s="31">
        <v>0</v>
      </c>
      <c r="I2391" s="31" t="s">
        <v>85</v>
      </c>
      <c r="J2391" s="5" t="s">
        <v>149</v>
      </c>
      <c r="K2391" s="8"/>
    </row>
    <row r="2392" spans="1:11" x14ac:dyDescent="0.2">
      <c r="A2392" s="8">
        <v>2397</v>
      </c>
      <c r="B2392" s="8">
        <f t="shared" si="80"/>
        <v>2023</v>
      </c>
      <c r="C2392" s="8">
        <f t="shared" si="81"/>
        <v>4</v>
      </c>
      <c r="D2392" s="85">
        <v>45042</v>
      </c>
      <c r="E2392" s="31">
        <v>0</v>
      </c>
      <c r="F2392" s="31">
        <v>50000</v>
      </c>
      <c r="G2392" s="31">
        <v>0</v>
      </c>
      <c r="H2392" s="31">
        <v>0</v>
      </c>
      <c r="I2392" s="31" t="s">
        <v>85</v>
      </c>
      <c r="J2392" s="5" t="s">
        <v>1962</v>
      </c>
      <c r="K2392" s="8"/>
    </row>
    <row r="2393" spans="1:11" x14ac:dyDescent="0.2">
      <c r="A2393" s="8">
        <v>2398</v>
      </c>
      <c r="B2393" s="8">
        <f t="shared" si="80"/>
        <v>2023</v>
      </c>
      <c r="C2393" s="8">
        <f t="shared" si="81"/>
        <v>4</v>
      </c>
      <c r="D2393" s="85">
        <v>45042</v>
      </c>
      <c r="E2393" s="31">
        <v>0</v>
      </c>
      <c r="F2393" s="31">
        <v>26000</v>
      </c>
      <c r="G2393" s="31">
        <v>0</v>
      </c>
      <c r="H2393" s="31">
        <v>0</v>
      </c>
      <c r="I2393" s="31" t="s">
        <v>88</v>
      </c>
      <c r="J2393" s="5" t="s">
        <v>356</v>
      </c>
      <c r="K2393" s="8"/>
    </row>
    <row r="2394" spans="1:11" x14ac:dyDescent="0.2">
      <c r="A2394" s="8">
        <v>2399</v>
      </c>
      <c r="B2394" s="8">
        <f t="shared" si="80"/>
        <v>2023</v>
      </c>
      <c r="C2394" s="8">
        <f t="shared" si="81"/>
        <v>5</v>
      </c>
      <c r="D2394" s="85">
        <v>45077</v>
      </c>
      <c r="E2394" s="31">
        <v>555000</v>
      </c>
      <c r="F2394" s="31">
        <v>0</v>
      </c>
      <c r="G2394" s="31">
        <v>0</v>
      </c>
      <c r="H2394" s="31">
        <v>0</v>
      </c>
      <c r="I2394" s="31" t="s">
        <v>109</v>
      </c>
      <c r="J2394" s="5" t="s">
        <v>1963</v>
      </c>
      <c r="K2394" s="8"/>
    </row>
    <row r="2395" spans="1:11" x14ac:dyDescent="0.2">
      <c r="A2395" s="8">
        <v>2400</v>
      </c>
      <c r="B2395" s="8">
        <f t="shared" si="80"/>
        <v>2023</v>
      </c>
      <c r="C2395" s="8">
        <f t="shared" si="81"/>
        <v>5</v>
      </c>
      <c r="D2395" s="85">
        <v>45077</v>
      </c>
      <c r="E2395" s="31">
        <v>555000</v>
      </c>
      <c r="F2395" s="31">
        <v>0</v>
      </c>
      <c r="G2395" s="31">
        <v>0</v>
      </c>
      <c r="H2395" s="31">
        <v>0</v>
      </c>
      <c r="I2395" s="31" t="s">
        <v>109</v>
      </c>
      <c r="J2395" s="5" t="s">
        <v>1964</v>
      </c>
      <c r="K2395" s="8"/>
    </row>
    <row r="2396" spans="1:11" x14ac:dyDescent="0.2">
      <c r="A2396" s="8">
        <v>2402</v>
      </c>
      <c r="B2396" s="8">
        <f t="shared" si="80"/>
        <v>2023</v>
      </c>
      <c r="C2396" s="8">
        <f t="shared" si="81"/>
        <v>4</v>
      </c>
      <c r="D2396" s="85">
        <v>45046</v>
      </c>
      <c r="E2396" s="31">
        <v>0</v>
      </c>
      <c r="F2396" s="31">
        <v>200000</v>
      </c>
      <c r="G2396" s="31">
        <v>0</v>
      </c>
      <c r="H2396" s="31">
        <v>0</v>
      </c>
      <c r="I2396" s="31" t="s">
        <v>1965</v>
      </c>
      <c r="J2396" s="5" t="s">
        <v>1966</v>
      </c>
      <c r="K2396" s="8"/>
    </row>
    <row r="2397" spans="1:11" x14ac:dyDescent="0.2">
      <c r="A2397" s="8">
        <v>2404</v>
      </c>
      <c r="B2397" s="8">
        <f t="shared" si="80"/>
        <v>2023</v>
      </c>
      <c r="C2397" s="8">
        <f t="shared" si="81"/>
        <v>4</v>
      </c>
      <c r="D2397" s="85">
        <v>45046</v>
      </c>
      <c r="E2397" s="31">
        <v>0</v>
      </c>
      <c r="F2397" s="31">
        <v>8000</v>
      </c>
      <c r="G2397" s="31">
        <v>0</v>
      </c>
      <c r="H2397" s="31">
        <v>0</v>
      </c>
      <c r="I2397" s="31" t="s">
        <v>1965</v>
      </c>
      <c r="J2397" s="5" t="s">
        <v>1967</v>
      </c>
      <c r="K2397" s="8"/>
    </row>
    <row r="2398" spans="1:11" x14ac:dyDescent="0.2">
      <c r="A2398" s="8">
        <v>2405</v>
      </c>
      <c r="B2398" s="8">
        <f t="shared" si="80"/>
        <v>2023</v>
      </c>
      <c r="C2398" s="8">
        <f t="shared" si="81"/>
        <v>4</v>
      </c>
      <c r="D2398" s="85">
        <v>45046</v>
      </c>
      <c r="E2398" s="31">
        <v>0</v>
      </c>
      <c r="F2398" s="31">
        <v>40000</v>
      </c>
      <c r="G2398" s="31">
        <v>0</v>
      </c>
      <c r="H2398" s="31">
        <v>0</v>
      </c>
      <c r="I2398" s="31" t="s">
        <v>1965</v>
      </c>
      <c r="J2398" s="5" t="s">
        <v>1968</v>
      </c>
      <c r="K2398" s="8"/>
    </row>
    <row r="2399" spans="1:11" x14ac:dyDescent="0.2">
      <c r="A2399" s="8">
        <v>2406</v>
      </c>
      <c r="B2399" s="8">
        <f t="shared" si="80"/>
        <v>2023</v>
      </c>
      <c r="C2399" s="8">
        <f t="shared" si="81"/>
        <v>4</v>
      </c>
      <c r="D2399" s="85">
        <v>45046</v>
      </c>
      <c r="E2399" s="31">
        <v>0</v>
      </c>
      <c r="F2399" s="31">
        <v>7000</v>
      </c>
      <c r="G2399" s="31">
        <v>0</v>
      </c>
      <c r="H2399" s="31">
        <v>0</v>
      </c>
      <c r="I2399" s="31" t="s">
        <v>1965</v>
      </c>
      <c r="J2399" s="5" t="s">
        <v>299</v>
      </c>
      <c r="K2399" s="8"/>
    </row>
    <row r="2400" spans="1:11" x14ac:dyDescent="0.2">
      <c r="A2400" s="8">
        <v>2407</v>
      </c>
      <c r="B2400" s="8">
        <f t="shared" si="80"/>
        <v>2023</v>
      </c>
      <c r="C2400" s="8">
        <f t="shared" si="81"/>
        <v>4</v>
      </c>
      <c r="D2400" s="85">
        <v>45046</v>
      </c>
      <c r="E2400" s="31">
        <v>0</v>
      </c>
      <c r="F2400" s="31">
        <v>85000</v>
      </c>
      <c r="G2400" s="31">
        <v>0</v>
      </c>
      <c r="H2400" s="31">
        <v>0</v>
      </c>
      <c r="I2400" s="31" t="s">
        <v>1965</v>
      </c>
      <c r="J2400" s="5" t="s">
        <v>1969</v>
      </c>
      <c r="K2400" s="8"/>
    </row>
    <row r="2401" spans="1:11" x14ac:dyDescent="0.2">
      <c r="A2401" s="8">
        <v>2408</v>
      </c>
      <c r="B2401" s="8">
        <f t="shared" si="80"/>
        <v>2023</v>
      </c>
      <c r="C2401" s="8">
        <f t="shared" si="81"/>
        <v>4</v>
      </c>
      <c r="D2401" s="85">
        <v>45046</v>
      </c>
      <c r="E2401" s="31">
        <v>0</v>
      </c>
      <c r="F2401" s="31">
        <v>400000</v>
      </c>
      <c r="G2401" s="31">
        <v>0</v>
      </c>
      <c r="H2401" s="31">
        <v>0</v>
      </c>
      <c r="I2401" s="139" t="s">
        <v>1834</v>
      </c>
      <c r="J2401" s="5" t="s">
        <v>1970</v>
      </c>
      <c r="K2401" s="8"/>
    </row>
    <row r="2402" spans="1:11" x14ac:dyDescent="0.2">
      <c r="A2402" s="8">
        <v>2409</v>
      </c>
      <c r="B2402" s="8">
        <f t="shared" si="80"/>
        <v>2023</v>
      </c>
      <c r="C2402" s="8">
        <f t="shared" si="81"/>
        <v>4</v>
      </c>
      <c r="D2402" s="85">
        <v>45046</v>
      </c>
      <c r="E2402" s="31">
        <v>0</v>
      </c>
      <c r="F2402" s="31">
        <v>120000</v>
      </c>
      <c r="G2402" s="31">
        <v>0</v>
      </c>
      <c r="H2402" s="31">
        <v>0</v>
      </c>
      <c r="I2402" s="31" t="s">
        <v>85</v>
      </c>
      <c r="J2402" s="5" t="s">
        <v>1539</v>
      </c>
      <c r="K2402" s="8"/>
    </row>
    <row r="2403" spans="1:11" x14ac:dyDescent="0.2">
      <c r="A2403" s="8">
        <v>2411</v>
      </c>
      <c r="B2403" s="8">
        <f t="shared" si="80"/>
        <v>2023</v>
      </c>
      <c r="C2403" s="8">
        <f t="shared" si="81"/>
        <v>4</v>
      </c>
      <c r="D2403" s="85">
        <v>45046</v>
      </c>
      <c r="E2403" s="31">
        <v>0</v>
      </c>
      <c r="F2403" s="31">
        <v>17000</v>
      </c>
      <c r="G2403" s="31">
        <v>0</v>
      </c>
      <c r="H2403" s="31">
        <v>0</v>
      </c>
      <c r="I2403" s="31" t="s">
        <v>85</v>
      </c>
      <c r="J2403" s="5" t="s">
        <v>1971</v>
      </c>
      <c r="K2403" s="8"/>
    </row>
    <row r="2404" spans="1:11" x14ac:dyDescent="0.2">
      <c r="A2404" s="8">
        <v>2412</v>
      </c>
      <c r="B2404" s="8">
        <f t="shared" si="80"/>
        <v>2023</v>
      </c>
      <c r="C2404" s="8">
        <f t="shared" si="81"/>
        <v>4</v>
      </c>
      <c r="D2404" s="85">
        <v>45046</v>
      </c>
      <c r="E2404" s="31">
        <v>0</v>
      </c>
      <c r="F2404" s="31">
        <v>172000</v>
      </c>
      <c r="G2404" s="31">
        <v>0</v>
      </c>
      <c r="H2404" s="31">
        <v>0</v>
      </c>
      <c r="I2404" s="139" t="s">
        <v>1834</v>
      </c>
      <c r="J2404" s="5" t="s">
        <v>1972</v>
      </c>
      <c r="K2404" s="8"/>
    </row>
    <row r="2405" spans="1:11" x14ac:dyDescent="0.2">
      <c r="A2405" s="8">
        <v>2414</v>
      </c>
      <c r="B2405" s="8">
        <f t="shared" si="80"/>
        <v>2023</v>
      </c>
      <c r="C2405" s="8">
        <f t="shared" si="81"/>
        <v>3</v>
      </c>
      <c r="D2405" s="85">
        <v>44988</v>
      </c>
      <c r="E2405" s="31">
        <v>0</v>
      </c>
      <c r="F2405" s="31">
        <v>150000</v>
      </c>
      <c r="G2405" s="31">
        <v>0</v>
      </c>
      <c r="H2405" s="31">
        <v>0</v>
      </c>
      <c r="I2405" s="31" t="s">
        <v>1973</v>
      </c>
      <c r="J2405" s="5" t="s">
        <v>1974</v>
      </c>
      <c r="K2405" s="8"/>
    </row>
    <row r="2406" spans="1:11" x14ac:dyDescent="0.2">
      <c r="A2406" s="8">
        <v>2415</v>
      </c>
      <c r="B2406" s="8">
        <f t="shared" si="80"/>
        <v>2023</v>
      </c>
      <c r="C2406" s="8">
        <f t="shared" si="81"/>
        <v>3</v>
      </c>
      <c r="D2406" s="85">
        <v>44992</v>
      </c>
      <c r="E2406" s="31">
        <v>0</v>
      </c>
      <c r="F2406" s="31">
        <v>215000</v>
      </c>
      <c r="G2406" s="31">
        <v>0</v>
      </c>
      <c r="H2406" s="31">
        <v>0</v>
      </c>
      <c r="I2406" s="31" t="s">
        <v>85</v>
      </c>
      <c r="J2406" s="5" t="s">
        <v>1975</v>
      </c>
      <c r="K2406" s="8"/>
    </row>
    <row r="2407" spans="1:11" x14ac:dyDescent="0.2">
      <c r="A2407" s="8">
        <v>2416</v>
      </c>
      <c r="B2407" s="8">
        <f t="shared" si="80"/>
        <v>2023</v>
      </c>
      <c r="C2407" s="8">
        <f t="shared" si="81"/>
        <v>4</v>
      </c>
      <c r="D2407" s="85">
        <v>45017</v>
      </c>
      <c r="E2407" s="31">
        <v>0</v>
      </c>
      <c r="F2407" s="31">
        <v>127000</v>
      </c>
      <c r="G2407" s="31">
        <v>0</v>
      </c>
      <c r="H2407" s="31">
        <v>0</v>
      </c>
      <c r="I2407" s="31" t="s">
        <v>85</v>
      </c>
      <c r="J2407" s="5" t="s">
        <v>1976</v>
      </c>
      <c r="K2407" s="8"/>
    </row>
    <row r="2408" spans="1:11" x14ac:dyDescent="0.2">
      <c r="A2408" s="8">
        <v>2417</v>
      </c>
      <c r="B2408" s="8">
        <f t="shared" si="80"/>
        <v>2023</v>
      </c>
      <c r="C2408" s="8">
        <f t="shared" si="81"/>
        <v>4</v>
      </c>
      <c r="D2408" s="85">
        <v>45018</v>
      </c>
      <c r="E2408" s="31">
        <v>0</v>
      </c>
      <c r="F2408" s="31">
        <v>80000</v>
      </c>
      <c r="G2408" s="31">
        <v>0</v>
      </c>
      <c r="H2408" s="31">
        <v>0</v>
      </c>
      <c r="I2408" s="31" t="s">
        <v>85</v>
      </c>
      <c r="J2408" s="5" t="s">
        <v>1977</v>
      </c>
      <c r="K2408" s="8"/>
    </row>
    <row r="2409" spans="1:11" x14ac:dyDescent="0.2">
      <c r="A2409" s="8">
        <v>2418</v>
      </c>
      <c r="B2409" s="8">
        <f t="shared" si="80"/>
        <v>2023</v>
      </c>
      <c r="C2409" s="8">
        <f t="shared" si="81"/>
        <v>4</v>
      </c>
      <c r="D2409" s="85">
        <v>45033</v>
      </c>
      <c r="E2409" s="31">
        <v>0</v>
      </c>
      <c r="F2409" s="31">
        <v>150000</v>
      </c>
      <c r="G2409" s="31">
        <v>0</v>
      </c>
      <c r="H2409" s="31">
        <v>0</v>
      </c>
      <c r="I2409" s="31" t="s">
        <v>1973</v>
      </c>
      <c r="J2409" s="5" t="s">
        <v>1978</v>
      </c>
      <c r="K2409" s="8"/>
    </row>
    <row r="2410" spans="1:11" x14ac:dyDescent="0.2">
      <c r="A2410" s="8">
        <v>2419</v>
      </c>
      <c r="B2410" s="8">
        <f t="shared" si="80"/>
        <v>2023</v>
      </c>
      <c r="C2410" s="8">
        <f t="shared" si="81"/>
        <v>4</v>
      </c>
      <c r="D2410" s="85">
        <v>45041</v>
      </c>
      <c r="E2410" s="31">
        <v>0</v>
      </c>
      <c r="F2410" s="31">
        <v>60000</v>
      </c>
      <c r="G2410" s="31">
        <v>0</v>
      </c>
      <c r="H2410" s="31">
        <v>0</v>
      </c>
      <c r="I2410" s="31"/>
      <c r="J2410" s="5" t="s">
        <v>1979</v>
      </c>
      <c r="K2410" s="8"/>
    </row>
    <row r="2411" spans="1:11" x14ac:dyDescent="0.2">
      <c r="A2411" s="8">
        <v>2420</v>
      </c>
      <c r="B2411" s="8">
        <f t="shared" si="80"/>
        <v>2023</v>
      </c>
      <c r="C2411" s="8">
        <f t="shared" si="81"/>
        <v>6</v>
      </c>
      <c r="D2411" s="85">
        <v>45083</v>
      </c>
      <c r="E2411" s="31">
        <v>0</v>
      </c>
      <c r="F2411" s="31">
        <v>150000</v>
      </c>
      <c r="G2411" s="31">
        <v>0</v>
      </c>
      <c r="H2411" s="31">
        <v>0</v>
      </c>
      <c r="I2411" s="31"/>
      <c r="J2411" s="5" t="s">
        <v>1980</v>
      </c>
      <c r="K2411" s="8"/>
    </row>
    <row r="2412" spans="1:11" x14ac:dyDescent="0.2">
      <c r="A2412" s="8">
        <v>2421</v>
      </c>
      <c r="B2412" s="8">
        <f t="shared" si="80"/>
        <v>2023</v>
      </c>
      <c r="C2412" s="8">
        <f t="shared" si="81"/>
        <v>6</v>
      </c>
      <c r="D2412" s="85">
        <v>45084</v>
      </c>
      <c r="E2412" s="31">
        <v>0</v>
      </c>
      <c r="F2412" s="31">
        <v>570000</v>
      </c>
      <c r="G2412" s="31">
        <v>0</v>
      </c>
      <c r="H2412" s="31">
        <v>0</v>
      </c>
      <c r="I2412" s="31"/>
      <c r="J2412" s="5" t="s">
        <v>1981</v>
      </c>
      <c r="K2412" s="8"/>
    </row>
    <row r="2413" spans="1:11" x14ac:dyDescent="0.2">
      <c r="A2413" s="8">
        <v>2422</v>
      </c>
      <c r="B2413" s="8">
        <f t="shared" si="80"/>
        <v>2023</v>
      </c>
      <c r="C2413" s="8">
        <f t="shared" si="81"/>
        <v>6</v>
      </c>
      <c r="D2413" s="85">
        <v>45091</v>
      </c>
      <c r="E2413" s="31">
        <v>0</v>
      </c>
      <c r="F2413" s="31">
        <v>50000</v>
      </c>
      <c r="G2413" s="31">
        <v>0</v>
      </c>
      <c r="H2413" s="31">
        <v>0</v>
      </c>
      <c r="I2413" s="31"/>
      <c r="J2413" s="5" t="s">
        <v>1982</v>
      </c>
      <c r="K2413" s="8"/>
    </row>
    <row r="2414" spans="1:11" x14ac:dyDescent="0.2">
      <c r="A2414" s="8">
        <v>2423</v>
      </c>
      <c r="B2414" s="8">
        <f t="shared" si="80"/>
        <v>2023</v>
      </c>
      <c r="C2414" s="8">
        <f t="shared" si="81"/>
        <v>6</v>
      </c>
      <c r="D2414" s="85">
        <v>45093</v>
      </c>
      <c r="E2414" s="31">
        <v>0</v>
      </c>
      <c r="F2414" s="31">
        <v>149000</v>
      </c>
      <c r="G2414" s="31">
        <v>0</v>
      </c>
      <c r="H2414" s="31">
        <v>0</v>
      </c>
      <c r="I2414" s="31"/>
      <c r="J2414" s="5" t="s">
        <v>1983</v>
      </c>
      <c r="K2414" s="8"/>
    </row>
    <row r="2415" spans="1:11" x14ac:dyDescent="0.2">
      <c r="A2415" s="8">
        <v>2424</v>
      </c>
      <c r="B2415" s="8">
        <f t="shared" si="80"/>
        <v>2023</v>
      </c>
      <c r="C2415" s="8">
        <f t="shared" si="81"/>
        <v>6</v>
      </c>
      <c r="D2415" s="85">
        <v>45093</v>
      </c>
      <c r="E2415" s="31">
        <v>0</v>
      </c>
      <c r="F2415" s="31">
        <v>122000</v>
      </c>
      <c r="G2415" s="31">
        <v>0</v>
      </c>
      <c r="H2415" s="31">
        <v>0</v>
      </c>
      <c r="I2415" s="31"/>
      <c r="J2415" s="5" t="s">
        <v>1984</v>
      </c>
      <c r="K2415" s="8"/>
    </row>
    <row r="2416" spans="1:11" x14ac:dyDescent="0.2">
      <c r="A2416" s="8">
        <v>2425</v>
      </c>
      <c r="B2416" s="8">
        <f t="shared" si="80"/>
        <v>2023</v>
      </c>
      <c r="C2416" s="8">
        <f t="shared" si="81"/>
        <v>6</v>
      </c>
      <c r="D2416" s="85">
        <v>45092</v>
      </c>
      <c r="E2416" s="31">
        <v>0</v>
      </c>
      <c r="F2416" s="31">
        <v>250000</v>
      </c>
      <c r="G2416" s="31">
        <v>0</v>
      </c>
      <c r="H2416" s="31">
        <v>0</v>
      </c>
      <c r="I2416" s="31"/>
      <c r="J2416" s="5" t="s">
        <v>1985</v>
      </c>
      <c r="K2416" s="8"/>
    </row>
    <row r="2417" spans="1:11" x14ac:dyDescent="0.2">
      <c r="A2417" s="8">
        <v>2426</v>
      </c>
      <c r="B2417" s="8">
        <f t="shared" si="80"/>
        <v>2023</v>
      </c>
      <c r="C2417" s="8">
        <f t="shared" si="81"/>
        <v>6</v>
      </c>
      <c r="D2417" s="85">
        <v>45092</v>
      </c>
      <c r="E2417" s="31">
        <v>0</v>
      </c>
      <c r="F2417" s="31">
        <v>40000</v>
      </c>
      <c r="G2417" s="31">
        <v>0</v>
      </c>
      <c r="H2417" s="31">
        <v>0</v>
      </c>
      <c r="I2417" s="31"/>
      <c r="J2417" s="5" t="s">
        <v>1986</v>
      </c>
      <c r="K2417" s="8"/>
    </row>
    <row r="2418" spans="1:11" x14ac:dyDescent="0.2">
      <c r="A2418" s="8">
        <v>2427</v>
      </c>
      <c r="B2418" s="8">
        <f t="shared" si="80"/>
        <v>2023</v>
      </c>
      <c r="C2418" s="8">
        <f t="shared" si="81"/>
        <v>6</v>
      </c>
      <c r="D2418" s="85">
        <v>45093</v>
      </c>
      <c r="E2418" s="31">
        <v>0</v>
      </c>
      <c r="F2418" s="31">
        <v>60000</v>
      </c>
      <c r="G2418" s="31">
        <v>0</v>
      </c>
      <c r="H2418" s="31">
        <v>0</v>
      </c>
      <c r="I2418" s="31"/>
      <c r="J2418" s="5" t="s">
        <v>1987</v>
      </c>
      <c r="K2418" s="8"/>
    </row>
    <row r="2419" spans="1:11" x14ac:dyDescent="0.2">
      <c r="A2419" s="8">
        <v>2428</v>
      </c>
      <c r="B2419" s="8">
        <f t="shared" si="80"/>
        <v>2023</v>
      </c>
      <c r="C2419" s="8">
        <f t="shared" si="81"/>
        <v>4</v>
      </c>
      <c r="D2419" s="85">
        <v>45043</v>
      </c>
      <c r="E2419" s="31">
        <v>0</v>
      </c>
      <c r="F2419" s="31">
        <v>25000</v>
      </c>
      <c r="G2419" s="31">
        <v>0</v>
      </c>
      <c r="H2419" s="31">
        <v>0</v>
      </c>
      <c r="I2419" s="31"/>
      <c r="J2419" s="5" t="s">
        <v>1661</v>
      </c>
      <c r="K2419" s="8"/>
    </row>
    <row r="2420" spans="1:11" x14ac:dyDescent="0.2">
      <c r="A2420" s="8">
        <v>2429</v>
      </c>
      <c r="B2420" s="8">
        <f t="shared" si="80"/>
        <v>2023</v>
      </c>
      <c r="C2420" s="8">
        <f t="shared" si="81"/>
        <v>4</v>
      </c>
      <c r="D2420" s="85">
        <v>45043</v>
      </c>
      <c r="E2420" s="31">
        <v>0</v>
      </c>
      <c r="F2420" s="31">
        <v>20000</v>
      </c>
      <c r="G2420" s="31">
        <v>0</v>
      </c>
      <c r="H2420" s="31">
        <v>0</v>
      </c>
      <c r="I2420" s="31"/>
      <c r="J2420" s="5" t="s">
        <v>605</v>
      </c>
      <c r="K2420" s="8"/>
    </row>
    <row r="2421" spans="1:11" x14ac:dyDescent="0.2">
      <c r="A2421" s="8">
        <v>2430</v>
      </c>
      <c r="B2421" s="8">
        <f t="shared" si="80"/>
        <v>2023</v>
      </c>
      <c r="C2421" s="8">
        <f t="shared" si="81"/>
        <v>4</v>
      </c>
      <c r="D2421" s="85">
        <v>45043</v>
      </c>
      <c r="E2421" s="31">
        <v>0</v>
      </c>
      <c r="F2421" s="31">
        <v>5000</v>
      </c>
      <c r="G2421" s="31">
        <v>0</v>
      </c>
      <c r="H2421" s="31">
        <v>0</v>
      </c>
      <c r="I2421" s="31"/>
      <c r="J2421" s="5" t="s">
        <v>89</v>
      </c>
      <c r="K2421" s="8"/>
    </row>
    <row r="2422" spans="1:11" x14ac:dyDescent="0.2">
      <c r="A2422" s="8">
        <v>2431</v>
      </c>
      <c r="B2422" s="8">
        <f t="shared" si="80"/>
        <v>2023</v>
      </c>
      <c r="C2422" s="8">
        <f t="shared" si="81"/>
        <v>4</v>
      </c>
      <c r="D2422" s="85">
        <v>45044</v>
      </c>
      <c r="E2422" s="31">
        <v>0</v>
      </c>
      <c r="F2422" s="31">
        <v>50000</v>
      </c>
      <c r="G2422" s="31">
        <v>0</v>
      </c>
      <c r="H2422" s="31">
        <v>0</v>
      </c>
      <c r="I2422" s="31"/>
      <c r="J2422" s="5" t="s">
        <v>287</v>
      </c>
      <c r="K2422" s="8"/>
    </row>
    <row r="2423" spans="1:11" x14ac:dyDescent="0.2">
      <c r="A2423" s="8">
        <v>2432</v>
      </c>
      <c r="B2423" s="8">
        <f t="shared" si="80"/>
        <v>2023</v>
      </c>
      <c r="C2423" s="8">
        <f t="shared" si="81"/>
        <v>4</v>
      </c>
      <c r="D2423" s="85">
        <v>45045</v>
      </c>
      <c r="E2423" s="31">
        <v>0</v>
      </c>
      <c r="F2423" s="31">
        <v>140000</v>
      </c>
      <c r="G2423" s="31">
        <v>0</v>
      </c>
      <c r="H2423" s="31">
        <v>0</v>
      </c>
      <c r="I2423" s="31"/>
      <c r="J2423" s="5" t="s">
        <v>1988</v>
      </c>
      <c r="K2423" s="8"/>
    </row>
    <row r="2424" spans="1:11" x14ac:dyDescent="0.2">
      <c r="A2424" s="8">
        <v>2433</v>
      </c>
      <c r="B2424" s="8">
        <f t="shared" si="80"/>
        <v>2023</v>
      </c>
      <c r="C2424" s="8">
        <f t="shared" si="81"/>
        <v>4</v>
      </c>
      <c r="D2424" s="85">
        <v>45045</v>
      </c>
      <c r="E2424" s="31">
        <v>0</v>
      </c>
      <c r="F2424" s="31">
        <v>20000</v>
      </c>
      <c r="G2424" s="31">
        <v>0</v>
      </c>
      <c r="H2424" s="31">
        <v>0</v>
      </c>
      <c r="I2424" s="31"/>
      <c r="J2424" s="5" t="s">
        <v>300</v>
      </c>
      <c r="K2424" s="8"/>
    </row>
    <row r="2425" spans="1:11" x14ac:dyDescent="0.2">
      <c r="A2425" s="8">
        <v>2434</v>
      </c>
      <c r="B2425" s="8">
        <f t="shared" si="80"/>
        <v>2023</v>
      </c>
      <c r="C2425" s="8">
        <f t="shared" si="81"/>
        <v>4</v>
      </c>
      <c r="D2425" s="85">
        <v>45045</v>
      </c>
      <c r="E2425" s="31">
        <v>0</v>
      </c>
      <c r="F2425" s="31">
        <v>30000</v>
      </c>
      <c r="G2425" s="31">
        <v>0</v>
      </c>
      <c r="H2425" s="31">
        <v>0</v>
      </c>
      <c r="I2425" s="31"/>
      <c r="J2425" s="5" t="s">
        <v>1989</v>
      </c>
      <c r="K2425" s="8"/>
    </row>
    <row r="2426" spans="1:11" x14ac:dyDescent="0.2">
      <c r="A2426" s="8">
        <v>2435</v>
      </c>
      <c r="B2426" s="8">
        <f t="shared" si="80"/>
        <v>2023</v>
      </c>
      <c r="C2426" s="8">
        <f t="shared" si="81"/>
        <v>4</v>
      </c>
      <c r="D2426" s="85">
        <v>45046</v>
      </c>
      <c r="E2426" s="31">
        <v>0</v>
      </c>
      <c r="F2426" s="31">
        <v>20000</v>
      </c>
      <c r="G2426" s="31">
        <v>0</v>
      </c>
      <c r="H2426" s="31">
        <v>0</v>
      </c>
      <c r="I2426" s="31"/>
      <c r="J2426" s="5" t="s">
        <v>175</v>
      </c>
      <c r="K2426" s="8"/>
    </row>
    <row r="2427" spans="1:11" x14ac:dyDescent="0.2">
      <c r="A2427" s="8">
        <v>2436</v>
      </c>
      <c r="B2427" s="8">
        <f t="shared" si="80"/>
        <v>2023</v>
      </c>
      <c r="C2427" s="8">
        <f t="shared" si="81"/>
        <v>5</v>
      </c>
      <c r="D2427" s="85">
        <v>45047</v>
      </c>
      <c r="E2427" s="31">
        <v>0</v>
      </c>
      <c r="F2427" s="31">
        <v>130000</v>
      </c>
      <c r="G2427" s="31">
        <v>0</v>
      </c>
      <c r="H2427" s="31">
        <v>0</v>
      </c>
      <c r="I2427" s="31"/>
      <c r="J2427" s="5" t="s">
        <v>299</v>
      </c>
      <c r="K2427" s="8"/>
    </row>
    <row r="2428" spans="1:11" x14ac:dyDescent="0.2">
      <c r="A2428" s="8">
        <v>2437</v>
      </c>
      <c r="B2428" s="8">
        <f t="shared" si="80"/>
        <v>2023</v>
      </c>
      <c r="C2428" s="8">
        <f t="shared" si="81"/>
        <v>5</v>
      </c>
      <c r="D2428" s="85">
        <v>45047</v>
      </c>
      <c r="E2428" s="31">
        <v>0</v>
      </c>
      <c r="F2428" s="31">
        <v>35000</v>
      </c>
      <c r="G2428" s="31">
        <v>0</v>
      </c>
      <c r="H2428" s="31">
        <v>0</v>
      </c>
      <c r="I2428" s="31"/>
      <c r="J2428" s="5" t="s">
        <v>1990</v>
      </c>
      <c r="K2428" s="8"/>
    </row>
    <row r="2429" spans="1:11" x14ac:dyDescent="0.2">
      <c r="A2429" s="8">
        <v>2438</v>
      </c>
      <c r="B2429" s="8">
        <f t="shared" si="80"/>
        <v>2023</v>
      </c>
      <c r="C2429" s="8">
        <f t="shared" si="81"/>
        <v>5</v>
      </c>
      <c r="D2429" s="85">
        <v>45047</v>
      </c>
      <c r="E2429" s="31">
        <v>0</v>
      </c>
      <c r="F2429" s="31">
        <v>20000</v>
      </c>
      <c r="G2429" s="31">
        <v>0</v>
      </c>
      <c r="H2429" s="31">
        <v>0</v>
      </c>
      <c r="I2429" s="31"/>
      <c r="J2429" s="5" t="s">
        <v>1272</v>
      </c>
      <c r="K2429" s="8"/>
    </row>
    <row r="2430" spans="1:11" x14ac:dyDescent="0.2">
      <c r="A2430" s="8">
        <v>2439</v>
      </c>
      <c r="B2430" s="8">
        <f t="shared" si="80"/>
        <v>2023</v>
      </c>
      <c r="C2430" s="8">
        <f t="shared" si="81"/>
        <v>5</v>
      </c>
      <c r="D2430" s="85">
        <v>45048</v>
      </c>
      <c r="E2430" s="31">
        <v>0</v>
      </c>
      <c r="F2430" s="31">
        <v>50000</v>
      </c>
      <c r="G2430" s="31">
        <v>0</v>
      </c>
      <c r="H2430" s="31">
        <v>0</v>
      </c>
      <c r="I2430" s="31"/>
      <c r="J2430" s="5" t="s">
        <v>287</v>
      </c>
      <c r="K2430" s="8"/>
    </row>
    <row r="2431" spans="1:11" x14ac:dyDescent="0.2">
      <c r="A2431" s="8">
        <v>2440</v>
      </c>
      <c r="B2431" s="8">
        <f t="shared" si="80"/>
        <v>2023</v>
      </c>
      <c r="C2431" s="8">
        <f t="shared" si="81"/>
        <v>5</v>
      </c>
      <c r="D2431" s="85">
        <v>45049</v>
      </c>
      <c r="E2431" s="31">
        <v>0</v>
      </c>
      <c r="F2431" s="31">
        <v>500000</v>
      </c>
      <c r="G2431" s="31">
        <v>0</v>
      </c>
      <c r="H2431" s="31">
        <v>0</v>
      </c>
      <c r="I2431" s="31"/>
      <c r="J2431" s="5" t="s">
        <v>1991</v>
      </c>
      <c r="K2431" s="8"/>
    </row>
    <row r="2432" spans="1:11" x14ac:dyDescent="0.2">
      <c r="A2432" s="8">
        <v>2441</v>
      </c>
      <c r="B2432" s="8">
        <f t="shared" si="80"/>
        <v>2023</v>
      </c>
      <c r="C2432" s="8">
        <f t="shared" si="81"/>
        <v>5</v>
      </c>
      <c r="D2432" s="85">
        <v>45050</v>
      </c>
      <c r="E2432" s="31">
        <v>0</v>
      </c>
      <c r="F2432" s="31">
        <v>13000</v>
      </c>
      <c r="G2432" s="31">
        <v>0</v>
      </c>
      <c r="H2432" s="31">
        <v>0</v>
      </c>
      <c r="I2432" s="31"/>
      <c r="J2432" s="5" t="s">
        <v>1273</v>
      </c>
      <c r="K2432" s="8"/>
    </row>
    <row r="2433" spans="1:11" x14ac:dyDescent="0.2">
      <c r="A2433" s="8">
        <v>2442</v>
      </c>
      <c r="B2433" s="8">
        <f t="shared" si="80"/>
        <v>2023</v>
      </c>
      <c r="C2433" s="8">
        <f t="shared" si="81"/>
        <v>5</v>
      </c>
      <c r="D2433" s="85">
        <v>45050</v>
      </c>
      <c r="E2433" s="31">
        <v>0</v>
      </c>
      <c r="F2433" s="31">
        <v>20000</v>
      </c>
      <c r="G2433" s="31">
        <v>0</v>
      </c>
      <c r="H2433" s="31">
        <v>0</v>
      </c>
      <c r="I2433" s="31"/>
      <c r="J2433" s="5" t="s">
        <v>356</v>
      </c>
      <c r="K2433" s="8"/>
    </row>
    <row r="2434" spans="1:11" x14ac:dyDescent="0.2">
      <c r="A2434" s="8">
        <v>2415</v>
      </c>
      <c r="B2434" s="8">
        <f t="shared" si="80"/>
        <v>2023</v>
      </c>
      <c r="C2434" s="8">
        <f t="shared" si="81"/>
        <v>5</v>
      </c>
      <c r="D2434" s="85">
        <v>45050</v>
      </c>
      <c r="E2434" s="31">
        <v>0</v>
      </c>
      <c r="F2434" s="31">
        <v>273000</v>
      </c>
      <c r="G2434" s="31">
        <v>0</v>
      </c>
      <c r="H2434" s="31">
        <v>0</v>
      </c>
      <c r="I2434" s="31" t="s">
        <v>1992</v>
      </c>
      <c r="J2434" s="5" t="s">
        <v>112</v>
      </c>
      <c r="K2434" s="8"/>
    </row>
    <row r="2435" spans="1:11" x14ac:dyDescent="0.2">
      <c r="A2435" s="8">
        <v>2416</v>
      </c>
      <c r="B2435" s="8">
        <f t="shared" ref="B2435:B2498" si="82">YEAR(D2435)</f>
        <v>2023</v>
      </c>
      <c r="C2435" s="8">
        <f t="shared" ref="C2435:C2498" si="83">MONTH(D2435)</f>
        <v>5</v>
      </c>
      <c r="D2435" s="85">
        <v>45050</v>
      </c>
      <c r="E2435" s="31">
        <v>0</v>
      </c>
      <c r="F2435" s="31">
        <v>8000</v>
      </c>
      <c r="G2435" s="31">
        <v>0</v>
      </c>
      <c r="H2435" s="31">
        <v>0</v>
      </c>
      <c r="I2435" s="31"/>
      <c r="J2435" s="5" t="s">
        <v>1993</v>
      </c>
      <c r="K2435" s="8"/>
    </row>
    <row r="2436" spans="1:11" x14ac:dyDescent="0.2">
      <c r="A2436" s="8">
        <v>2417</v>
      </c>
      <c r="B2436" s="8">
        <f t="shared" si="82"/>
        <v>2023</v>
      </c>
      <c r="C2436" s="8">
        <f t="shared" si="83"/>
        <v>5</v>
      </c>
      <c r="D2436" s="85">
        <v>45051</v>
      </c>
      <c r="E2436" s="31">
        <v>0</v>
      </c>
      <c r="F2436" s="31">
        <v>110000</v>
      </c>
      <c r="G2436" s="31">
        <v>0</v>
      </c>
      <c r="H2436" s="31">
        <v>0</v>
      </c>
      <c r="I2436" s="31"/>
      <c r="J2436" s="5" t="s">
        <v>1994</v>
      </c>
      <c r="K2436" s="8"/>
    </row>
    <row r="2437" spans="1:11" x14ac:dyDescent="0.2">
      <c r="A2437" s="8">
        <v>2418</v>
      </c>
      <c r="B2437" s="8">
        <f t="shared" si="82"/>
        <v>2023</v>
      </c>
      <c r="C2437" s="8">
        <f t="shared" si="83"/>
        <v>5</v>
      </c>
      <c r="D2437" s="85">
        <v>45051</v>
      </c>
      <c r="E2437" s="31">
        <v>0</v>
      </c>
      <c r="F2437" s="31">
        <v>40000</v>
      </c>
      <c r="G2437" s="31">
        <v>0</v>
      </c>
      <c r="H2437" s="31">
        <v>0</v>
      </c>
      <c r="I2437" s="139" t="s">
        <v>1834</v>
      </c>
      <c r="J2437" s="5" t="s">
        <v>1995</v>
      </c>
      <c r="K2437" s="8"/>
    </row>
    <row r="2438" spans="1:11" x14ac:dyDescent="0.2">
      <c r="A2438" s="8">
        <v>2419</v>
      </c>
      <c r="B2438" s="8">
        <f t="shared" si="82"/>
        <v>2023</v>
      </c>
      <c r="C2438" s="8">
        <f t="shared" si="83"/>
        <v>5</v>
      </c>
      <c r="D2438" s="85">
        <v>45052</v>
      </c>
      <c r="E2438" s="31">
        <v>0</v>
      </c>
      <c r="F2438" s="31">
        <v>6000</v>
      </c>
      <c r="G2438" s="31">
        <v>0</v>
      </c>
      <c r="H2438" s="31">
        <v>0</v>
      </c>
      <c r="I2438" s="31"/>
      <c r="J2438" s="5" t="s">
        <v>1273</v>
      </c>
      <c r="K2438" s="8"/>
    </row>
    <row r="2439" spans="1:11" x14ac:dyDescent="0.2">
      <c r="A2439" s="8">
        <v>2420</v>
      </c>
      <c r="B2439" s="8">
        <f t="shared" si="82"/>
        <v>2023</v>
      </c>
      <c r="C2439" s="8">
        <f t="shared" si="83"/>
        <v>5</v>
      </c>
      <c r="D2439" s="85">
        <v>45052</v>
      </c>
      <c r="E2439" s="31">
        <v>0</v>
      </c>
      <c r="F2439" s="31">
        <v>260000</v>
      </c>
      <c r="G2439" s="31">
        <v>0</v>
      </c>
      <c r="H2439" s="31">
        <v>0</v>
      </c>
      <c r="I2439" s="31"/>
      <c r="J2439" s="5" t="s">
        <v>1996</v>
      </c>
      <c r="K2439" s="8"/>
    </row>
    <row r="2440" spans="1:11" x14ac:dyDescent="0.2">
      <c r="A2440" s="8">
        <v>2421</v>
      </c>
      <c r="B2440" s="8">
        <f t="shared" si="82"/>
        <v>2023</v>
      </c>
      <c r="C2440" s="8">
        <f t="shared" si="83"/>
        <v>5</v>
      </c>
      <c r="D2440" s="85">
        <v>45052</v>
      </c>
      <c r="E2440" s="31">
        <v>0</v>
      </c>
      <c r="F2440" s="31">
        <v>210000</v>
      </c>
      <c r="G2440" s="31">
        <v>0</v>
      </c>
      <c r="H2440" s="31">
        <v>0</v>
      </c>
      <c r="I2440" s="31"/>
      <c r="J2440" s="5" t="s">
        <v>1997</v>
      </c>
      <c r="K2440" s="8"/>
    </row>
    <row r="2441" spans="1:11" x14ac:dyDescent="0.2">
      <c r="A2441" s="8">
        <v>2422</v>
      </c>
      <c r="B2441" s="8">
        <f t="shared" si="82"/>
        <v>2023</v>
      </c>
      <c r="C2441" s="8">
        <f t="shared" si="83"/>
        <v>5</v>
      </c>
      <c r="D2441" s="85">
        <v>45052</v>
      </c>
      <c r="E2441" s="31">
        <v>0</v>
      </c>
      <c r="F2441" s="31">
        <v>20000</v>
      </c>
      <c r="G2441" s="31">
        <v>0</v>
      </c>
      <c r="H2441" s="31">
        <v>0</v>
      </c>
      <c r="I2441" s="139" t="s">
        <v>1834</v>
      </c>
      <c r="J2441" s="5" t="s">
        <v>1998</v>
      </c>
      <c r="K2441" s="8"/>
    </row>
    <row r="2442" spans="1:11" x14ac:dyDescent="0.2">
      <c r="A2442" s="8">
        <v>2423</v>
      </c>
      <c r="B2442" s="8">
        <f t="shared" si="82"/>
        <v>2023</v>
      </c>
      <c r="C2442" s="8">
        <f t="shared" si="83"/>
        <v>5</v>
      </c>
      <c r="D2442" s="85">
        <v>45052</v>
      </c>
      <c r="E2442" s="31">
        <v>0</v>
      </c>
      <c r="F2442" s="31">
        <v>30000</v>
      </c>
      <c r="G2442" s="31">
        <v>0</v>
      </c>
      <c r="H2442" s="31">
        <v>0</v>
      </c>
      <c r="I2442" s="31"/>
      <c r="J2442" s="5" t="s">
        <v>690</v>
      </c>
      <c r="K2442" s="8"/>
    </row>
    <row r="2443" spans="1:11" x14ac:dyDescent="0.2">
      <c r="A2443" s="8">
        <v>2424</v>
      </c>
      <c r="B2443" s="8">
        <f t="shared" si="82"/>
        <v>2023</v>
      </c>
      <c r="C2443" s="8">
        <f t="shared" si="83"/>
        <v>5</v>
      </c>
      <c r="D2443" s="85">
        <v>45053</v>
      </c>
      <c r="E2443" s="31">
        <v>0</v>
      </c>
      <c r="F2443" s="31">
        <v>200000</v>
      </c>
      <c r="G2443" s="31">
        <v>0</v>
      </c>
      <c r="H2443" s="31">
        <v>0</v>
      </c>
      <c r="I2443" s="31"/>
      <c r="J2443" s="5" t="s">
        <v>1999</v>
      </c>
      <c r="K2443" s="8"/>
    </row>
    <row r="2444" spans="1:11" x14ac:dyDescent="0.2">
      <c r="A2444" s="8">
        <v>2425</v>
      </c>
      <c r="B2444" s="8">
        <f t="shared" si="82"/>
        <v>2023</v>
      </c>
      <c r="C2444" s="8">
        <f t="shared" si="83"/>
        <v>5</v>
      </c>
      <c r="D2444" s="85">
        <v>45053</v>
      </c>
      <c r="E2444" s="31">
        <v>0</v>
      </c>
      <c r="F2444" s="31">
        <v>105000</v>
      </c>
      <c r="G2444" s="31">
        <v>0</v>
      </c>
      <c r="H2444" s="31">
        <v>0</v>
      </c>
      <c r="I2444" s="31"/>
      <c r="J2444" s="5" t="s">
        <v>690</v>
      </c>
      <c r="K2444" s="8"/>
    </row>
    <row r="2445" spans="1:11" x14ac:dyDescent="0.2">
      <c r="A2445" s="8">
        <v>2426</v>
      </c>
      <c r="B2445" s="8">
        <f t="shared" si="82"/>
        <v>2023</v>
      </c>
      <c r="C2445" s="8">
        <f t="shared" si="83"/>
        <v>5</v>
      </c>
      <c r="D2445" s="85">
        <v>45053</v>
      </c>
      <c r="E2445" s="31">
        <v>0</v>
      </c>
      <c r="F2445" s="31">
        <v>65000</v>
      </c>
      <c r="G2445" s="31">
        <v>0</v>
      </c>
      <c r="H2445" s="31">
        <v>0</v>
      </c>
      <c r="I2445" s="31"/>
      <c r="J2445" s="5" t="s">
        <v>2000</v>
      </c>
      <c r="K2445" s="8"/>
    </row>
    <row r="2446" spans="1:11" x14ac:dyDescent="0.2">
      <c r="A2446" s="8">
        <v>2427</v>
      </c>
      <c r="B2446" s="8">
        <f t="shared" si="82"/>
        <v>2023</v>
      </c>
      <c r="C2446" s="8">
        <f t="shared" si="83"/>
        <v>5</v>
      </c>
      <c r="D2446" s="85">
        <v>45054</v>
      </c>
      <c r="E2446" s="31">
        <v>0</v>
      </c>
      <c r="F2446" s="31">
        <v>50000</v>
      </c>
      <c r="G2446" s="31">
        <v>0</v>
      </c>
      <c r="H2446" s="31">
        <v>0</v>
      </c>
      <c r="I2446" s="31"/>
      <c r="J2446" s="5" t="s">
        <v>287</v>
      </c>
      <c r="K2446" s="8"/>
    </row>
    <row r="2447" spans="1:11" x14ac:dyDescent="0.2">
      <c r="A2447" s="8">
        <v>2428</v>
      </c>
      <c r="B2447" s="8">
        <f t="shared" si="82"/>
        <v>2023</v>
      </c>
      <c r="C2447" s="8">
        <f t="shared" si="83"/>
        <v>5</v>
      </c>
      <c r="D2447" s="85">
        <v>45055</v>
      </c>
      <c r="E2447" s="31">
        <v>0</v>
      </c>
      <c r="F2447" s="31">
        <v>20000</v>
      </c>
      <c r="G2447" s="31">
        <v>0</v>
      </c>
      <c r="H2447" s="31">
        <v>0</v>
      </c>
      <c r="I2447" s="31"/>
      <c r="J2447" s="5" t="s">
        <v>300</v>
      </c>
      <c r="K2447" s="8"/>
    </row>
    <row r="2448" spans="1:11" x14ac:dyDescent="0.2">
      <c r="A2448" s="8">
        <v>2429</v>
      </c>
      <c r="B2448" s="8">
        <f t="shared" si="82"/>
        <v>2023</v>
      </c>
      <c r="C2448" s="8">
        <f t="shared" si="83"/>
        <v>5</v>
      </c>
      <c r="D2448" s="85">
        <v>45055</v>
      </c>
      <c r="E2448" s="31">
        <v>0</v>
      </c>
      <c r="F2448" s="31">
        <v>20000</v>
      </c>
      <c r="G2448" s="31">
        <v>0</v>
      </c>
      <c r="H2448" s="31">
        <v>0</v>
      </c>
      <c r="I2448" s="31"/>
      <c r="J2448" s="5" t="s">
        <v>2001</v>
      </c>
      <c r="K2448" s="8"/>
    </row>
    <row r="2449" spans="1:11" x14ac:dyDescent="0.2">
      <c r="A2449" s="8">
        <v>2430</v>
      </c>
      <c r="B2449" s="8">
        <f t="shared" si="82"/>
        <v>2023</v>
      </c>
      <c r="C2449" s="8">
        <f t="shared" si="83"/>
        <v>5</v>
      </c>
      <c r="D2449" s="85">
        <v>45056</v>
      </c>
      <c r="E2449" s="31">
        <v>0</v>
      </c>
      <c r="F2449" s="31">
        <v>0</v>
      </c>
      <c r="G2449" s="31">
        <v>0</v>
      </c>
      <c r="H2449" s="31">
        <v>2500000</v>
      </c>
      <c r="I2449" s="31"/>
      <c r="J2449" s="5" t="s">
        <v>2002</v>
      </c>
      <c r="K2449" s="8"/>
    </row>
    <row r="2450" spans="1:11" x14ac:dyDescent="0.2">
      <c r="A2450" s="8">
        <v>2431</v>
      </c>
      <c r="B2450" s="8">
        <f t="shared" si="82"/>
        <v>2023</v>
      </c>
      <c r="C2450" s="8">
        <f t="shared" si="83"/>
        <v>5</v>
      </c>
      <c r="D2450" s="85">
        <v>45056</v>
      </c>
      <c r="E2450" s="31">
        <v>0</v>
      </c>
      <c r="F2450" s="31">
        <v>15000</v>
      </c>
      <c r="G2450" s="31">
        <v>0</v>
      </c>
      <c r="H2450" s="31">
        <v>0</v>
      </c>
      <c r="I2450" s="31"/>
      <c r="J2450" s="5" t="s">
        <v>89</v>
      </c>
      <c r="K2450" s="8"/>
    </row>
    <row r="2451" spans="1:11" x14ac:dyDescent="0.2">
      <c r="A2451" s="8">
        <v>2432</v>
      </c>
      <c r="B2451" s="8">
        <f t="shared" si="82"/>
        <v>2023</v>
      </c>
      <c r="C2451" s="8">
        <f t="shared" si="83"/>
        <v>5</v>
      </c>
      <c r="D2451" s="85">
        <v>45056</v>
      </c>
      <c r="E2451" s="31">
        <v>0</v>
      </c>
      <c r="F2451" s="31">
        <v>22000</v>
      </c>
      <c r="G2451" s="31">
        <v>0</v>
      </c>
      <c r="H2451" s="31">
        <v>0</v>
      </c>
      <c r="I2451" s="31"/>
      <c r="J2451" s="5" t="s">
        <v>91</v>
      </c>
      <c r="K2451" s="8"/>
    </row>
    <row r="2452" spans="1:11" x14ac:dyDescent="0.2">
      <c r="A2452" s="8">
        <v>2433</v>
      </c>
      <c r="B2452" s="8">
        <f t="shared" si="82"/>
        <v>2023</v>
      </c>
      <c r="C2452" s="8">
        <f t="shared" si="83"/>
        <v>5</v>
      </c>
      <c r="D2452" s="85">
        <v>45057</v>
      </c>
      <c r="E2452" s="31">
        <v>5000000</v>
      </c>
      <c r="F2452" s="31">
        <v>0</v>
      </c>
      <c r="G2452" s="31">
        <v>0</v>
      </c>
      <c r="H2452" s="31">
        <v>0</v>
      </c>
      <c r="I2452" s="31"/>
      <c r="J2452" s="5" t="s">
        <v>2003</v>
      </c>
      <c r="K2452" s="8"/>
    </row>
    <row r="2453" spans="1:11" x14ac:dyDescent="0.2">
      <c r="A2453" s="8">
        <v>2434</v>
      </c>
      <c r="B2453" s="8">
        <f t="shared" si="82"/>
        <v>2023</v>
      </c>
      <c r="C2453" s="8">
        <f t="shared" si="83"/>
        <v>5</v>
      </c>
      <c r="D2453" s="85">
        <v>45057</v>
      </c>
      <c r="E2453" s="31">
        <v>0</v>
      </c>
      <c r="F2453" s="31">
        <v>2800000</v>
      </c>
      <c r="G2453" s="31">
        <v>0</v>
      </c>
      <c r="H2453" s="31">
        <v>0</v>
      </c>
      <c r="I2453" s="139" t="s">
        <v>1973</v>
      </c>
      <c r="J2453" s="5" t="s">
        <v>2004</v>
      </c>
      <c r="K2453" s="8"/>
    </row>
    <row r="2454" spans="1:11" x14ac:dyDescent="0.2">
      <c r="A2454" s="8">
        <v>2435</v>
      </c>
      <c r="B2454" s="8">
        <f t="shared" si="82"/>
        <v>2023</v>
      </c>
      <c r="C2454" s="8">
        <f t="shared" si="83"/>
        <v>5</v>
      </c>
      <c r="D2454" s="85">
        <v>45057</v>
      </c>
      <c r="E2454" s="31">
        <v>0</v>
      </c>
      <c r="F2454" s="31">
        <v>200000</v>
      </c>
      <c r="G2454" s="31">
        <v>0</v>
      </c>
      <c r="H2454" s="31">
        <v>0</v>
      </c>
      <c r="I2454" s="31"/>
      <c r="J2454" s="5" t="s">
        <v>1999</v>
      </c>
      <c r="K2454" s="8"/>
    </row>
    <row r="2455" spans="1:11" x14ac:dyDescent="0.2">
      <c r="A2455" s="8">
        <v>2436</v>
      </c>
      <c r="B2455" s="8">
        <f t="shared" si="82"/>
        <v>2023</v>
      </c>
      <c r="C2455" s="8">
        <f t="shared" si="83"/>
        <v>5</v>
      </c>
      <c r="D2455" s="85">
        <v>45058</v>
      </c>
      <c r="E2455" s="31">
        <v>0</v>
      </c>
      <c r="F2455" s="31">
        <v>17000</v>
      </c>
      <c r="G2455" s="31">
        <v>0</v>
      </c>
      <c r="H2455" s="31">
        <v>0</v>
      </c>
      <c r="I2455" s="31"/>
      <c r="J2455" s="5" t="s">
        <v>2005</v>
      </c>
      <c r="K2455" s="8"/>
    </row>
    <row r="2456" spans="1:11" x14ac:dyDescent="0.2">
      <c r="A2456" s="8">
        <v>2437</v>
      </c>
      <c r="B2456" s="8">
        <f t="shared" si="82"/>
        <v>2023</v>
      </c>
      <c r="C2456" s="8">
        <f t="shared" si="83"/>
        <v>5</v>
      </c>
      <c r="D2456" s="85">
        <v>45058</v>
      </c>
      <c r="E2456" s="31">
        <v>0</v>
      </c>
      <c r="F2456" s="31">
        <v>12000</v>
      </c>
      <c r="G2456" s="31">
        <v>0</v>
      </c>
      <c r="H2456" s="31">
        <v>0</v>
      </c>
      <c r="I2456" s="31"/>
      <c r="J2456" s="5" t="s">
        <v>91</v>
      </c>
      <c r="K2456" s="8"/>
    </row>
    <row r="2457" spans="1:11" x14ac:dyDescent="0.2">
      <c r="A2457" s="8">
        <v>2438</v>
      </c>
      <c r="B2457" s="8">
        <f t="shared" si="82"/>
        <v>2023</v>
      </c>
      <c r="C2457" s="8">
        <f t="shared" si="83"/>
        <v>5</v>
      </c>
      <c r="D2457" s="85">
        <v>45058</v>
      </c>
      <c r="E2457" s="31">
        <v>0</v>
      </c>
      <c r="F2457" s="31">
        <v>0</v>
      </c>
      <c r="G2457" s="31">
        <v>0</v>
      </c>
      <c r="H2457" s="31">
        <v>0</v>
      </c>
      <c r="I2457" s="31" t="s">
        <v>92</v>
      </c>
      <c r="J2457" s="5" t="s">
        <v>2006</v>
      </c>
      <c r="K2457" s="8"/>
    </row>
    <row r="2458" spans="1:11" x14ac:dyDescent="0.2">
      <c r="A2458" s="8">
        <v>2439</v>
      </c>
      <c r="B2458" s="8">
        <f t="shared" si="82"/>
        <v>2023</v>
      </c>
      <c r="C2458" s="8">
        <f t="shared" si="83"/>
        <v>5</v>
      </c>
      <c r="D2458" s="85">
        <v>45058</v>
      </c>
      <c r="E2458" s="31">
        <v>0</v>
      </c>
      <c r="F2458" s="31">
        <v>20000</v>
      </c>
      <c r="G2458" s="31">
        <v>0</v>
      </c>
      <c r="H2458" s="31">
        <v>0</v>
      </c>
      <c r="I2458" s="31"/>
      <c r="J2458" s="5" t="s">
        <v>287</v>
      </c>
      <c r="K2458" s="8"/>
    </row>
    <row r="2459" spans="1:11" x14ac:dyDescent="0.2">
      <c r="A2459" s="8">
        <v>2440</v>
      </c>
      <c r="B2459" s="8">
        <f t="shared" si="82"/>
        <v>2023</v>
      </c>
      <c r="C2459" s="8">
        <f t="shared" si="83"/>
        <v>5</v>
      </c>
      <c r="D2459" s="85">
        <v>45058</v>
      </c>
      <c r="E2459" s="31">
        <v>0</v>
      </c>
      <c r="F2459" s="31">
        <v>120000</v>
      </c>
      <c r="G2459" s="31">
        <v>0</v>
      </c>
      <c r="H2459" s="31">
        <v>0</v>
      </c>
      <c r="I2459" s="31"/>
      <c r="J2459" s="5" t="s">
        <v>2007</v>
      </c>
      <c r="K2459" s="8"/>
    </row>
    <row r="2460" spans="1:11" x14ac:dyDescent="0.2">
      <c r="A2460" s="8">
        <v>2441</v>
      </c>
      <c r="B2460" s="8">
        <f t="shared" si="82"/>
        <v>2023</v>
      </c>
      <c r="C2460" s="8">
        <f t="shared" si="83"/>
        <v>5</v>
      </c>
      <c r="D2460" s="85">
        <v>45059</v>
      </c>
      <c r="E2460" s="31">
        <v>0</v>
      </c>
      <c r="F2460" s="31">
        <v>20000</v>
      </c>
      <c r="G2460" s="31">
        <v>0</v>
      </c>
      <c r="H2460" s="31">
        <v>0</v>
      </c>
      <c r="I2460" s="31"/>
      <c r="J2460" s="5" t="s">
        <v>1272</v>
      </c>
      <c r="K2460" s="8"/>
    </row>
    <row r="2461" spans="1:11" x14ac:dyDescent="0.2">
      <c r="A2461" s="8">
        <v>2442</v>
      </c>
      <c r="B2461" s="8">
        <f t="shared" si="82"/>
        <v>2023</v>
      </c>
      <c r="C2461" s="8">
        <f t="shared" si="83"/>
        <v>5</v>
      </c>
      <c r="D2461" s="85">
        <v>45059</v>
      </c>
      <c r="E2461" s="31">
        <v>0</v>
      </c>
      <c r="F2461" s="31">
        <v>15000</v>
      </c>
      <c r="G2461" s="31">
        <v>0</v>
      </c>
      <c r="H2461" s="31">
        <v>0</v>
      </c>
      <c r="I2461" s="31"/>
      <c r="J2461" s="5" t="s">
        <v>91</v>
      </c>
      <c r="K2461" s="8"/>
    </row>
    <row r="2462" spans="1:11" x14ac:dyDescent="0.2">
      <c r="A2462" s="8">
        <v>2443</v>
      </c>
      <c r="B2462" s="8">
        <f t="shared" si="82"/>
        <v>2023</v>
      </c>
      <c r="C2462" s="8">
        <f t="shared" si="83"/>
        <v>5</v>
      </c>
      <c r="D2462" s="85">
        <v>45059</v>
      </c>
      <c r="E2462" s="31">
        <v>0</v>
      </c>
      <c r="F2462" s="31">
        <v>50000</v>
      </c>
      <c r="G2462" s="31">
        <v>0</v>
      </c>
      <c r="H2462" s="31">
        <v>0</v>
      </c>
      <c r="I2462" s="31"/>
      <c r="J2462" s="5" t="s">
        <v>1387</v>
      </c>
      <c r="K2462" s="8"/>
    </row>
    <row r="2463" spans="1:11" x14ac:dyDescent="0.2">
      <c r="A2463" s="8">
        <v>2444</v>
      </c>
      <c r="B2463" s="8">
        <f t="shared" si="82"/>
        <v>2023</v>
      </c>
      <c r="C2463" s="8">
        <f t="shared" si="83"/>
        <v>5</v>
      </c>
      <c r="D2463" s="85">
        <v>45059</v>
      </c>
      <c r="E2463" s="31">
        <v>0</v>
      </c>
      <c r="F2463" s="31">
        <v>11000</v>
      </c>
      <c r="G2463" s="31">
        <v>0</v>
      </c>
      <c r="H2463" s="31">
        <v>0</v>
      </c>
      <c r="I2463" s="31"/>
      <c r="J2463" s="5" t="s">
        <v>2008</v>
      </c>
      <c r="K2463" s="8"/>
    </row>
    <row r="2464" spans="1:11" x14ac:dyDescent="0.2">
      <c r="A2464" s="8">
        <v>2445</v>
      </c>
      <c r="B2464" s="8">
        <f t="shared" si="82"/>
        <v>2023</v>
      </c>
      <c r="C2464" s="8">
        <f t="shared" si="83"/>
        <v>5</v>
      </c>
      <c r="D2464" s="85">
        <v>45060</v>
      </c>
      <c r="E2464" s="31">
        <v>0</v>
      </c>
      <c r="F2464" s="31">
        <v>100000</v>
      </c>
      <c r="G2464" s="31">
        <v>0</v>
      </c>
      <c r="H2464" s="31">
        <v>0</v>
      </c>
      <c r="I2464" s="31"/>
      <c r="J2464" s="5" t="s">
        <v>1387</v>
      </c>
      <c r="K2464" s="8"/>
    </row>
    <row r="2465" spans="1:11" x14ac:dyDescent="0.2">
      <c r="A2465" s="8">
        <v>2446</v>
      </c>
      <c r="B2465" s="8">
        <f t="shared" si="82"/>
        <v>2023</v>
      </c>
      <c r="C2465" s="8">
        <f t="shared" si="83"/>
        <v>5</v>
      </c>
      <c r="D2465" s="85">
        <v>45060</v>
      </c>
      <c r="E2465" s="31">
        <v>0</v>
      </c>
      <c r="F2465" s="31">
        <v>58000</v>
      </c>
      <c r="G2465" s="31">
        <v>0</v>
      </c>
      <c r="H2465" s="31">
        <v>0</v>
      </c>
      <c r="I2465" s="31"/>
      <c r="J2465" s="5" t="s">
        <v>2009</v>
      </c>
      <c r="K2465" s="8"/>
    </row>
    <row r="2466" spans="1:11" x14ac:dyDescent="0.2">
      <c r="A2466" s="8">
        <v>2447</v>
      </c>
      <c r="B2466" s="8">
        <f t="shared" si="82"/>
        <v>2023</v>
      </c>
      <c r="C2466" s="8">
        <f t="shared" si="83"/>
        <v>5</v>
      </c>
      <c r="D2466" s="85">
        <v>45060</v>
      </c>
      <c r="E2466" s="31">
        <v>0</v>
      </c>
      <c r="F2466" s="31">
        <v>15000</v>
      </c>
      <c r="G2466" s="31">
        <v>0</v>
      </c>
      <c r="H2466" s="31">
        <v>0</v>
      </c>
      <c r="I2466" s="31"/>
      <c r="J2466" s="5" t="s">
        <v>1273</v>
      </c>
      <c r="K2466" s="8"/>
    </row>
    <row r="2467" spans="1:11" x14ac:dyDescent="0.2">
      <c r="A2467" s="8">
        <v>2448</v>
      </c>
      <c r="B2467" s="8">
        <f t="shared" si="82"/>
        <v>2023</v>
      </c>
      <c r="C2467" s="8">
        <f t="shared" si="83"/>
        <v>5</v>
      </c>
      <c r="D2467" s="85">
        <v>45060</v>
      </c>
      <c r="E2467" s="31">
        <v>0</v>
      </c>
      <c r="F2467" s="31">
        <v>900000</v>
      </c>
      <c r="G2467" s="31">
        <v>0</v>
      </c>
      <c r="H2467" s="31">
        <v>0</v>
      </c>
      <c r="I2467" s="31"/>
      <c r="J2467" s="5" t="s">
        <v>2010</v>
      </c>
      <c r="K2467" s="8"/>
    </row>
    <row r="2468" spans="1:11" x14ac:dyDescent="0.2">
      <c r="A2468" s="8">
        <v>2449</v>
      </c>
      <c r="B2468" s="8">
        <f t="shared" si="82"/>
        <v>2023</v>
      </c>
      <c r="C2468" s="8">
        <f t="shared" si="83"/>
        <v>5</v>
      </c>
      <c r="D2468" s="85">
        <v>45060</v>
      </c>
      <c r="E2468" s="31">
        <v>0</v>
      </c>
      <c r="F2468" s="31">
        <v>200000</v>
      </c>
      <c r="G2468" s="31">
        <v>0</v>
      </c>
      <c r="H2468" s="31">
        <v>0</v>
      </c>
      <c r="I2468" s="31"/>
      <c r="J2468" s="5" t="s">
        <v>300</v>
      </c>
      <c r="K2468" s="8"/>
    </row>
    <row r="2469" spans="1:11" x14ac:dyDescent="0.2">
      <c r="A2469" s="8">
        <v>2450</v>
      </c>
      <c r="B2469" s="8">
        <f t="shared" si="82"/>
        <v>2023</v>
      </c>
      <c r="C2469" s="8">
        <f t="shared" si="83"/>
        <v>5</v>
      </c>
      <c r="D2469" s="85">
        <v>45060</v>
      </c>
      <c r="E2469" s="31">
        <v>0</v>
      </c>
      <c r="F2469" s="31">
        <v>190000</v>
      </c>
      <c r="G2469" s="31">
        <v>0</v>
      </c>
      <c r="H2469" s="31">
        <v>0</v>
      </c>
      <c r="I2469" s="31"/>
      <c r="J2469" s="5" t="s">
        <v>102</v>
      </c>
      <c r="K2469" s="8"/>
    </row>
    <row r="2470" spans="1:11" x14ac:dyDescent="0.2">
      <c r="A2470" s="8">
        <v>2451</v>
      </c>
      <c r="B2470" s="8">
        <f t="shared" si="82"/>
        <v>2023</v>
      </c>
      <c r="C2470" s="8">
        <f t="shared" si="83"/>
        <v>5</v>
      </c>
      <c r="D2470" s="85">
        <v>45061</v>
      </c>
      <c r="E2470" s="31">
        <v>0</v>
      </c>
      <c r="F2470" s="31">
        <v>18000</v>
      </c>
      <c r="G2470" s="31">
        <v>0</v>
      </c>
      <c r="H2470" s="31">
        <v>0</v>
      </c>
      <c r="I2470" s="31"/>
      <c r="J2470" s="5" t="s">
        <v>1110</v>
      </c>
      <c r="K2470" s="8"/>
    </row>
    <row r="2471" spans="1:11" x14ac:dyDescent="0.2">
      <c r="A2471" s="8">
        <v>2452</v>
      </c>
      <c r="B2471" s="8">
        <f t="shared" si="82"/>
        <v>2023</v>
      </c>
      <c r="C2471" s="8">
        <f t="shared" si="83"/>
        <v>5</v>
      </c>
      <c r="D2471" s="85">
        <v>45061</v>
      </c>
      <c r="E2471" s="31">
        <v>0</v>
      </c>
      <c r="F2471" s="31">
        <v>11000</v>
      </c>
      <c r="G2471" s="31">
        <v>0</v>
      </c>
      <c r="H2471" s="31">
        <v>0</v>
      </c>
      <c r="I2471" s="31"/>
      <c r="J2471" s="5" t="s">
        <v>91</v>
      </c>
      <c r="K2471" s="8"/>
    </row>
    <row r="2472" spans="1:11" x14ac:dyDescent="0.2">
      <c r="A2472" s="8">
        <v>2453</v>
      </c>
      <c r="B2472" s="8">
        <f t="shared" si="82"/>
        <v>2023</v>
      </c>
      <c r="C2472" s="8">
        <f t="shared" si="83"/>
        <v>5</v>
      </c>
      <c r="D2472" s="85">
        <v>45062</v>
      </c>
      <c r="E2472" s="31">
        <v>0</v>
      </c>
      <c r="F2472" s="31">
        <v>20000</v>
      </c>
      <c r="G2472" s="31">
        <v>0</v>
      </c>
      <c r="H2472" s="31">
        <v>0</v>
      </c>
      <c r="I2472" s="31"/>
      <c r="J2472" s="5" t="s">
        <v>2001</v>
      </c>
      <c r="K2472" s="8"/>
    </row>
    <row r="2473" spans="1:11" x14ac:dyDescent="0.2">
      <c r="A2473" s="8">
        <v>2454</v>
      </c>
      <c r="B2473" s="8">
        <f t="shared" si="82"/>
        <v>2023</v>
      </c>
      <c r="C2473" s="8">
        <f t="shared" si="83"/>
        <v>5</v>
      </c>
      <c r="D2473" s="85">
        <v>45062</v>
      </c>
      <c r="E2473" s="31">
        <v>0</v>
      </c>
      <c r="F2473" s="31">
        <v>500000</v>
      </c>
      <c r="G2473" s="31">
        <v>0</v>
      </c>
      <c r="H2473" s="31">
        <v>0</v>
      </c>
      <c r="I2473" s="31"/>
      <c r="J2473" s="5" t="s">
        <v>2011</v>
      </c>
      <c r="K2473" s="8"/>
    </row>
    <row r="2474" spans="1:11" x14ac:dyDescent="0.2">
      <c r="A2474" s="8">
        <v>2455</v>
      </c>
      <c r="B2474" s="8">
        <f t="shared" si="82"/>
        <v>2023</v>
      </c>
      <c r="C2474" s="8">
        <f t="shared" si="83"/>
        <v>5</v>
      </c>
      <c r="D2474" s="85">
        <v>45063</v>
      </c>
      <c r="E2474" s="31">
        <v>0</v>
      </c>
      <c r="F2474" s="31">
        <v>47000</v>
      </c>
      <c r="G2474" s="31">
        <v>0</v>
      </c>
      <c r="H2474" s="31">
        <v>0</v>
      </c>
      <c r="I2474" s="139" t="s">
        <v>1834</v>
      </c>
      <c r="J2474" s="5" t="s">
        <v>2012</v>
      </c>
      <c r="K2474" s="8"/>
    </row>
    <row r="2475" spans="1:11" x14ac:dyDescent="0.2">
      <c r="A2475" s="8">
        <v>2456</v>
      </c>
      <c r="B2475" s="8">
        <f t="shared" si="82"/>
        <v>2023</v>
      </c>
      <c r="C2475" s="8">
        <f t="shared" si="83"/>
        <v>5</v>
      </c>
      <c r="D2475" s="85">
        <v>45063</v>
      </c>
      <c r="E2475" s="31">
        <v>0</v>
      </c>
      <c r="F2475" s="31">
        <v>39000</v>
      </c>
      <c r="G2475" s="31">
        <v>0</v>
      </c>
      <c r="H2475" s="31">
        <v>0</v>
      </c>
      <c r="I2475" s="31"/>
      <c r="J2475" s="5" t="s">
        <v>1578</v>
      </c>
      <c r="K2475" s="8"/>
    </row>
    <row r="2476" spans="1:11" x14ac:dyDescent="0.2">
      <c r="A2476" s="8">
        <v>2457</v>
      </c>
      <c r="B2476" s="8">
        <f t="shared" si="82"/>
        <v>2023</v>
      </c>
      <c r="C2476" s="8">
        <f t="shared" si="83"/>
        <v>5</v>
      </c>
      <c r="D2476" s="85">
        <v>45063</v>
      </c>
      <c r="E2476" s="31">
        <v>0</v>
      </c>
      <c r="F2476" s="31">
        <v>12000</v>
      </c>
      <c r="G2476" s="31">
        <v>0</v>
      </c>
      <c r="H2476" s="31">
        <v>0</v>
      </c>
      <c r="I2476" s="31"/>
      <c r="J2476" s="5" t="s">
        <v>91</v>
      </c>
      <c r="K2476" s="8"/>
    </row>
    <row r="2477" spans="1:11" x14ac:dyDescent="0.2">
      <c r="A2477" s="8">
        <v>2458</v>
      </c>
      <c r="B2477" s="8">
        <f t="shared" si="82"/>
        <v>2023</v>
      </c>
      <c r="C2477" s="8">
        <f t="shared" si="83"/>
        <v>5</v>
      </c>
      <c r="D2477" s="85">
        <v>45064</v>
      </c>
      <c r="E2477" s="31">
        <v>0</v>
      </c>
      <c r="F2477" s="31">
        <v>750000</v>
      </c>
      <c r="G2477" s="31">
        <v>0</v>
      </c>
      <c r="H2477" s="31">
        <v>0</v>
      </c>
      <c r="I2477" s="31"/>
      <c r="J2477" s="5" t="s">
        <v>2013</v>
      </c>
      <c r="K2477" s="8"/>
    </row>
    <row r="2478" spans="1:11" x14ac:dyDescent="0.2">
      <c r="A2478" s="8">
        <v>2459</v>
      </c>
      <c r="B2478" s="8">
        <f t="shared" si="82"/>
        <v>2023</v>
      </c>
      <c r="C2478" s="8">
        <f t="shared" si="83"/>
        <v>5</v>
      </c>
      <c r="D2478" s="85">
        <v>45065</v>
      </c>
      <c r="E2478" s="31">
        <v>0</v>
      </c>
      <c r="F2478" s="31">
        <v>50000</v>
      </c>
      <c r="G2478" s="31">
        <v>0</v>
      </c>
      <c r="H2478" s="31">
        <v>0</v>
      </c>
      <c r="I2478" s="31"/>
      <c r="J2478" s="5" t="s">
        <v>287</v>
      </c>
      <c r="K2478" s="8"/>
    </row>
    <row r="2479" spans="1:11" x14ac:dyDescent="0.2">
      <c r="A2479" s="8">
        <v>2460</v>
      </c>
      <c r="B2479" s="8">
        <f t="shared" si="82"/>
        <v>2023</v>
      </c>
      <c r="C2479" s="8">
        <f t="shared" si="83"/>
        <v>5</v>
      </c>
      <c r="D2479" s="85">
        <v>45066</v>
      </c>
      <c r="E2479" s="31">
        <v>0</v>
      </c>
      <c r="F2479" s="31">
        <v>50000</v>
      </c>
      <c r="G2479" s="31">
        <v>0</v>
      </c>
      <c r="H2479" s="31">
        <v>0</v>
      </c>
      <c r="I2479" s="31"/>
      <c r="J2479" s="5" t="s">
        <v>287</v>
      </c>
      <c r="K2479" s="8"/>
    </row>
    <row r="2480" spans="1:11" x14ac:dyDescent="0.2">
      <c r="A2480" s="8">
        <v>2461</v>
      </c>
      <c r="B2480" s="8">
        <f t="shared" si="82"/>
        <v>2023</v>
      </c>
      <c r="C2480" s="8">
        <f t="shared" si="83"/>
        <v>5</v>
      </c>
      <c r="D2480" s="85">
        <v>45067</v>
      </c>
      <c r="E2480" s="31">
        <v>0</v>
      </c>
      <c r="F2480" s="31">
        <v>140000</v>
      </c>
      <c r="G2480" s="31">
        <v>0</v>
      </c>
      <c r="H2480" s="31">
        <v>0</v>
      </c>
      <c r="I2480" s="31"/>
      <c r="J2480" s="5" t="s">
        <v>2014</v>
      </c>
      <c r="K2480" s="8"/>
    </row>
    <row r="2481" spans="1:11" x14ac:dyDescent="0.2">
      <c r="A2481" s="8">
        <v>2462</v>
      </c>
      <c r="B2481" s="8">
        <f t="shared" si="82"/>
        <v>2023</v>
      </c>
      <c r="C2481" s="8">
        <f t="shared" si="83"/>
        <v>5</v>
      </c>
      <c r="D2481" s="85">
        <v>45067</v>
      </c>
      <c r="E2481" s="31">
        <v>0</v>
      </c>
      <c r="F2481" s="31">
        <v>25000</v>
      </c>
      <c r="G2481" s="31">
        <v>0</v>
      </c>
      <c r="H2481" s="31">
        <v>0</v>
      </c>
      <c r="I2481" s="31"/>
      <c r="J2481" s="5" t="s">
        <v>2015</v>
      </c>
      <c r="K2481" s="8"/>
    </row>
    <row r="2482" spans="1:11" x14ac:dyDescent="0.2">
      <c r="A2482" s="8">
        <v>2463</v>
      </c>
      <c r="B2482" s="8">
        <f t="shared" si="82"/>
        <v>2023</v>
      </c>
      <c r="C2482" s="8">
        <f t="shared" si="83"/>
        <v>5</v>
      </c>
      <c r="D2482" s="85">
        <v>45067</v>
      </c>
      <c r="E2482" s="31">
        <v>0</v>
      </c>
      <c r="F2482" s="31">
        <v>600000</v>
      </c>
      <c r="G2482" s="31">
        <v>0</v>
      </c>
      <c r="H2482" s="31">
        <v>0</v>
      </c>
      <c r="I2482" s="31"/>
      <c r="J2482" s="5" t="s">
        <v>316</v>
      </c>
      <c r="K2482" s="8"/>
    </row>
    <row r="2483" spans="1:11" x14ac:dyDescent="0.2">
      <c r="A2483" s="8">
        <v>2464</v>
      </c>
      <c r="B2483" s="8">
        <f t="shared" si="82"/>
        <v>2023</v>
      </c>
      <c r="C2483" s="8">
        <f t="shared" si="83"/>
        <v>5</v>
      </c>
      <c r="D2483" s="85">
        <v>45067</v>
      </c>
      <c r="E2483" s="31">
        <v>0</v>
      </c>
      <c r="F2483" s="31">
        <v>60000</v>
      </c>
      <c r="G2483" s="31">
        <v>0</v>
      </c>
      <c r="H2483" s="31">
        <v>0</v>
      </c>
      <c r="I2483" s="31"/>
      <c r="J2483" s="5" t="s">
        <v>2016</v>
      </c>
      <c r="K2483" s="8"/>
    </row>
    <row r="2484" spans="1:11" x14ac:dyDescent="0.2">
      <c r="A2484" s="8">
        <v>2465</v>
      </c>
      <c r="B2484" s="8">
        <f t="shared" si="82"/>
        <v>2023</v>
      </c>
      <c r="C2484" s="8">
        <f t="shared" si="83"/>
        <v>5</v>
      </c>
      <c r="D2484" s="85">
        <v>45067</v>
      </c>
      <c r="E2484" s="31">
        <v>0</v>
      </c>
      <c r="F2484" s="31">
        <v>30000</v>
      </c>
      <c r="G2484" s="31">
        <v>0</v>
      </c>
      <c r="H2484" s="31">
        <v>0</v>
      </c>
      <c r="I2484" s="31"/>
      <c r="J2484" s="5" t="s">
        <v>1072</v>
      </c>
      <c r="K2484" s="8"/>
    </row>
    <row r="2485" spans="1:11" x14ac:dyDescent="0.2">
      <c r="A2485" s="8">
        <v>2466</v>
      </c>
      <c r="B2485" s="8">
        <f t="shared" si="82"/>
        <v>2023</v>
      </c>
      <c r="C2485" s="8">
        <f t="shared" si="83"/>
        <v>5</v>
      </c>
      <c r="D2485" s="85">
        <v>45067</v>
      </c>
      <c r="E2485" s="31">
        <v>0</v>
      </c>
      <c r="F2485" s="31">
        <v>20000</v>
      </c>
      <c r="G2485" s="31">
        <v>0</v>
      </c>
      <c r="H2485" s="31">
        <v>0</v>
      </c>
      <c r="I2485" s="31"/>
      <c r="J2485" s="5" t="s">
        <v>1072</v>
      </c>
      <c r="K2485" s="8"/>
    </row>
    <row r="2486" spans="1:11" x14ac:dyDescent="0.2">
      <c r="A2486" s="8">
        <v>2467</v>
      </c>
      <c r="B2486" s="8">
        <f t="shared" si="82"/>
        <v>2023</v>
      </c>
      <c r="C2486" s="8">
        <f t="shared" si="83"/>
        <v>5</v>
      </c>
      <c r="D2486" s="85">
        <v>45068</v>
      </c>
      <c r="E2486" s="31">
        <v>0</v>
      </c>
      <c r="F2486" s="31">
        <v>250000</v>
      </c>
      <c r="G2486" s="31">
        <v>0</v>
      </c>
      <c r="H2486" s="31">
        <v>0</v>
      </c>
      <c r="I2486" s="31"/>
      <c r="J2486" s="5" t="s">
        <v>1894</v>
      </c>
      <c r="K2486" s="8"/>
    </row>
    <row r="2487" spans="1:11" x14ac:dyDescent="0.2">
      <c r="A2487" s="8">
        <v>2468</v>
      </c>
      <c r="B2487" s="8">
        <f t="shared" si="82"/>
        <v>2023</v>
      </c>
      <c r="C2487" s="8">
        <f t="shared" si="83"/>
        <v>5</v>
      </c>
      <c r="D2487" s="85">
        <v>45068</v>
      </c>
      <c r="E2487" s="31">
        <v>0</v>
      </c>
      <c r="F2487" s="31"/>
      <c r="G2487" s="31">
        <v>0</v>
      </c>
      <c r="H2487" s="31">
        <v>0</v>
      </c>
      <c r="I2487" s="31" t="s">
        <v>92</v>
      </c>
      <c r="J2487" s="5" t="s">
        <v>2017</v>
      </c>
      <c r="K2487" s="8"/>
    </row>
    <row r="2488" spans="1:11" x14ac:dyDescent="0.2">
      <c r="A2488" s="8">
        <v>2469</v>
      </c>
      <c r="B2488" s="8">
        <f t="shared" si="82"/>
        <v>2023</v>
      </c>
      <c r="C2488" s="8">
        <f t="shared" si="83"/>
        <v>5</v>
      </c>
      <c r="D2488" s="85">
        <v>45069</v>
      </c>
      <c r="E2488" s="31">
        <v>0</v>
      </c>
      <c r="F2488" s="31">
        <v>20000</v>
      </c>
      <c r="G2488" s="31">
        <v>0</v>
      </c>
      <c r="H2488" s="31">
        <v>0</v>
      </c>
      <c r="I2488" s="31"/>
      <c r="J2488" s="5" t="s">
        <v>89</v>
      </c>
      <c r="K2488" s="8"/>
    </row>
    <row r="2489" spans="1:11" x14ac:dyDescent="0.2">
      <c r="A2489" s="8">
        <v>2470</v>
      </c>
      <c r="B2489" s="8">
        <f t="shared" si="82"/>
        <v>2023</v>
      </c>
      <c r="C2489" s="8">
        <f t="shared" si="83"/>
        <v>5</v>
      </c>
      <c r="D2489" s="85">
        <v>45069</v>
      </c>
      <c r="E2489" s="31">
        <v>0</v>
      </c>
      <c r="F2489" s="31">
        <v>20000</v>
      </c>
      <c r="G2489" s="31">
        <v>0</v>
      </c>
      <c r="H2489" s="31">
        <v>0</v>
      </c>
      <c r="I2489" s="31"/>
      <c r="J2489" s="5" t="s">
        <v>91</v>
      </c>
      <c r="K2489" s="8"/>
    </row>
    <row r="2490" spans="1:11" x14ac:dyDescent="0.2">
      <c r="A2490" s="8">
        <v>2471</v>
      </c>
      <c r="B2490" s="8">
        <f t="shared" si="82"/>
        <v>2023</v>
      </c>
      <c r="C2490" s="8">
        <f t="shared" si="83"/>
        <v>5</v>
      </c>
      <c r="D2490" s="85">
        <v>45069</v>
      </c>
      <c r="E2490" s="31">
        <v>0</v>
      </c>
      <c r="F2490" s="31">
        <v>124000</v>
      </c>
      <c r="G2490" s="31">
        <v>0</v>
      </c>
      <c r="H2490" s="31">
        <v>0</v>
      </c>
      <c r="I2490" s="31"/>
      <c r="J2490" s="5" t="s">
        <v>2018</v>
      </c>
      <c r="K2490" s="8"/>
    </row>
    <row r="2491" spans="1:11" x14ac:dyDescent="0.2">
      <c r="A2491" s="8">
        <v>2472</v>
      </c>
      <c r="B2491" s="8">
        <f t="shared" si="82"/>
        <v>2023</v>
      </c>
      <c r="C2491" s="8">
        <f t="shared" si="83"/>
        <v>5</v>
      </c>
      <c r="D2491" s="85">
        <v>45069</v>
      </c>
      <c r="E2491" s="31">
        <v>0</v>
      </c>
      <c r="F2491" s="31">
        <v>120000</v>
      </c>
      <c r="G2491" s="31">
        <v>0</v>
      </c>
      <c r="H2491" s="31">
        <v>0</v>
      </c>
      <c r="I2491" s="31"/>
      <c r="J2491" s="5" t="s">
        <v>1387</v>
      </c>
      <c r="K2491" s="8"/>
    </row>
    <row r="2492" spans="1:11" x14ac:dyDescent="0.2">
      <c r="A2492" s="8">
        <v>2473</v>
      </c>
      <c r="B2492" s="8">
        <f t="shared" si="82"/>
        <v>2023</v>
      </c>
      <c r="C2492" s="8">
        <f t="shared" si="83"/>
        <v>5</v>
      </c>
      <c r="D2492" s="85">
        <v>45069</v>
      </c>
      <c r="E2492" s="31">
        <v>0</v>
      </c>
      <c r="F2492" s="31">
        <v>1000000</v>
      </c>
      <c r="G2492" s="31">
        <v>0</v>
      </c>
      <c r="H2492" s="31">
        <v>0</v>
      </c>
      <c r="I2492" s="31"/>
      <c r="J2492" s="5" t="s">
        <v>1999</v>
      </c>
      <c r="K2492" s="8"/>
    </row>
    <row r="2493" spans="1:11" x14ac:dyDescent="0.2">
      <c r="A2493" s="8">
        <v>2473</v>
      </c>
      <c r="B2493" s="8">
        <f t="shared" si="82"/>
        <v>2023</v>
      </c>
      <c r="C2493" s="8">
        <f t="shared" si="83"/>
        <v>5</v>
      </c>
      <c r="D2493" s="85">
        <v>45070</v>
      </c>
      <c r="E2493" s="31">
        <v>0</v>
      </c>
      <c r="F2493" s="31">
        <v>7000</v>
      </c>
      <c r="G2493" s="31">
        <v>0</v>
      </c>
      <c r="H2493" s="31">
        <v>0</v>
      </c>
      <c r="I2493" s="31"/>
      <c r="J2493" s="5" t="s">
        <v>89</v>
      </c>
      <c r="K2493" s="8"/>
    </row>
    <row r="2494" spans="1:11" x14ac:dyDescent="0.2">
      <c r="A2494" s="8">
        <v>2474</v>
      </c>
      <c r="B2494" s="8">
        <f t="shared" si="82"/>
        <v>2023</v>
      </c>
      <c r="C2494" s="8">
        <f t="shared" si="83"/>
        <v>5</v>
      </c>
      <c r="D2494" s="85">
        <v>45070</v>
      </c>
      <c r="E2494" s="31">
        <v>0</v>
      </c>
      <c r="F2494" s="31">
        <v>25000</v>
      </c>
      <c r="G2494" s="31">
        <v>0</v>
      </c>
      <c r="H2494" s="31">
        <v>0</v>
      </c>
      <c r="I2494" s="31"/>
      <c r="J2494" s="5" t="s">
        <v>356</v>
      </c>
      <c r="K2494" s="8"/>
    </row>
    <row r="2495" spans="1:11" x14ac:dyDescent="0.2">
      <c r="A2495" s="8">
        <v>2475</v>
      </c>
      <c r="B2495" s="8">
        <f t="shared" si="82"/>
        <v>2023</v>
      </c>
      <c r="C2495" s="8">
        <f t="shared" si="83"/>
        <v>5</v>
      </c>
      <c r="D2495" s="85">
        <v>45071</v>
      </c>
      <c r="E2495" s="31">
        <v>0</v>
      </c>
      <c r="F2495" s="31">
        <v>470000</v>
      </c>
      <c r="G2495" s="31">
        <v>0</v>
      </c>
      <c r="H2495" s="31">
        <v>0</v>
      </c>
      <c r="I2495" s="31"/>
      <c r="J2495" s="5" t="s">
        <v>2019</v>
      </c>
      <c r="K2495" s="8"/>
    </row>
    <row r="2496" spans="1:11" x14ac:dyDescent="0.2">
      <c r="A2496" s="8">
        <v>2476</v>
      </c>
      <c r="B2496" s="8">
        <f t="shared" si="82"/>
        <v>2023</v>
      </c>
      <c r="C2496" s="8">
        <f t="shared" si="83"/>
        <v>5</v>
      </c>
      <c r="D2496" s="85">
        <v>45071</v>
      </c>
      <c r="E2496" s="31">
        <v>0</v>
      </c>
      <c r="F2496" s="31">
        <v>100000</v>
      </c>
      <c r="G2496" s="31">
        <v>0</v>
      </c>
      <c r="H2496" s="31">
        <v>0</v>
      </c>
      <c r="I2496" s="31" t="s">
        <v>92</v>
      </c>
      <c r="J2496" s="5" t="s">
        <v>1946</v>
      </c>
      <c r="K2496" s="8"/>
    </row>
    <row r="2497" spans="1:11" x14ac:dyDescent="0.2">
      <c r="A2497" s="8">
        <v>2477</v>
      </c>
      <c r="B2497" s="8">
        <f t="shared" si="82"/>
        <v>2023</v>
      </c>
      <c r="C2497" s="8">
        <f t="shared" si="83"/>
        <v>5</v>
      </c>
      <c r="D2497" s="85">
        <v>45071</v>
      </c>
      <c r="E2497" s="31">
        <v>0</v>
      </c>
      <c r="F2497" s="31">
        <v>12000</v>
      </c>
      <c r="G2497" s="31">
        <v>0</v>
      </c>
      <c r="H2497" s="31">
        <v>0</v>
      </c>
      <c r="I2497" s="31"/>
      <c r="J2497" s="5" t="s">
        <v>1273</v>
      </c>
      <c r="K2497" s="8"/>
    </row>
    <row r="2498" spans="1:11" x14ac:dyDescent="0.2">
      <c r="A2498" s="8">
        <v>2478</v>
      </c>
      <c r="B2498" s="8">
        <f t="shared" si="82"/>
        <v>2023</v>
      </c>
      <c r="C2498" s="8">
        <f t="shared" si="83"/>
        <v>5</v>
      </c>
      <c r="D2498" s="85">
        <v>45071</v>
      </c>
      <c r="E2498" s="31">
        <v>0</v>
      </c>
      <c r="F2498" s="31">
        <v>25000</v>
      </c>
      <c r="G2498" s="31">
        <v>0</v>
      </c>
      <c r="H2498" s="31">
        <v>0</v>
      </c>
      <c r="I2498" s="31"/>
      <c r="J2498" s="5" t="s">
        <v>356</v>
      </c>
      <c r="K2498" s="8"/>
    </row>
    <row r="2499" spans="1:11" x14ac:dyDescent="0.2">
      <c r="A2499" s="8">
        <v>2479</v>
      </c>
      <c r="B2499" s="8">
        <f t="shared" ref="B2499:B2562" si="84">YEAR(D2499)</f>
        <v>2023</v>
      </c>
      <c r="C2499" s="8">
        <f t="shared" ref="C2499:C2562" si="85">MONTH(D2499)</f>
        <v>5</v>
      </c>
      <c r="D2499" s="85">
        <v>45072</v>
      </c>
      <c r="E2499" s="31">
        <v>0</v>
      </c>
      <c r="F2499" s="31">
        <v>30000</v>
      </c>
      <c r="G2499" s="31">
        <v>0</v>
      </c>
      <c r="H2499" s="31">
        <v>0</v>
      </c>
      <c r="I2499" s="31"/>
      <c r="J2499" s="5" t="s">
        <v>175</v>
      </c>
      <c r="K2499" s="8"/>
    </row>
    <row r="2500" spans="1:11" x14ac:dyDescent="0.2">
      <c r="A2500" s="8">
        <v>2480</v>
      </c>
      <c r="B2500" s="8">
        <f t="shared" si="84"/>
        <v>2023</v>
      </c>
      <c r="C2500" s="8">
        <f t="shared" si="85"/>
        <v>5</v>
      </c>
      <c r="D2500" s="85">
        <v>45072</v>
      </c>
      <c r="E2500" s="31">
        <v>0</v>
      </c>
      <c r="F2500" s="31">
        <v>25000</v>
      </c>
      <c r="G2500" s="31">
        <v>0</v>
      </c>
      <c r="H2500" s="31">
        <v>0</v>
      </c>
      <c r="I2500" s="31"/>
      <c r="J2500" s="5" t="s">
        <v>356</v>
      </c>
      <c r="K2500" s="8"/>
    </row>
    <row r="2501" spans="1:11" x14ac:dyDescent="0.2">
      <c r="A2501" s="8">
        <v>2481</v>
      </c>
      <c r="B2501" s="8">
        <f t="shared" si="84"/>
        <v>2023</v>
      </c>
      <c r="C2501" s="8">
        <f t="shared" si="85"/>
        <v>5</v>
      </c>
      <c r="D2501" s="85">
        <v>45072</v>
      </c>
      <c r="E2501" s="31">
        <v>0</v>
      </c>
      <c r="F2501" s="31">
        <v>20000</v>
      </c>
      <c r="G2501" s="31">
        <v>0</v>
      </c>
      <c r="H2501" s="31">
        <v>0</v>
      </c>
      <c r="I2501" s="31"/>
      <c r="J2501" s="5" t="s">
        <v>2020</v>
      </c>
      <c r="K2501" s="8"/>
    </row>
    <row r="2502" spans="1:11" x14ac:dyDescent="0.2">
      <c r="A2502" s="8">
        <v>2482</v>
      </c>
      <c r="B2502" s="8">
        <f t="shared" si="84"/>
        <v>2023</v>
      </c>
      <c r="C2502" s="8">
        <f t="shared" si="85"/>
        <v>5</v>
      </c>
      <c r="D2502" s="85">
        <v>45073</v>
      </c>
      <c r="E2502" s="31">
        <v>0</v>
      </c>
      <c r="F2502" s="31">
        <v>50000</v>
      </c>
      <c r="G2502" s="31">
        <v>0</v>
      </c>
      <c r="H2502" s="31">
        <v>0</v>
      </c>
      <c r="I2502" s="31"/>
      <c r="J2502" s="5" t="s">
        <v>287</v>
      </c>
      <c r="K2502" s="8"/>
    </row>
    <row r="2503" spans="1:11" x14ac:dyDescent="0.2">
      <c r="A2503" s="8">
        <v>2483</v>
      </c>
      <c r="B2503" s="8">
        <f t="shared" si="84"/>
        <v>2023</v>
      </c>
      <c r="C2503" s="8">
        <f t="shared" si="85"/>
        <v>5</v>
      </c>
      <c r="D2503" s="85">
        <v>45074</v>
      </c>
      <c r="E2503" s="31">
        <v>0</v>
      </c>
      <c r="F2503" s="31">
        <v>50000</v>
      </c>
      <c r="G2503" s="31">
        <v>0</v>
      </c>
      <c r="H2503" s="31">
        <v>0</v>
      </c>
      <c r="I2503" s="31"/>
      <c r="J2503" s="5" t="s">
        <v>175</v>
      </c>
      <c r="K2503" s="8"/>
    </row>
    <row r="2504" spans="1:11" x14ac:dyDescent="0.2">
      <c r="A2504" s="8">
        <v>2484</v>
      </c>
      <c r="B2504" s="8">
        <f t="shared" si="84"/>
        <v>2023</v>
      </c>
      <c r="C2504" s="8">
        <f t="shared" si="85"/>
        <v>5</v>
      </c>
      <c r="D2504" s="85">
        <v>45074</v>
      </c>
      <c r="E2504" s="31">
        <v>0</v>
      </c>
      <c r="F2504" s="31">
        <v>50000</v>
      </c>
      <c r="G2504" s="31">
        <v>0</v>
      </c>
      <c r="H2504" s="31">
        <v>0</v>
      </c>
      <c r="I2504" s="31"/>
      <c r="J2504" s="5" t="s">
        <v>2021</v>
      </c>
      <c r="K2504" s="8"/>
    </row>
    <row r="2505" spans="1:11" x14ac:dyDescent="0.2">
      <c r="A2505" s="8">
        <v>2485</v>
      </c>
      <c r="B2505" s="8">
        <f t="shared" si="84"/>
        <v>2023</v>
      </c>
      <c r="C2505" s="8">
        <f t="shared" si="85"/>
        <v>5</v>
      </c>
      <c r="D2505" s="85">
        <v>45075</v>
      </c>
      <c r="E2505" s="31">
        <v>0</v>
      </c>
      <c r="F2505" s="31">
        <v>7000</v>
      </c>
      <c r="G2505" s="31">
        <v>0</v>
      </c>
      <c r="H2505" s="31">
        <v>0</v>
      </c>
      <c r="I2505" s="31"/>
      <c r="J2505" s="5" t="s">
        <v>89</v>
      </c>
      <c r="K2505" s="8"/>
    </row>
    <row r="2506" spans="1:11" x14ac:dyDescent="0.2">
      <c r="A2506" s="8">
        <v>2486</v>
      </c>
      <c r="B2506" s="8">
        <f t="shared" si="84"/>
        <v>2023</v>
      </c>
      <c r="C2506" s="8">
        <f t="shared" si="85"/>
        <v>5</v>
      </c>
      <c r="D2506" s="85">
        <v>45075</v>
      </c>
      <c r="E2506" s="31">
        <v>0</v>
      </c>
      <c r="F2506" s="31">
        <v>22000</v>
      </c>
      <c r="G2506" s="31">
        <v>0</v>
      </c>
      <c r="H2506" s="31">
        <v>0</v>
      </c>
      <c r="I2506" s="31"/>
      <c r="J2506" s="5" t="s">
        <v>356</v>
      </c>
      <c r="K2506" s="8"/>
    </row>
    <row r="2507" spans="1:11" x14ac:dyDescent="0.2">
      <c r="A2507" s="8">
        <v>2487</v>
      </c>
      <c r="B2507" s="8">
        <f t="shared" si="84"/>
        <v>2023</v>
      </c>
      <c r="C2507" s="8">
        <f t="shared" si="85"/>
        <v>5</v>
      </c>
      <c r="D2507" s="85">
        <v>45075</v>
      </c>
      <c r="E2507" s="31">
        <v>0</v>
      </c>
      <c r="F2507" s="31">
        <v>40000</v>
      </c>
      <c r="G2507" s="31">
        <v>0</v>
      </c>
      <c r="H2507" s="31">
        <v>0</v>
      </c>
      <c r="I2507" s="139" t="s">
        <v>1834</v>
      </c>
      <c r="J2507" s="5" t="s">
        <v>2022</v>
      </c>
      <c r="K2507" s="8"/>
    </row>
    <row r="2508" spans="1:11" x14ac:dyDescent="0.2">
      <c r="A2508" s="8">
        <v>2488</v>
      </c>
      <c r="B2508" s="8">
        <f t="shared" si="84"/>
        <v>2023</v>
      </c>
      <c r="C2508" s="8">
        <f t="shared" si="85"/>
        <v>5</v>
      </c>
      <c r="D2508" s="85">
        <v>45076</v>
      </c>
      <c r="E2508" s="31">
        <v>0</v>
      </c>
      <c r="F2508" s="31">
        <v>12000</v>
      </c>
      <c r="G2508" s="31">
        <v>0</v>
      </c>
      <c r="H2508" s="31">
        <v>0</v>
      </c>
      <c r="I2508" s="31"/>
      <c r="J2508" s="5" t="s">
        <v>1740</v>
      </c>
      <c r="K2508" s="8"/>
    </row>
    <row r="2509" spans="1:11" x14ac:dyDescent="0.2">
      <c r="A2509" s="8">
        <v>2489</v>
      </c>
      <c r="B2509" s="8">
        <f t="shared" si="84"/>
        <v>2023</v>
      </c>
      <c r="C2509" s="8">
        <f t="shared" si="85"/>
        <v>5</v>
      </c>
      <c r="D2509" s="85">
        <v>45076</v>
      </c>
      <c r="E2509" s="31">
        <v>0</v>
      </c>
      <c r="F2509" s="31">
        <v>126000</v>
      </c>
      <c r="G2509" s="31">
        <v>0</v>
      </c>
      <c r="H2509" s="31">
        <v>0</v>
      </c>
      <c r="I2509" s="31"/>
      <c r="J2509" s="5" t="s">
        <v>2023</v>
      </c>
      <c r="K2509" s="8"/>
    </row>
    <row r="2510" spans="1:11" x14ac:dyDescent="0.2">
      <c r="A2510" s="8">
        <v>2490</v>
      </c>
      <c r="B2510" s="8">
        <f t="shared" si="84"/>
        <v>2023</v>
      </c>
      <c r="C2510" s="8">
        <f t="shared" si="85"/>
        <v>5</v>
      </c>
      <c r="D2510" s="85">
        <v>45077</v>
      </c>
      <c r="E2510" s="31">
        <v>0</v>
      </c>
      <c r="F2510" s="31">
        <v>50000</v>
      </c>
      <c r="G2510" s="31">
        <v>0</v>
      </c>
      <c r="H2510" s="31">
        <v>0</v>
      </c>
      <c r="I2510" s="31"/>
      <c r="J2510" s="5" t="s">
        <v>287</v>
      </c>
      <c r="K2510" s="8"/>
    </row>
    <row r="2511" spans="1:11" x14ac:dyDescent="0.2">
      <c r="A2511" s="8">
        <v>2491</v>
      </c>
      <c r="B2511" s="8">
        <f t="shared" si="84"/>
        <v>2023</v>
      </c>
      <c r="C2511" s="8">
        <f t="shared" si="85"/>
        <v>5</v>
      </c>
      <c r="D2511" s="85">
        <v>45077</v>
      </c>
      <c r="E2511" s="31">
        <v>0</v>
      </c>
      <c r="F2511" s="31">
        <v>50000</v>
      </c>
      <c r="G2511" s="31">
        <v>0</v>
      </c>
      <c r="H2511" s="31">
        <v>0</v>
      </c>
      <c r="I2511" s="31" t="s">
        <v>92</v>
      </c>
      <c r="J2511" s="5" t="s">
        <v>2024</v>
      </c>
      <c r="K2511" s="8"/>
    </row>
    <row r="2512" spans="1:11" x14ac:dyDescent="0.2">
      <c r="A2512" s="8">
        <v>2492</v>
      </c>
      <c r="B2512" s="8">
        <f t="shared" si="84"/>
        <v>2023</v>
      </c>
      <c r="C2512" s="8">
        <f t="shared" si="85"/>
        <v>6</v>
      </c>
      <c r="D2512" s="85">
        <v>45078</v>
      </c>
      <c r="E2512" s="31">
        <v>0</v>
      </c>
      <c r="F2512" s="31">
        <v>70000</v>
      </c>
      <c r="G2512" s="31">
        <v>0</v>
      </c>
      <c r="H2512" s="31">
        <v>0</v>
      </c>
      <c r="I2512" s="31"/>
      <c r="J2512" s="5" t="s">
        <v>356</v>
      </c>
      <c r="K2512" s="8"/>
    </row>
    <row r="2513" spans="1:11" x14ac:dyDescent="0.2">
      <c r="A2513" s="8">
        <v>2493</v>
      </c>
      <c r="B2513" s="8">
        <f t="shared" si="84"/>
        <v>2023</v>
      </c>
      <c r="C2513" s="8">
        <f t="shared" si="85"/>
        <v>6</v>
      </c>
      <c r="D2513" s="85">
        <v>45078</v>
      </c>
      <c r="E2513" s="31">
        <v>0</v>
      </c>
      <c r="F2513" s="31">
        <v>24000</v>
      </c>
      <c r="G2513" s="31">
        <v>0</v>
      </c>
      <c r="H2513" s="31">
        <v>0</v>
      </c>
      <c r="I2513" s="31"/>
      <c r="J2513" s="5" t="s">
        <v>1273</v>
      </c>
      <c r="K2513" s="8"/>
    </row>
    <row r="2514" spans="1:11" x14ac:dyDescent="0.2">
      <c r="A2514" s="8">
        <v>2494</v>
      </c>
      <c r="B2514" s="8">
        <f t="shared" si="84"/>
        <v>2023</v>
      </c>
      <c r="C2514" s="8">
        <f t="shared" si="85"/>
        <v>6</v>
      </c>
      <c r="D2514" s="85">
        <v>45079</v>
      </c>
      <c r="E2514" s="31">
        <v>0</v>
      </c>
      <c r="F2514" s="31">
        <v>145000</v>
      </c>
      <c r="G2514" s="31">
        <v>0</v>
      </c>
      <c r="H2514" s="31">
        <v>0</v>
      </c>
      <c r="I2514" s="31"/>
      <c r="J2514" s="5" t="s">
        <v>2025</v>
      </c>
      <c r="K2514" s="8"/>
    </row>
    <row r="2515" spans="1:11" x14ac:dyDescent="0.2">
      <c r="A2515" s="8">
        <v>2495</v>
      </c>
      <c r="B2515" s="8">
        <f t="shared" si="84"/>
        <v>2023</v>
      </c>
      <c r="C2515" s="8">
        <f t="shared" si="85"/>
        <v>6</v>
      </c>
      <c r="D2515" s="85">
        <v>45079</v>
      </c>
      <c r="E2515" s="31">
        <v>0</v>
      </c>
      <c r="F2515" s="31">
        <v>20000</v>
      </c>
      <c r="G2515" s="31">
        <v>0</v>
      </c>
      <c r="H2515" s="31">
        <v>0</v>
      </c>
      <c r="I2515" s="31"/>
      <c r="J2515" s="5" t="s">
        <v>1102</v>
      </c>
      <c r="K2515" s="8"/>
    </row>
    <row r="2516" spans="1:11" x14ac:dyDescent="0.2">
      <c r="A2516" s="8">
        <v>2496</v>
      </c>
      <c r="B2516" s="8">
        <f t="shared" si="84"/>
        <v>2023</v>
      </c>
      <c r="C2516" s="8">
        <f t="shared" si="85"/>
        <v>6</v>
      </c>
      <c r="D2516" s="85">
        <v>45080</v>
      </c>
      <c r="E2516" s="31">
        <v>0</v>
      </c>
      <c r="F2516" s="31">
        <v>20000</v>
      </c>
      <c r="G2516" s="31">
        <v>0</v>
      </c>
      <c r="H2516" s="31">
        <v>0</v>
      </c>
      <c r="I2516" s="31"/>
      <c r="J2516" s="5" t="s">
        <v>1272</v>
      </c>
      <c r="K2516" s="8"/>
    </row>
    <row r="2517" spans="1:11" x14ac:dyDescent="0.2">
      <c r="A2517" s="8">
        <v>2497</v>
      </c>
      <c r="B2517" s="8">
        <f t="shared" si="84"/>
        <v>2023</v>
      </c>
      <c r="C2517" s="8">
        <f t="shared" si="85"/>
        <v>6</v>
      </c>
      <c r="D2517" s="85">
        <v>45080</v>
      </c>
      <c r="E2517" s="31">
        <v>0</v>
      </c>
      <c r="F2517" s="31">
        <v>50000</v>
      </c>
      <c r="G2517" s="31">
        <v>0</v>
      </c>
      <c r="H2517" s="31">
        <v>0</v>
      </c>
      <c r="I2517" s="31"/>
      <c r="J2517" s="5" t="s">
        <v>2026</v>
      </c>
      <c r="K2517" s="8"/>
    </row>
    <row r="2518" spans="1:11" x14ac:dyDescent="0.2">
      <c r="A2518" s="8">
        <v>2498</v>
      </c>
      <c r="B2518" s="8">
        <f t="shared" si="84"/>
        <v>2023</v>
      </c>
      <c r="C2518" s="8">
        <f t="shared" si="85"/>
        <v>6</v>
      </c>
      <c r="D2518" s="85">
        <v>45080</v>
      </c>
      <c r="E2518" s="31">
        <v>0</v>
      </c>
      <c r="F2518" s="31">
        <v>65000</v>
      </c>
      <c r="G2518" s="31">
        <v>0</v>
      </c>
      <c r="H2518" s="31">
        <v>0</v>
      </c>
      <c r="I2518" s="31" t="s">
        <v>92</v>
      </c>
      <c r="J2518" s="5" t="s">
        <v>2027</v>
      </c>
      <c r="K2518" s="8"/>
    </row>
    <row r="2519" spans="1:11" x14ac:dyDescent="0.2">
      <c r="A2519" s="8">
        <v>2499</v>
      </c>
      <c r="B2519" s="8">
        <f t="shared" si="84"/>
        <v>2023</v>
      </c>
      <c r="C2519" s="8">
        <f t="shared" si="85"/>
        <v>6</v>
      </c>
      <c r="D2519" s="85">
        <v>45081</v>
      </c>
      <c r="E2519" s="31">
        <v>0</v>
      </c>
      <c r="F2519" s="31">
        <v>50000</v>
      </c>
      <c r="G2519" s="31">
        <v>0</v>
      </c>
      <c r="H2519" s="31">
        <v>0</v>
      </c>
      <c r="I2519" s="31"/>
      <c r="J2519" s="5" t="s">
        <v>356</v>
      </c>
      <c r="K2519" s="8"/>
    </row>
    <row r="2520" spans="1:11" x14ac:dyDescent="0.2">
      <c r="A2520" s="8">
        <v>2500</v>
      </c>
      <c r="B2520" s="8">
        <f t="shared" si="84"/>
        <v>2023</v>
      </c>
      <c r="C2520" s="8">
        <f t="shared" si="85"/>
        <v>6</v>
      </c>
      <c r="D2520" s="85">
        <v>45081</v>
      </c>
      <c r="E2520" s="31">
        <v>0</v>
      </c>
      <c r="F2520" s="31">
        <v>50000</v>
      </c>
      <c r="G2520" s="31">
        <v>0</v>
      </c>
      <c r="H2520" s="31">
        <v>0</v>
      </c>
      <c r="I2520" s="31"/>
      <c r="J2520" s="5" t="s">
        <v>2028</v>
      </c>
      <c r="K2520" s="8"/>
    </row>
    <row r="2521" spans="1:11" x14ac:dyDescent="0.2">
      <c r="A2521" s="8">
        <v>2501</v>
      </c>
      <c r="B2521" s="8">
        <f t="shared" si="84"/>
        <v>2023</v>
      </c>
      <c r="C2521" s="8">
        <f t="shared" si="85"/>
        <v>6</v>
      </c>
      <c r="D2521" s="85">
        <v>45081</v>
      </c>
      <c r="E2521" s="31">
        <v>0</v>
      </c>
      <c r="F2521" s="31">
        <v>50000</v>
      </c>
      <c r="G2521" s="31">
        <v>0</v>
      </c>
      <c r="H2521" s="31">
        <v>0</v>
      </c>
      <c r="I2521" s="31"/>
      <c r="J2521" s="5" t="s">
        <v>2029</v>
      </c>
      <c r="K2521" s="8"/>
    </row>
    <row r="2522" spans="1:11" x14ac:dyDescent="0.2">
      <c r="A2522" s="8">
        <v>2502</v>
      </c>
      <c r="B2522" s="8">
        <f t="shared" si="84"/>
        <v>2023</v>
      </c>
      <c r="C2522" s="8">
        <f t="shared" si="85"/>
        <v>6</v>
      </c>
      <c r="D2522" s="85">
        <v>45081</v>
      </c>
      <c r="E2522" s="31">
        <v>0</v>
      </c>
      <c r="F2522" s="31">
        <v>60000</v>
      </c>
      <c r="G2522" s="31">
        <v>0</v>
      </c>
      <c r="H2522" s="31">
        <v>0</v>
      </c>
      <c r="I2522" s="31"/>
      <c r="J2522" s="5" t="s">
        <v>2030</v>
      </c>
      <c r="K2522" s="8"/>
    </row>
    <row r="2523" spans="1:11" x14ac:dyDescent="0.2">
      <c r="A2523" s="8">
        <v>2503</v>
      </c>
      <c r="B2523" s="8">
        <f t="shared" si="84"/>
        <v>2023</v>
      </c>
      <c r="C2523" s="8">
        <f t="shared" si="85"/>
        <v>6</v>
      </c>
      <c r="D2523" s="85">
        <v>45082</v>
      </c>
      <c r="E2523" s="31">
        <v>0</v>
      </c>
      <c r="F2523" s="31">
        <v>12000</v>
      </c>
      <c r="G2523" s="31">
        <v>0</v>
      </c>
      <c r="H2523" s="31">
        <v>0</v>
      </c>
      <c r="I2523" s="31"/>
      <c r="J2523" s="5" t="s">
        <v>91</v>
      </c>
      <c r="K2523" s="8"/>
    </row>
    <row r="2524" spans="1:11" x14ac:dyDescent="0.2">
      <c r="A2524" s="8">
        <v>2504</v>
      </c>
      <c r="B2524" s="8">
        <f t="shared" si="84"/>
        <v>2023</v>
      </c>
      <c r="C2524" s="8">
        <f t="shared" si="85"/>
        <v>6</v>
      </c>
      <c r="D2524" s="85">
        <v>45082</v>
      </c>
      <c r="E2524" s="31">
        <v>0</v>
      </c>
      <c r="F2524" s="31">
        <v>20000</v>
      </c>
      <c r="G2524" s="31">
        <v>0</v>
      </c>
      <c r="H2524" s="31">
        <v>0</v>
      </c>
      <c r="I2524" s="31"/>
      <c r="J2524" s="5" t="s">
        <v>605</v>
      </c>
      <c r="K2524" s="8"/>
    </row>
    <row r="2525" spans="1:11" x14ac:dyDescent="0.2">
      <c r="A2525" s="8">
        <v>2505</v>
      </c>
      <c r="B2525" s="8">
        <f t="shared" si="84"/>
        <v>2023</v>
      </c>
      <c r="C2525" s="8">
        <f t="shared" si="85"/>
        <v>6</v>
      </c>
      <c r="D2525" s="85">
        <v>45083</v>
      </c>
      <c r="E2525" s="31">
        <v>0</v>
      </c>
      <c r="F2525" s="31">
        <v>50000</v>
      </c>
      <c r="G2525" s="31">
        <v>0</v>
      </c>
      <c r="H2525" s="31">
        <v>0</v>
      </c>
      <c r="I2525" s="31"/>
      <c r="J2525" s="5" t="s">
        <v>287</v>
      </c>
      <c r="K2525" s="8"/>
    </row>
    <row r="2526" spans="1:11" x14ac:dyDescent="0.2">
      <c r="A2526" s="8">
        <v>2506</v>
      </c>
      <c r="B2526" s="8">
        <f t="shared" si="84"/>
        <v>2023</v>
      </c>
      <c r="C2526" s="8">
        <f t="shared" si="85"/>
        <v>6</v>
      </c>
      <c r="D2526" s="85">
        <v>45084</v>
      </c>
      <c r="E2526" s="31">
        <v>0</v>
      </c>
      <c r="F2526" s="31">
        <v>80000</v>
      </c>
      <c r="G2526" s="31">
        <v>0</v>
      </c>
      <c r="H2526" s="31">
        <v>0</v>
      </c>
      <c r="I2526" s="31"/>
      <c r="J2526" s="5" t="s">
        <v>2031</v>
      </c>
      <c r="K2526" s="8"/>
    </row>
    <row r="2527" spans="1:11" x14ac:dyDescent="0.2">
      <c r="A2527" s="8">
        <v>2507</v>
      </c>
      <c r="B2527" s="8">
        <f t="shared" si="84"/>
        <v>2023</v>
      </c>
      <c r="C2527" s="8">
        <f t="shared" si="85"/>
        <v>6</v>
      </c>
      <c r="D2527" s="85">
        <v>45084</v>
      </c>
      <c r="E2527" s="31">
        <v>0</v>
      </c>
      <c r="F2527" s="31">
        <v>50000</v>
      </c>
      <c r="G2527" s="31">
        <v>0</v>
      </c>
      <c r="H2527" s="31">
        <v>0</v>
      </c>
      <c r="I2527" s="31"/>
      <c r="J2527" s="5" t="s">
        <v>299</v>
      </c>
      <c r="K2527" s="8"/>
    </row>
    <row r="2528" spans="1:11" x14ac:dyDescent="0.2">
      <c r="A2528" s="8">
        <v>2508</v>
      </c>
      <c r="B2528" s="8">
        <f t="shared" si="84"/>
        <v>2023</v>
      </c>
      <c r="C2528" s="8">
        <f t="shared" si="85"/>
        <v>6</v>
      </c>
      <c r="D2528" s="85">
        <v>45084</v>
      </c>
      <c r="E2528" s="31">
        <v>0</v>
      </c>
      <c r="F2528" s="31">
        <v>35000</v>
      </c>
      <c r="G2528" s="31">
        <v>0</v>
      </c>
      <c r="H2528" s="31">
        <v>0</v>
      </c>
      <c r="I2528" s="31"/>
      <c r="J2528" s="5" t="s">
        <v>1095</v>
      </c>
      <c r="K2528" s="8"/>
    </row>
    <row r="2529" spans="1:11" x14ac:dyDescent="0.2">
      <c r="A2529" s="8">
        <v>2509</v>
      </c>
      <c r="B2529" s="8">
        <f t="shared" si="84"/>
        <v>2023</v>
      </c>
      <c r="C2529" s="8">
        <f t="shared" si="85"/>
        <v>6</v>
      </c>
      <c r="D2529" s="85">
        <v>45085</v>
      </c>
      <c r="E2529" s="31">
        <v>0</v>
      </c>
      <c r="F2529" s="31">
        <v>50000</v>
      </c>
      <c r="G2529" s="31">
        <v>0</v>
      </c>
      <c r="H2529" s="31">
        <v>0</v>
      </c>
      <c r="I2529" s="31"/>
      <c r="J2529" s="5" t="s">
        <v>287</v>
      </c>
      <c r="K2529" s="8"/>
    </row>
    <row r="2530" spans="1:11" x14ac:dyDescent="0.2">
      <c r="A2530" s="8">
        <v>2510</v>
      </c>
      <c r="B2530" s="8">
        <f t="shared" si="84"/>
        <v>2023</v>
      </c>
      <c r="C2530" s="8">
        <f t="shared" si="85"/>
        <v>6</v>
      </c>
      <c r="D2530" s="85">
        <v>45086</v>
      </c>
      <c r="E2530" s="31">
        <v>0</v>
      </c>
      <c r="F2530" s="31">
        <v>70000</v>
      </c>
      <c r="G2530" s="31">
        <v>0</v>
      </c>
      <c r="H2530" s="31">
        <v>0</v>
      </c>
      <c r="I2530" s="31"/>
      <c r="J2530" s="5" t="s">
        <v>2032</v>
      </c>
      <c r="K2530" s="8"/>
    </row>
    <row r="2531" spans="1:11" x14ac:dyDescent="0.2">
      <c r="A2531" s="8">
        <v>2511</v>
      </c>
      <c r="B2531" s="8">
        <f t="shared" si="84"/>
        <v>2023</v>
      </c>
      <c r="C2531" s="8">
        <f t="shared" si="85"/>
        <v>6</v>
      </c>
      <c r="D2531" s="85">
        <v>45086</v>
      </c>
      <c r="E2531" s="31">
        <v>0</v>
      </c>
      <c r="F2531" s="31">
        <v>140000</v>
      </c>
      <c r="G2531" s="31">
        <v>0</v>
      </c>
      <c r="H2531" s="31">
        <v>0</v>
      </c>
      <c r="I2531" s="31"/>
      <c r="J2531" s="5" t="s">
        <v>2033</v>
      </c>
      <c r="K2531" s="8"/>
    </row>
    <row r="2532" spans="1:11" x14ac:dyDescent="0.2">
      <c r="A2532" s="8">
        <v>2512</v>
      </c>
      <c r="B2532" s="8">
        <f t="shared" si="84"/>
        <v>2023</v>
      </c>
      <c r="C2532" s="8">
        <f t="shared" si="85"/>
        <v>6</v>
      </c>
      <c r="D2532" s="85">
        <v>45087</v>
      </c>
      <c r="E2532" s="31">
        <v>0</v>
      </c>
      <c r="F2532" s="31">
        <v>20000</v>
      </c>
      <c r="G2532" s="31">
        <v>0</v>
      </c>
      <c r="H2532" s="31">
        <v>0</v>
      </c>
      <c r="I2532" s="31"/>
      <c r="J2532" s="5" t="s">
        <v>2034</v>
      </c>
      <c r="K2532" s="8"/>
    </row>
    <row r="2533" spans="1:11" x14ac:dyDescent="0.2">
      <c r="A2533" s="8">
        <v>2513</v>
      </c>
      <c r="B2533" s="8">
        <f t="shared" si="84"/>
        <v>2023</v>
      </c>
      <c r="C2533" s="8">
        <f t="shared" si="85"/>
        <v>6</v>
      </c>
      <c r="D2533" s="85">
        <v>45087</v>
      </c>
      <c r="E2533" s="31">
        <v>0</v>
      </c>
      <c r="F2533" s="31">
        <v>6000</v>
      </c>
      <c r="G2533" s="31">
        <v>0</v>
      </c>
      <c r="H2533" s="31">
        <v>0</v>
      </c>
      <c r="I2533" s="31"/>
      <c r="J2533" s="5" t="s">
        <v>1706</v>
      </c>
      <c r="K2533" s="8"/>
    </row>
    <row r="2534" spans="1:11" x14ac:dyDescent="0.2">
      <c r="A2534" s="8">
        <v>2514</v>
      </c>
      <c r="B2534" s="8">
        <f t="shared" si="84"/>
        <v>2023</v>
      </c>
      <c r="C2534" s="8">
        <f t="shared" si="85"/>
        <v>6</v>
      </c>
      <c r="D2534" s="85">
        <v>45088</v>
      </c>
      <c r="E2534" s="31">
        <v>0</v>
      </c>
      <c r="F2534" s="31">
        <v>20000</v>
      </c>
      <c r="G2534" s="31">
        <v>0</v>
      </c>
      <c r="H2534" s="31">
        <v>0</v>
      </c>
      <c r="I2534" s="31"/>
      <c r="J2534" s="5" t="s">
        <v>299</v>
      </c>
      <c r="K2534" s="8"/>
    </row>
    <row r="2535" spans="1:11" x14ac:dyDescent="0.2">
      <c r="A2535" s="8">
        <v>2515</v>
      </c>
      <c r="B2535" s="8">
        <f t="shared" si="84"/>
        <v>2023</v>
      </c>
      <c r="C2535" s="8">
        <f t="shared" si="85"/>
        <v>6</v>
      </c>
      <c r="D2535" s="85">
        <v>45088</v>
      </c>
      <c r="E2535" s="31">
        <v>0</v>
      </c>
      <c r="F2535" s="31">
        <v>30000</v>
      </c>
      <c r="G2535" s="31">
        <v>0</v>
      </c>
      <c r="H2535" s="31">
        <v>0</v>
      </c>
      <c r="I2535" s="31"/>
      <c r="J2535" s="5" t="s">
        <v>91</v>
      </c>
      <c r="K2535" s="8"/>
    </row>
    <row r="2536" spans="1:11" x14ac:dyDescent="0.2">
      <c r="A2536" s="8">
        <v>2516</v>
      </c>
      <c r="B2536" s="8">
        <f t="shared" si="84"/>
        <v>2023</v>
      </c>
      <c r="C2536" s="8">
        <f t="shared" si="85"/>
        <v>6</v>
      </c>
      <c r="D2536" s="85">
        <v>45088</v>
      </c>
      <c r="E2536" s="31">
        <v>0</v>
      </c>
      <c r="F2536" s="31">
        <v>10000</v>
      </c>
      <c r="G2536" s="31">
        <v>0</v>
      </c>
      <c r="H2536" s="31">
        <v>0</v>
      </c>
      <c r="I2536" s="31"/>
      <c r="J2536" s="5" t="s">
        <v>287</v>
      </c>
      <c r="K2536" s="8"/>
    </row>
    <row r="2537" spans="1:11" x14ac:dyDescent="0.2">
      <c r="A2537" s="8">
        <v>2517</v>
      </c>
      <c r="B2537" s="8">
        <f t="shared" si="84"/>
        <v>2023</v>
      </c>
      <c r="C2537" s="8">
        <f t="shared" si="85"/>
        <v>6</v>
      </c>
      <c r="D2537" s="85">
        <v>45088</v>
      </c>
      <c r="E2537" s="31">
        <v>0</v>
      </c>
      <c r="F2537" s="31">
        <v>18000</v>
      </c>
      <c r="G2537" s="31">
        <v>0</v>
      </c>
      <c r="H2537" s="31">
        <v>0</v>
      </c>
      <c r="I2537" s="31"/>
      <c r="J2537" s="5" t="s">
        <v>2008</v>
      </c>
      <c r="K2537" s="8"/>
    </row>
    <row r="2538" spans="1:11" x14ac:dyDescent="0.2">
      <c r="A2538" s="8">
        <v>2518</v>
      </c>
      <c r="B2538" s="8">
        <f t="shared" si="84"/>
        <v>2023</v>
      </c>
      <c r="C2538" s="8">
        <f t="shared" si="85"/>
        <v>6</v>
      </c>
      <c r="D2538" s="85">
        <v>45088</v>
      </c>
      <c r="E2538" s="31">
        <v>0</v>
      </c>
      <c r="F2538" s="31">
        <v>120000</v>
      </c>
      <c r="G2538" s="31">
        <v>0</v>
      </c>
      <c r="H2538" s="31">
        <v>0</v>
      </c>
      <c r="I2538" s="31"/>
      <c r="J2538" s="5" t="s">
        <v>2035</v>
      </c>
      <c r="K2538" s="8"/>
    </row>
    <row r="2539" spans="1:11" x14ac:dyDescent="0.2">
      <c r="A2539" s="8">
        <v>2519</v>
      </c>
      <c r="B2539" s="8">
        <f t="shared" si="84"/>
        <v>2023</v>
      </c>
      <c r="C2539" s="8">
        <f t="shared" si="85"/>
        <v>6</v>
      </c>
      <c r="D2539" s="85">
        <v>45089</v>
      </c>
      <c r="E2539" s="31">
        <v>0</v>
      </c>
      <c r="F2539" s="31">
        <v>50000</v>
      </c>
      <c r="G2539" s="31">
        <v>0</v>
      </c>
      <c r="H2539" s="31">
        <v>0</v>
      </c>
      <c r="I2539" s="31"/>
      <c r="J2539" s="5" t="s">
        <v>287</v>
      </c>
      <c r="K2539" s="8"/>
    </row>
    <row r="2540" spans="1:11" x14ac:dyDescent="0.2">
      <c r="A2540" s="8">
        <v>2520</v>
      </c>
      <c r="B2540" s="8">
        <f t="shared" si="84"/>
        <v>2023</v>
      </c>
      <c r="C2540" s="8">
        <f t="shared" si="85"/>
        <v>6</v>
      </c>
      <c r="D2540" s="85">
        <v>45090</v>
      </c>
      <c r="E2540" s="31">
        <v>0</v>
      </c>
      <c r="F2540" s="31">
        <v>50000</v>
      </c>
      <c r="G2540" s="31">
        <v>0</v>
      </c>
      <c r="H2540" s="31">
        <v>0</v>
      </c>
      <c r="I2540" s="31"/>
      <c r="J2540" s="5" t="s">
        <v>287</v>
      </c>
      <c r="K2540" s="8"/>
    </row>
    <row r="2541" spans="1:11" x14ac:dyDescent="0.2">
      <c r="A2541" s="8">
        <v>2460</v>
      </c>
      <c r="B2541" s="8">
        <f t="shared" si="84"/>
        <v>2023</v>
      </c>
      <c r="C2541" s="8">
        <f t="shared" si="85"/>
        <v>6</v>
      </c>
      <c r="D2541" s="85">
        <v>45091</v>
      </c>
      <c r="E2541" s="31">
        <v>0</v>
      </c>
      <c r="F2541" s="31">
        <v>50000</v>
      </c>
      <c r="G2541" s="31">
        <v>0</v>
      </c>
      <c r="H2541" s="31">
        <v>0</v>
      </c>
      <c r="I2541" s="31"/>
      <c r="J2541" s="5" t="s">
        <v>287</v>
      </c>
      <c r="K2541" s="8"/>
    </row>
    <row r="2542" spans="1:11" x14ac:dyDescent="0.2">
      <c r="A2542" s="8">
        <v>2461</v>
      </c>
      <c r="B2542" s="8">
        <f t="shared" si="84"/>
        <v>2023</v>
      </c>
      <c r="C2542" s="8">
        <f t="shared" si="85"/>
        <v>6</v>
      </c>
      <c r="D2542" s="85">
        <v>45092</v>
      </c>
      <c r="E2542" s="31">
        <v>0</v>
      </c>
      <c r="F2542" s="31">
        <v>6000</v>
      </c>
      <c r="G2542" s="31">
        <v>0</v>
      </c>
      <c r="H2542" s="31">
        <v>0</v>
      </c>
      <c r="I2542" s="31"/>
      <c r="J2542" s="5" t="s">
        <v>89</v>
      </c>
      <c r="K2542" s="8"/>
    </row>
    <row r="2543" spans="1:11" x14ac:dyDescent="0.2">
      <c r="A2543" s="8">
        <v>2462</v>
      </c>
      <c r="B2543" s="8">
        <f t="shared" si="84"/>
        <v>2023</v>
      </c>
      <c r="C2543" s="8">
        <f t="shared" si="85"/>
        <v>6</v>
      </c>
      <c r="D2543" s="85">
        <v>45092</v>
      </c>
      <c r="E2543" s="31">
        <v>0</v>
      </c>
      <c r="F2543" s="31">
        <v>22000</v>
      </c>
      <c r="G2543" s="31">
        <v>0</v>
      </c>
      <c r="H2543" s="31">
        <v>0</v>
      </c>
      <c r="I2543" s="31"/>
      <c r="J2543" s="5" t="s">
        <v>356</v>
      </c>
      <c r="K2543" s="8"/>
    </row>
    <row r="2544" spans="1:11" x14ac:dyDescent="0.2">
      <c r="A2544" s="8">
        <v>2463</v>
      </c>
      <c r="B2544" s="8">
        <f t="shared" si="84"/>
        <v>2023</v>
      </c>
      <c r="C2544" s="8">
        <f t="shared" si="85"/>
        <v>6</v>
      </c>
      <c r="D2544" s="85">
        <v>45092</v>
      </c>
      <c r="E2544" s="31">
        <v>0</v>
      </c>
      <c r="F2544" s="31">
        <v>20000</v>
      </c>
      <c r="G2544" s="31">
        <v>0</v>
      </c>
      <c r="H2544" s="31">
        <v>0</v>
      </c>
      <c r="I2544" s="31"/>
      <c r="J2544" s="5" t="s">
        <v>287</v>
      </c>
      <c r="K2544" s="8"/>
    </row>
    <row r="2545" spans="1:11" x14ac:dyDescent="0.2">
      <c r="A2545" s="8">
        <v>2464</v>
      </c>
      <c r="B2545" s="8">
        <f t="shared" si="84"/>
        <v>2023</v>
      </c>
      <c r="C2545" s="8">
        <f t="shared" si="85"/>
        <v>6</v>
      </c>
      <c r="D2545" s="85">
        <v>45093</v>
      </c>
      <c r="E2545" s="31">
        <v>0</v>
      </c>
      <c r="F2545" s="31">
        <v>40000</v>
      </c>
      <c r="G2545" s="31">
        <v>0</v>
      </c>
      <c r="H2545" s="31">
        <v>0</v>
      </c>
      <c r="I2545" s="31"/>
      <c r="J2545" s="5" t="s">
        <v>287</v>
      </c>
      <c r="K2545" s="8"/>
    </row>
    <row r="2546" spans="1:11" x14ac:dyDescent="0.2">
      <c r="A2546" s="8">
        <v>2465</v>
      </c>
      <c r="B2546" s="8">
        <f t="shared" si="84"/>
        <v>2023</v>
      </c>
      <c r="C2546" s="8">
        <f t="shared" si="85"/>
        <v>6</v>
      </c>
      <c r="D2546" s="85">
        <v>45094</v>
      </c>
      <c r="E2546" s="31">
        <v>0</v>
      </c>
      <c r="F2546" s="31">
        <v>40000</v>
      </c>
      <c r="G2546" s="31">
        <v>0</v>
      </c>
      <c r="H2546" s="31">
        <v>0</v>
      </c>
      <c r="I2546" s="31"/>
      <c r="J2546" s="5" t="s">
        <v>287</v>
      </c>
      <c r="K2546" s="8"/>
    </row>
    <row r="2547" spans="1:11" x14ac:dyDescent="0.2">
      <c r="A2547" s="8">
        <v>2466</v>
      </c>
      <c r="B2547" s="8">
        <f t="shared" si="84"/>
        <v>2023</v>
      </c>
      <c r="C2547" s="8">
        <f t="shared" si="85"/>
        <v>6</v>
      </c>
      <c r="D2547" s="85">
        <v>45095</v>
      </c>
      <c r="E2547" s="31">
        <v>0</v>
      </c>
      <c r="F2547" s="31">
        <v>40000</v>
      </c>
      <c r="G2547" s="31">
        <v>0</v>
      </c>
      <c r="H2547" s="31">
        <v>0</v>
      </c>
      <c r="I2547" s="31"/>
      <c r="J2547" s="5" t="s">
        <v>287</v>
      </c>
      <c r="K2547" s="8"/>
    </row>
    <row r="2548" spans="1:11" x14ac:dyDescent="0.2">
      <c r="A2548" s="8">
        <v>2467</v>
      </c>
      <c r="B2548" s="8">
        <f t="shared" si="84"/>
        <v>2023</v>
      </c>
      <c r="C2548" s="8">
        <f t="shared" si="85"/>
        <v>6</v>
      </c>
      <c r="D2548" s="85">
        <v>45096</v>
      </c>
      <c r="E2548" s="31">
        <v>0</v>
      </c>
      <c r="F2548" s="31">
        <v>50000</v>
      </c>
      <c r="G2548" s="31">
        <v>0</v>
      </c>
      <c r="H2548" s="31">
        <v>0</v>
      </c>
      <c r="I2548" s="31"/>
      <c r="J2548" s="5" t="s">
        <v>2036</v>
      </c>
      <c r="K2548" s="8"/>
    </row>
    <row r="2549" spans="1:11" x14ac:dyDescent="0.2">
      <c r="A2549" s="8">
        <v>2468</v>
      </c>
      <c r="B2549" s="8">
        <f t="shared" si="84"/>
        <v>2023</v>
      </c>
      <c r="C2549" s="8">
        <f t="shared" si="85"/>
        <v>6</v>
      </c>
      <c r="D2549" s="85">
        <v>45096</v>
      </c>
      <c r="E2549" s="31">
        <v>0</v>
      </c>
      <c r="F2549" s="31">
        <v>20000</v>
      </c>
      <c r="G2549" s="31">
        <v>0</v>
      </c>
      <c r="H2549" s="31">
        <v>0</v>
      </c>
      <c r="I2549" s="31"/>
      <c r="J2549" s="5" t="s">
        <v>287</v>
      </c>
      <c r="K2549" s="8"/>
    </row>
    <row r="2550" spans="1:11" x14ac:dyDescent="0.2">
      <c r="A2550" s="8">
        <v>2469</v>
      </c>
      <c r="B2550" s="8">
        <f t="shared" si="84"/>
        <v>2023</v>
      </c>
      <c r="C2550" s="8">
        <f t="shared" si="85"/>
        <v>6</v>
      </c>
      <c r="D2550" s="85">
        <v>45097</v>
      </c>
      <c r="E2550" s="31">
        <v>0</v>
      </c>
      <c r="F2550" s="31">
        <v>100000</v>
      </c>
      <c r="G2550" s="31">
        <v>0</v>
      </c>
      <c r="H2550" s="31">
        <v>0</v>
      </c>
      <c r="I2550" s="31"/>
      <c r="J2550" s="5" t="s">
        <v>1387</v>
      </c>
      <c r="K2550" s="8"/>
    </row>
    <row r="2551" spans="1:11" x14ac:dyDescent="0.2">
      <c r="A2551" s="8">
        <v>2470</v>
      </c>
      <c r="B2551" s="8">
        <f t="shared" si="84"/>
        <v>2023</v>
      </c>
      <c r="C2551" s="8">
        <f t="shared" si="85"/>
        <v>6</v>
      </c>
      <c r="D2551" s="85">
        <v>45097</v>
      </c>
      <c r="E2551" s="31">
        <v>0</v>
      </c>
      <c r="F2551" s="31">
        <v>215000</v>
      </c>
      <c r="G2551" s="31">
        <v>0</v>
      </c>
      <c r="H2551" s="31">
        <v>0</v>
      </c>
      <c r="I2551" s="31"/>
      <c r="J2551" s="5" t="s">
        <v>2037</v>
      </c>
      <c r="K2551" s="8"/>
    </row>
    <row r="2552" spans="1:11" x14ac:dyDescent="0.2">
      <c r="A2552" s="8">
        <v>2471</v>
      </c>
      <c r="B2552" s="8">
        <f t="shared" si="84"/>
        <v>2023</v>
      </c>
      <c r="C2552" s="8">
        <f t="shared" si="85"/>
        <v>6</v>
      </c>
      <c r="D2552" s="85">
        <v>45097</v>
      </c>
      <c r="E2552" s="31">
        <v>0</v>
      </c>
      <c r="F2552" s="31">
        <v>100000</v>
      </c>
      <c r="G2552" s="31">
        <v>0</v>
      </c>
      <c r="H2552" s="31">
        <v>0</v>
      </c>
      <c r="I2552" s="31" t="s">
        <v>92</v>
      </c>
      <c r="J2552" s="5" t="s">
        <v>2038</v>
      </c>
      <c r="K2552" s="8"/>
    </row>
    <row r="2553" spans="1:11" x14ac:dyDescent="0.2">
      <c r="A2553" s="8">
        <v>2472</v>
      </c>
      <c r="B2553" s="8">
        <f t="shared" si="84"/>
        <v>2023</v>
      </c>
      <c r="C2553" s="8">
        <f t="shared" si="85"/>
        <v>6</v>
      </c>
      <c r="D2553" s="85">
        <v>45097</v>
      </c>
      <c r="E2553" s="31">
        <v>0</v>
      </c>
      <c r="F2553" s="31">
        <v>12000</v>
      </c>
      <c r="G2553" s="31">
        <v>0</v>
      </c>
      <c r="H2553" s="31">
        <v>0</v>
      </c>
      <c r="I2553" s="31"/>
      <c r="J2553" s="5" t="s">
        <v>91</v>
      </c>
      <c r="K2553" s="8"/>
    </row>
    <row r="2554" spans="1:11" x14ac:dyDescent="0.2">
      <c r="A2554" s="8">
        <v>2473</v>
      </c>
      <c r="B2554" s="8">
        <f t="shared" si="84"/>
        <v>2023</v>
      </c>
      <c r="C2554" s="8">
        <f t="shared" si="85"/>
        <v>6</v>
      </c>
      <c r="D2554" s="85">
        <v>45097</v>
      </c>
      <c r="E2554" s="31">
        <v>0</v>
      </c>
      <c r="F2554" s="31">
        <v>144000</v>
      </c>
      <c r="G2554" s="31">
        <v>0</v>
      </c>
      <c r="H2554" s="31">
        <v>0</v>
      </c>
      <c r="I2554" s="31"/>
      <c r="J2554" s="5" t="s">
        <v>2039</v>
      </c>
      <c r="K2554" s="8"/>
    </row>
    <row r="2555" spans="1:11" x14ac:dyDescent="0.2">
      <c r="A2555" s="8">
        <v>2474</v>
      </c>
      <c r="B2555" s="8">
        <f t="shared" si="84"/>
        <v>2023</v>
      </c>
      <c r="C2555" s="8">
        <f t="shared" si="85"/>
        <v>6</v>
      </c>
      <c r="D2555" s="85">
        <v>45097</v>
      </c>
      <c r="E2555" s="31">
        <v>0</v>
      </c>
      <c r="F2555" s="31">
        <v>400000</v>
      </c>
      <c r="G2555" s="31">
        <v>0</v>
      </c>
      <c r="H2555" s="31">
        <v>0</v>
      </c>
      <c r="I2555" s="31"/>
      <c r="J2555" s="5" t="s">
        <v>1999</v>
      </c>
      <c r="K2555" s="8"/>
    </row>
    <row r="2556" spans="1:11" x14ac:dyDescent="0.2">
      <c r="A2556" s="8">
        <v>2474</v>
      </c>
      <c r="B2556" s="8">
        <f t="shared" si="84"/>
        <v>2023</v>
      </c>
      <c r="C2556" s="8">
        <f t="shared" si="85"/>
        <v>6</v>
      </c>
      <c r="D2556" s="85">
        <v>45098</v>
      </c>
      <c r="E2556" s="31">
        <v>0</v>
      </c>
      <c r="F2556" s="31">
        <v>424000</v>
      </c>
      <c r="G2556" s="31">
        <v>0</v>
      </c>
      <c r="H2556" s="31">
        <v>0</v>
      </c>
      <c r="I2556" s="31"/>
      <c r="J2556" s="5" t="s">
        <v>2040</v>
      </c>
      <c r="K2556" s="8"/>
    </row>
    <row r="2557" spans="1:11" x14ac:dyDescent="0.2">
      <c r="A2557" s="8">
        <v>2475</v>
      </c>
      <c r="B2557" s="8">
        <f t="shared" si="84"/>
        <v>2023</v>
      </c>
      <c r="C2557" s="8">
        <f t="shared" si="85"/>
        <v>6</v>
      </c>
      <c r="D2557" s="85">
        <v>45098</v>
      </c>
      <c r="E2557" s="31">
        <v>0</v>
      </c>
      <c r="F2557" s="31">
        <v>424000</v>
      </c>
      <c r="G2557" s="31">
        <v>0</v>
      </c>
      <c r="H2557" s="31">
        <v>0</v>
      </c>
      <c r="I2557" s="31"/>
      <c r="J2557" s="5" t="s">
        <v>2041</v>
      </c>
      <c r="K2557" s="8"/>
    </row>
    <row r="2558" spans="1:11" x14ac:dyDescent="0.2">
      <c r="A2558" s="8">
        <v>2476</v>
      </c>
      <c r="B2558" s="8">
        <f t="shared" si="84"/>
        <v>2023</v>
      </c>
      <c r="C2558" s="8">
        <f t="shared" si="85"/>
        <v>6</v>
      </c>
      <c r="D2558" s="85">
        <v>45098</v>
      </c>
      <c r="E2558" s="31">
        <v>0</v>
      </c>
      <c r="F2558" s="31">
        <v>343000</v>
      </c>
      <c r="G2558" s="31">
        <v>0</v>
      </c>
      <c r="H2558" s="31">
        <v>0</v>
      </c>
      <c r="I2558" s="31"/>
      <c r="J2558" s="5" t="s">
        <v>2042</v>
      </c>
      <c r="K2558" s="8"/>
    </row>
    <row r="2559" spans="1:11" x14ac:dyDescent="0.2">
      <c r="A2559" s="8">
        <v>2477</v>
      </c>
      <c r="B2559" s="8">
        <f t="shared" si="84"/>
        <v>2023</v>
      </c>
      <c r="C2559" s="8">
        <f t="shared" si="85"/>
        <v>6</v>
      </c>
      <c r="D2559" s="85">
        <v>45098</v>
      </c>
      <c r="E2559" s="31">
        <v>0</v>
      </c>
      <c r="F2559" s="31">
        <v>6000</v>
      </c>
      <c r="G2559" s="31">
        <v>0</v>
      </c>
      <c r="H2559" s="31">
        <v>0</v>
      </c>
      <c r="I2559" s="31"/>
      <c r="J2559" s="5" t="s">
        <v>89</v>
      </c>
      <c r="K2559" s="8"/>
    </row>
    <row r="2560" spans="1:11" x14ac:dyDescent="0.2">
      <c r="A2560" s="8">
        <v>2478</v>
      </c>
      <c r="B2560" s="8">
        <f t="shared" si="84"/>
        <v>2023</v>
      </c>
      <c r="C2560" s="8">
        <f t="shared" si="85"/>
        <v>6</v>
      </c>
      <c r="D2560" s="85">
        <v>45098</v>
      </c>
      <c r="E2560" s="31">
        <v>0</v>
      </c>
      <c r="F2560" s="31">
        <v>11000</v>
      </c>
      <c r="G2560" s="31">
        <v>0</v>
      </c>
      <c r="H2560" s="31">
        <v>0</v>
      </c>
      <c r="I2560" s="31"/>
      <c r="J2560" s="5" t="s">
        <v>91</v>
      </c>
      <c r="K2560" s="8"/>
    </row>
    <row r="2561" spans="1:11" x14ac:dyDescent="0.2">
      <c r="A2561" s="8">
        <v>2479</v>
      </c>
      <c r="B2561" s="8">
        <f t="shared" si="84"/>
        <v>2023</v>
      </c>
      <c r="C2561" s="8">
        <f t="shared" si="85"/>
        <v>6</v>
      </c>
      <c r="D2561" s="85">
        <v>45098</v>
      </c>
      <c r="E2561" s="31">
        <v>0</v>
      </c>
      <c r="F2561" s="31">
        <v>20000</v>
      </c>
      <c r="G2561" s="31">
        <v>0</v>
      </c>
      <c r="H2561" s="31">
        <v>0</v>
      </c>
      <c r="I2561" s="31"/>
      <c r="J2561" s="5" t="s">
        <v>2043</v>
      </c>
      <c r="K2561" s="8"/>
    </row>
    <row r="2562" spans="1:11" x14ac:dyDescent="0.2">
      <c r="A2562" s="8">
        <v>2480</v>
      </c>
      <c r="B2562" s="8">
        <f t="shared" si="84"/>
        <v>2023</v>
      </c>
      <c r="C2562" s="8">
        <f t="shared" si="85"/>
        <v>6</v>
      </c>
      <c r="D2562" s="85">
        <v>45099</v>
      </c>
      <c r="E2562" s="31">
        <v>0</v>
      </c>
      <c r="F2562" s="31">
        <v>30000</v>
      </c>
      <c r="G2562" s="31">
        <v>0</v>
      </c>
      <c r="H2562" s="31">
        <v>0</v>
      </c>
      <c r="I2562" s="31"/>
      <c r="J2562" s="5"/>
      <c r="K2562" s="8"/>
    </row>
    <row r="2563" spans="1:11" x14ac:dyDescent="0.2">
      <c r="A2563" s="8">
        <v>2481</v>
      </c>
      <c r="B2563" s="8">
        <f t="shared" ref="B2563:B2626" si="86">YEAR(D2563)</f>
        <v>2023</v>
      </c>
      <c r="C2563" s="8">
        <f t="shared" ref="C2563:C2626" si="87">MONTH(D2563)</f>
        <v>6</v>
      </c>
      <c r="D2563" s="85">
        <v>45100</v>
      </c>
      <c r="E2563" s="31">
        <v>0</v>
      </c>
      <c r="F2563" s="31">
        <v>30000</v>
      </c>
      <c r="G2563" s="31">
        <v>0</v>
      </c>
      <c r="H2563" s="31">
        <v>0</v>
      </c>
      <c r="I2563" s="31"/>
      <c r="J2563" s="5"/>
      <c r="K2563" s="8"/>
    </row>
    <row r="2564" spans="1:11" x14ac:dyDescent="0.2">
      <c r="A2564" s="8">
        <v>2482</v>
      </c>
      <c r="B2564" s="8">
        <f t="shared" si="86"/>
        <v>2023</v>
      </c>
      <c r="C2564" s="8">
        <f t="shared" si="87"/>
        <v>6</v>
      </c>
      <c r="D2564" s="85">
        <v>45101</v>
      </c>
      <c r="E2564" s="31">
        <v>0</v>
      </c>
      <c r="F2564" s="31">
        <v>12000</v>
      </c>
      <c r="G2564" s="31">
        <v>0</v>
      </c>
      <c r="H2564" s="31">
        <v>0</v>
      </c>
      <c r="I2564" s="31"/>
      <c r="J2564" s="5" t="s">
        <v>91</v>
      </c>
      <c r="K2564" s="8"/>
    </row>
    <row r="2565" spans="1:11" x14ac:dyDescent="0.2">
      <c r="A2565" s="8">
        <v>2483</v>
      </c>
      <c r="B2565" s="8">
        <f t="shared" si="86"/>
        <v>2023</v>
      </c>
      <c r="C2565" s="8">
        <f t="shared" si="87"/>
        <v>6</v>
      </c>
      <c r="D2565" s="85">
        <v>45102</v>
      </c>
      <c r="E2565" s="31">
        <v>0</v>
      </c>
      <c r="F2565" s="31">
        <v>750000</v>
      </c>
      <c r="G2565" s="31">
        <v>0</v>
      </c>
      <c r="H2565" s="31">
        <v>0</v>
      </c>
      <c r="I2565" s="31"/>
      <c r="J2565" s="5" t="s">
        <v>2044</v>
      </c>
      <c r="K2565" s="8"/>
    </row>
    <row r="2566" spans="1:11" x14ac:dyDescent="0.2">
      <c r="A2566" s="8">
        <v>2484</v>
      </c>
      <c r="B2566" s="8">
        <f t="shared" si="86"/>
        <v>2023</v>
      </c>
      <c r="C2566" s="8">
        <f t="shared" si="87"/>
        <v>6</v>
      </c>
      <c r="D2566" s="85">
        <v>45103</v>
      </c>
      <c r="E2566" s="31">
        <v>0</v>
      </c>
      <c r="F2566" s="31">
        <v>12000</v>
      </c>
      <c r="G2566" s="31">
        <v>0</v>
      </c>
      <c r="H2566" s="31">
        <v>0</v>
      </c>
      <c r="I2566" s="31"/>
      <c r="J2566" s="5" t="s">
        <v>91</v>
      </c>
      <c r="K2566" s="8"/>
    </row>
    <row r="2567" spans="1:11" x14ac:dyDescent="0.2">
      <c r="A2567" s="8">
        <v>2485</v>
      </c>
      <c r="B2567" s="8">
        <f t="shared" si="86"/>
        <v>2023</v>
      </c>
      <c r="C2567" s="8">
        <f t="shared" si="87"/>
        <v>6</v>
      </c>
      <c r="D2567" s="85">
        <v>45104</v>
      </c>
      <c r="E2567" s="31">
        <v>0</v>
      </c>
      <c r="F2567" s="31">
        <v>182000</v>
      </c>
      <c r="G2567" s="31">
        <v>0</v>
      </c>
      <c r="H2567" s="31">
        <v>0</v>
      </c>
      <c r="I2567" s="31"/>
      <c r="J2567" s="5" t="s">
        <v>2045</v>
      </c>
      <c r="K2567" s="8"/>
    </row>
    <row r="2568" spans="1:11" x14ac:dyDescent="0.2">
      <c r="A2568" s="8">
        <v>2486</v>
      </c>
      <c r="B2568" s="8">
        <f t="shared" si="86"/>
        <v>2023</v>
      </c>
      <c r="C2568" s="8">
        <f t="shared" si="87"/>
        <v>6</v>
      </c>
      <c r="D2568" s="85">
        <v>45104</v>
      </c>
      <c r="E2568" s="31">
        <v>0</v>
      </c>
      <c r="F2568" s="31">
        <v>120000</v>
      </c>
      <c r="G2568" s="31">
        <v>0</v>
      </c>
      <c r="H2568" s="31">
        <v>0</v>
      </c>
      <c r="I2568" s="31"/>
      <c r="J2568" s="5" t="s">
        <v>1539</v>
      </c>
      <c r="K2568" s="8"/>
    </row>
    <row r="2569" spans="1:11" x14ac:dyDescent="0.2">
      <c r="A2569" s="8">
        <v>2487</v>
      </c>
      <c r="B2569" s="8">
        <f t="shared" si="86"/>
        <v>2023</v>
      </c>
      <c r="C2569" s="8">
        <f t="shared" si="87"/>
        <v>6</v>
      </c>
      <c r="D2569" s="85">
        <v>45104</v>
      </c>
      <c r="E2569" s="31">
        <v>0</v>
      </c>
      <c r="F2569" s="31">
        <v>800000</v>
      </c>
      <c r="G2569" s="31">
        <v>0</v>
      </c>
      <c r="H2569" s="31">
        <v>0</v>
      </c>
      <c r="I2569" s="31"/>
      <c r="J2569" s="5" t="s">
        <v>2046</v>
      </c>
      <c r="K2569" s="8"/>
    </row>
    <row r="2570" spans="1:11" x14ac:dyDescent="0.2">
      <c r="A2570" s="8">
        <v>2488</v>
      </c>
      <c r="B2570" s="8">
        <f t="shared" si="86"/>
        <v>2023</v>
      </c>
      <c r="C2570" s="8">
        <f t="shared" si="87"/>
        <v>6</v>
      </c>
      <c r="D2570" s="85">
        <v>45104</v>
      </c>
      <c r="E2570" s="31">
        <v>0</v>
      </c>
      <c r="F2570" s="31">
        <v>10000</v>
      </c>
      <c r="G2570" s="31">
        <v>0</v>
      </c>
      <c r="H2570" s="31">
        <v>0</v>
      </c>
      <c r="I2570" s="31"/>
      <c r="J2570" s="5" t="s">
        <v>299</v>
      </c>
      <c r="K2570" s="8"/>
    </row>
    <row r="2571" spans="1:11" x14ac:dyDescent="0.2">
      <c r="A2571" s="8">
        <v>2489</v>
      </c>
      <c r="B2571" s="8">
        <f t="shared" si="86"/>
        <v>2023</v>
      </c>
      <c r="C2571" s="8">
        <f t="shared" si="87"/>
        <v>6</v>
      </c>
      <c r="D2571" s="85">
        <v>45104</v>
      </c>
      <c r="E2571" s="31">
        <v>0</v>
      </c>
      <c r="F2571" s="31">
        <v>50000</v>
      </c>
      <c r="G2571" s="31">
        <v>0</v>
      </c>
      <c r="H2571" s="31">
        <v>0</v>
      </c>
      <c r="I2571" s="31"/>
      <c r="J2571" s="5" t="s">
        <v>2047</v>
      </c>
      <c r="K2571" s="8"/>
    </row>
    <row r="2572" spans="1:11" x14ac:dyDescent="0.2">
      <c r="A2572" s="8">
        <v>2490</v>
      </c>
      <c r="B2572" s="8">
        <f t="shared" si="86"/>
        <v>2023</v>
      </c>
      <c r="C2572" s="8">
        <f t="shared" si="87"/>
        <v>6</v>
      </c>
      <c r="D2572" s="85">
        <v>45104</v>
      </c>
      <c r="E2572" s="31">
        <v>0</v>
      </c>
      <c r="F2572" s="31">
        <v>30000</v>
      </c>
      <c r="G2572" s="31">
        <v>0</v>
      </c>
      <c r="H2572" s="31">
        <v>0</v>
      </c>
      <c r="I2572" s="31"/>
      <c r="J2572" s="5" t="s">
        <v>2048</v>
      </c>
      <c r="K2572" s="8"/>
    </row>
    <row r="2573" spans="1:11" x14ac:dyDescent="0.2">
      <c r="A2573" s="8">
        <v>2491</v>
      </c>
      <c r="B2573" s="8">
        <f t="shared" si="86"/>
        <v>2023</v>
      </c>
      <c r="C2573" s="8">
        <f t="shared" si="87"/>
        <v>6</v>
      </c>
      <c r="D2573" s="85">
        <v>45104</v>
      </c>
      <c r="E2573" s="31">
        <v>0</v>
      </c>
      <c r="F2573" s="31">
        <v>13000</v>
      </c>
      <c r="G2573" s="31">
        <v>0</v>
      </c>
      <c r="H2573" s="31">
        <v>0</v>
      </c>
      <c r="I2573" s="31"/>
      <c r="J2573" s="5" t="s">
        <v>2049</v>
      </c>
      <c r="K2573" s="8"/>
    </row>
    <row r="2574" spans="1:11" x14ac:dyDescent="0.2">
      <c r="A2574" s="8">
        <v>2492</v>
      </c>
      <c r="B2574" s="8">
        <f t="shared" si="86"/>
        <v>2023</v>
      </c>
      <c r="C2574" s="8">
        <f t="shared" si="87"/>
        <v>6</v>
      </c>
      <c r="D2574" s="85">
        <v>45104</v>
      </c>
      <c r="E2574" s="31">
        <v>0</v>
      </c>
      <c r="F2574" s="31">
        <v>38000</v>
      </c>
      <c r="G2574" s="31">
        <v>0</v>
      </c>
      <c r="H2574" s="31">
        <v>0</v>
      </c>
      <c r="I2574" s="31"/>
      <c r="J2574" s="5" t="s">
        <v>2050</v>
      </c>
      <c r="K2574" s="8"/>
    </row>
    <row r="2575" spans="1:11" x14ac:dyDescent="0.2">
      <c r="A2575" s="8">
        <v>2493</v>
      </c>
      <c r="B2575" s="8">
        <f t="shared" si="86"/>
        <v>2023</v>
      </c>
      <c r="C2575" s="8">
        <f t="shared" si="87"/>
        <v>6</v>
      </c>
      <c r="D2575" s="85">
        <v>45104</v>
      </c>
      <c r="E2575" s="31">
        <v>0</v>
      </c>
      <c r="F2575" s="31">
        <v>94000</v>
      </c>
      <c r="G2575" s="31">
        <v>0</v>
      </c>
      <c r="H2575" s="31">
        <v>0</v>
      </c>
      <c r="I2575" s="31"/>
      <c r="J2575" s="5" t="s">
        <v>2051</v>
      </c>
      <c r="K2575" s="8"/>
    </row>
    <row r="2576" spans="1:11" x14ac:dyDescent="0.2">
      <c r="A2576" s="8">
        <v>2497</v>
      </c>
      <c r="B2576" s="8">
        <f t="shared" si="86"/>
        <v>2023</v>
      </c>
      <c r="C2576" s="8">
        <f t="shared" si="87"/>
        <v>6</v>
      </c>
      <c r="D2576" s="85">
        <v>45107</v>
      </c>
      <c r="E2576" s="31">
        <v>0</v>
      </c>
      <c r="F2576" s="31">
        <v>24000</v>
      </c>
      <c r="G2576" s="31">
        <v>0</v>
      </c>
      <c r="H2576" s="31">
        <v>0</v>
      </c>
      <c r="I2576" s="31"/>
      <c r="J2576" s="5" t="s">
        <v>91</v>
      </c>
      <c r="K2576" s="8"/>
    </row>
    <row r="2577" spans="1:11" x14ac:dyDescent="0.2">
      <c r="A2577" s="8">
        <v>2498</v>
      </c>
      <c r="B2577" s="8">
        <f t="shared" si="86"/>
        <v>2023</v>
      </c>
      <c r="C2577" s="8">
        <f t="shared" si="87"/>
        <v>7</v>
      </c>
      <c r="D2577" s="85">
        <v>45108</v>
      </c>
      <c r="E2577" s="31">
        <v>0</v>
      </c>
      <c r="F2577" s="31">
        <v>20000</v>
      </c>
      <c r="G2577" s="31">
        <v>0</v>
      </c>
      <c r="H2577" s="31">
        <v>0</v>
      </c>
      <c r="I2577" s="31"/>
      <c r="J2577" s="5" t="s">
        <v>175</v>
      </c>
      <c r="K2577" s="8"/>
    </row>
    <row r="2578" spans="1:11" x14ac:dyDescent="0.2">
      <c r="A2578" s="8">
        <v>2487</v>
      </c>
      <c r="B2578" s="8">
        <f t="shared" si="86"/>
        <v>2023</v>
      </c>
      <c r="C2578" s="8">
        <f t="shared" si="87"/>
        <v>7</v>
      </c>
      <c r="D2578" s="85">
        <v>45108</v>
      </c>
      <c r="E2578" s="31">
        <v>0</v>
      </c>
      <c r="F2578" s="31">
        <v>15000</v>
      </c>
      <c r="G2578" s="31">
        <v>0</v>
      </c>
      <c r="H2578" s="31">
        <v>0</v>
      </c>
      <c r="I2578" s="31"/>
      <c r="J2578" s="5" t="s">
        <v>2052</v>
      </c>
      <c r="K2578" s="8"/>
    </row>
    <row r="2579" spans="1:11" x14ac:dyDescent="0.2">
      <c r="A2579" s="8">
        <v>2488</v>
      </c>
      <c r="B2579" s="8">
        <f t="shared" si="86"/>
        <v>2023</v>
      </c>
      <c r="C2579" s="8">
        <f t="shared" si="87"/>
        <v>7</v>
      </c>
      <c r="D2579" s="85">
        <v>45109</v>
      </c>
      <c r="E2579" s="31">
        <v>0</v>
      </c>
      <c r="F2579" s="31">
        <v>20000</v>
      </c>
      <c r="G2579" s="31">
        <v>0</v>
      </c>
      <c r="H2579" s="31">
        <v>0</v>
      </c>
      <c r="I2579" s="31"/>
      <c r="J2579" s="5" t="s">
        <v>2053</v>
      </c>
      <c r="K2579" s="8"/>
    </row>
    <row r="2580" spans="1:11" x14ac:dyDescent="0.2">
      <c r="A2580" s="8">
        <v>2489</v>
      </c>
      <c r="B2580" s="8">
        <f t="shared" si="86"/>
        <v>2023</v>
      </c>
      <c r="C2580" s="8">
        <f t="shared" si="87"/>
        <v>7</v>
      </c>
      <c r="D2580" s="85">
        <v>45109</v>
      </c>
      <c r="E2580" s="31">
        <v>0</v>
      </c>
      <c r="F2580" s="31">
        <v>100000</v>
      </c>
      <c r="G2580" s="31">
        <v>0</v>
      </c>
      <c r="H2580" s="31">
        <v>0</v>
      </c>
      <c r="I2580" s="31"/>
      <c r="J2580" s="5" t="s">
        <v>2054</v>
      </c>
      <c r="K2580" s="8"/>
    </row>
    <row r="2581" spans="1:11" x14ac:dyDescent="0.2">
      <c r="A2581" s="8">
        <v>2490</v>
      </c>
      <c r="B2581" s="8">
        <f t="shared" si="86"/>
        <v>2023</v>
      </c>
      <c r="C2581" s="8">
        <f t="shared" si="87"/>
        <v>7</v>
      </c>
      <c r="D2581" s="85">
        <v>45109</v>
      </c>
      <c r="E2581" s="31">
        <v>0</v>
      </c>
      <c r="F2581" s="31">
        <v>17000</v>
      </c>
      <c r="G2581" s="31">
        <v>0</v>
      </c>
      <c r="H2581" s="31">
        <v>0</v>
      </c>
      <c r="I2581" s="31"/>
      <c r="J2581" s="5" t="s">
        <v>89</v>
      </c>
      <c r="K2581" s="8"/>
    </row>
    <row r="2582" spans="1:11" x14ac:dyDescent="0.2">
      <c r="A2582" s="8">
        <v>2491</v>
      </c>
      <c r="B2582" s="8">
        <f t="shared" si="86"/>
        <v>2023</v>
      </c>
      <c r="C2582" s="8">
        <f t="shared" si="87"/>
        <v>7</v>
      </c>
      <c r="D2582" s="85">
        <v>45109</v>
      </c>
      <c r="E2582" s="31">
        <v>0</v>
      </c>
      <c r="F2582" s="31">
        <v>650000</v>
      </c>
      <c r="G2582" s="31">
        <v>0</v>
      </c>
      <c r="H2582" s="31">
        <v>0</v>
      </c>
      <c r="I2582" s="31"/>
      <c r="J2582" s="5" t="s">
        <v>316</v>
      </c>
      <c r="K2582" s="8"/>
    </row>
    <row r="2583" spans="1:11" x14ac:dyDescent="0.2">
      <c r="A2583" s="8">
        <v>2492</v>
      </c>
      <c r="B2583" s="8">
        <f t="shared" si="86"/>
        <v>2023</v>
      </c>
      <c r="C2583" s="8">
        <f t="shared" si="87"/>
        <v>7</v>
      </c>
      <c r="D2583" s="85">
        <v>45110</v>
      </c>
      <c r="E2583" s="31">
        <v>0</v>
      </c>
      <c r="F2583" s="31">
        <v>50000</v>
      </c>
      <c r="G2583" s="31">
        <v>0</v>
      </c>
      <c r="H2583" s="31">
        <v>0</v>
      </c>
      <c r="I2583" s="31"/>
      <c r="J2583" s="5" t="s">
        <v>2055</v>
      </c>
      <c r="K2583" s="8"/>
    </row>
    <row r="2584" spans="1:11" x14ac:dyDescent="0.2">
      <c r="A2584" s="8">
        <v>2493</v>
      </c>
      <c r="B2584" s="8">
        <f t="shared" si="86"/>
        <v>2023</v>
      </c>
      <c r="C2584" s="8">
        <f t="shared" si="87"/>
        <v>7</v>
      </c>
      <c r="D2584" s="85">
        <v>45110</v>
      </c>
      <c r="E2584" s="31">
        <v>0</v>
      </c>
      <c r="F2584" s="31">
        <v>50000</v>
      </c>
      <c r="G2584" s="31">
        <v>0</v>
      </c>
      <c r="H2584" s="31">
        <v>0</v>
      </c>
      <c r="I2584" s="31"/>
      <c r="J2584" s="5" t="s">
        <v>2056</v>
      </c>
      <c r="K2584" s="8"/>
    </row>
    <row r="2585" spans="1:11" x14ac:dyDescent="0.2">
      <c r="A2585" s="8">
        <v>2494</v>
      </c>
      <c r="B2585" s="8">
        <f t="shared" si="86"/>
        <v>2023</v>
      </c>
      <c r="C2585" s="8">
        <f t="shared" si="87"/>
        <v>7</v>
      </c>
      <c r="D2585" s="85">
        <v>45110</v>
      </c>
      <c r="E2585" s="31">
        <v>0</v>
      </c>
      <c r="F2585" s="31">
        <v>42000</v>
      </c>
      <c r="G2585" s="31">
        <v>0</v>
      </c>
      <c r="H2585" s="31">
        <v>0</v>
      </c>
      <c r="I2585" s="31"/>
      <c r="J2585" s="5" t="s">
        <v>356</v>
      </c>
      <c r="K2585" s="8"/>
    </row>
    <row r="2586" spans="1:11" x14ac:dyDescent="0.2">
      <c r="A2586" s="8">
        <v>2495</v>
      </c>
      <c r="B2586" s="8">
        <f t="shared" si="86"/>
        <v>2023</v>
      </c>
      <c r="C2586" s="8">
        <f t="shared" si="87"/>
        <v>7</v>
      </c>
      <c r="D2586" s="85">
        <v>45111</v>
      </c>
      <c r="E2586" s="31">
        <v>0</v>
      </c>
      <c r="F2586" s="31">
        <v>20000</v>
      </c>
      <c r="G2586" s="31">
        <v>0</v>
      </c>
      <c r="H2586" s="31">
        <v>0</v>
      </c>
      <c r="I2586" s="31"/>
      <c r="J2586" s="5" t="s">
        <v>2057</v>
      </c>
      <c r="K2586" s="8"/>
    </row>
    <row r="2587" spans="1:11" x14ac:dyDescent="0.2">
      <c r="A2587" s="8">
        <v>2496</v>
      </c>
      <c r="B2587" s="8">
        <f t="shared" si="86"/>
        <v>2023</v>
      </c>
      <c r="C2587" s="8">
        <f t="shared" si="87"/>
        <v>7</v>
      </c>
      <c r="D2587" s="85">
        <v>45111</v>
      </c>
      <c r="E2587" s="31">
        <v>0</v>
      </c>
      <c r="F2587" s="31">
        <v>67000</v>
      </c>
      <c r="G2587" s="31">
        <v>0</v>
      </c>
      <c r="H2587" s="31">
        <v>0</v>
      </c>
      <c r="I2587" s="31"/>
      <c r="J2587" s="5" t="s">
        <v>2058</v>
      </c>
      <c r="K2587" s="8"/>
    </row>
    <row r="2588" spans="1:11" x14ac:dyDescent="0.2">
      <c r="A2588" s="8">
        <v>2497</v>
      </c>
      <c r="B2588" s="8">
        <f t="shared" si="86"/>
        <v>2023</v>
      </c>
      <c r="C2588" s="8">
        <f t="shared" si="87"/>
        <v>7</v>
      </c>
      <c r="D2588" s="85">
        <v>45112</v>
      </c>
      <c r="E2588" s="31">
        <v>0</v>
      </c>
      <c r="F2588" s="31">
        <v>18000</v>
      </c>
      <c r="G2588" s="31">
        <v>0</v>
      </c>
      <c r="H2588" s="31">
        <v>0</v>
      </c>
      <c r="I2588" s="31"/>
      <c r="J2588" s="5" t="s">
        <v>89</v>
      </c>
      <c r="K2588" s="8"/>
    </row>
    <row r="2589" spans="1:11" x14ac:dyDescent="0.2">
      <c r="A2589" s="8">
        <v>2498</v>
      </c>
      <c r="B2589" s="8">
        <f t="shared" si="86"/>
        <v>2023</v>
      </c>
      <c r="C2589" s="8">
        <f t="shared" si="87"/>
        <v>7</v>
      </c>
      <c r="D2589" s="85">
        <v>45112</v>
      </c>
      <c r="E2589" s="31">
        <v>0</v>
      </c>
      <c r="F2589" s="31">
        <v>1000000</v>
      </c>
      <c r="G2589" s="31">
        <v>0</v>
      </c>
      <c r="H2589" s="31">
        <v>0</v>
      </c>
      <c r="I2589" s="31"/>
      <c r="J2589" s="5" t="s">
        <v>1387</v>
      </c>
      <c r="K2589" s="8"/>
    </row>
    <row r="2590" spans="1:11" x14ac:dyDescent="0.2">
      <c r="A2590" s="8">
        <v>2499</v>
      </c>
      <c r="B2590" s="8">
        <f t="shared" si="86"/>
        <v>2023</v>
      </c>
      <c r="C2590" s="8">
        <f t="shared" si="87"/>
        <v>7</v>
      </c>
      <c r="D2590" s="85">
        <v>45112</v>
      </c>
      <c r="E2590" s="31">
        <v>0</v>
      </c>
      <c r="F2590" s="31">
        <v>150000</v>
      </c>
      <c r="G2590" s="31">
        <v>0</v>
      </c>
      <c r="H2590" s="31">
        <v>0</v>
      </c>
      <c r="I2590" s="31"/>
      <c r="J2590" s="5" t="s">
        <v>2036</v>
      </c>
      <c r="K2590" s="8"/>
    </row>
    <row r="2591" spans="1:11" x14ac:dyDescent="0.2">
      <c r="A2591" s="8">
        <v>2500</v>
      </c>
      <c r="B2591" s="8">
        <f t="shared" si="86"/>
        <v>2023</v>
      </c>
      <c r="C2591" s="8">
        <f t="shared" si="87"/>
        <v>7</v>
      </c>
      <c r="D2591" s="85">
        <v>45113</v>
      </c>
      <c r="E2591" s="31">
        <v>0</v>
      </c>
      <c r="F2591" s="31">
        <v>13000</v>
      </c>
      <c r="G2591" s="31">
        <v>0</v>
      </c>
      <c r="H2591" s="31">
        <v>0</v>
      </c>
      <c r="I2591" s="31"/>
      <c r="J2591" s="5" t="s">
        <v>91</v>
      </c>
      <c r="K2591" s="8"/>
    </row>
    <row r="2592" spans="1:11" x14ac:dyDescent="0.2">
      <c r="A2592" s="8">
        <v>2501</v>
      </c>
      <c r="B2592" s="8">
        <f t="shared" si="86"/>
        <v>2023</v>
      </c>
      <c r="C2592" s="8">
        <f t="shared" si="87"/>
        <v>7</v>
      </c>
      <c r="D2592" s="85">
        <v>45113</v>
      </c>
      <c r="E2592" s="31">
        <v>0</v>
      </c>
      <c r="F2592" s="31">
        <v>20000</v>
      </c>
      <c r="G2592" s="31">
        <v>0</v>
      </c>
      <c r="H2592" s="31">
        <v>0</v>
      </c>
      <c r="I2592" s="31"/>
      <c r="J2592" s="5" t="s">
        <v>1273</v>
      </c>
      <c r="K2592" s="8"/>
    </row>
    <row r="2593" spans="1:11" x14ac:dyDescent="0.2">
      <c r="A2593" s="8">
        <v>2502</v>
      </c>
      <c r="B2593" s="8">
        <f t="shared" si="86"/>
        <v>2023</v>
      </c>
      <c r="C2593" s="8">
        <f t="shared" si="87"/>
        <v>7</v>
      </c>
      <c r="D2593" s="85">
        <v>45113</v>
      </c>
      <c r="E2593" s="31">
        <v>0</v>
      </c>
      <c r="F2593" s="31">
        <v>170000</v>
      </c>
      <c r="G2593" s="31">
        <v>0</v>
      </c>
      <c r="H2593" s="31">
        <v>0</v>
      </c>
      <c r="I2593" s="31"/>
      <c r="J2593" s="5" t="s">
        <v>2059</v>
      </c>
      <c r="K2593" s="8"/>
    </row>
    <row r="2594" spans="1:11" x14ac:dyDescent="0.2">
      <c r="A2594" s="8">
        <v>2503</v>
      </c>
      <c r="B2594" s="8">
        <f t="shared" si="86"/>
        <v>2023</v>
      </c>
      <c r="C2594" s="8">
        <f t="shared" si="87"/>
        <v>7</v>
      </c>
      <c r="D2594" s="85">
        <v>45113</v>
      </c>
      <c r="E2594" s="31">
        <v>0</v>
      </c>
      <c r="F2594" s="31">
        <v>80000</v>
      </c>
      <c r="G2594" s="31">
        <v>0</v>
      </c>
      <c r="H2594" s="31">
        <v>0</v>
      </c>
      <c r="I2594" s="31"/>
      <c r="J2594" s="5" t="s">
        <v>2060</v>
      </c>
      <c r="K2594" s="8"/>
    </row>
    <row r="2595" spans="1:11" x14ac:dyDescent="0.2">
      <c r="A2595" s="8">
        <v>2504</v>
      </c>
      <c r="B2595" s="8">
        <f t="shared" si="86"/>
        <v>2023</v>
      </c>
      <c r="C2595" s="8">
        <f t="shared" si="87"/>
        <v>7</v>
      </c>
      <c r="D2595" s="85">
        <v>45113</v>
      </c>
      <c r="E2595" s="31">
        <v>0</v>
      </c>
      <c r="F2595" s="31">
        <v>50000</v>
      </c>
      <c r="G2595" s="31">
        <v>0</v>
      </c>
      <c r="H2595" s="31">
        <v>0</v>
      </c>
      <c r="I2595" s="31"/>
      <c r="J2595" s="5" t="s">
        <v>2061</v>
      </c>
      <c r="K2595" s="8"/>
    </row>
    <row r="2596" spans="1:11" x14ac:dyDescent="0.2">
      <c r="A2596" s="8">
        <v>2504</v>
      </c>
      <c r="B2596" s="8">
        <f t="shared" si="86"/>
        <v>2023</v>
      </c>
      <c r="C2596" s="8">
        <f t="shared" si="87"/>
        <v>7</v>
      </c>
      <c r="D2596" s="85">
        <v>45113</v>
      </c>
      <c r="E2596" s="31">
        <v>1650000</v>
      </c>
      <c r="F2596" s="31">
        <v>0</v>
      </c>
      <c r="G2596" s="31">
        <v>0</v>
      </c>
      <c r="H2596" s="31">
        <v>0</v>
      </c>
      <c r="I2596" s="31"/>
      <c r="J2596" s="5" t="s">
        <v>2062</v>
      </c>
      <c r="K2596" s="8"/>
    </row>
    <row r="2597" spans="1:11" x14ac:dyDescent="0.2">
      <c r="A2597" s="8">
        <v>2505</v>
      </c>
      <c r="B2597" s="8">
        <f t="shared" si="86"/>
        <v>2023</v>
      </c>
      <c r="C2597" s="8">
        <f t="shared" si="87"/>
        <v>7</v>
      </c>
      <c r="D2597" s="85">
        <v>45113</v>
      </c>
      <c r="E2597" s="31">
        <v>1940000</v>
      </c>
      <c r="F2597" s="31">
        <v>0</v>
      </c>
      <c r="G2597" s="31">
        <v>0</v>
      </c>
      <c r="H2597" s="31">
        <v>0</v>
      </c>
      <c r="I2597" s="31"/>
      <c r="J2597" s="5" t="s">
        <v>2063</v>
      </c>
      <c r="K2597" s="8"/>
    </row>
    <row r="2598" spans="1:11" x14ac:dyDescent="0.2">
      <c r="A2598" s="8">
        <v>2506</v>
      </c>
      <c r="B2598" s="8">
        <f t="shared" si="86"/>
        <v>2023</v>
      </c>
      <c r="C2598" s="8">
        <f t="shared" si="87"/>
        <v>7</v>
      </c>
      <c r="D2598" s="85">
        <v>45114</v>
      </c>
      <c r="E2598" s="31">
        <v>0</v>
      </c>
      <c r="F2598" s="31">
        <v>7000</v>
      </c>
      <c r="G2598" s="31">
        <v>0</v>
      </c>
      <c r="H2598" s="31">
        <v>0</v>
      </c>
      <c r="I2598" s="31"/>
      <c r="J2598" s="5" t="s">
        <v>89</v>
      </c>
      <c r="K2598" s="8"/>
    </row>
    <row r="2599" spans="1:11" x14ac:dyDescent="0.2">
      <c r="A2599" s="8">
        <v>2507</v>
      </c>
      <c r="B2599" s="8">
        <f t="shared" si="86"/>
        <v>2023</v>
      </c>
      <c r="C2599" s="8">
        <f t="shared" si="87"/>
        <v>7</v>
      </c>
      <c r="D2599" s="85">
        <v>45114</v>
      </c>
      <c r="E2599" s="31">
        <v>200000</v>
      </c>
      <c r="F2599" s="31"/>
      <c r="G2599" s="31">
        <v>0</v>
      </c>
      <c r="H2599" s="31">
        <v>0</v>
      </c>
      <c r="I2599" s="31"/>
      <c r="J2599" s="5" t="s">
        <v>2064</v>
      </c>
      <c r="K2599" s="8"/>
    </row>
    <row r="2600" spans="1:11" x14ac:dyDescent="0.2">
      <c r="A2600" s="8">
        <v>2508</v>
      </c>
      <c r="B2600" s="8">
        <f t="shared" si="86"/>
        <v>2023</v>
      </c>
      <c r="C2600" s="8">
        <f t="shared" si="87"/>
        <v>7</v>
      </c>
      <c r="D2600" s="85">
        <v>45114</v>
      </c>
      <c r="E2600" s="31">
        <v>0</v>
      </c>
      <c r="F2600" s="31">
        <v>150000</v>
      </c>
      <c r="G2600" s="31">
        <v>0</v>
      </c>
      <c r="H2600" s="31">
        <v>0</v>
      </c>
      <c r="I2600" s="31"/>
      <c r="J2600" s="5" t="s">
        <v>439</v>
      </c>
      <c r="K2600" s="8"/>
    </row>
    <row r="2601" spans="1:11" x14ac:dyDescent="0.2">
      <c r="A2601" s="8">
        <v>2509</v>
      </c>
      <c r="B2601" s="8">
        <f t="shared" si="86"/>
        <v>2023</v>
      </c>
      <c r="C2601" s="8">
        <f t="shared" si="87"/>
        <v>7</v>
      </c>
      <c r="D2601" s="85">
        <v>45114</v>
      </c>
      <c r="E2601" s="31">
        <v>0</v>
      </c>
      <c r="F2601" s="31">
        <v>20000</v>
      </c>
      <c r="G2601" s="31">
        <v>0</v>
      </c>
      <c r="H2601" s="31">
        <v>0</v>
      </c>
      <c r="I2601" s="31"/>
      <c r="J2601" s="5" t="s">
        <v>439</v>
      </c>
      <c r="K2601" s="8"/>
    </row>
    <row r="2602" spans="1:11" x14ac:dyDescent="0.2">
      <c r="A2602" s="8">
        <v>2510</v>
      </c>
      <c r="B2602" s="8">
        <f t="shared" si="86"/>
        <v>2023</v>
      </c>
      <c r="C2602" s="8">
        <f t="shared" si="87"/>
        <v>7</v>
      </c>
      <c r="D2602" s="85">
        <v>45115</v>
      </c>
      <c r="E2602" s="31">
        <v>0</v>
      </c>
      <c r="F2602" s="31">
        <v>20000</v>
      </c>
      <c r="G2602" s="31">
        <v>0</v>
      </c>
      <c r="H2602" s="31">
        <v>0</v>
      </c>
      <c r="I2602" s="31"/>
      <c r="J2602" s="5" t="s">
        <v>1110</v>
      </c>
      <c r="K2602" s="8"/>
    </row>
    <row r="2603" spans="1:11" x14ac:dyDescent="0.2">
      <c r="A2603" s="8">
        <v>2511</v>
      </c>
      <c r="B2603" s="8">
        <f t="shared" si="86"/>
        <v>2023</v>
      </c>
      <c r="C2603" s="8">
        <f t="shared" si="87"/>
        <v>7</v>
      </c>
      <c r="D2603" s="85">
        <v>45115</v>
      </c>
      <c r="E2603" s="31">
        <v>0</v>
      </c>
      <c r="F2603" s="31">
        <v>300000</v>
      </c>
      <c r="G2603" s="31">
        <v>0</v>
      </c>
      <c r="H2603" s="31">
        <v>0</v>
      </c>
      <c r="I2603" s="31"/>
      <c r="J2603" s="5" t="s">
        <v>1637</v>
      </c>
      <c r="K2603" s="8"/>
    </row>
    <row r="2604" spans="1:11" x14ac:dyDescent="0.2">
      <c r="A2604" s="8">
        <v>2512</v>
      </c>
      <c r="B2604" s="8">
        <f t="shared" si="86"/>
        <v>2023</v>
      </c>
      <c r="C2604" s="8">
        <f t="shared" si="87"/>
        <v>7</v>
      </c>
      <c r="D2604" s="85">
        <v>45116</v>
      </c>
      <c r="E2604" s="31">
        <v>0</v>
      </c>
      <c r="F2604" s="31">
        <v>20000</v>
      </c>
      <c r="G2604" s="31">
        <v>0</v>
      </c>
      <c r="H2604" s="31">
        <v>0</v>
      </c>
      <c r="I2604" s="31"/>
      <c r="J2604" s="5" t="s">
        <v>2065</v>
      </c>
      <c r="K2604" s="8"/>
    </row>
    <row r="2605" spans="1:11" x14ac:dyDescent="0.2">
      <c r="A2605" s="8">
        <v>2513</v>
      </c>
      <c r="B2605" s="8">
        <f t="shared" si="86"/>
        <v>2023</v>
      </c>
      <c r="C2605" s="8">
        <f t="shared" si="87"/>
        <v>7</v>
      </c>
      <c r="D2605" s="85">
        <v>45116</v>
      </c>
      <c r="E2605" s="31">
        <v>0</v>
      </c>
      <c r="F2605" s="31">
        <v>200000</v>
      </c>
      <c r="G2605" s="31">
        <v>0</v>
      </c>
      <c r="H2605" s="31">
        <v>0</v>
      </c>
      <c r="I2605" s="31"/>
      <c r="J2605" s="5" t="s">
        <v>304</v>
      </c>
      <c r="K2605" s="8"/>
    </row>
    <row r="2606" spans="1:11" x14ac:dyDescent="0.2">
      <c r="A2606" s="8">
        <v>2514</v>
      </c>
      <c r="B2606" s="8">
        <f t="shared" si="86"/>
        <v>2023</v>
      </c>
      <c r="C2606" s="8">
        <f t="shared" si="87"/>
        <v>7</v>
      </c>
      <c r="D2606" s="85">
        <v>45117</v>
      </c>
      <c r="E2606" s="31">
        <v>0</v>
      </c>
      <c r="F2606" s="31">
        <v>50000</v>
      </c>
      <c r="G2606" s="31">
        <v>0</v>
      </c>
      <c r="H2606" s="31">
        <v>0</v>
      </c>
      <c r="I2606" s="31"/>
      <c r="J2606" s="5" t="s">
        <v>287</v>
      </c>
      <c r="K2606" s="8"/>
    </row>
    <row r="2607" spans="1:11" x14ac:dyDescent="0.2">
      <c r="A2607" s="8">
        <v>2515</v>
      </c>
      <c r="B2607" s="8">
        <f t="shared" si="86"/>
        <v>2023</v>
      </c>
      <c r="C2607" s="8">
        <f t="shared" si="87"/>
        <v>7</v>
      </c>
      <c r="D2607" s="85">
        <v>45118</v>
      </c>
      <c r="E2607" s="31">
        <v>0</v>
      </c>
      <c r="F2607" s="31">
        <v>50000</v>
      </c>
      <c r="G2607" s="31">
        <v>0</v>
      </c>
      <c r="H2607" s="31">
        <v>0</v>
      </c>
      <c r="I2607" s="31"/>
      <c r="J2607" s="5" t="s">
        <v>356</v>
      </c>
      <c r="K2607" s="8"/>
    </row>
    <row r="2608" spans="1:11" x14ac:dyDescent="0.2">
      <c r="A2608" s="8">
        <v>2516</v>
      </c>
      <c r="B2608" s="8">
        <f t="shared" si="86"/>
        <v>2023</v>
      </c>
      <c r="C2608" s="8">
        <f t="shared" si="87"/>
        <v>7</v>
      </c>
      <c r="D2608" s="85">
        <v>45119</v>
      </c>
      <c r="E2608" s="31">
        <v>0</v>
      </c>
      <c r="F2608" s="31">
        <v>50000</v>
      </c>
      <c r="G2608" s="31">
        <v>0</v>
      </c>
      <c r="H2608" s="31">
        <v>0</v>
      </c>
      <c r="I2608" s="31"/>
      <c r="J2608" s="5" t="s">
        <v>287</v>
      </c>
      <c r="K2608" s="8"/>
    </row>
    <row r="2609" spans="1:11" x14ac:dyDescent="0.2">
      <c r="A2609" s="8">
        <v>2517</v>
      </c>
      <c r="B2609" s="8">
        <f t="shared" si="86"/>
        <v>2023</v>
      </c>
      <c r="C2609" s="8">
        <f t="shared" si="87"/>
        <v>7</v>
      </c>
      <c r="D2609" s="85">
        <v>45120</v>
      </c>
      <c r="E2609" s="31">
        <v>0</v>
      </c>
      <c r="F2609" s="31">
        <v>130000</v>
      </c>
      <c r="G2609" s="31">
        <v>0</v>
      </c>
      <c r="H2609" s="31">
        <v>0</v>
      </c>
      <c r="I2609" s="31"/>
      <c r="J2609" s="5" t="s">
        <v>2066</v>
      </c>
      <c r="K2609" s="8"/>
    </row>
    <row r="2610" spans="1:11" x14ac:dyDescent="0.2">
      <c r="A2610" s="8">
        <v>2518</v>
      </c>
      <c r="B2610" s="8">
        <f t="shared" si="86"/>
        <v>2023</v>
      </c>
      <c r="C2610" s="8">
        <f t="shared" si="87"/>
        <v>7</v>
      </c>
      <c r="D2610" s="85">
        <v>45120</v>
      </c>
      <c r="E2610" s="31">
        <v>0</v>
      </c>
      <c r="F2610" s="31">
        <v>50000</v>
      </c>
      <c r="G2610" s="31">
        <v>0</v>
      </c>
      <c r="H2610" s="31">
        <v>0</v>
      </c>
      <c r="I2610" s="31"/>
      <c r="J2610" s="5" t="s">
        <v>287</v>
      </c>
      <c r="K2610" s="8"/>
    </row>
    <row r="2611" spans="1:11" x14ac:dyDescent="0.2">
      <c r="A2611" s="8">
        <v>2519</v>
      </c>
      <c r="B2611" s="8">
        <f t="shared" si="86"/>
        <v>2023</v>
      </c>
      <c r="C2611" s="8">
        <f t="shared" si="87"/>
        <v>7</v>
      </c>
      <c r="D2611" s="85">
        <v>45121</v>
      </c>
      <c r="E2611" s="31">
        <v>0</v>
      </c>
      <c r="F2611" s="31">
        <v>50000</v>
      </c>
      <c r="G2611" s="31">
        <v>0</v>
      </c>
      <c r="H2611" s="31">
        <v>0</v>
      </c>
      <c r="I2611" s="31"/>
      <c r="J2611" s="5" t="s">
        <v>175</v>
      </c>
      <c r="K2611" s="8"/>
    </row>
    <row r="2612" spans="1:11" x14ac:dyDescent="0.2">
      <c r="A2612" s="8">
        <v>2520</v>
      </c>
      <c r="B2612" s="8">
        <f t="shared" si="86"/>
        <v>2023</v>
      </c>
      <c r="C2612" s="8">
        <f t="shared" si="87"/>
        <v>7</v>
      </c>
      <c r="D2612" s="85">
        <v>45121</v>
      </c>
      <c r="E2612" s="31">
        <v>0</v>
      </c>
      <c r="F2612" s="31">
        <v>20000</v>
      </c>
      <c r="G2612" s="31">
        <v>0</v>
      </c>
      <c r="H2612" s="31">
        <v>0</v>
      </c>
      <c r="I2612" s="31"/>
      <c r="J2612" s="5" t="s">
        <v>89</v>
      </c>
      <c r="K2612" s="8"/>
    </row>
    <row r="2613" spans="1:11" x14ac:dyDescent="0.2">
      <c r="A2613" s="8">
        <v>2521</v>
      </c>
      <c r="B2613" s="8">
        <f t="shared" si="86"/>
        <v>2023</v>
      </c>
      <c r="C2613" s="8">
        <f t="shared" si="87"/>
        <v>7</v>
      </c>
      <c r="D2613" s="85">
        <v>45121</v>
      </c>
      <c r="E2613" s="31">
        <v>0</v>
      </c>
      <c r="F2613" s="31">
        <v>25000</v>
      </c>
      <c r="G2613" s="31">
        <v>0</v>
      </c>
      <c r="H2613" s="31">
        <v>0</v>
      </c>
      <c r="I2613" s="31"/>
      <c r="J2613" s="5" t="s">
        <v>2067</v>
      </c>
      <c r="K2613" s="8"/>
    </row>
    <row r="2614" spans="1:11" x14ac:dyDescent="0.2">
      <c r="A2614" s="8">
        <v>2522</v>
      </c>
      <c r="B2614" s="8">
        <f t="shared" si="86"/>
        <v>2023</v>
      </c>
      <c r="C2614" s="8">
        <f t="shared" si="87"/>
        <v>7</v>
      </c>
      <c r="D2614" s="85">
        <v>45122</v>
      </c>
      <c r="E2614" s="31">
        <v>0</v>
      </c>
      <c r="F2614" s="31">
        <v>50000</v>
      </c>
      <c r="G2614" s="31">
        <v>0</v>
      </c>
      <c r="H2614" s="31">
        <v>0</v>
      </c>
      <c r="I2614" s="31"/>
      <c r="J2614" s="5" t="s">
        <v>287</v>
      </c>
      <c r="K2614" s="8"/>
    </row>
    <row r="2615" spans="1:11" x14ac:dyDescent="0.2">
      <c r="A2615" s="8">
        <v>2523</v>
      </c>
      <c r="B2615" s="8">
        <f t="shared" si="86"/>
        <v>2023</v>
      </c>
      <c r="C2615" s="8">
        <f t="shared" si="87"/>
        <v>7</v>
      </c>
      <c r="D2615" s="85">
        <v>45123</v>
      </c>
      <c r="E2615" s="31">
        <v>300000</v>
      </c>
      <c r="F2615" s="31">
        <v>0</v>
      </c>
      <c r="G2615" s="31">
        <v>0</v>
      </c>
      <c r="H2615" s="31">
        <v>0</v>
      </c>
      <c r="I2615" s="31" t="s">
        <v>109</v>
      </c>
      <c r="J2615" s="5" t="s">
        <v>2068</v>
      </c>
      <c r="K2615" s="8"/>
    </row>
    <row r="2616" spans="1:11" x14ac:dyDescent="0.2">
      <c r="A2616" s="8">
        <v>2524</v>
      </c>
      <c r="B2616" s="8">
        <f t="shared" si="86"/>
        <v>2023</v>
      </c>
      <c r="C2616" s="8">
        <f t="shared" si="87"/>
        <v>7</v>
      </c>
      <c r="D2616" s="85">
        <v>45123</v>
      </c>
      <c r="E2616" s="31">
        <v>165000</v>
      </c>
      <c r="F2616" s="31"/>
      <c r="G2616" s="31">
        <v>0</v>
      </c>
      <c r="H2616" s="31">
        <v>0</v>
      </c>
      <c r="I2616" s="31"/>
      <c r="J2616" s="5" t="s">
        <v>2069</v>
      </c>
      <c r="K2616" s="8"/>
    </row>
    <row r="2617" spans="1:11" x14ac:dyDescent="0.2">
      <c r="A2617" s="8">
        <v>2525</v>
      </c>
      <c r="B2617" s="8">
        <f t="shared" si="86"/>
        <v>2023</v>
      </c>
      <c r="C2617" s="8">
        <f t="shared" si="87"/>
        <v>7</v>
      </c>
      <c r="D2617" s="85">
        <v>45123</v>
      </c>
      <c r="E2617" s="31">
        <v>0</v>
      </c>
      <c r="F2617" s="31">
        <v>50000</v>
      </c>
      <c r="G2617" s="31">
        <v>0</v>
      </c>
      <c r="H2617" s="31">
        <v>0</v>
      </c>
      <c r="I2617" s="31"/>
      <c r="J2617" s="5" t="s">
        <v>2070</v>
      </c>
      <c r="K2617" s="8"/>
    </row>
    <row r="2618" spans="1:11" x14ac:dyDescent="0.2">
      <c r="A2618" s="8">
        <v>2526</v>
      </c>
      <c r="B2618" s="8">
        <f t="shared" si="86"/>
        <v>2023</v>
      </c>
      <c r="C2618" s="8">
        <f t="shared" si="87"/>
        <v>7</v>
      </c>
      <c r="D2618" s="85">
        <v>45123</v>
      </c>
      <c r="E2618" s="31">
        <v>0</v>
      </c>
      <c r="F2618" s="31">
        <v>20000</v>
      </c>
      <c r="G2618" s="31">
        <v>0</v>
      </c>
      <c r="H2618" s="31">
        <v>0</v>
      </c>
      <c r="I2618" s="31"/>
      <c r="J2618" s="5" t="s">
        <v>1272</v>
      </c>
      <c r="K2618" s="8"/>
    </row>
    <row r="2619" spans="1:11" x14ac:dyDescent="0.2">
      <c r="A2619" s="8">
        <v>2527</v>
      </c>
      <c r="B2619" s="8">
        <f t="shared" si="86"/>
        <v>2023</v>
      </c>
      <c r="C2619" s="8">
        <f t="shared" si="87"/>
        <v>7</v>
      </c>
      <c r="D2619" s="85">
        <v>45124</v>
      </c>
      <c r="E2619" s="31">
        <v>0</v>
      </c>
      <c r="F2619" s="31">
        <v>100000</v>
      </c>
      <c r="G2619" s="31">
        <v>0</v>
      </c>
      <c r="H2619" s="31">
        <v>0</v>
      </c>
      <c r="I2619" s="31"/>
      <c r="J2619" s="5" t="s">
        <v>2071</v>
      </c>
      <c r="K2619" s="8"/>
    </row>
    <row r="2620" spans="1:11" x14ac:dyDescent="0.2">
      <c r="A2620" s="8">
        <v>2528</v>
      </c>
      <c r="B2620" s="8">
        <f t="shared" si="86"/>
        <v>2023</v>
      </c>
      <c r="C2620" s="8">
        <f t="shared" si="87"/>
        <v>7</v>
      </c>
      <c r="D2620" s="85">
        <v>45124</v>
      </c>
      <c r="E2620" s="31">
        <v>0</v>
      </c>
      <c r="F2620" s="31">
        <v>20000</v>
      </c>
      <c r="G2620" s="31">
        <v>0</v>
      </c>
      <c r="H2620" s="31">
        <v>0</v>
      </c>
      <c r="I2620" s="31"/>
      <c r="J2620" s="5" t="s">
        <v>287</v>
      </c>
      <c r="K2620" s="8"/>
    </row>
    <row r="2621" spans="1:11" x14ac:dyDescent="0.2">
      <c r="A2621" s="8">
        <v>2529</v>
      </c>
      <c r="B2621" s="8">
        <f t="shared" si="86"/>
        <v>2023</v>
      </c>
      <c r="C2621" s="8">
        <f t="shared" si="87"/>
        <v>7</v>
      </c>
      <c r="D2621" s="85">
        <v>45124</v>
      </c>
      <c r="E2621" s="31">
        <v>0</v>
      </c>
      <c r="F2621" s="31">
        <v>20000</v>
      </c>
      <c r="G2621" s="31">
        <v>0</v>
      </c>
      <c r="H2621" s="31">
        <v>0</v>
      </c>
      <c r="I2621" s="31"/>
      <c r="J2621" s="5" t="s">
        <v>175</v>
      </c>
      <c r="K2621" s="8"/>
    </row>
    <row r="2622" spans="1:11" x14ac:dyDescent="0.2">
      <c r="A2622" s="8">
        <v>2530</v>
      </c>
      <c r="B2622" s="8">
        <f t="shared" si="86"/>
        <v>2023</v>
      </c>
      <c r="C2622" s="8">
        <f t="shared" si="87"/>
        <v>7</v>
      </c>
      <c r="D2622" s="85">
        <v>45124</v>
      </c>
      <c r="E2622" s="31">
        <v>300000</v>
      </c>
      <c r="F2622" s="31"/>
      <c r="G2622" s="31">
        <v>0</v>
      </c>
      <c r="H2622" s="31">
        <v>0</v>
      </c>
      <c r="I2622" s="31"/>
      <c r="J2622" s="5" t="s">
        <v>2072</v>
      </c>
      <c r="K2622" s="8"/>
    </row>
    <row r="2623" spans="1:11" x14ac:dyDescent="0.2">
      <c r="A2623" s="8">
        <v>2531</v>
      </c>
      <c r="B2623" s="8">
        <f t="shared" si="86"/>
        <v>2023</v>
      </c>
      <c r="C2623" s="8">
        <f t="shared" si="87"/>
        <v>7</v>
      </c>
      <c r="D2623" s="85">
        <v>45124</v>
      </c>
      <c r="E2623" s="31">
        <v>0</v>
      </c>
      <c r="F2623" s="31">
        <v>45000</v>
      </c>
      <c r="G2623" s="31">
        <v>0</v>
      </c>
      <c r="H2623" s="31">
        <v>0</v>
      </c>
      <c r="I2623" s="31"/>
      <c r="J2623" s="5" t="s">
        <v>2073</v>
      </c>
      <c r="K2623" s="8"/>
    </row>
    <row r="2624" spans="1:11" x14ac:dyDescent="0.2">
      <c r="A2624" s="8">
        <v>2520</v>
      </c>
      <c r="B2624" s="8">
        <f t="shared" si="86"/>
        <v>2023</v>
      </c>
      <c r="C2624" s="8">
        <f t="shared" si="87"/>
        <v>7</v>
      </c>
      <c r="D2624" s="85">
        <v>45125</v>
      </c>
      <c r="E2624" s="31">
        <v>0</v>
      </c>
      <c r="F2624" s="31">
        <v>88000</v>
      </c>
      <c r="G2624" s="31">
        <v>0</v>
      </c>
      <c r="H2624" s="31">
        <v>0</v>
      </c>
      <c r="I2624" s="31"/>
      <c r="J2624" s="5" t="s">
        <v>439</v>
      </c>
      <c r="K2624" s="8"/>
    </row>
    <row r="2625" spans="1:11" x14ac:dyDescent="0.2">
      <c r="A2625" s="8">
        <v>2521</v>
      </c>
      <c r="B2625" s="8">
        <f t="shared" si="86"/>
        <v>2023</v>
      </c>
      <c r="C2625" s="8">
        <f t="shared" si="87"/>
        <v>7</v>
      </c>
      <c r="D2625" s="85">
        <v>45125</v>
      </c>
      <c r="E2625" s="31">
        <v>0</v>
      </c>
      <c r="F2625" s="31">
        <v>4000</v>
      </c>
      <c r="G2625" s="31">
        <v>0</v>
      </c>
      <c r="H2625" s="31">
        <v>0</v>
      </c>
      <c r="I2625" s="31"/>
      <c r="J2625" s="5" t="s">
        <v>287</v>
      </c>
      <c r="K2625" s="8"/>
    </row>
    <row r="2626" spans="1:11" x14ac:dyDescent="0.2">
      <c r="A2626" s="8">
        <v>2514</v>
      </c>
      <c r="B2626" s="8">
        <f t="shared" si="86"/>
        <v>2023</v>
      </c>
      <c r="C2626" s="8">
        <f t="shared" si="87"/>
        <v>7</v>
      </c>
      <c r="D2626" s="85">
        <v>45126</v>
      </c>
      <c r="E2626" s="31">
        <v>0</v>
      </c>
      <c r="F2626" s="31">
        <v>150000</v>
      </c>
      <c r="G2626" s="31">
        <v>0</v>
      </c>
      <c r="H2626" s="31">
        <v>0</v>
      </c>
      <c r="I2626" s="31"/>
      <c r="J2626" s="5" t="s">
        <v>2074</v>
      </c>
      <c r="K2626" s="8"/>
    </row>
    <row r="2627" spans="1:11" x14ac:dyDescent="0.2">
      <c r="A2627" s="8">
        <v>2509</v>
      </c>
      <c r="B2627" s="8">
        <f t="shared" ref="B2627:B2690" si="88">YEAR(D2627)</f>
        <v>2023</v>
      </c>
      <c r="C2627" s="8">
        <f t="shared" ref="C2627:C2690" si="89">MONTH(D2627)</f>
        <v>7</v>
      </c>
      <c r="D2627" s="85">
        <v>45126</v>
      </c>
      <c r="E2627" s="31">
        <v>0</v>
      </c>
      <c r="F2627" s="31">
        <v>100000</v>
      </c>
      <c r="G2627" s="31">
        <v>0</v>
      </c>
      <c r="H2627" s="31">
        <v>0</v>
      </c>
      <c r="I2627" s="31" t="s">
        <v>92</v>
      </c>
      <c r="J2627" s="5" t="s">
        <v>2075</v>
      </c>
      <c r="K2627" s="8"/>
    </row>
    <row r="2628" spans="1:11" x14ac:dyDescent="0.2">
      <c r="A2628" s="8">
        <v>2504</v>
      </c>
      <c r="B2628" s="8">
        <f t="shared" si="88"/>
        <v>2023</v>
      </c>
      <c r="C2628" s="8">
        <f t="shared" si="89"/>
        <v>7</v>
      </c>
      <c r="D2628" s="85">
        <v>45126</v>
      </c>
      <c r="E2628" s="31">
        <v>0</v>
      </c>
      <c r="F2628" s="31">
        <v>50000</v>
      </c>
      <c r="G2628" s="31">
        <v>0</v>
      </c>
      <c r="H2628" s="31">
        <v>0</v>
      </c>
      <c r="I2628" s="31"/>
      <c r="J2628" s="5" t="s">
        <v>2076</v>
      </c>
      <c r="K2628" s="8"/>
    </row>
    <row r="2629" spans="1:11" x14ac:dyDescent="0.2">
      <c r="A2629" s="8">
        <v>2499</v>
      </c>
      <c r="B2629" s="8">
        <f t="shared" si="88"/>
        <v>2023</v>
      </c>
      <c r="C2629" s="8">
        <f t="shared" si="89"/>
        <v>7</v>
      </c>
      <c r="D2629" s="85">
        <v>45127</v>
      </c>
      <c r="E2629" s="31">
        <v>0</v>
      </c>
      <c r="F2629" s="31">
        <v>20000</v>
      </c>
      <c r="G2629" s="31">
        <v>0</v>
      </c>
      <c r="H2629" s="31">
        <v>0</v>
      </c>
      <c r="I2629" s="31"/>
      <c r="J2629" s="5" t="s">
        <v>2001</v>
      </c>
      <c r="K2629" s="8"/>
    </row>
    <row r="2630" spans="1:11" x14ac:dyDescent="0.2">
      <c r="A2630" s="8">
        <v>2494</v>
      </c>
      <c r="B2630" s="8">
        <f t="shared" si="88"/>
        <v>2023</v>
      </c>
      <c r="C2630" s="8">
        <f t="shared" si="89"/>
        <v>7</v>
      </c>
      <c r="D2630" s="85">
        <v>45127</v>
      </c>
      <c r="E2630" s="31">
        <v>0</v>
      </c>
      <c r="F2630" s="31">
        <v>65000</v>
      </c>
      <c r="G2630" s="31">
        <v>0</v>
      </c>
      <c r="H2630" s="31">
        <v>0</v>
      </c>
      <c r="I2630" s="31"/>
      <c r="J2630" s="5" t="s">
        <v>2077</v>
      </c>
      <c r="K2630" s="8"/>
    </row>
    <row r="2631" spans="1:11" x14ac:dyDescent="0.2">
      <c r="A2631" s="8">
        <v>2489</v>
      </c>
      <c r="B2631" s="8">
        <f t="shared" si="88"/>
        <v>2023</v>
      </c>
      <c r="C2631" s="8">
        <f t="shared" si="89"/>
        <v>7</v>
      </c>
      <c r="D2631" s="85">
        <v>45127</v>
      </c>
      <c r="E2631" s="31">
        <v>0</v>
      </c>
      <c r="F2631" s="31">
        <v>20000</v>
      </c>
      <c r="G2631" s="31">
        <v>0</v>
      </c>
      <c r="H2631" s="31">
        <v>0</v>
      </c>
      <c r="I2631" s="31"/>
      <c r="J2631" s="5" t="s">
        <v>120</v>
      </c>
      <c r="K2631" s="8"/>
    </row>
    <row r="2632" spans="1:11" x14ac:dyDescent="0.2">
      <c r="A2632" s="8">
        <v>2484</v>
      </c>
      <c r="B2632" s="8">
        <f t="shared" si="88"/>
        <v>2023</v>
      </c>
      <c r="C2632" s="8">
        <f t="shared" si="89"/>
        <v>7</v>
      </c>
      <c r="D2632" s="85">
        <v>45128</v>
      </c>
      <c r="E2632" s="31">
        <v>0</v>
      </c>
      <c r="F2632" s="31">
        <v>180000</v>
      </c>
      <c r="G2632" s="31">
        <v>0</v>
      </c>
      <c r="H2632" s="31">
        <v>0</v>
      </c>
      <c r="I2632" s="31"/>
      <c r="J2632" s="5" t="s">
        <v>2078</v>
      </c>
      <c r="K2632" s="8"/>
    </row>
    <row r="2633" spans="1:11" x14ac:dyDescent="0.2">
      <c r="A2633" s="8">
        <v>2479</v>
      </c>
      <c r="B2633" s="8">
        <f t="shared" si="88"/>
        <v>2023</v>
      </c>
      <c r="C2633" s="8">
        <f t="shared" si="89"/>
        <v>7</v>
      </c>
      <c r="D2633" s="85">
        <v>45129</v>
      </c>
      <c r="E2633" s="31">
        <v>0</v>
      </c>
      <c r="F2633" s="31">
        <v>280000</v>
      </c>
      <c r="G2633" s="31">
        <v>0</v>
      </c>
      <c r="H2633" s="31">
        <v>0</v>
      </c>
      <c r="I2633" s="31"/>
      <c r="J2633" s="5" t="s">
        <v>2079</v>
      </c>
      <c r="K2633" s="8"/>
    </row>
    <row r="2634" spans="1:11" x14ac:dyDescent="0.2">
      <c r="A2634" s="8">
        <v>2474</v>
      </c>
      <c r="B2634" s="8">
        <f t="shared" si="88"/>
        <v>2023</v>
      </c>
      <c r="C2634" s="8">
        <f t="shared" si="89"/>
        <v>7</v>
      </c>
      <c r="D2634" s="85">
        <v>45129</v>
      </c>
      <c r="E2634" s="31">
        <v>0</v>
      </c>
      <c r="F2634" s="31">
        <v>517000</v>
      </c>
      <c r="G2634" s="31">
        <v>0</v>
      </c>
      <c r="H2634" s="31">
        <v>0</v>
      </c>
      <c r="I2634" s="31" t="s">
        <v>4137</v>
      </c>
      <c r="J2634" s="5" t="s">
        <v>2080</v>
      </c>
      <c r="K2634" s="8"/>
    </row>
    <row r="2635" spans="1:11" x14ac:dyDescent="0.2">
      <c r="A2635" s="8">
        <v>2469</v>
      </c>
      <c r="B2635" s="8">
        <f t="shared" si="88"/>
        <v>2023</v>
      </c>
      <c r="C2635" s="8">
        <f t="shared" si="89"/>
        <v>7</v>
      </c>
      <c r="D2635" s="85">
        <v>45129</v>
      </c>
      <c r="E2635" s="31">
        <v>0</v>
      </c>
      <c r="F2635" s="31">
        <v>200000</v>
      </c>
      <c r="G2635" s="31">
        <v>0</v>
      </c>
      <c r="H2635" s="31">
        <v>0</v>
      </c>
      <c r="I2635" s="31"/>
      <c r="J2635" s="5" t="s">
        <v>2081</v>
      </c>
      <c r="K2635" s="8"/>
    </row>
    <row r="2636" spans="1:11" x14ac:dyDescent="0.2">
      <c r="A2636" s="8">
        <v>2464</v>
      </c>
      <c r="B2636" s="8">
        <f t="shared" si="88"/>
        <v>2023</v>
      </c>
      <c r="C2636" s="8">
        <f t="shared" si="89"/>
        <v>7</v>
      </c>
      <c r="D2636" s="85">
        <v>45130</v>
      </c>
      <c r="E2636" s="31">
        <v>0</v>
      </c>
      <c r="F2636" s="31">
        <v>20000</v>
      </c>
      <c r="G2636" s="31">
        <v>0</v>
      </c>
      <c r="H2636" s="31">
        <v>0</v>
      </c>
      <c r="I2636" s="31"/>
      <c r="J2636" s="5" t="s">
        <v>2082</v>
      </c>
      <c r="K2636" s="8"/>
    </row>
    <row r="2637" spans="1:11" x14ac:dyDescent="0.2">
      <c r="A2637" s="8">
        <v>2459</v>
      </c>
      <c r="B2637" s="8">
        <f t="shared" si="88"/>
        <v>2023</v>
      </c>
      <c r="C2637" s="8">
        <f t="shared" si="89"/>
        <v>7</v>
      </c>
      <c r="D2637" s="85">
        <v>45130</v>
      </c>
      <c r="E2637" s="31">
        <v>0</v>
      </c>
      <c r="F2637" s="31">
        <v>30000</v>
      </c>
      <c r="G2637" s="31">
        <v>0</v>
      </c>
      <c r="H2637" s="31">
        <v>0</v>
      </c>
      <c r="I2637" s="31"/>
      <c r="J2637" s="5" t="s">
        <v>91</v>
      </c>
      <c r="K2637" s="8"/>
    </row>
    <row r="2638" spans="1:11" x14ac:dyDescent="0.2">
      <c r="A2638" s="8">
        <v>2454</v>
      </c>
      <c r="B2638" s="8">
        <f t="shared" si="88"/>
        <v>2023</v>
      </c>
      <c r="C2638" s="8">
        <f t="shared" si="89"/>
        <v>7</v>
      </c>
      <c r="D2638" s="85">
        <v>45130</v>
      </c>
      <c r="E2638" s="31">
        <v>0</v>
      </c>
      <c r="F2638" s="31">
        <v>20000</v>
      </c>
      <c r="G2638" s="31">
        <v>0</v>
      </c>
      <c r="H2638" s="31">
        <v>0</v>
      </c>
      <c r="I2638" s="31"/>
      <c r="J2638" s="5" t="s">
        <v>102</v>
      </c>
      <c r="K2638" s="8"/>
    </row>
    <row r="2639" spans="1:11" x14ac:dyDescent="0.2">
      <c r="A2639" s="8">
        <v>2449</v>
      </c>
      <c r="B2639" s="8">
        <f t="shared" si="88"/>
        <v>2023</v>
      </c>
      <c r="C2639" s="8">
        <f t="shared" si="89"/>
        <v>7</v>
      </c>
      <c r="D2639" s="85">
        <v>45131</v>
      </c>
      <c r="E2639" s="31">
        <v>0</v>
      </c>
      <c r="F2639" s="31">
        <v>65000</v>
      </c>
      <c r="G2639" s="31">
        <v>0</v>
      </c>
      <c r="H2639" s="31">
        <v>0</v>
      </c>
      <c r="I2639" s="31"/>
      <c r="J2639" s="5" t="s">
        <v>2083</v>
      </c>
      <c r="K2639" s="8"/>
    </row>
    <row r="2640" spans="1:11" x14ac:dyDescent="0.2">
      <c r="A2640" s="8">
        <v>2444</v>
      </c>
      <c r="B2640" s="8">
        <f t="shared" si="88"/>
        <v>2023</v>
      </c>
      <c r="C2640" s="8">
        <f t="shared" si="89"/>
        <v>7</v>
      </c>
      <c r="D2640" s="85">
        <v>45131</v>
      </c>
      <c r="E2640" s="31">
        <v>0</v>
      </c>
      <c r="F2640" s="31">
        <v>100000</v>
      </c>
      <c r="G2640" s="31">
        <v>0</v>
      </c>
      <c r="H2640" s="31">
        <v>0</v>
      </c>
      <c r="I2640" s="31"/>
      <c r="J2640" s="5" t="s">
        <v>2084</v>
      </c>
      <c r="K2640" s="8"/>
    </row>
    <row r="2641" spans="1:11" x14ac:dyDescent="0.2">
      <c r="A2641" s="8">
        <v>2439</v>
      </c>
      <c r="B2641" s="8">
        <f t="shared" si="88"/>
        <v>2023</v>
      </c>
      <c r="C2641" s="8">
        <f t="shared" si="89"/>
        <v>7</v>
      </c>
      <c r="D2641" s="85">
        <v>45131</v>
      </c>
      <c r="E2641" s="31">
        <v>0</v>
      </c>
      <c r="F2641" s="31">
        <v>140000</v>
      </c>
      <c r="G2641" s="31">
        <v>0</v>
      </c>
      <c r="H2641" s="31">
        <v>0</v>
      </c>
      <c r="I2641" s="31"/>
      <c r="J2641" s="5" t="s">
        <v>1224</v>
      </c>
      <c r="K2641" s="8"/>
    </row>
    <row r="2642" spans="1:11" x14ac:dyDescent="0.2">
      <c r="A2642" s="8">
        <v>2434</v>
      </c>
      <c r="B2642" s="8">
        <f t="shared" si="88"/>
        <v>2023</v>
      </c>
      <c r="C2642" s="8">
        <f t="shared" si="89"/>
        <v>7</v>
      </c>
      <c r="D2642" s="85">
        <v>45131</v>
      </c>
      <c r="E2642" s="31">
        <v>0</v>
      </c>
      <c r="F2642" s="31">
        <v>20000</v>
      </c>
      <c r="G2642" s="31">
        <v>0</v>
      </c>
      <c r="H2642" s="31">
        <v>0</v>
      </c>
      <c r="I2642" s="31"/>
      <c r="J2642" s="5" t="s">
        <v>2085</v>
      </c>
      <c r="K2642" s="8"/>
    </row>
    <row r="2643" spans="1:11" x14ac:dyDescent="0.2">
      <c r="A2643" s="8">
        <v>2429</v>
      </c>
      <c r="B2643" s="8">
        <f t="shared" si="88"/>
        <v>2023</v>
      </c>
      <c r="C2643" s="8">
        <f t="shared" si="89"/>
        <v>7</v>
      </c>
      <c r="D2643" s="85">
        <v>45132</v>
      </c>
      <c r="E2643" s="31">
        <v>0</v>
      </c>
      <c r="F2643" s="31">
        <v>50000</v>
      </c>
      <c r="G2643" s="31">
        <v>0</v>
      </c>
      <c r="H2643" s="31">
        <v>0</v>
      </c>
      <c r="I2643" s="31"/>
      <c r="J2643" s="5" t="s">
        <v>287</v>
      </c>
      <c r="K2643" s="8"/>
    </row>
    <row r="2644" spans="1:11" x14ac:dyDescent="0.2">
      <c r="A2644" s="8">
        <v>2424</v>
      </c>
      <c r="B2644" s="8">
        <f t="shared" si="88"/>
        <v>2023</v>
      </c>
      <c r="C2644" s="8">
        <f t="shared" si="89"/>
        <v>7</v>
      </c>
      <c r="D2644" s="85">
        <v>45133</v>
      </c>
      <c r="E2644" s="31">
        <v>0</v>
      </c>
      <c r="F2644" s="31">
        <v>50000</v>
      </c>
      <c r="G2644" s="31">
        <v>0</v>
      </c>
      <c r="H2644" s="31">
        <v>0</v>
      </c>
      <c r="I2644" s="31"/>
      <c r="J2644" s="5" t="s">
        <v>287</v>
      </c>
      <c r="K2644" s="8"/>
    </row>
    <row r="2645" spans="1:11" x14ac:dyDescent="0.2">
      <c r="A2645" s="8">
        <v>2419</v>
      </c>
      <c r="B2645" s="8">
        <f t="shared" si="88"/>
        <v>2023</v>
      </c>
      <c r="C2645" s="8">
        <f t="shared" si="89"/>
        <v>7</v>
      </c>
      <c r="D2645" s="85">
        <v>45134</v>
      </c>
      <c r="E2645" s="31">
        <v>0</v>
      </c>
      <c r="F2645" s="31">
        <v>120000</v>
      </c>
      <c r="G2645" s="31">
        <v>0</v>
      </c>
      <c r="H2645" s="31">
        <v>0</v>
      </c>
      <c r="I2645" s="31"/>
      <c r="J2645" s="5" t="s">
        <v>2086</v>
      </c>
      <c r="K2645" s="8"/>
    </row>
    <row r="2646" spans="1:11" x14ac:dyDescent="0.2">
      <c r="A2646" s="8">
        <v>2414</v>
      </c>
      <c r="B2646" s="8">
        <f t="shared" si="88"/>
        <v>2023</v>
      </c>
      <c r="C2646" s="8">
        <f t="shared" si="89"/>
        <v>7</v>
      </c>
      <c r="D2646" s="85">
        <v>45135</v>
      </c>
      <c r="E2646" s="31">
        <v>0</v>
      </c>
      <c r="F2646" s="31">
        <v>15000</v>
      </c>
      <c r="G2646" s="31">
        <v>0</v>
      </c>
      <c r="H2646" s="31">
        <v>0</v>
      </c>
      <c r="I2646" s="31"/>
      <c r="J2646" s="5" t="s">
        <v>91</v>
      </c>
      <c r="K2646" s="8"/>
    </row>
    <row r="2647" spans="1:11" x14ac:dyDescent="0.2">
      <c r="A2647" s="8">
        <v>2409</v>
      </c>
      <c r="B2647" s="8">
        <f t="shared" si="88"/>
        <v>2023</v>
      </c>
      <c r="C2647" s="8">
        <f t="shared" si="89"/>
        <v>7</v>
      </c>
      <c r="D2647" s="85">
        <v>45135</v>
      </c>
      <c r="E2647" s="31">
        <v>0</v>
      </c>
      <c r="F2647" s="31">
        <v>50000</v>
      </c>
      <c r="G2647" s="31">
        <v>0</v>
      </c>
      <c r="H2647" s="31">
        <v>0</v>
      </c>
      <c r="I2647" s="31"/>
      <c r="J2647" s="5" t="s">
        <v>1245</v>
      </c>
      <c r="K2647" s="8"/>
    </row>
    <row r="2648" spans="1:11" x14ac:dyDescent="0.2">
      <c r="A2648" s="8">
        <v>2404</v>
      </c>
      <c r="B2648" s="8">
        <f t="shared" si="88"/>
        <v>2023</v>
      </c>
      <c r="C2648" s="8">
        <f t="shared" si="89"/>
        <v>7</v>
      </c>
      <c r="D2648" s="85">
        <v>45136</v>
      </c>
      <c r="E2648" s="31">
        <v>0</v>
      </c>
      <c r="F2648" s="31">
        <v>100000</v>
      </c>
      <c r="G2648" s="31">
        <v>0</v>
      </c>
      <c r="H2648" s="31">
        <v>0</v>
      </c>
      <c r="I2648" s="31"/>
      <c r="J2648" s="5" t="s">
        <v>2081</v>
      </c>
      <c r="K2648" s="8"/>
    </row>
    <row r="2649" spans="1:11" x14ac:dyDescent="0.2">
      <c r="A2649" s="8">
        <v>2464</v>
      </c>
      <c r="B2649" s="8">
        <f t="shared" si="88"/>
        <v>2023</v>
      </c>
      <c r="C2649" s="8">
        <f t="shared" si="89"/>
        <v>7</v>
      </c>
      <c r="D2649" s="85">
        <v>45137</v>
      </c>
      <c r="E2649" s="31">
        <v>0</v>
      </c>
      <c r="F2649" s="31">
        <v>50000</v>
      </c>
      <c r="G2649" s="31">
        <v>0</v>
      </c>
      <c r="H2649" s="31">
        <v>0</v>
      </c>
      <c r="I2649" s="31"/>
      <c r="J2649" s="5" t="s">
        <v>2087</v>
      </c>
      <c r="K2649" s="8"/>
    </row>
    <row r="2650" spans="1:11" x14ac:dyDescent="0.2">
      <c r="A2650" s="8">
        <v>2459</v>
      </c>
      <c r="B2650" s="8">
        <f t="shared" si="88"/>
        <v>2023</v>
      </c>
      <c r="C2650" s="8">
        <f t="shared" si="89"/>
        <v>7</v>
      </c>
      <c r="D2650" s="85">
        <v>45138</v>
      </c>
      <c r="E2650" s="31">
        <v>0</v>
      </c>
      <c r="F2650" s="31">
        <v>50000</v>
      </c>
      <c r="G2650" s="31">
        <v>0</v>
      </c>
      <c r="H2650" s="31">
        <v>0</v>
      </c>
      <c r="I2650" s="31"/>
      <c r="J2650" s="5" t="s">
        <v>287</v>
      </c>
      <c r="K2650" s="8"/>
    </row>
    <row r="2651" spans="1:11" x14ac:dyDescent="0.2">
      <c r="A2651" s="8">
        <v>2454</v>
      </c>
      <c r="B2651" s="8">
        <f t="shared" si="88"/>
        <v>2023</v>
      </c>
      <c r="C2651" s="8">
        <f t="shared" si="89"/>
        <v>7</v>
      </c>
      <c r="D2651" s="85">
        <v>45138</v>
      </c>
      <c r="E2651" s="31">
        <v>70000</v>
      </c>
      <c r="F2651" s="31">
        <v>0</v>
      </c>
      <c r="G2651" s="31">
        <v>0</v>
      </c>
      <c r="H2651" s="31">
        <v>0</v>
      </c>
      <c r="I2651" s="31"/>
      <c r="J2651" s="5" t="s">
        <v>2088</v>
      </c>
      <c r="K2651" s="8"/>
    </row>
    <row r="2652" spans="1:11" x14ac:dyDescent="0.2">
      <c r="A2652" s="8">
        <v>2449</v>
      </c>
      <c r="B2652" s="8">
        <f t="shared" si="88"/>
        <v>2023</v>
      </c>
      <c r="C2652" s="8">
        <f t="shared" si="89"/>
        <v>7</v>
      </c>
      <c r="D2652" s="85">
        <v>45138</v>
      </c>
      <c r="E2652" s="31">
        <v>0</v>
      </c>
      <c r="F2652" s="31">
        <v>50000</v>
      </c>
      <c r="G2652" s="31">
        <v>0</v>
      </c>
      <c r="H2652" s="31">
        <v>0</v>
      </c>
      <c r="I2652" s="31"/>
      <c r="J2652" s="5" t="s">
        <v>299</v>
      </c>
      <c r="K2652" s="8"/>
    </row>
    <row r="2653" spans="1:11" x14ac:dyDescent="0.2">
      <c r="A2653" s="8">
        <v>2444</v>
      </c>
      <c r="B2653" s="8">
        <f t="shared" si="88"/>
        <v>2023</v>
      </c>
      <c r="C2653" s="8">
        <f t="shared" si="89"/>
        <v>7</v>
      </c>
      <c r="D2653" s="85">
        <v>45138</v>
      </c>
      <c r="E2653" s="31">
        <v>0</v>
      </c>
      <c r="F2653" s="31">
        <v>10000</v>
      </c>
      <c r="G2653" s="31">
        <v>0</v>
      </c>
      <c r="H2653" s="31">
        <v>0</v>
      </c>
      <c r="I2653" s="31"/>
      <c r="J2653" s="5" t="s">
        <v>89</v>
      </c>
      <c r="K2653" s="8"/>
    </row>
    <row r="2654" spans="1:11" x14ac:dyDescent="0.2">
      <c r="A2654" s="8">
        <v>2439</v>
      </c>
      <c r="B2654" s="8">
        <f t="shared" si="88"/>
        <v>2023</v>
      </c>
      <c r="C2654" s="8">
        <f t="shared" si="89"/>
        <v>7</v>
      </c>
      <c r="D2654" s="85">
        <v>45138</v>
      </c>
      <c r="E2654" s="31">
        <v>0</v>
      </c>
      <c r="F2654" s="31">
        <v>20000</v>
      </c>
      <c r="G2654" s="31">
        <v>0</v>
      </c>
      <c r="H2654" s="31">
        <v>0</v>
      </c>
      <c r="I2654" s="31"/>
      <c r="J2654" s="5" t="s">
        <v>1272</v>
      </c>
      <c r="K2654" s="8"/>
    </row>
    <row r="2655" spans="1:11" x14ac:dyDescent="0.2">
      <c r="A2655" s="8">
        <v>2434</v>
      </c>
      <c r="B2655" s="8">
        <f t="shared" si="88"/>
        <v>2023</v>
      </c>
      <c r="C2655" s="8">
        <f t="shared" si="89"/>
        <v>7</v>
      </c>
      <c r="D2655" s="85">
        <v>45138</v>
      </c>
      <c r="E2655" s="31">
        <v>0</v>
      </c>
      <c r="F2655" s="31">
        <v>30000</v>
      </c>
      <c r="G2655" s="31">
        <v>0</v>
      </c>
      <c r="H2655" s="31">
        <v>0</v>
      </c>
      <c r="I2655" s="31"/>
      <c r="J2655" s="5" t="s">
        <v>2089</v>
      </c>
      <c r="K2655" s="8"/>
    </row>
    <row r="2656" spans="1:11" x14ac:dyDescent="0.2">
      <c r="A2656" s="8">
        <v>2429</v>
      </c>
      <c r="B2656" s="8">
        <f t="shared" si="88"/>
        <v>2023</v>
      </c>
      <c r="C2656" s="8">
        <f t="shared" si="89"/>
        <v>8</v>
      </c>
      <c r="D2656" s="85">
        <v>45139</v>
      </c>
      <c r="E2656" s="31">
        <v>0</v>
      </c>
      <c r="F2656" s="31">
        <v>10000</v>
      </c>
      <c r="G2656" s="31">
        <v>0</v>
      </c>
      <c r="H2656" s="31">
        <v>0</v>
      </c>
      <c r="I2656" s="31"/>
      <c r="J2656" s="5" t="s">
        <v>2001</v>
      </c>
      <c r="K2656" s="8"/>
    </row>
    <row r="2657" spans="1:11" x14ac:dyDescent="0.2">
      <c r="A2657" s="8">
        <v>2424</v>
      </c>
      <c r="B2657" s="8">
        <f t="shared" si="88"/>
        <v>2023</v>
      </c>
      <c r="C2657" s="8">
        <f t="shared" si="89"/>
        <v>8</v>
      </c>
      <c r="D2657" s="85">
        <v>45139</v>
      </c>
      <c r="E2657" s="31">
        <v>0</v>
      </c>
      <c r="F2657" s="31">
        <v>30000</v>
      </c>
      <c r="G2657" s="31">
        <v>0</v>
      </c>
      <c r="H2657" s="31">
        <v>0</v>
      </c>
      <c r="I2657" s="31"/>
      <c r="J2657" s="5" t="s">
        <v>946</v>
      </c>
      <c r="K2657" s="8"/>
    </row>
    <row r="2658" spans="1:11" x14ac:dyDescent="0.2">
      <c r="A2658" s="8">
        <v>2419</v>
      </c>
      <c r="B2658" s="8">
        <f t="shared" si="88"/>
        <v>2023</v>
      </c>
      <c r="C2658" s="8">
        <f t="shared" si="89"/>
        <v>8</v>
      </c>
      <c r="D2658" s="85">
        <v>45139</v>
      </c>
      <c r="E2658" s="31">
        <v>0</v>
      </c>
      <c r="F2658" s="31">
        <v>100000</v>
      </c>
      <c r="G2658" s="31">
        <v>0</v>
      </c>
      <c r="H2658" s="31">
        <v>0</v>
      </c>
      <c r="I2658" s="31"/>
      <c r="J2658" s="5" t="s">
        <v>2090</v>
      </c>
      <c r="K2658" s="8"/>
    </row>
    <row r="2659" spans="1:11" x14ac:dyDescent="0.2">
      <c r="A2659" s="8">
        <v>2414</v>
      </c>
      <c r="B2659" s="8">
        <f t="shared" si="88"/>
        <v>2023</v>
      </c>
      <c r="C2659" s="8">
        <f t="shared" si="89"/>
        <v>8</v>
      </c>
      <c r="D2659" s="85">
        <v>45139</v>
      </c>
      <c r="E2659" s="31">
        <v>0</v>
      </c>
      <c r="F2659" s="31">
        <v>10000</v>
      </c>
      <c r="G2659" s="31">
        <v>0</v>
      </c>
      <c r="H2659" s="31">
        <v>0</v>
      </c>
      <c r="I2659" s="31"/>
      <c r="J2659" s="5" t="s">
        <v>244</v>
      </c>
      <c r="K2659" s="8"/>
    </row>
    <row r="2660" spans="1:11" x14ac:dyDescent="0.2">
      <c r="A2660" s="8">
        <v>2414</v>
      </c>
      <c r="B2660" s="8">
        <f t="shared" si="88"/>
        <v>2023</v>
      </c>
      <c r="C2660" s="8">
        <f t="shared" si="89"/>
        <v>8</v>
      </c>
      <c r="D2660" s="85">
        <v>45139</v>
      </c>
      <c r="E2660" s="31">
        <v>840000</v>
      </c>
      <c r="F2660" s="31">
        <v>0</v>
      </c>
      <c r="G2660" s="31">
        <v>0</v>
      </c>
      <c r="H2660" s="31">
        <v>0</v>
      </c>
      <c r="I2660" s="31"/>
      <c r="J2660" s="5" t="s">
        <v>2091</v>
      </c>
      <c r="K2660" s="8"/>
    </row>
    <row r="2661" spans="1:11" x14ac:dyDescent="0.2">
      <c r="A2661" s="8">
        <v>2409</v>
      </c>
      <c r="B2661" s="8">
        <f t="shared" si="88"/>
        <v>2023</v>
      </c>
      <c r="C2661" s="8">
        <f t="shared" si="89"/>
        <v>8</v>
      </c>
      <c r="D2661" s="85">
        <v>45139</v>
      </c>
      <c r="E2661" s="31">
        <v>0</v>
      </c>
      <c r="F2661" s="31">
        <v>25000</v>
      </c>
      <c r="G2661" s="31">
        <v>0</v>
      </c>
      <c r="H2661" s="31">
        <v>0</v>
      </c>
      <c r="I2661" s="31"/>
      <c r="J2661" s="5" t="s">
        <v>90</v>
      </c>
      <c r="K2661" s="8"/>
    </row>
    <row r="2662" spans="1:11" x14ac:dyDescent="0.2">
      <c r="A2662" s="8">
        <v>2404</v>
      </c>
      <c r="B2662" s="8">
        <f t="shared" si="88"/>
        <v>2023</v>
      </c>
      <c r="C2662" s="8">
        <f t="shared" si="89"/>
        <v>8</v>
      </c>
      <c r="D2662" s="85">
        <v>45139</v>
      </c>
      <c r="E2662" s="31">
        <v>0</v>
      </c>
      <c r="F2662" s="31">
        <v>10000</v>
      </c>
      <c r="G2662" s="31">
        <v>0</v>
      </c>
      <c r="H2662" s="31">
        <v>0</v>
      </c>
      <c r="I2662" s="31"/>
      <c r="J2662" s="5" t="s">
        <v>2092</v>
      </c>
      <c r="K2662" s="8"/>
    </row>
    <row r="2663" spans="1:11" x14ac:dyDescent="0.2">
      <c r="A2663" s="8">
        <v>2399</v>
      </c>
      <c r="B2663" s="8">
        <f t="shared" si="88"/>
        <v>2023</v>
      </c>
      <c r="C2663" s="8">
        <f t="shared" si="89"/>
        <v>8</v>
      </c>
      <c r="D2663" s="85">
        <v>45140</v>
      </c>
      <c r="E2663" s="31">
        <v>0</v>
      </c>
      <c r="F2663" s="31">
        <v>50000</v>
      </c>
      <c r="G2663" s="31">
        <v>0</v>
      </c>
      <c r="H2663" s="31">
        <v>0</v>
      </c>
      <c r="I2663" s="31"/>
      <c r="J2663" s="5" t="s">
        <v>2093</v>
      </c>
      <c r="K2663" s="8"/>
    </row>
    <row r="2664" spans="1:11" x14ac:dyDescent="0.2">
      <c r="A2664" s="8">
        <v>2394</v>
      </c>
      <c r="B2664" s="8">
        <f t="shared" si="88"/>
        <v>2023</v>
      </c>
      <c r="C2664" s="8">
        <f t="shared" si="89"/>
        <v>8</v>
      </c>
      <c r="D2664" s="85">
        <v>45141</v>
      </c>
      <c r="E2664" s="31">
        <v>0</v>
      </c>
      <c r="F2664" s="31">
        <v>111000</v>
      </c>
      <c r="G2664" s="31">
        <v>0</v>
      </c>
      <c r="H2664" s="31">
        <v>0</v>
      </c>
      <c r="I2664" s="31"/>
      <c r="J2664" s="5" t="s">
        <v>2094</v>
      </c>
      <c r="K2664" s="8"/>
    </row>
    <row r="2665" spans="1:11" x14ac:dyDescent="0.2">
      <c r="A2665" s="8">
        <v>2389</v>
      </c>
      <c r="B2665" s="8">
        <f t="shared" si="88"/>
        <v>2023</v>
      </c>
      <c r="C2665" s="8">
        <f t="shared" si="89"/>
        <v>8</v>
      </c>
      <c r="D2665" s="85">
        <v>45142</v>
      </c>
      <c r="E2665" s="31">
        <v>0</v>
      </c>
      <c r="F2665" s="31">
        <v>150000</v>
      </c>
      <c r="G2665" s="31">
        <v>0</v>
      </c>
      <c r="H2665" s="31">
        <v>0</v>
      </c>
      <c r="I2665" s="31"/>
      <c r="J2665" s="5" t="s">
        <v>439</v>
      </c>
      <c r="K2665" s="8"/>
    </row>
    <row r="2666" spans="1:11" x14ac:dyDescent="0.2">
      <c r="A2666" s="8">
        <v>2384</v>
      </c>
      <c r="B2666" s="8">
        <f t="shared" si="88"/>
        <v>2023</v>
      </c>
      <c r="C2666" s="8">
        <f t="shared" si="89"/>
        <v>8</v>
      </c>
      <c r="D2666" s="85">
        <v>45142</v>
      </c>
      <c r="E2666" s="31">
        <v>0</v>
      </c>
      <c r="F2666" s="31">
        <v>30000</v>
      </c>
      <c r="G2666" s="31">
        <v>0</v>
      </c>
      <c r="H2666" s="31">
        <v>0</v>
      </c>
      <c r="I2666" s="31"/>
      <c r="J2666" s="5" t="s">
        <v>356</v>
      </c>
      <c r="K2666" s="8"/>
    </row>
    <row r="2667" spans="1:11" x14ac:dyDescent="0.2">
      <c r="A2667" s="8">
        <v>2379</v>
      </c>
      <c r="B2667" s="8">
        <f t="shared" si="88"/>
        <v>2023</v>
      </c>
      <c r="C2667" s="8">
        <f t="shared" si="89"/>
        <v>8</v>
      </c>
      <c r="D2667" s="85">
        <v>45143</v>
      </c>
      <c r="E2667" s="31">
        <v>0</v>
      </c>
      <c r="F2667" s="31">
        <v>20000</v>
      </c>
      <c r="G2667" s="31">
        <v>0</v>
      </c>
      <c r="H2667" s="31">
        <v>0</v>
      </c>
      <c r="I2667" s="31"/>
      <c r="J2667" s="5" t="s">
        <v>91</v>
      </c>
      <c r="K2667" s="8"/>
    </row>
    <row r="2668" spans="1:11" x14ac:dyDescent="0.2">
      <c r="A2668" s="8">
        <v>2374</v>
      </c>
      <c r="B2668" s="8">
        <f t="shared" si="88"/>
        <v>2023</v>
      </c>
      <c r="C2668" s="8">
        <f t="shared" si="89"/>
        <v>8</v>
      </c>
      <c r="D2668" s="85">
        <v>45143</v>
      </c>
      <c r="E2668" s="31">
        <v>0</v>
      </c>
      <c r="F2668" s="31">
        <v>20000</v>
      </c>
      <c r="G2668" s="31">
        <v>0</v>
      </c>
      <c r="H2668" s="31">
        <v>0</v>
      </c>
      <c r="I2668" s="31"/>
      <c r="J2668" s="5" t="s">
        <v>89</v>
      </c>
      <c r="K2668" s="8"/>
    </row>
    <row r="2669" spans="1:11" x14ac:dyDescent="0.2">
      <c r="A2669" s="8">
        <v>2369</v>
      </c>
      <c r="B2669" s="8">
        <f t="shared" si="88"/>
        <v>2023</v>
      </c>
      <c r="C2669" s="8">
        <f t="shared" si="89"/>
        <v>8</v>
      </c>
      <c r="D2669" s="85">
        <v>45143</v>
      </c>
      <c r="E2669" s="31">
        <v>0</v>
      </c>
      <c r="F2669" s="31">
        <v>170000</v>
      </c>
      <c r="G2669" s="31">
        <v>0</v>
      </c>
      <c r="H2669" s="31">
        <v>0</v>
      </c>
      <c r="I2669" s="31"/>
      <c r="J2669" s="5" t="s">
        <v>2095</v>
      </c>
      <c r="K2669" s="8"/>
    </row>
    <row r="2670" spans="1:11" x14ac:dyDescent="0.2">
      <c r="A2670" s="8">
        <v>2364</v>
      </c>
      <c r="B2670" s="8">
        <f t="shared" si="88"/>
        <v>2023</v>
      </c>
      <c r="C2670" s="8">
        <f t="shared" si="89"/>
        <v>8</v>
      </c>
      <c r="D2670" s="85">
        <v>45143</v>
      </c>
      <c r="E2670" s="31">
        <v>0</v>
      </c>
      <c r="F2670" s="31">
        <v>10000</v>
      </c>
      <c r="G2670" s="31">
        <v>0</v>
      </c>
      <c r="H2670" s="31">
        <v>0</v>
      </c>
      <c r="I2670" s="31"/>
      <c r="J2670" s="5" t="s">
        <v>1272</v>
      </c>
      <c r="K2670" s="8"/>
    </row>
    <row r="2671" spans="1:11" x14ac:dyDescent="0.2">
      <c r="A2671" s="8">
        <v>2359</v>
      </c>
      <c r="B2671" s="8">
        <f t="shared" si="88"/>
        <v>2023</v>
      </c>
      <c r="C2671" s="8">
        <f t="shared" si="89"/>
        <v>8</v>
      </c>
      <c r="D2671" s="85">
        <v>45144</v>
      </c>
      <c r="E2671" s="31">
        <v>0</v>
      </c>
      <c r="F2671" s="31">
        <v>50000</v>
      </c>
      <c r="G2671" s="31">
        <v>0</v>
      </c>
      <c r="H2671" s="31">
        <v>0</v>
      </c>
      <c r="I2671" s="31"/>
      <c r="J2671" s="5" t="s">
        <v>287</v>
      </c>
      <c r="K2671" s="8"/>
    </row>
    <row r="2672" spans="1:11" x14ac:dyDescent="0.2">
      <c r="A2672" s="8">
        <v>2354</v>
      </c>
      <c r="B2672" s="8">
        <f t="shared" si="88"/>
        <v>2023</v>
      </c>
      <c r="C2672" s="8">
        <f t="shared" si="89"/>
        <v>8</v>
      </c>
      <c r="D2672" s="85">
        <v>45145</v>
      </c>
      <c r="E2672" s="31">
        <v>0</v>
      </c>
      <c r="F2672" s="31">
        <v>50000</v>
      </c>
      <c r="G2672" s="31">
        <v>0</v>
      </c>
      <c r="H2672" s="31">
        <v>0</v>
      </c>
      <c r="I2672" s="31"/>
      <c r="J2672" s="5" t="s">
        <v>2055</v>
      </c>
      <c r="K2672" s="8"/>
    </row>
    <row r="2673" spans="1:11" x14ac:dyDescent="0.2">
      <c r="A2673" s="8">
        <v>2424</v>
      </c>
      <c r="B2673" s="8">
        <f t="shared" si="88"/>
        <v>2023</v>
      </c>
      <c r="C2673" s="8">
        <f t="shared" si="89"/>
        <v>8</v>
      </c>
      <c r="D2673" s="85">
        <v>45145</v>
      </c>
      <c r="E2673" s="31">
        <v>0</v>
      </c>
      <c r="F2673" s="31">
        <v>45000</v>
      </c>
      <c r="G2673" s="31">
        <v>0</v>
      </c>
      <c r="H2673" s="31">
        <v>0</v>
      </c>
      <c r="I2673" s="31"/>
      <c r="J2673" s="5" t="s">
        <v>2096</v>
      </c>
      <c r="K2673" s="8"/>
    </row>
    <row r="2674" spans="1:11" x14ac:dyDescent="0.2">
      <c r="A2674" s="8">
        <v>2419</v>
      </c>
      <c r="B2674" s="8">
        <f t="shared" si="88"/>
        <v>2023</v>
      </c>
      <c r="C2674" s="8">
        <f t="shared" si="89"/>
        <v>8</v>
      </c>
      <c r="D2674" s="85">
        <v>45146</v>
      </c>
      <c r="E2674" s="31">
        <v>0</v>
      </c>
      <c r="F2674" s="31">
        <v>25000</v>
      </c>
      <c r="G2674" s="31">
        <v>0</v>
      </c>
      <c r="H2674" s="31">
        <v>0</v>
      </c>
      <c r="I2674" s="31"/>
      <c r="J2674" s="5" t="s">
        <v>2097</v>
      </c>
      <c r="K2674" s="8"/>
    </row>
    <row r="2675" spans="1:11" x14ac:dyDescent="0.2">
      <c r="A2675" s="8">
        <v>2414</v>
      </c>
      <c r="B2675" s="8">
        <f t="shared" si="88"/>
        <v>2023</v>
      </c>
      <c r="C2675" s="8">
        <f t="shared" si="89"/>
        <v>8</v>
      </c>
      <c r="D2675" s="85">
        <v>45146</v>
      </c>
      <c r="E2675" s="31">
        <v>0</v>
      </c>
      <c r="F2675" s="31">
        <v>32000</v>
      </c>
      <c r="G2675" s="31">
        <v>0</v>
      </c>
      <c r="H2675" s="31">
        <v>0</v>
      </c>
      <c r="I2675" s="31"/>
      <c r="J2675" s="5" t="s">
        <v>2097</v>
      </c>
      <c r="K2675" s="8"/>
    </row>
    <row r="2676" spans="1:11" x14ac:dyDescent="0.2">
      <c r="A2676" s="8">
        <v>2409</v>
      </c>
      <c r="B2676" s="8">
        <f t="shared" si="88"/>
        <v>2023</v>
      </c>
      <c r="C2676" s="8">
        <f t="shared" si="89"/>
        <v>8</v>
      </c>
      <c r="D2676" s="85">
        <v>45146</v>
      </c>
      <c r="E2676" s="31">
        <v>0</v>
      </c>
      <c r="F2676" s="31">
        <v>70000</v>
      </c>
      <c r="G2676" s="31">
        <v>0</v>
      </c>
      <c r="H2676" s="31">
        <v>0</v>
      </c>
      <c r="I2676" s="31"/>
      <c r="J2676" s="5" t="s">
        <v>91</v>
      </c>
      <c r="K2676" s="8"/>
    </row>
    <row r="2677" spans="1:11" x14ac:dyDescent="0.2">
      <c r="A2677" s="8">
        <v>2404</v>
      </c>
      <c r="B2677" s="8">
        <f t="shared" si="88"/>
        <v>2023</v>
      </c>
      <c r="C2677" s="8">
        <f t="shared" si="89"/>
        <v>8</v>
      </c>
      <c r="D2677" s="85">
        <v>45147</v>
      </c>
      <c r="E2677" s="31">
        <v>0</v>
      </c>
      <c r="F2677" s="31">
        <v>90000</v>
      </c>
      <c r="G2677" s="31">
        <v>0</v>
      </c>
      <c r="H2677" s="31">
        <v>0</v>
      </c>
      <c r="I2677" s="31"/>
      <c r="J2677" s="5" t="s">
        <v>2098</v>
      </c>
      <c r="K2677" s="8"/>
    </row>
    <row r="2678" spans="1:11" x14ac:dyDescent="0.2">
      <c r="A2678" s="8">
        <v>2399</v>
      </c>
      <c r="B2678" s="8">
        <f t="shared" si="88"/>
        <v>2023</v>
      </c>
      <c r="C2678" s="8">
        <f t="shared" si="89"/>
        <v>8</v>
      </c>
      <c r="D2678" s="85">
        <v>45147</v>
      </c>
      <c r="E2678" s="31">
        <v>0</v>
      </c>
      <c r="F2678" s="31">
        <v>15000</v>
      </c>
      <c r="G2678" s="31">
        <v>0</v>
      </c>
      <c r="H2678" s="31">
        <v>0</v>
      </c>
      <c r="I2678" s="31"/>
      <c r="J2678" s="5" t="s">
        <v>2099</v>
      </c>
      <c r="K2678" s="8"/>
    </row>
    <row r="2679" spans="1:11" x14ac:dyDescent="0.2">
      <c r="A2679" s="8">
        <v>2394</v>
      </c>
      <c r="B2679" s="8">
        <f t="shared" si="88"/>
        <v>2023</v>
      </c>
      <c r="C2679" s="8">
        <f t="shared" si="89"/>
        <v>8</v>
      </c>
      <c r="D2679" s="85">
        <v>45147</v>
      </c>
      <c r="E2679" s="31">
        <v>0</v>
      </c>
      <c r="F2679" s="31">
        <v>20000</v>
      </c>
      <c r="G2679" s="31">
        <v>0</v>
      </c>
      <c r="H2679" s="31">
        <v>0</v>
      </c>
      <c r="I2679" s="31"/>
      <c r="J2679" s="5" t="s">
        <v>2100</v>
      </c>
      <c r="K2679" s="8"/>
    </row>
    <row r="2680" spans="1:11" x14ac:dyDescent="0.2">
      <c r="A2680" s="8">
        <v>2389</v>
      </c>
      <c r="B2680" s="8">
        <f t="shared" si="88"/>
        <v>2023</v>
      </c>
      <c r="C2680" s="8">
        <f t="shared" si="89"/>
        <v>8</v>
      </c>
      <c r="D2680" s="85">
        <v>45147</v>
      </c>
      <c r="E2680" s="31">
        <v>0</v>
      </c>
      <c r="F2680" s="31">
        <v>15000</v>
      </c>
      <c r="G2680" s="31">
        <v>0</v>
      </c>
      <c r="H2680" s="31">
        <v>0</v>
      </c>
      <c r="I2680" s="31"/>
      <c r="J2680" s="5" t="s">
        <v>91</v>
      </c>
      <c r="K2680" s="8"/>
    </row>
    <row r="2681" spans="1:11" x14ac:dyDescent="0.2">
      <c r="A2681" s="8">
        <v>2384</v>
      </c>
      <c r="B2681" s="8">
        <f t="shared" si="88"/>
        <v>2023</v>
      </c>
      <c r="C2681" s="8">
        <f t="shared" si="89"/>
        <v>8</v>
      </c>
      <c r="D2681" s="85">
        <v>45147</v>
      </c>
      <c r="E2681" s="31">
        <v>0</v>
      </c>
      <c r="F2681" s="31">
        <v>25000</v>
      </c>
      <c r="G2681" s="31">
        <v>0</v>
      </c>
      <c r="H2681" s="31">
        <v>0</v>
      </c>
      <c r="I2681" s="31"/>
      <c r="J2681" s="5" t="s">
        <v>2101</v>
      </c>
      <c r="K2681" s="8"/>
    </row>
    <row r="2682" spans="1:11" x14ac:dyDescent="0.2">
      <c r="A2682" s="8">
        <v>2379</v>
      </c>
      <c r="B2682" s="8">
        <f t="shared" si="88"/>
        <v>2023</v>
      </c>
      <c r="C2682" s="8">
        <f t="shared" si="89"/>
        <v>8</v>
      </c>
      <c r="D2682" s="85">
        <v>45147</v>
      </c>
      <c r="E2682" s="31">
        <v>0</v>
      </c>
      <c r="F2682" s="31">
        <v>130000</v>
      </c>
      <c r="G2682" s="31">
        <v>0</v>
      </c>
      <c r="H2682" s="31">
        <v>0</v>
      </c>
      <c r="I2682" s="31"/>
      <c r="J2682" s="5" t="s">
        <v>439</v>
      </c>
      <c r="K2682" s="8"/>
    </row>
    <row r="2683" spans="1:11" x14ac:dyDescent="0.2">
      <c r="A2683" s="8">
        <v>2374</v>
      </c>
      <c r="B2683" s="8">
        <f t="shared" si="88"/>
        <v>2023</v>
      </c>
      <c r="C2683" s="8">
        <f t="shared" si="89"/>
        <v>8</v>
      </c>
      <c r="D2683" s="85">
        <v>45147</v>
      </c>
      <c r="E2683" s="31">
        <v>0</v>
      </c>
      <c r="F2683" s="31">
        <v>20000</v>
      </c>
      <c r="G2683" s="31">
        <v>0</v>
      </c>
      <c r="H2683" s="31">
        <v>0</v>
      </c>
      <c r="I2683" s="31"/>
      <c r="J2683" s="5" t="s">
        <v>2102</v>
      </c>
      <c r="K2683" s="8"/>
    </row>
    <row r="2684" spans="1:11" x14ac:dyDescent="0.2">
      <c r="A2684" s="8">
        <v>2369</v>
      </c>
      <c r="B2684" s="8">
        <f t="shared" si="88"/>
        <v>2023</v>
      </c>
      <c r="C2684" s="8">
        <f t="shared" si="89"/>
        <v>8</v>
      </c>
      <c r="D2684" s="85">
        <v>45147</v>
      </c>
      <c r="E2684" s="31">
        <v>3400000</v>
      </c>
      <c r="F2684" s="31">
        <v>0</v>
      </c>
      <c r="G2684" s="31">
        <v>0</v>
      </c>
      <c r="H2684" s="31">
        <v>0</v>
      </c>
      <c r="I2684" s="31" t="s">
        <v>109</v>
      </c>
      <c r="J2684" s="5" t="s">
        <v>2103</v>
      </c>
      <c r="K2684" s="8"/>
    </row>
    <row r="2685" spans="1:11" x14ac:dyDescent="0.2">
      <c r="A2685" s="8">
        <v>2364</v>
      </c>
      <c r="B2685" s="8">
        <f t="shared" si="88"/>
        <v>2023</v>
      </c>
      <c r="C2685" s="8">
        <f t="shared" si="89"/>
        <v>8</v>
      </c>
      <c r="D2685" s="85">
        <v>45148</v>
      </c>
      <c r="E2685" s="31">
        <v>0</v>
      </c>
      <c r="F2685" s="31">
        <v>30000</v>
      </c>
      <c r="G2685" s="31">
        <v>0</v>
      </c>
      <c r="H2685" s="31">
        <v>0</v>
      </c>
      <c r="I2685" s="31"/>
      <c r="J2685" s="5" t="s">
        <v>2097</v>
      </c>
      <c r="K2685" s="8"/>
    </row>
    <row r="2686" spans="1:11" x14ac:dyDescent="0.2">
      <c r="A2686" s="8">
        <v>2359</v>
      </c>
      <c r="B2686" s="8">
        <f t="shared" si="88"/>
        <v>2023</v>
      </c>
      <c r="C2686" s="8">
        <f t="shared" si="89"/>
        <v>8</v>
      </c>
      <c r="D2686" s="85">
        <v>45148</v>
      </c>
      <c r="E2686" s="31">
        <v>0</v>
      </c>
      <c r="F2686" s="31">
        <v>50000</v>
      </c>
      <c r="G2686" s="31">
        <v>0</v>
      </c>
      <c r="H2686" s="31">
        <v>0</v>
      </c>
      <c r="I2686" s="31"/>
      <c r="J2686" s="5" t="s">
        <v>287</v>
      </c>
      <c r="K2686" s="8"/>
    </row>
    <row r="2687" spans="1:11" x14ac:dyDescent="0.2">
      <c r="A2687" s="8">
        <v>2354</v>
      </c>
      <c r="B2687" s="8">
        <f t="shared" si="88"/>
        <v>2023</v>
      </c>
      <c r="C2687" s="8">
        <f t="shared" si="89"/>
        <v>8</v>
      </c>
      <c r="D2687" s="85">
        <v>45148</v>
      </c>
      <c r="E2687" s="31">
        <v>0</v>
      </c>
      <c r="F2687" s="31">
        <v>0</v>
      </c>
      <c r="G2687" s="31">
        <v>0</v>
      </c>
      <c r="H2687" s="31">
        <v>0</v>
      </c>
      <c r="I2687" s="31" t="s">
        <v>92</v>
      </c>
      <c r="J2687" s="5" t="s">
        <v>2104</v>
      </c>
      <c r="K2687" s="8"/>
    </row>
    <row r="2688" spans="1:11" x14ac:dyDescent="0.2">
      <c r="A2688" s="8">
        <v>2349</v>
      </c>
      <c r="B2688" s="8">
        <f t="shared" si="88"/>
        <v>2023</v>
      </c>
      <c r="C2688" s="8">
        <f t="shared" si="89"/>
        <v>8</v>
      </c>
      <c r="D2688" s="85">
        <v>45149</v>
      </c>
      <c r="E2688" s="31">
        <v>0</v>
      </c>
      <c r="F2688" s="31">
        <v>13000</v>
      </c>
      <c r="G2688" s="31">
        <v>0</v>
      </c>
      <c r="H2688" s="31">
        <v>0</v>
      </c>
      <c r="I2688" s="31"/>
      <c r="J2688" s="5" t="s">
        <v>91</v>
      </c>
      <c r="K2688" s="8"/>
    </row>
    <row r="2689" spans="1:11" x14ac:dyDescent="0.2">
      <c r="A2689" s="8">
        <v>2344</v>
      </c>
      <c r="B2689" s="8">
        <f t="shared" si="88"/>
        <v>2023</v>
      </c>
      <c r="C2689" s="8">
        <f t="shared" si="89"/>
        <v>8</v>
      </c>
      <c r="D2689" s="85">
        <v>45149</v>
      </c>
      <c r="E2689" s="31">
        <v>0</v>
      </c>
      <c r="F2689" s="31">
        <v>0</v>
      </c>
      <c r="G2689" s="31">
        <v>0</v>
      </c>
      <c r="H2689" s="31">
        <v>0</v>
      </c>
      <c r="I2689" s="31" t="s">
        <v>92</v>
      </c>
      <c r="J2689" s="5" t="s">
        <v>2105</v>
      </c>
      <c r="K2689" s="8"/>
    </row>
    <row r="2690" spans="1:11" x14ac:dyDescent="0.2">
      <c r="A2690" s="8">
        <v>2339</v>
      </c>
      <c r="B2690" s="8">
        <f t="shared" si="88"/>
        <v>2023</v>
      </c>
      <c r="C2690" s="8">
        <f t="shared" si="89"/>
        <v>8</v>
      </c>
      <c r="D2690" s="85">
        <v>45149</v>
      </c>
      <c r="E2690" s="31">
        <v>0</v>
      </c>
      <c r="F2690" s="31">
        <v>30000</v>
      </c>
      <c r="G2690" s="31">
        <v>0</v>
      </c>
      <c r="H2690" s="31">
        <v>0</v>
      </c>
      <c r="I2690" s="31"/>
      <c r="J2690" s="5" t="s">
        <v>2097</v>
      </c>
      <c r="K2690" s="8"/>
    </row>
    <row r="2691" spans="1:11" x14ac:dyDescent="0.2">
      <c r="A2691" s="8">
        <v>2334</v>
      </c>
      <c r="B2691" s="8">
        <f t="shared" ref="B2691:B2754" si="90">YEAR(D2691)</f>
        <v>2023</v>
      </c>
      <c r="C2691" s="8">
        <f t="shared" ref="C2691:C2754" si="91">MONTH(D2691)</f>
        <v>8</v>
      </c>
      <c r="D2691" s="85">
        <v>45149</v>
      </c>
      <c r="E2691" s="31">
        <v>0</v>
      </c>
      <c r="F2691" s="31">
        <v>25000</v>
      </c>
      <c r="G2691" s="31">
        <v>0</v>
      </c>
      <c r="H2691" s="31">
        <v>0</v>
      </c>
      <c r="I2691" s="31"/>
      <c r="J2691" s="5" t="s">
        <v>2097</v>
      </c>
      <c r="K2691" s="8"/>
    </row>
    <row r="2692" spans="1:11" x14ac:dyDescent="0.2">
      <c r="A2692" s="8">
        <v>2329</v>
      </c>
      <c r="B2692" s="8">
        <f t="shared" si="90"/>
        <v>2023</v>
      </c>
      <c r="C2692" s="8">
        <f t="shared" si="91"/>
        <v>8</v>
      </c>
      <c r="D2692" s="85">
        <v>45149</v>
      </c>
      <c r="E2692" s="31">
        <v>0</v>
      </c>
      <c r="F2692" s="31">
        <v>20000</v>
      </c>
      <c r="G2692" s="31">
        <v>0</v>
      </c>
      <c r="H2692" s="31">
        <v>0</v>
      </c>
      <c r="I2692" s="31"/>
      <c r="J2692" s="5" t="s">
        <v>2106</v>
      </c>
      <c r="K2692" s="8"/>
    </row>
    <row r="2693" spans="1:11" x14ac:dyDescent="0.2">
      <c r="A2693" s="8">
        <v>2324</v>
      </c>
      <c r="B2693" s="8">
        <f t="shared" si="90"/>
        <v>2023</v>
      </c>
      <c r="C2693" s="8">
        <f t="shared" si="91"/>
        <v>3</v>
      </c>
      <c r="D2693" s="85">
        <v>44988</v>
      </c>
      <c r="E2693" s="31">
        <v>0</v>
      </c>
      <c r="F2693" s="31">
        <v>150000</v>
      </c>
      <c r="G2693" s="31">
        <v>0</v>
      </c>
      <c r="H2693" s="31">
        <v>0</v>
      </c>
      <c r="I2693" s="31" t="s">
        <v>2107</v>
      </c>
      <c r="J2693" s="5" t="s">
        <v>2108</v>
      </c>
      <c r="K2693" s="8"/>
    </row>
    <row r="2694" spans="1:11" x14ac:dyDescent="0.2">
      <c r="A2694" s="8">
        <v>2319</v>
      </c>
      <c r="B2694" s="8">
        <f t="shared" si="90"/>
        <v>2023</v>
      </c>
      <c r="C2694" s="8">
        <f t="shared" si="91"/>
        <v>4</v>
      </c>
      <c r="D2694" s="85">
        <v>45017</v>
      </c>
      <c r="E2694" s="31">
        <v>0</v>
      </c>
      <c r="F2694" s="31">
        <v>127000</v>
      </c>
      <c r="G2694" s="31">
        <v>0</v>
      </c>
      <c r="H2694" s="31">
        <v>0</v>
      </c>
      <c r="I2694" s="31"/>
      <c r="J2694" s="5" t="s">
        <v>2109</v>
      </c>
      <c r="K2694" s="8"/>
    </row>
    <row r="2695" spans="1:11" x14ac:dyDescent="0.2">
      <c r="A2695" s="8">
        <v>2314</v>
      </c>
      <c r="B2695" s="8">
        <f t="shared" si="90"/>
        <v>2023</v>
      </c>
      <c r="C2695" s="8">
        <f t="shared" si="91"/>
        <v>4</v>
      </c>
      <c r="D2695" s="85">
        <v>45032</v>
      </c>
      <c r="E2695" s="31">
        <v>500000</v>
      </c>
      <c r="F2695" s="31">
        <v>0</v>
      </c>
      <c r="G2695" s="31">
        <v>0</v>
      </c>
      <c r="H2695" s="31">
        <v>0</v>
      </c>
      <c r="I2695" s="31"/>
      <c r="J2695" s="5" t="s">
        <v>2110</v>
      </c>
      <c r="K2695" s="8"/>
    </row>
    <row r="2696" spans="1:11" x14ac:dyDescent="0.2">
      <c r="A2696" s="8">
        <v>2309</v>
      </c>
      <c r="B2696" s="8">
        <f t="shared" si="90"/>
        <v>2023</v>
      </c>
      <c r="C2696" s="8">
        <f t="shared" si="91"/>
        <v>4</v>
      </c>
      <c r="D2696" s="85">
        <v>45033</v>
      </c>
      <c r="E2696" s="31">
        <v>0</v>
      </c>
      <c r="F2696" s="31">
        <v>80000</v>
      </c>
      <c r="G2696" s="31">
        <v>0</v>
      </c>
      <c r="H2696" s="31">
        <v>0</v>
      </c>
      <c r="I2696" s="31"/>
      <c r="J2696" s="5" t="s">
        <v>1970</v>
      </c>
      <c r="K2696" s="8"/>
    </row>
    <row r="2697" spans="1:11" x14ac:dyDescent="0.2">
      <c r="A2697" s="8">
        <v>2304</v>
      </c>
      <c r="B2697" s="8">
        <f t="shared" si="90"/>
        <v>2023</v>
      </c>
      <c r="C2697" s="8">
        <f t="shared" si="91"/>
        <v>4</v>
      </c>
      <c r="D2697" s="85">
        <v>45033</v>
      </c>
      <c r="E2697" s="31">
        <v>0</v>
      </c>
      <c r="F2697" s="31">
        <v>150000</v>
      </c>
      <c r="G2697" s="31">
        <v>0</v>
      </c>
      <c r="H2697" s="31">
        <v>0</v>
      </c>
      <c r="I2697" s="31"/>
      <c r="J2697" s="5" t="s">
        <v>192</v>
      </c>
      <c r="K2697" s="8"/>
    </row>
    <row r="2698" spans="1:11" x14ac:dyDescent="0.2">
      <c r="A2698" s="8">
        <v>2299</v>
      </c>
      <c r="B2698" s="8">
        <f t="shared" si="90"/>
        <v>2023</v>
      </c>
      <c r="C2698" s="8">
        <f t="shared" si="91"/>
        <v>4</v>
      </c>
      <c r="D2698" s="85">
        <v>45041</v>
      </c>
      <c r="E2698" s="31">
        <v>0</v>
      </c>
      <c r="F2698" s="31">
        <v>60000</v>
      </c>
      <c r="G2698" s="31">
        <v>0</v>
      </c>
      <c r="H2698" s="31">
        <v>0</v>
      </c>
      <c r="I2698" s="31"/>
      <c r="J2698" s="5" t="s">
        <v>2111</v>
      </c>
      <c r="K2698" s="8"/>
    </row>
    <row r="2699" spans="1:11" x14ac:dyDescent="0.2">
      <c r="A2699" s="8">
        <v>2294</v>
      </c>
      <c r="B2699" s="8">
        <f t="shared" si="90"/>
        <v>2023</v>
      </c>
      <c r="C2699" s="8">
        <f t="shared" si="91"/>
        <v>6</v>
      </c>
      <c r="D2699" s="85">
        <v>45083</v>
      </c>
      <c r="E2699" s="31">
        <v>0</v>
      </c>
      <c r="F2699" s="31">
        <v>150000</v>
      </c>
      <c r="G2699" s="31">
        <v>0</v>
      </c>
      <c r="H2699" s="31">
        <v>0</v>
      </c>
      <c r="I2699" s="31"/>
      <c r="J2699" s="5" t="s">
        <v>192</v>
      </c>
      <c r="K2699" s="8"/>
    </row>
    <row r="2700" spans="1:11" x14ac:dyDescent="0.2">
      <c r="A2700" s="8">
        <v>2289</v>
      </c>
      <c r="B2700" s="8">
        <f t="shared" si="90"/>
        <v>2023</v>
      </c>
      <c r="C2700" s="8">
        <f t="shared" si="91"/>
        <v>6</v>
      </c>
      <c r="D2700" s="85">
        <v>45084</v>
      </c>
      <c r="E2700" s="31">
        <v>0</v>
      </c>
      <c r="F2700" s="31">
        <v>570000</v>
      </c>
      <c r="G2700" s="31">
        <v>0</v>
      </c>
      <c r="H2700" s="31">
        <v>0</v>
      </c>
      <c r="I2700" s="31"/>
      <c r="J2700" s="5" t="s">
        <v>2112</v>
      </c>
      <c r="K2700" s="8"/>
    </row>
    <row r="2701" spans="1:11" x14ac:dyDescent="0.2">
      <c r="A2701" s="8">
        <v>2284</v>
      </c>
      <c r="B2701" s="8">
        <f t="shared" si="90"/>
        <v>2023</v>
      </c>
      <c r="C2701" s="8">
        <f t="shared" si="91"/>
        <v>6</v>
      </c>
      <c r="D2701" s="85">
        <v>45091</v>
      </c>
      <c r="E2701" s="31">
        <v>0</v>
      </c>
      <c r="F2701" s="31">
        <v>50000</v>
      </c>
      <c r="G2701" s="31">
        <v>0</v>
      </c>
      <c r="H2701" s="31">
        <v>0</v>
      </c>
      <c r="I2701" s="31"/>
      <c r="J2701" s="5" t="s">
        <v>2111</v>
      </c>
      <c r="K2701" s="8"/>
    </row>
    <row r="2702" spans="1:11" x14ac:dyDescent="0.2">
      <c r="A2702" s="8">
        <v>2279</v>
      </c>
      <c r="B2702" s="8">
        <f t="shared" si="90"/>
        <v>2023</v>
      </c>
      <c r="C2702" s="8">
        <f t="shared" si="91"/>
        <v>6</v>
      </c>
      <c r="D2702" s="85">
        <v>45093</v>
      </c>
      <c r="E2702" s="31">
        <v>0</v>
      </c>
      <c r="F2702" s="31">
        <v>150000</v>
      </c>
      <c r="G2702" s="31">
        <v>0</v>
      </c>
      <c r="H2702" s="31">
        <v>0</v>
      </c>
      <c r="I2702" s="139" t="s">
        <v>2113</v>
      </c>
      <c r="J2702" s="5" t="s">
        <v>2114</v>
      </c>
      <c r="K2702" s="8"/>
    </row>
    <row r="2703" spans="1:11" x14ac:dyDescent="0.2">
      <c r="A2703" s="8">
        <v>2274</v>
      </c>
      <c r="B2703" s="8">
        <f t="shared" si="90"/>
        <v>2023</v>
      </c>
      <c r="C2703" s="8">
        <f t="shared" si="91"/>
        <v>6</v>
      </c>
      <c r="D2703" s="85">
        <v>45093</v>
      </c>
      <c r="E2703" s="31">
        <v>0</v>
      </c>
      <c r="F2703" s="31">
        <v>122000</v>
      </c>
      <c r="G2703" s="31">
        <v>0</v>
      </c>
      <c r="H2703" s="31">
        <v>0</v>
      </c>
      <c r="I2703" s="31"/>
      <c r="J2703" s="5" t="s">
        <v>1984</v>
      </c>
      <c r="K2703" s="8"/>
    </row>
    <row r="2704" spans="1:11" x14ac:dyDescent="0.2">
      <c r="A2704" s="8">
        <v>2269</v>
      </c>
      <c r="B2704" s="8">
        <f t="shared" si="90"/>
        <v>2023</v>
      </c>
      <c r="C2704" s="8">
        <f t="shared" si="91"/>
        <v>6</v>
      </c>
      <c r="D2704" s="85">
        <v>45092</v>
      </c>
      <c r="E2704" s="31">
        <v>0</v>
      </c>
      <c r="F2704" s="31">
        <v>250000</v>
      </c>
      <c r="G2704" s="31">
        <v>0</v>
      </c>
      <c r="H2704" s="31">
        <v>0</v>
      </c>
      <c r="I2704" s="31"/>
      <c r="J2704" s="5" t="s">
        <v>2115</v>
      </c>
      <c r="K2704" s="8"/>
    </row>
    <row r="2705" spans="1:11" x14ac:dyDescent="0.2">
      <c r="A2705" s="8">
        <v>2264</v>
      </c>
      <c r="B2705" s="8">
        <f t="shared" si="90"/>
        <v>2023</v>
      </c>
      <c r="C2705" s="8">
        <f t="shared" si="91"/>
        <v>6</v>
      </c>
      <c r="D2705" s="85">
        <v>45093</v>
      </c>
      <c r="E2705" s="31">
        <v>0</v>
      </c>
      <c r="F2705" s="31">
        <v>40000</v>
      </c>
      <c r="G2705" s="31">
        <v>0</v>
      </c>
      <c r="H2705" s="31">
        <v>0</v>
      </c>
      <c r="I2705" s="31"/>
      <c r="J2705" s="5" t="s">
        <v>2116</v>
      </c>
      <c r="K2705" s="8"/>
    </row>
    <row r="2706" spans="1:11" x14ac:dyDescent="0.2">
      <c r="A2706" s="8">
        <v>2259</v>
      </c>
      <c r="B2706" s="8">
        <f t="shared" si="90"/>
        <v>2023</v>
      </c>
      <c r="C2706" s="8">
        <f t="shared" si="91"/>
        <v>6</v>
      </c>
      <c r="D2706" s="85">
        <v>45106</v>
      </c>
      <c r="E2706" s="31">
        <v>2000000</v>
      </c>
      <c r="F2706" s="31">
        <v>0</v>
      </c>
      <c r="G2706" s="31">
        <v>0</v>
      </c>
      <c r="H2706" s="31">
        <v>0</v>
      </c>
      <c r="I2706" s="31"/>
      <c r="J2706" s="5" t="s">
        <v>2117</v>
      </c>
      <c r="K2706" s="8"/>
    </row>
    <row r="2707" spans="1:11" x14ac:dyDescent="0.2">
      <c r="A2707" s="8">
        <v>2254</v>
      </c>
      <c r="B2707" s="8">
        <f t="shared" si="90"/>
        <v>2023</v>
      </c>
      <c r="C2707" s="8">
        <f t="shared" si="91"/>
        <v>7</v>
      </c>
      <c r="D2707" s="85">
        <v>45122</v>
      </c>
      <c r="E2707" s="31">
        <v>0</v>
      </c>
      <c r="F2707" s="31">
        <v>250000</v>
      </c>
      <c r="G2707" s="31">
        <v>0</v>
      </c>
      <c r="H2707" s="31">
        <v>0</v>
      </c>
      <c r="I2707" s="31"/>
      <c r="J2707" s="5" t="s">
        <v>2118</v>
      </c>
      <c r="K2707" s="8"/>
    </row>
    <row r="2708" spans="1:11" x14ac:dyDescent="0.2">
      <c r="A2708" s="8">
        <v>2249</v>
      </c>
      <c r="B2708" s="8">
        <f t="shared" si="90"/>
        <v>2023</v>
      </c>
      <c r="C2708" s="8">
        <f t="shared" si="91"/>
        <v>7</v>
      </c>
      <c r="D2708" s="85">
        <v>45124</v>
      </c>
      <c r="E2708" s="31">
        <v>0</v>
      </c>
      <c r="F2708" s="31">
        <v>50000</v>
      </c>
      <c r="G2708" s="31">
        <v>0</v>
      </c>
      <c r="H2708" s="31">
        <v>0</v>
      </c>
      <c r="I2708" s="31"/>
      <c r="J2708" s="5" t="s">
        <v>2111</v>
      </c>
      <c r="K2708" s="8"/>
    </row>
    <row r="2709" spans="1:11" x14ac:dyDescent="0.2">
      <c r="A2709" s="8">
        <v>2244</v>
      </c>
      <c r="B2709" s="8">
        <f t="shared" si="90"/>
        <v>2023</v>
      </c>
      <c r="C2709" s="8">
        <f t="shared" si="91"/>
        <v>7</v>
      </c>
      <c r="D2709" s="85">
        <v>45134</v>
      </c>
      <c r="E2709" s="31">
        <v>0</v>
      </c>
      <c r="F2709" s="31">
        <v>150000</v>
      </c>
      <c r="G2709" s="31">
        <v>0</v>
      </c>
      <c r="H2709" s="31">
        <v>0</v>
      </c>
      <c r="I2709" s="31"/>
      <c r="J2709" s="5" t="s">
        <v>192</v>
      </c>
      <c r="K2709" s="8"/>
    </row>
    <row r="2710" spans="1:11" x14ac:dyDescent="0.2">
      <c r="A2710" s="8">
        <v>2239</v>
      </c>
      <c r="B2710" s="8">
        <f t="shared" si="90"/>
        <v>2023</v>
      </c>
      <c r="C2710" s="8">
        <f t="shared" si="91"/>
        <v>8</v>
      </c>
      <c r="D2710" s="85">
        <v>45147</v>
      </c>
      <c r="E2710" s="31">
        <v>0</v>
      </c>
      <c r="F2710" s="31">
        <v>40000</v>
      </c>
      <c r="G2710" s="31">
        <v>0</v>
      </c>
      <c r="H2710" s="31">
        <v>0</v>
      </c>
      <c r="I2710" s="31"/>
      <c r="J2710" s="5" t="s">
        <v>2119</v>
      </c>
      <c r="K2710" s="8"/>
    </row>
    <row r="2711" spans="1:11" x14ac:dyDescent="0.2">
      <c r="A2711" s="8">
        <v>2234</v>
      </c>
      <c r="B2711" s="8">
        <f t="shared" si="90"/>
        <v>2023</v>
      </c>
      <c r="C2711" s="8">
        <f t="shared" si="91"/>
        <v>8</v>
      </c>
      <c r="D2711" s="85">
        <v>45147</v>
      </c>
      <c r="E2711" s="31">
        <v>0</v>
      </c>
      <c r="F2711" s="31">
        <v>300000</v>
      </c>
      <c r="G2711" s="31">
        <v>0</v>
      </c>
      <c r="H2711" s="31">
        <v>0</v>
      </c>
      <c r="I2711" s="31"/>
      <c r="J2711" s="5" t="s">
        <v>2120</v>
      </c>
      <c r="K2711" s="8"/>
    </row>
    <row r="2712" spans="1:11" x14ac:dyDescent="0.2">
      <c r="A2712" s="8">
        <v>2229</v>
      </c>
      <c r="B2712" s="8">
        <f t="shared" si="90"/>
        <v>2023</v>
      </c>
      <c r="C2712" s="8">
        <f t="shared" si="91"/>
        <v>7</v>
      </c>
      <c r="D2712" s="85">
        <v>45115</v>
      </c>
      <c r="E2712" s="31">
        <v>0</v>
      </c>
      <c r="F2712" s="45">
        <v>150000</v>
      </c>
      <c r="G2712" s="31">
        <v>0</v>
      </c>
      <c r="H2712" s="31">
        <v>0</v>
      </c>
      <c r="I2712" s="31"/>
      <c r="J2712" s="25" t="s">
        <v>2121</v>
      </c>
      <c r="K2712" s="8"/>
    </row>
    <row r="2713" spans="1:11" x14ac:dyDescent="0.2">
      <c r="A2713" s="8">
        <v>2224</v>
      </c>
      <c r="B2713" s="8">
        <f t="shared" si="90"/>
        <v>2023</v>
      </c>
      <c r="C2713" s="8">
        <f t="shared" si="91"/>
        <v>7</v>
      </c>
      <c r="D2713" s="85">
        <v>45117</v>
      </c>
      <c r="E2713" s="31">
        <v>0</v>
      </c>
      <c r="F2713" s="45">
        <v>120000</v>
      </c>
      <c r="G2713" s="31">
        <v>0</v>
      </c>
      <c r="H2713" s="31">
        <v>0</v>
      </c>
      <c r="I2713" s="31"/>
      <c r="J2713" s="25" t="s">
        <v>2121</v>
      </c>
      <c r="K2713" s="8"/>
    </row>
    <row r="2714" spans="1:11" x14ac:dyDescent="0.2">
      <c r="A2714" s="8">
        <v>2219</v>
      </c>
      <c r="B2714" s="8">
        <f t="shared" si="90"/>
        <v>2023</v>
      </c>
      <c r="C2714" s="8">
        <f t="shared" si="91"/>
        <v>7</v>
      </c>
      <c r="D2714" s="85">
        <v>45117</v>
      </c>
      <c r="E2714" s="31">
        <v>0</v>
      </c>
      <c r="F2714" s="45">
        <v>60000</v>
      </c>
      <c r="G2714" s="31">
        <v>0</v>
      </c>
      <c r="H2714" s="31">
        <v>0</v>
      </c>
      <c r="I2714" s="31"/>
      <c r="J2714" s="25" t="s">
        <v>2122</v>
      </c>
      <c r="K2714" s="8"/>
    </row>
    <row r="2715" spans="1:11" x14ac:dyDescent="0.2">
      <c r="A2715" s="8">
        <v>2214</v>
      </c>
      <c r="B2715" s="8">
        <f t="shared" si="90"/>
        <v>2023</v>
      </c>
      <c r="C2715" s="8">
        <f t="shared" si="91"/>
        <v>7</v>
      </c>
      <c r="D2715" s="85">
        <v>45119</v>
      </c>
      <c r="E2715" s="31">
        <v>0</v>
      </c>
      <c r="F2715" s="45">
        <v>136000</v>
      </c>
      <c r="G2715" s="31">
        <v>0</v>
      </c>
      <c r="H2715" s="31">
        <v>0</v>
      </c>
      <c r="I2715" s="31"/>
      <c r="J2715" s="25" t="s">
        <v>2122</v>
      </c>
      <c r="K2715" s="8"/>
    </row>
    <row r="2716" spans="1:11" x14ac:dyDescent="0.2">
      <c r="A2716" s="8">
        <v>2209</v>
      </c>
      <c r="B2716" s="8">
        <f t="shared" si="90"/>
        <v>2023</v>
      </c>
      <c r="C2716" s="8">
        <f t="shared" si="91"/>
        <v>7</v>
      </c>
      <c r="D2716" s="85">
        <v>45132</v>
      </c>
      <c r="E2716" s="31">
        <v>0</v>
      </c>
      <c r="F2716" s="31">
        <v>40000</v>
      </c>
      <c r="G2716" s="31">
        <v>0</v>
      </c>
      <c r="H2716" s="31">
        <v>0</v>
      </c>
      <c r="I2716" s="31"/>
      <c r="J2716" s="5" t="s">
        <v>2123</v>
      </c>
      <c r="K2716" s="8"/>
    </row>
    <row r="2717" spans="1:11" x14ac:dyDescent="0.2">
      <c r="A2717" s="8">
        <v>2204</v>
      </c>
      <c r="B2717" s="8">
        <f t="shared" si="90"/>
        <v>2023</v>
      </c>
      <c r="C2717" s="8">
        <f t="shared" si="91"/>
        <v>7</v>
      </c>
      <c r="D2717" s="85">
        <v>45134</v>
      </c>
      <c r="E2717" s="31">
        <v>0</v>
      </c>
      <c r="F2717" s="31">
        <v>7000</v>
      </c>
      <c r="G2717" s="31">
        <v>0</v>
      </c>
      <c r="H2717" s="31">
        <v>0</v>
      </c>
      <c r="I2717" s="31" t="s">
        <v>1992</v>
      </c>
      <c r="J2717" s="5" t="s">
        <v>2124</v>
      </c>
      <c r="K2717" s="8"/>
    </row>
    <row r="2718" spans="1:11" x14ac:dyDescent="0.2">
      <c r="A2718" s="8">
        <v>2199</v>
      </c>
      <c r="B2718" s="8">
        <f t="shared" si="90"/>
        <v>2023</v>
      </c>
      <c r="C2718" s="8">
        <f t="shared" si="91"/>
        <v>7</v>
      </c>
      <c r="D2718" s="85">
        <v>45136</v>
      </c>
      <c r="E2718" s="31">
        <v>0</v>
      </c>
      <c r="F2718" s="31">
        <v>30000</v>
      </c>
      <c r="G2718" s="31">
        <v>0</v>
      </c>
      <c r="H2718" s="31">
        <v>0</v>
      </c>
      <c r="I2718" s="31"/>
      <c r="J2718" s="5" t="s">
        <v>2125</v>
      </c>
      <c r="K2718" s="8"/>
    </row>
    <row r="2719" spans="1:11" x14ac:dyDescent="0.2">
      <c r="A2719" s="8">
        <v>2194</v>
      </c>
      <c r="B2719" s="8">
        <f t="shared" si="90"/>
        <v>2023</v>
      </c>
      <c r="C2719" s="8">
        <f t="shared" si="91"/>
        <v>7</v>
      </c>
      <c r="D2719" s="85">
        <v>45138</v>
      </c>
      <c r="E2719" s="31">
        <v>0</v>
      </c>
      <c r="F2719" s="31">
        <v>138000</v>
      </c>
      <c r="G2719" s="31">
        <v>0</v>
      </c>
      <c r="H2719" s="31">
        <v>0</v>
      </c>
      <c r="I2719" s="31"/>
      <c r="J2719" s="5" t="s">
        <v>2126</v>
      </c>
      <c r="K2719" s="8"/>
    </row>
    <row r="2720" spans="1:11" x14ac:dyDescent="0.2">
      <c r="A2720" s="8">
        <v>2179</v>
      </c>
      <c r="B2720" s="8">
        <f t="shared" si="90"/>
        <v>2023</v>
      </c>
      <c r="C2720" s="8">
        <f t="shared" si="91"/>
        <v>8</v>
      </c>
      <c r="D2720" s="85">
        <v>45142</v>
      </c>
      <c r="E2720" s="31">
        <v>0</v>
      </c>
      <c r="F2720" s="31">
        <v>263000</v>
      </c>
      <c r="G2720" s="31">
        <v>0</v>
      </c>
      <c r="H2720" s="31">
        <v>0</v>
      </c>
      <c r="I2720" s="31"/>
      <c r="J2720" s="5" t="s">
        <v>2127</v>
      </c>
      <c r="K2720" s="8"/>
    </row>
    <row r="2721" spans="1:11" x14ac:dyDescent="0.2">
      <c r="A2721" s="8">
        <v>2174</v>
      </c>
      <c r="B2721" s="8">
        <f t="shared" si="90"/>
        <v>2023</v>
      </c>
      <c r="C2721" s="8">
        <f t="shared" si="91"/>
        <v>8</v>
      </c>
      <c r="D2721" s="85">
        <v>45146</v>
      </c>
      <c r="E2721" s="31">
        <v>0</v>
      </c>
      <c r="F2721" s="31">
        <v>58000</v>
      </c>
      <c r="G2721" s="31">
        <v>0</v>
      </c>
      <c r="H2721" s="31">
        <v>0</v>
      </c>
      <c r="I2721" s="31"/>
      <c r="J2721" s="5" t="s">
        <v>2128</v>
      </c>
      <c r="K2721" s="8"/>
    </row>
    <row r="2722" spans="1:11" x14ac:dyDescent="0.2">
      <c r="A2722" s="8">
        <v>2149</v>
      </c>
      <c r="B2722" s="8">
        <f t="shared" si="90"/>
        <v>2023</v>
      </c>
      <c r="C2722" s="8">
        <f t="shared" si="91"/>
        <v>8</v>
      </c>
      <c r="D2722" s="85">
        <v>45156</v>
      </c>
      <c r="E2722" s="31">
        <v>0</v>
      </c>
      <c r="F2722" s="31">
        <v>160000</v>
      </c>
      <c r="G2722" s="31">
        <v>0</v>
      </c>
      <c r="H2722" s="31">
        <v>0</v>
      </c>
      <c r="I2722" s="31"/>
      <c r="J2722" s="5" t="s">
        <v>2129</v>
      </c>
      <c r="K2722" s="8"/>
    </row>
    <row r="2723" spans="1:11" x14ac:dyDescent="0.2">
      <c r="A2723" s="8">
        <v>1402</v>
      </c>
      <c r="B2723" s="8">
        <f t="shared" si="90"/>
        <v>2023</v>
      </c>
      <c r="C2723" s="8">
        <f t="shared" si="91"/>
        <v>8</v>
      </c>
      <c r="D2723" s="85">
        <v>45143</v>
      </c>
      <c r="E2723" s="31"/>
      <c r="F2723" s="31">
        <v>1000000</v>
      </c>
      <c r="G2723" s="31"/>
      <c r="H2723" s="31"/>
      <c r="I2723" s="31"/>
      <c r="J2723" s="5" t="s">
        <v>1387</v>
      </c>
      <c r="K2723" s="8"/>
    </row>
    <row r="2724" spans="1:11" x14ac:dyDescent="0.2">
      <c r="A2724" s="8">
        <v>2139</v>
      </c>
      <c r="B2724" s="8">
        <f t="shared" si="90"/>
        <v>2023</v>
      </c>
      <c r="C2724" s="8">
        <f t="shared" si="91"/>
        <v>8</v>
      </c>
      <c r="D2724" s="85">
        <v>45150</v>
      </c>
      <c r="E2724" s="31"/>
      <c r="F2724" s="31">
        <v>16000</v>
      </c>
      <c r="G2724" s="31"/>
      <c r="H2724" s="31"/>
      <c r="I2724" s="31"/>
      <c r="J2724" s="5" t="s">
        <v>1821</v>
      </c>
      <c r="K2724" s="8"/>
    </row>
    <row r="2725" spans="1:11" x14ac:dyDescent="0.2">
      <c r="A2725" s="8">
        <v>2119</v>
      </c>
      <c r="B2725" s="8">
        <f t="shared" si="90"/>
        <v>2023</v>
      </c>
      <c r="C2725" s="8">
        <f t="shared" si="91"/>
        <v>8</v>
      </c>
      <c r="D2725" s="85">
        <v>45150</v>
      </c>
      <c r="E2725" s="31"/>
      <c r="F2725" s="31">
        <v>14000</v>
      </c>
      <c r="G2725" s="31"/>
      <c r="H2725" s="31"/>
      <c r="I2725" s="31"/>
      <c r="J2725" s="5" t="s">
        <v>2130</v>
      </c>
      <c r="K2725" s="8"/>
    </row>
    <row r="2726" spans="1:11" x14ac:dyDescent="0.2">
      <c r="A2726" s="8">
        <v>2101.5</v>
      </c>
      <c r="B2726" s="8">
        <f t="shared" si="90"/>
        <v>2023</v>
      </c>
      <c r="C2726" s="8">
        <f t="shared" si="91"/>
        <v>8</v>
      </c>
      <c r="D2726" s="85">
        <v>45150</v>
      </c>
      <c r="E2726" s="31"/>
      <c r="F2726" s="31">
        <v>15000</v>
      </c>
      <c r="G2726" s="31"/>
      <c r="H2726" s="31"/>
      <c r="I2726" s="31"/>
      <c r="J2726" s="5" t="s">
        <v>1822</v>
      </c>
      <c r="K2726" s="8"/>
    </row>
    <row r="2727" spans="1:11" x14ac:dyDescent="0.2">
      <c r="A2727" s="8">
        <v>2084</v>
      </c>
      <c r="B2727" s="8">
        <f t="shared" si="90"/>
        <v>2023</v>
      </c>
      <c r="C2727" s="8">
        <f t="shared" si="91"/>
        <v>8</v>
      </c>
      <c r="D2727" s="85">
        <v>45150</v>
      </c>
      <c r="E2727" s="31"/>
      <c r="F2727" s="31">
        <v>20000</v>
      </c>
      <c r="G2727" s="31"/>
      <c r="H2727" s="31"/>
      <c r="I2727" s="31"/>
      <c r="J2727" s="5" t="s">
        <v>858</v>
      </c>
      <c r="K2727" s="8"/>
    </row>
    <row r="2728" spans="1:11" x14ac:dyDescent="0.2">
      <c r="A2728" s="8">
        <v>2066.5</v>
      </c>
      <c r="B2728" s="8">
        <f t="shared" si="90"/>
        <v>2023</v>
      </c>
      <c r="C2728" s="8">
        <f t="shared" si="91"/>
        <v>8</v>
      </c>
      <c r="D2728" s="85">
        <v>45150</v>
      </c>
      <c r="E2728" s="31"/>
      <c r="F2728" s="31">
        <v>65000</v>
      </c>
      <c r="G2728" s="31"/>
      <c r="H2728" s="31"/>
      <c r="I2728" s="31"/>
      <c r="J2728" s="5" t="s">
        <v>2131</v>
      </c>
      <c r="K2728" s="8"/>
    </row>
    <row r="2729" spans="1:11" x14ac:dyDescent="0.2">
      <c r="A2729" s="8">
        <v>2049</v>
      </c>
      <c r="B2729" s="8">
        <f t="shared" si="90"/>
        <v>2023</v>
      </c>
      <c r="C2729" s="8">
        <f t="shared" si="91"/>
        <v>8</v>
      </c>
      <c r="D2729" s="85">
        <v>45150</v>
      </c>
      <c r="E2729" s="31"/>
      <c r="F2729" s="31">
        <v>163000</v>
      </c>
      <c r="G2729" s="31"/>
      <c r="H2729" s="31"/>
      <c r="I2729" s="31"/>
      <c r="J2729" s="5" t="s">
        <v>2132</v>
      </c>
      <c r="K2729" s="8"/>
    </row>
    <row r="2730" spans="1:11" x14ac:dyDescent="0.2">
      <c r="A2730" s="8">
        <v>2031.5</v>
      </c>
      <c r="B2730" s="8">
        <f t="shared" si="90"/>
        <v>2023</v>
      </c>
      <c r="C2730" s="8">
        <f t="shared" si="91"/>
        <v>8</v>
      </c>
      <c r="D2730" s="85">
        <v>45151</v>
      </c>
      <c r="E2730" s="31"/>
      <c r="F2730" s="31">
        <v>700000</v>
      </c>
      <c r="G2730" s="31"/>
      <c r="H2730" s="31"/>
      <c r="I2730" s="31"/>
      <c r="J2730" s="5" t="s">
        <v>201</v>
      </c>
      <c r="K2730" s="8"/>
    </row>
    <row r="2731" spans="1:11" x14ac:dyDescent="0.2">
      <c r="A2731" s="8">
        <v>2014</v>
      </c>
      <c r="B2731" s="8">
        <f t="shared" si="90"/>
        <v>2023</v>
      </c>
      <c r="C2731" s="8">
        <f t="shared" si="91"/>
        <v>8</v>
      </c>
      <c r="D2731" s="85">
        <v>45152</v>
      </c>
      <c r="E2731" s="31"/>
      <c r="F2731" s="31">
        <v>14000</v>
      </c>
      <c r="G2731" s="31"/>
      <c r="H2731" s="31"/>
      <c r="I2731" s="31"/>
      <c r="J2731" s="5" t="s">
        <v>2133</v>
      </c>
      <c r="K2731" s="8"/>
    </row>
    <row r="2732" spans="1:11" x14ac:dyDescent="0.2">
      <c r="A2732" s="8">
        <v>1996.5</v>
      </c>
      <c r="B2732" s="8">
        <f t="shared" si="90"/>
        <v>2023</v>
      </c>
      <c r="C2732" s="8">
        <f t="shared" si="91"/>
        <v>8</v>
      </c>
      <c r="D2732" s="85">
        <v>45153</v>
      </c>
      <c r="E2732" s="31"/>
      <c r="F2732" s="31">
        <v>200000</v>
      </c>
      <c r="G2732" s="31"/>
      <c r="H2732" s="31"/>
      <c r="I2732" s="31"/>
      <c r="J2732" s="5" t="s">
        <v>2134</v>
      </c>
      <c r="K2732" s="8"/>
    </row>
    <row r="2733" spans="1:11" x14ac:dyDescent="0.2">
      <c r="A2733" s="8">
        <v>1979</v>
      </c>
      <c r="B2733" s="8">
        <f t="shared" si="90"/>
        <v>2023</v>
      </c>
      <c r="C2733" s="8">
        <f t="shared" si="91"/>
        <v>8</v>
      </c>
      <c r="D2733" s="85">
        <v>45153</v>
      </c>
      <c r="E2733" s="31"/>
      <c r="F2733" s="31">
        <v>7000</v>
      </c>
      <c r="G2733" s="31"/>
      <c r="H2733" s="31"/>
      <c r="I2733" s="31"/>
      <c r="J2733" s="5" t="s">
        <v>729</v>
      </c>
      <c r="K2733" s="8"/>
    </row>
    <row r="2734" spans="1:11" x14ac:dyDescent="0.2">
      <c r="A2734" s="8">
        <v>1961.5</v>
      </c>
      <c r="B2734" s="8">
        <f t="shared" si="90"/>
        <v>2023</v>
      </c>
      <c r="C2734" s="8">
        <f t="shared" si="91"/>
        <v>8</v>
      </c>
      <c r="D2734" s="85">
        <v>45153</v>
      </c>
      <c r="E2734" s="31">
        <v>0</v>
      </c>
      <c r="F2734" s="31">
        <v>675000</v>
      </c>
      <c r="G2734" s="31">
        <v>0</v>
      </c>
      <c r="H2734" s="31">
        <v>0</v>
      </c>
      <c r="I2734" s="31"/>
      <c r="J2734" s="5" t="s">
        <v>2135</v>
      </c>
      <c r="K2734" s="8"/>
    </row>
    <row r="2735" spans="1:11" x14ac:dyDescent="0.2">
      <c r="A2735" s="8">
        <v>1944</v>
      </c>
      <c r="B2735" s="8">
        <f t="shared" si="90"/>
        <v>2023</v>
      </c>
      <c r="C2735" s="8">
        <f t="shared" si="91"/>
        <v>8</v>
      </c>
      <c r="D2735" s="85">
        <v>45154</v>
      </c>
      <c r="E2735" s="31"/>
      <c r="F2735" s="31">
        <v>260000</v>
      </c>
      <c r="G2735" s="31"/>
      <c r="H2735" s="31"/>
      <c r="I2735" s="31"/>
      <c r="J2735" s="5" t="s">
        <v>2136</v>
      </c>
      <c r="K2735" s="8"/>
    </row>
    <row r="2736" spans="1:11" x14ac:dyDescent="0.2">
      <c r="A2736" s="8">
        <v>1926.5</v>
      </c>
      <c r="B2736" s="8">
        <f t="shared" si="90"/>
        <v>2023</v>
      </c>
      <c r="C2736" s="8">
        <f t="shared" si="91"/>
        <v>8</v>
      </c>
      <c r="D2736" s="85">
        <v>45154</v>
      </c>
      <c r="E2736" s="31"/>
      <c r="F2736" s="31">
        <v>12000</v>
      </c>
      <c r="G2736" s="31"/>
      <c r="H2736" s="31"/>
      <c r="I2736" s="31"/>
      <c r="J2736" s="5" t="s">
        <v>858</v>
      </c>
      <c r="K2736" s="8"/>
    </row>
    <row r="2737" spans="1:11" x14ac:dyDescent="0.2">
      <c r="A2737" s="8">
        <v>1909</v>
      </c>
      <c r="B2737" s="8">
        <f t="shared" si="90"/>
        <v>2023</v>
      </c>
      <c r="C2737" s="8">
        <f t="shared" si="91"/>
        <v>8</v>
      </c>
      <c r="D2737" s="85">
        <v>45154</v>
      </c>
      <c r="E2737" s="31"/>
      <c r="F2737" s="31">
        <v>7000</v>
      </c>
      <c r="G2737" s="31"/>
      <c r="H2737" s="31"/>
      <c r="I2737" s="31"/>
      <c r="J2737" s="5" t="s">
        <v>729</v>
      </c>
      <c r="K2737" s="8"/>
    </row>
    <row r="2738" spans="1:11" x14ac:dyDescent="0.2">
      <c r="A2738" s="8">
        <v>1891.5</v>
      </c>
      <c r="B2738" s="8">
        <f t="shared" si="90"/>
        <v>2023</v>
      </c>
      <c r="C2738" s="8">
        <f t="shared" si="91"/>
        <v>8</v>
      </c>
      <c r="D2738" s="85">
        <v>45154</v>
      </c>
      <c r="E2738" s="31"/>
      <c r="F2738" s="31">
        <v>40000</v>
      </c>
      <c r="G2738" s="31"/>
      <c r="H2738" s="31"/>
      <c r="I2738" s="31"/>
      <c r="J2738" s="5" t="s">
        <v>2137</v>
      </c>
      <c r="K2738" s="8"/>
    </row>
    <row r="2739" spans="1:11" x14ac:dyDescent="0.2">
      <c r="A2739" s="8">
        <v>1874</v>
      </c>
      <c r="B2739" s="8">
        <f t="shared" si="90"/>
        <v>2023</v>
      </c>
      <c r="C2739" s="8">
        <f t="shared" si="91"/>
        <v>8</v>
      </c>
      <c r="D2739" s="85">
        <v>45155</v>
      </c>
      <c r="E2739" s="31"/>
      <c r="F2739" s="31">
        <v>7000</v>
      </c>
      <c r="G2739" s="31"/>
      <c r="H2739" s="31"/>
      <c r="I2739" s="31"/>
      <c r="J2739" s="5" t="s">
        <v>729</v>
      </c>
      <c r="K2739" s="8"/>
    </row>
    <row r="2740" spans="1:11" x14ac:dyDescent="0.2">
      <c r="A2740" s="8">
        <v>2119</v>
      </c>
      <c r="B2740" s="8">
        <f t="shared" si="90"/>
        <v>2023</v>
      </c>
      <c r="C2740" s="8">
        <f t="shared" si="91"/>
        <v>8</v>
      </c>
      <c r="D2740" s="85">
        <v>45155</v>
      </c>
      <c r="E2740" s="31"/>
      <c r="F2740" s="31">
        <v>70000</v>
      </c>
      <c r="G2740" s="31"/>
      <c r="H2740" s="31"/>
      <c r="I2740" s="31"/>
      <c r="J2740" s="5" t="s">
        <v>2138</v>
      </c>
      <c r="K2740" s="8"/>
    </row>
    <row r="2741" spans="1:11" x14ac:dyDescent="0.2">
      <c r="A2741" s="8">
        <v>2114</v>
      </c>
      <c r="B2741" s="8">
        <f t="shared" si="90"/>
        <v>2023</v>
      </c>
      <c r="C2741" s="8">
        <f t="shared" si="91"/>
        <v>8</v>
      </c>
      <c r="D2741" s="85">
        <v>45155</v>
      </c>
      <c r="E2741" s="31"/>
      <c r="F2741" s="31">
        <v>20000</v>
      </c>
      <c r="G2741" s="31"/>
      <c r="H2741" s="31"/>
      <c r="I2741" s="31"/>
      <c r="J2741" s="5" t="s">
        <v>85</v>
      </c>
      <c r="K2741" s="8"/>
    </row>
    <row r="2742" spans="1:11" x14ac:dyDescent="0.2">
      <c r="A2742" s="8">
        <v>2109</v>
      </c>
      <c r="B2742" s="8">
        <f t="shared" si="90"/>
        <v>2023</v>
      </c>
      <c r="C2742" s="8">
        <f t="shared" si="91"/>
        <v>8</v>
      </c>
      <c r="D2742" s="85">
        <v>45156</v>
      </c>
      <c r="E2742" s="31"/>
      <c r="F2742" s="31">
        <v>10000</v>
      </c>
      <c r="G2742" s="31"/>
      <c r="H2742" s="31"/>
      <c r="I2742" s="31"/>
      <c r="J2742" s="5" t="s">
        <v>729</v>
      </c>
      <c r="K2742" s="8"/>
    </row>
    <row r="2743" spans="1:11" x14ac:dyDescent="0.2">
      <c r="A2743" s="8">
        <v>2104</v>
      </c>
      <c r="B2743" s="8">
        <f t="shared" si="90"/>
        <v>2023</v>
      </c>
      <c r="C2743" s="8">
        <f t="shared" si="91"/>
        <v>8</v>
      </c>
      <c r="D2743" s="85">
        <v>45156</v>
      </c>
      <c r="E2743" s="31">
        <v>840000</v>
      </c>
      <c r="F2743" s="31">
        <v>400000</v>
      </c>
      <c r="G2743" s="31"/>
      <c r="H2743" s="31"/>
      <c r="I2743" s="31"/>
      <c r="J2743" s="5" t="s">
        <v>2139</v>
      </c>
      <c r="K2743" s="8"/>
    </row>
    <row r="2744" spans="1:11" x14ac:dyDescent="0.2">
      <c r="A2744" s="8">
        <v>2099</v>
      </c>
      <c r="B2744" s="8">
        <f t="shared" si="90"/>
        <v>2023</v>
      </c>
      <c r="C2744" s="8">
        <f t="shared" si="91"/>
        <v>8</v>
      </c>
      <c r="D2744" s="85">
        <v>45156</v>
      </c>
      <c r="E2744" s="31"/>
      <c r="F2744" s="31">
        <v>50000</v>
      </c>
      <c r="G2744" s="31"/>
      <c r="H2744" s="31"/>
      <c r="I2744" s="31"/>
      <c r="J2744" s="5" t="s">
        <v>85</v>
      </c>
      <c r="K2744" s="8"/>
    </row>
    <row r="2745" spans="1:11" x14ac:dyDescent="0.2">
      <c r="A2745" s="8">
        <v>2094</v>
      </c>
      <c r="B2745" s="8">
        <f t="shared" si="90"/>
        <v>2023</v>
      </c>
      <c r="C2745" s="8">
        <f t="shared" si="91"/>
        <v>8</v>
      </c>
      <c r="D2745" s="85">
        <v>45156</v>
      </c>
      <c r="E2745" s="31"/>
      <c r="F2745" s="31">
        <v>90000</v>
      </c>
      <c r="G2745" s="31"/>
      <c r="H2745" s="31"/>
      <c r="I2745" s="31"/>
      <c r="J2745" s="5" t="s">
        <v>1624</v>
      </c>
      <c r="K2745" s="8"/>
    </row>
    <row r="2746" spans="1:11" x14ac:dyDescent="0.2">
      <c r="A2746" s="8">
        <v>2089</v>
      </c>
      <c r="B2746" s="8">
        <f t="shared" si="90"/>
        <v>2023</v>
      </c>
      <c r="C2746" s="8">
        <f t="shared" si="91"/>
        <v>8</v>
      </c>
      <c r="D2746" s="85">
        <v>45157</v>
      </c>
      <c r="E2746" s="31"/>
      <c r="F2746" s="31">
        <v>35000</v>
      </c>
      <c r="G2746" s="31"/>
      <c r="H2746" s="31"/>
      <c r="I2746" s="31"/>
      <c r="J2746" s="5" t="s">
        <v>946</v>
      </c>
      <c r="K2746" s="8"/>
    </row>
    <row r="2747" spans="1:11" x14ac:dyDescent="0.2">
      <c r="A2747" s="8">
        <v>2084</v>
      </c>
      <c r="B2747" s="8">
        <f t="shared" si="90"/>
        <v>2023</v>
      </c>
      <c r="C2747" s="8">
        <f t="shared" si="91"/>
        <v>8</v>
      </c>
      <c r="D2747" s="85">
        <v>45157</v>
      </c>
      <c r="E2747" s="31"/>
      <c r="F2747" s="31">
        <v>50000</v>
      </c>
      <c r="G2747" s="31"/>
      <c r="H2747" s="31"/>
      <c r="I2747" s="31"/>
      <c r="J2747" s="5" t="s">
        <v>2140</v>
      </c>
      <c r="K2747" s="8"/>
    </row>
    <row r="2748" spans="1:11" x14ac:dyDescent="0.2">
      <c r="A2748" s="8">
        <v>2074</v>
      </c>
      <c r="B2748" s="8">
        <f t="shared" si="90"/>
        <v>2023</v>
      </c>
      <c r="C2748" s="8">
        <f t="shared" si="91"/>
        <v>8</v>
      </c>
      <c r="D2748" s="85">
        <v>45157</v>
      </c>
      <c r="E2748" s="31"/>
      <c r="F2748" s="31">
        <v>10000</v>
      </c>
      <c r="G2748" s="31"/>
      <c r="H2748" s="31"/>
      <c r="I2748" s="31"/>
      <c r="J2748" s="5" t="s">
        <v>2141</v>
      </c>
      <c r="K2748" s="8"/>
    </row>
    <row r="2749" spans="1:11" x14ac:dyDescent="0.2">
      <c r="A2749" s="8">
        <v>2069</v>
      </c>
      <c r="B2749" s="8">
        <f t="shared" si="90"/>
        <v>2023</v>
      </c>
      <c r="C2749" s="8">
        <f t="shared" si="91"/>
        <v>8</v>
      </c>
      <c r="D2749" s="85">
        <v>45157</v>
      </c>
      <c r="E2749" s="31"/>
      <c r="F2749" s="31">
        <v>2250000</v>
      </c>
      <c r="G2749" s="31"/>
      <c r="H2749" s="31"/>
      <c r="I2749" s="31"/>
      <c r="J2749" s="5" t="s">
        <v>2142</v>
      </c>
      <c r="K2749" s="8"/>
    </row>
    <row r="2750" spans="1:11" x14ac:dyDescent="0.2">
      <c r="A2750" s="8">
        <v>2064</v>
      </c>
      <c r="B2750" s="8">
        <f t="shared" si="90"/>
        <v>2023</v>
      </c>
      <c r="C2750" s="8">
        <f t="shared" si="91"/>
        <v>8</v>
      </c>
      <c r="D2750" s="85">
        <v>45158</v>
      </c>
      <c r="E2750" s="31"/>
      <c r="F2750" s="31">
        <v>150000</v>
      </c>
      <c r="G2750" s="31"/>
      <c r="H2750" s="31"/>
      <c r="I2750" s="31"/>
      <c r="J2750" s="5" t="s">
        <v>2143</v>
      </c>
      <c r="K2750" s="8"/>
    </row>
    <row r="2751" spans="1:11" x14ac:dyDescent="0.2">
      <c r="A2751" s="8">
        <v>2059</v>
      </c>
      <c r="B2751" s="8">
        <f t="shared" si="90"/>
        <v>2023</v>
      </c>
      <c r="C2751" s="8">
        <f t="shared" si="91"/>
        <v>8</v>
      </c>
      <c r="D2751" s="85">
        <v>45159</v>
      </c>
      <c r="E2751" s="31"/>
      <c r="F2751" s="31">
        <v>70000</v>
      </c>
      <c r="G2751" s="31"/>
      <c r="H2751" s="31"/>
      <c r="I2751" s="31"/>
      <c r="J2751" s="5" t="s">
        <v>80</v>
      </c>
      <c r="K2751" s="8"/>
    </row>
    <row r="2752" spans="1:11" x14ac:dyDescent="0.2">
      <c r="A2752" s="8">
        <v>2054</v>
      </c>
      <c r="B2752" s="8">
        <f t="shared" si="90"/>
        <v>2023</v>
      </c>
      <c r="C2752" s="8">
        <f t="shared" si="91"/>
        <v>8</v>
      </c>
      <c r="D2752" s="85">
        <v>45160</v>
      </c>
      <c r="E2752" s="31"/>
      <c r="F2752" s="31">
        <v>14000</v>
      </c>
      <c r="G2752" s="31"/>
      <c r="H2752" s="31"/>
      <c r="I2752" s="31"/>
      <c r="J2752" s="5" t="s">
        <v>946</v>
      </c>
      <c r="K2752" s="8"/>
    </row>
    <row r="2753" spans="1:11" x14ac:dyDescent="0.2">
      <c r="A2753" s="8">
        <v>2049</v>
      </c>
      <c r="B2753" s="8">
        <f t="shared" si="90"/>
        <v>2023</v>
      </c>
      <c r="C2753" s="8">
        <f t="shared" si="91"/>
        <v>8</v>
      </c>
      <c r="D2753" s="85">
        <v>45160</v>
      </c>
      <c r="E2753" s="31"/>
      <c r="F2753" s="31">
        <v>24000</v>
      </c>
      <c r="G2753" s="31"/>
      <c r="H2753" s="31"/>
      <c r="I2753" s="31"/>
      <c r="J2753" s="5" t="s">
        <v>458</v>
      </c>
      <c r="K2753" s="8"/>
    </row>
    <row r="2754" spans="1:11" x14ac:dyDescent="0.2">
      <c r="A2754" s="8">
        <v>2044</v>
      </c>
      <c r="B2754" s="8">
        <f t="shared" si="90"/>
        <v>2023</v>
      </c>
      <c r="C2754" s="8">
        <f t="shared" si="91"/>
        <v>8</v>
      </c>
      <c r="D2754" s="85">
        <v>45160</v>
      </c>
      <c r="E2754" s="31"/>
      <c r="F2754" s="31">
        <v>35000</v>
      </c>
      <c r="G2754" s="31"/>
      <c r="H2754" s="31"/>
      <c r="I2754" s="31"/>
      <c r="J2754" s="5" t="s">
        <v>2144</v>
      </c>
      <c r="K2754" s="8"/>
    </row>
    <row r="2755" spans="1:11" x14ac:dyDescent="0.2">
      <c r="A2755" s="8">
        <v>2039</v>
      </c>
      <c r="B2755" s="8">
        <f t="shared" ref="B2755:B2818" si="92">YEAR(D2755)</f>
        <v>2023</v>
      </c>
      <c r="C2755" s="8">
        <f t="shared" ref="C2755:C2818" si="93">MONTH(D2755)</f>
        <v>8</v>
      </c>
      <c r="D2755" s="85">
        <v>45160</v>
      </c>
      <c r="E2755" s="31"/>
      <c r="F2755" s="31">
        <v>4000</v>
      </c>
      <c r="G2755" s="31"/>
      <c r="H2755" s="31"/>
      <c r="I2755" s="31"/>
      <c r="J2755" s="5" t="s">
        <v>2145</v>
      </c>
      <c r="K2755" s="8"/>
    </row>
    <row r="2756" spans="1:11" x14ac:dyDescent="0.2">
      <c r="A2756" s="8">
        <v>2040</v>
      </c>
      <c r="B2756" s="8">
        <f t="shared" si="92"/>
        <v>2023</v>
      </c>
      <c r="C2756" s="8">
        <f t="shared" si="93"/>
        <v>8</v>
      </c>
      <c r="D2756" s="85">
        <v>45161</v>
      </c>
      <c r="E2756" s="31"/>
      <c r="F2756" s="31">
        <v>14000</v>
      </c>
      <c r="G2756" s="31"/>
      <c r="H2756" s="31"/>
      <c r="I2756" s="31"/>
      <c r="J2756" s="5" t="s">
        <v>946</v>
      </c>
      <c r="K2756" s="8"/>
    </row>
    <row r="2757" spans="1:11" x14ac:dyDescent="0.2">
      <c r="A2757" s="8">
        <v>2041</v>
      </c>
      <c r="B2757" s="8">
        <f t="shared" si="92"/>
        <v>2023</v>
      </c>
      <c r="C2757" s="8">
        <f t="shared" si="93"/>
        <v>8</v>
      </c>
      <c r="D2757" s="85">
        <v>45161</v>
      </c>
      <c r="E2757" s="31"/>
      <c r="F2757" s="31">
        <v>20000</v>
      </c>
      <c r="G2757" s="31"/>
      <c r="H2757" s="31"/>
      <c r="I2757" s="31"/>
      <c r="J2757" s="5" t="s">
        <v>458</v>
      </c>
      <c r="K2757" s="8"/>
    </row>
    <row r="2758" spans="1:11" x14ac:dyDescent="0.2">
      <c r="A2758" s="8">
        <v>2042</v>
      </c>
      <c r="B2758" s="8">
        <f t="shared" si="92"/>
        <v>2023</v>
      </c>
      <c r="C2758" s="8">
        <f t="shared" si="93"/>
        <v>8</v>
      </c>
      <c r="D2758" s="85">
        <v>45162</v>
      </c>
      <c r="E2758" s="31"/>
      <c r="F2758" s="31">
        <v>150000</v>
      </c>
      <c r="G2758" s="31"/>
      <c r="H2758" s="31"/>
      <c r="I2758" s="31"/>
      <c r="J2758" s="5" t="s">
        <v>2146</v>
      </c>
      <c r="K2758" s="8"/>
    </row>
    <row r="2759" spans="1:11" x14ac:dyDescent="0.2">
      <c r="A2759" s="8">
        <v>2043</v>
      </c>
      <c r="B2759" s="8">
        <f t="shared" si="92"/>
        <v>2023</v>
      </c>
      <c r="C2759" s="8">
        <f t="shared" si="93"/>
        <v>8</v>
      </c>
      <c r="D2759" s="85">
        <v>45162</v>
      </c>
      <c r="E2759" s="31"/>
      <c r="F2759" s="31">
        <v>50000</v>
      </c>
      <c r="G2759" s="31"/>
      <c r="H2759" s="31"/>
      <c r="I2759" s="31"/>
      <c r="J2759" s="5" t="s">
        <v>2147</v>
      </c>
      <c r="K2759" s="8"/>
    </row>
    <row r="2760" spans="1:11" x14ac:dyDescent="0.2">
      <c r="A2760" s="8">
        <v>2044</v>
      </c>
      <c r="B2760" s="8">
        <f t="shared" si="92"/>
        <v>2023</v>
      </c>
      <c r="C2760" s="8">
        <f t="shared" si="93"/>
        <v>8</v>
      </c>
      <c r="D2760" s="85">
        <v>45162</v>
      </c>
      <c r="E2760" s="31">
        <v>0</v>
      </c>
      <c r="F2760" s="31">
        <v>300000</v>
      </c>
      <c r="G2760" s="31">
        <v>0</v>
      </c>
      <c r="H2760" s="31">
        <v>0</v>
      </c>
      <c r="I2760" s="31" t="s">
        <v>92</v>
      </c>
      <c r="J2760" s="5" t="s">
        <v>2148</v>
      </c>
      <c r="K2760" s="8"/>
    </row>
    <row r="2761" spans="1:11" x14ac:dyDescent="0.2">
      <c r="A2761" s="8">
        <v>2045</v>
      </c>
      <c r="B2761" s="8">
        <f t="shared" si="92"/>
        <v>2023</v>
      </c>
      <c r="C2761" s="8">
        <f t="shared" si="93"/>
        <v>8</v>
      </c>
      <c r="D2761" s="85">
        <v>45162</v>
      </c>
      <c r="E2761" s="31"/>
      <c r="F2761" s="31">
        <v>15000</v>
      </c>
      <c r="G2761" s="31"/>
      <c r="H2761" s="31"/>
      <c r="I2761" s="31"/>
      <c r="J2761" s="5" t="s">
        <v>197</v>
      </c>
      <c r="K2761" s="8"/>
    </row>
    <row r="2762" spans="1:11" x14ac:dyDescent="0.2">
      <c r="A2762" s="8">
        <v>2046</v>
      </c>
      <c r="B2762" s="8">
        <f t="shared" si="92"/>
        <v>2023</v>
      </c>
      <c r="C2762" s="8">
        <f t="shared" si="93"/>
        <v>8</v>
      </c>
      <c r="D2762" s="85">
        <v>45163</v>
      </c>
      <c r="E2762" s="31"/>
      <c r="F2762" s="31">
        <v>100000</v>
      </c>
      <c r="G2762" s="31"/>
      <c r="H2762" s="31"/>
      <c r="I2762" s="31"/>
      <c r="J2762" s="5" t="s">
        <v>85</v>
      </c>
      <c r="K2762" s="8"/>
    </row>
    <row r="2763" spans="1:11" x14ac:dyDescent="0.2">
      <c r="A2763" s="8">
        <v>2047</v>
      </c>
      <c r="B2763" s="8">
        <f t="shared" si="92"/>
        <v>2023</v>
      </c>
      <c r="C2763" s="8">
        <f t="shared" si="93"/>
        <v>8</v>
      </c>
      <c r="D2763" s="85">
        <v>45164</v>
      </c>
      <c r="E2763" s="31"/>
      <c r="F2763" s="31">
        <v>20000</v>
      </c>
      <c r="G2763" s="31"/>
      <c r="H2763" s="31"/>
      <c r="I2763" s="31"/>
      <c r="J2763" s="5" t="s">
        <v>2149</v>
      </c>
      <c r="K2763" s="8"/>
    </row>
    <row r="2764" spans="1:11" x14ac:dyDescent="0.2">
      <c r="A2764" s="8">
        <v>2048</v>
      </c>
      <c r="B2764" s="8">
        <f t="shared" si="92"/>
        <v>2023</v>
      </c>
      <c r="C2764" s="8">
        <f t="shared" si="93"/>
        <v>8</v>
      </c>
      <c r="D2764" s="85">
        <v>45164</v>
      </c>
      <c r="E2764" s="31"/>
      <c r="F2764" s="31">
        <v>170000</v>
      </c>
      <c r="G2764" s="31"/>
      <c r="H2764" s="31"/>
      <c r="I2764" s="31"/>
      <c r="J2764" s="5" t="s">
        <v>2150</v>
      </c>
      <c r="K2764" s="8"/>
    </row>
    <row r="2765" spans="1:11" x14ac:dyDescent="0.2">
      <c r="A2765" s="8">
        <v>2049</v>
      </c>
      <c r="B2765" s="8">
        <f t="shared" si="92"/>
        <v>2023</v>
      </c>
      <c r="C2765" s="8">
        <f t="shared" si="93"/>
        <v>8</v>
      </c>
      <c r="D2765" s="85">
        <v>45165</v>
      </c>
      <c r="E2765" s="31"/>
      <c r="F2765" s="31">
        <v>410000</v>
      </c>
      <c r="G2765" s="31"/>
      <c r="H2765" s="31"/>
      <c r="I2765" s="31"/>
      <c r="J2765" s="5" t="s">
        <v>2151</v>
      </c>
      <c r="K2765" s="8"/>
    </row>
    <row r="2766" spans="1:11" x14ac:dyDescent="0.2">
      <c r="A2766" s="8">
        <v>2051</v>
      </c>
      <c r="B2766" s="8">
        <f t="shared" si="92"/>
        <v>2023</v>
      </c>
      <c r="C2766" s="8">
        <f t="shared" si="93"/>
        <v>8</v>
      </c>
      <c r="D2766" s="85">
        <v>45165</v>
      </c>
      <c r="E2766" s="31"/>
      <c r="F2766" s="31">
        <v>75000</v>
      </c>
      <c r="G2766" s="31"/>
      <c r="H2766" s="31"/>
      <c r="I2766" s="31"/>
      <c r="J2766" s="5" t="s">
        <v>356</v>
      </c>
      <c r="K2766" s="8"/>
    </row>
    <row r="2767" spans="1:11" x14ac:dyDescent="0.2">
      <c r="A2767" s="8">
        <v>2052</v>
      </c>
      <c r="B2767" s="8">
        <f t="shared" si="92"/>
        <v>2023</v>
      </c>
      <c r="C2767" s="8">
        <f t="shared" si="93"/>
        <v>8</v>
      </c>
      <c r="D2767" s="85">
        <v>45165</v>
      </c>
      <c r="E2767" s="31"/>
      <c r="F2767" s="31">
        <v>230000</v>
      </c>
      <c r="G2767" s="31"/>
      <c r="H2767" s="31"/>
      <c r="I2767" s="31"/>
      <c r="J2767" s="5" t="s">
        <v>2152</v>
      </c>
      <c r="K2767" s="8"/>
    </row>
    <row r="2768" spans="1:11" x14ac:dyDescent="0.2">
      <c r="A2768" s="8">
        <v>2053</v>
      </c>
      <c r="B2768" s="8">
        <f t="shared" si="92"/>
        <v>2023</v>
      </c>
      <c r="C2768" s="8">
        <f t="shared" si="93"/>
        <v>8</v>
      </c>
      <c r="D2768" s="85">
        <v>45165</v>
      </c>
      <c r="E2768" s="31"/>
      <c r="F2768" s="31">
        <v>50000</v>
      </c>
      <c r="G2768" s="31"/>
      <c r="H2768" s="31"/>
      <c r="I2768" s="31"/>
      <c r="J2768" s="5" t="s">
        <v>120</v>
      </c>
      <c r="K2768" s="8"/>
    </row>
    <row r="2769" spans="1:11" x14ac:dyDescent="0.2">
      <c r="A2769" s="8">
        <v>2054</v>
      </c>
      <c r="B2769" s="8">
        <f t="shared" si="92"/>
        <v>2023</v>
      </c>
      <c r="C2769" s="8">
        <f t="shared" si="93"/>
        <v>8</v>
      </c>
      <c r="D2769" s="85">
        <v>45166</v>
      </c>
      <c r="E2769" s="31"/>
      <c r="F2769" s="31">
        <v>7000</v>
      </c>
      <c r="G2769" s="31"/>
      <c r="H2769" s="31"/>
      <c r="I2769" s="31"/>
      <c r="J2769" s="5" t="s">
        <v>1273</v>
      </c>
      <c r="K2769" s="8"/>
    </row>
    <row r="2770" spans="1:11" x14ac:dyDescent="0.2">
      <c r="A2770" s="8">
        <v>2055</v>
      </c>
      <c r="B2770" s="8">
        <f t="shared" si="92"/>
        <v>2023</v>
      </c>
      <c r="C2770" s="8">
        <f t="shared" si="93"/>
        <v>8</v>
      </c>
      <c r="D2770" s="85">
        <v>45166</v>
      </c>
      <c r="E2770" s="31"/>
      <c r="F2770" s="31">
        <v>50000</v>
      </c>
      <c r="G2770" s="31"/>
      <c r="H2770" s="31"/>
      <c r="I2770" s="31"/>
      <c r="J2770" s="5" t="s">
        <v>287</v>
      </c>
      <c r="K2770" s="8"/>
    </row>
    <row r="2771" spans="1:11" x14ac:dyDescent="0.2">
      <c r="A2771" s="8">
        <v>2056</v>
      </c>
      <c r="B2771" s="8">
        <f t="shared" si="92"/>
        <v>2023</v>
      </c>
      <c r="C2771" s="8">
        <f t="shared" si="93"/>
        <v>8</v>
      </c>
      <c r="D2771" s="85">
        <v>45167</v>
      </c>
      <c r="E2771" s="31"/>
      <c r="F2771" s="31">
        <v>7000</v>
      </c>
      <c r="G2771" s="31"/>
      <c r="H2771" s="31"/>
      <c r="I2771" s="31"/>
      <c r="J2771" s="5" t="s">
        <v>1273</v>
      </c>
      <c r="K2771" s="8"/>
    </row>
    <row r="2772" spans="1:11" x14ac:dyDescent="0.2">
      <c r="A2772" s="8">
        <v>2057</v>
      </c>
      <c r="B2772" s="8">
        <f t="shared" si="92"/>
        <v>2023</v>
      </c>
      <c r="C2772" s="8">
        <f t="shared" si="93"/>
        <v>8</v>
      </c>
      <c r="D2772" s="85">
        <v>45167</v>
      </c>
      <c r="E2772" s="31"/>
      <c r="F2772" s="31">
        <v>400000</v>
      </c>
      <c r="G2772" s="31"/>
      <c r="H2772" s="31"/>
      <c r="I2772" s="31"/>
      <c r="J2772" s="5" t="s">
        <v>2153</v>
      </c>
      <c r="K2772" s="8"/>
    </row>
    <row r="2773" spans="1:11" x14ac:dyDescent="0.2">
      <c r="A2773" s="8">
        <v>2058</v>
      </c>
      <c r="B2773" s="8">
        <f t="shared" si="92"/>
        <v>2023</v>
      </c>
      <c r="C2773" s="8">
        <f t="shared" si="93"/>
        <v>8</v>
      </c>
      <c r="D2773" s="85">
        <v>45167</v>
      </c>
      <c r="E2773" s="31"/>
      <c r="F2773" s="31">
        <v>100000</v>
      </c>
      <c r="G2773" s="31"/>
      <c r="H2773" s="31"/>
      <c r="I2773" s="31"/>
      <c r="J2773" s="5" t="s">
        <v>2154</v>
      </c>
      <c r="K2773" s="8"/>
    </row>
    <row r="2774" spans="1:11" x14ac:dyDescent="0.2">
      <c r="A2774" s="8">
        <v>2059</v>
      </c>
      <c r="B2774" s="8">
        <f t="shared" si="92"/>
        <v>2023</v>
      </c>
      <c r="C2774" s="8">
        <f t="shared" si="93"/>
        <v>8</v>
      </c>
      <c r="D2774" s="85">
        <v>45168</v>
      </c>
      <c r="E2774" s="31"/>
      <c r="F2774" s="31">
        <v>14000</v>
      </c>
      <c r="G2774" s="31"/>
      <c r="H2774" s="31"/>
      <c r="I2774" s="31"/>
      <c r="J2774" s="5" t="s">
        <v>89</v>
      </c>
      <c r="K2774" s="8"/>
    </row>
    <row r="2775" spans="1:11" x14ac:dyDescent="0.2">
      <c r="A2775" s="8">
        <v>2060</v>
      </c>
      <c r="B2775" s="8">
        <f t="shared" si="92"/>
        <v>2023</v>
      </c>
      <c r="C2775" s="8">
        <f t="shared" si="93"/>
        <v>8</v>
      </c>
      <c r="D2775" s="85">
        <v>45168</v>
      </c>
      <c r="E2775" s="31"/>
      <c r="F2775" s="31">
        <v>380000</v>
      </c>
      <c r="G2775" s="31"/>
      <c r="H2775" s="31"/>
      <c r="I2775" s="31"/>
      <c r="J2775" s="5" t="s">
        <v>2155</v>
      </c>
      <c r="K2775" s="8"/>
    </row>
    <row r="2776" spans="1:11" x14ac:dyDescent="0.2">
      <c r="A2776" s="8">
        <v>2061</v>
      </c>
      <c r="B2776" s="8">
        <f t="shared" si="92"/>
        <v>2023</v>
      </c>
      <c r="C2776" s="8">
        <f t="shared" si="93"/>
        <v>8</v>
      </c>
      <c r="D2776" s="85">
        <v>45168</v>
      </c>
      <c r="E2776" s="31"/>
      <c r="F2776" s="31">
        <v>150000</v>
      </c>
      <c r="G2776" s="31"/>
      <c r="H2776" s="31"/>
      <c r="I2776" s="31"/>
      <c r="J2776" s="5" t="s">
        <v>2156</v>
      </c>
      <c r="K2776" s="8"/>
    </row>
    <row r="2777" spans="1:11" x14ac:dyDescent="0.2">
      <c r="A2777" s="8">
        <v>2329</v>
      </c>
      <c r="B2777" s="8">
        <f t="shared" si="92"/>
        <v>2023</v>
      </c>
      <c r="C2777" s="8">
        <f t="shared" si="93"/>
        <v>8</v>
      </c>
      <c r="D2777" s="85">
        <v>45168</v>
      </c>
      <c r="E2777" s="31">
        <v>3000000</v>
      </c>
      <c r="F2777" s="31">
        <v>2700000</v>
      </c>
      <c r="G2777" s="31">
        <v>0</v>
      </c>
      <c r="H2777" s="31">
        <v>0</v>
      </c>
      <c r="I2777" s="31" t="s">
        <v>109</v>
      </c>
      <c r="J2777" s="5" t="s">
        <v>2157</v>
      </c>
      <c r="K2777" s="8"/>
    </row>
    <row r="2778" spans="1:11" x14ac:dyDescent="0.2">
      <c r="A2778" s="8">
        <v>2062</v>
      </c>
      <c r="B2778" s="8">
        <f t="shared" si="92"/>
        <v>2023</v>
      </c>
      <c r="C2778" s="8">
        <f t="shared" si="93"/>
        <v>8</v>
      </c>
      <c r="D2778" s="85">
        <v>45169</v>
      </c>
      <c r="E2778" s="31"/>
      <c r="F2778" s="31">
        <v>45000</v>
      </c>
      <c r="G2778" s="31"/>
      <c r="H2778" s="31"/>
      <c r="I2778" s="31"/>
      <c r="J2778" s="5" t="s">
        <v>356</v>
      </c>
      <c r="K2778" s="8"/>
    </row>
    <row r="2779" spans="1:11" x14ac:dyDescent="0.2">
      <c r="A2779" s="8">
        <v>2063</v>
      </c>
      <c r="B2779" s="8">
        <f t="shared" si="92"/>
        <v>2023</v>
      </c>
      <c r="C2779" s="8">
        <f t="shared" si="93"/>
        <v>8</v>
      </c>
      <c r="D2779" s="85">
        <v>45169</v>
      </c>
      <c r="E2779" s="31"/>
      <c r="F2779" s="31">
        <v>50000</v>
      </c>
      <c r="G2779" s="31"/>
      <c r="H2779" s="31"/>
      <c r="I2779" s="31"/>
      <c r="J2779" s="5" t="s">
        <v>287</v>
      </c>
      <c r="K2779" s="8"/>
    </row>
    <row r="2780" spans="1:11" x14ac:dyDescent="0.2">
      <c r="A2780" s="8">
        <v>2064</v>
      </c>
      <c r="B2780" s="8">
        <f t="shared" si="92"/>
        <v>2023</v>
      </c>
      <c r="C2780" s="8">
        <f t="shared" si="93"/>
        <v>9</v>
      </c>
      <c r="D2780" s="85">
        <v>45170</v>
      </c>
      <c r="E2780" s="31"/>
      <c r="F2780" s="31">
        <v>70000</v>
      </c>
      <c r="G2780" s="31"/>
      <c r="H2780" s="31"/>
      <c r="I2780" s="31"/>
      <c r="J2780" s="5" t="s">
        <v>2158</v>
      </c>
      <c r="K2780" s="8"/>
    </row>
    <row r="2781" spans="1:11" x14ac:dyDescent="0.2">
      <c r="A2781" s="8">
        <v>2065</v>
      </c>
      <c r="B2781" s="8">
        <f t="shared" si="92"/>
        <v>2023</v>
      </c>
      <c r="C2781" s="8">
        <f t="shared" si="93"/>
        <v>9</v>
      </c>
      <c r="D2781" s="85">
        <v>45170</v>
      </c>
      <c r="E2781" s="31"/>
      <c r="F2781" s="31">
        <v>23000</v>
      </c>
      <c r="G2781" s="31"/>
      <c r="H2781" s="31"/>
      <c r="I2781" s="31"/>
      <c r="J2781" s="5" t="s">
        <v>356</v>
      </c>
      <c r="K2781" s="8"/>
    </row>
    <row r="2782" spans="1:11" x14ac:dyDescent="0.2">
      <c r="A2782" s="8">
        <v>2066</v>
      </c>
      <c r="B2782" s="8">
        <f t="shared" si="92"/>
        <v>2023</v>
      </c>
      <c r="C2782" s="8">
        <f t="shared" si="93"/>
        <v>9</v>
      </c>
      <c r="D2782" s="85">
        <v>45171</v>
      </c>
      <c r="E2782" s="31"/>
      <c r="F2782" s="31">
        <v>60000</v>
      </c>
      <c r="G2782" s="31"/>
      <c r="H2782" s="31"/>
      <c r="I2782" s="31"/>
      <c r="J2782" s="5" t="s">
        <v>2159</v>
      </c>
      <c r="K2782" s="8"/>
    </row>
    <row r="2783" spans="1:11" x14ac:dyDescent="0.2">
      <c r="A2783" s="8">
        <v>2067</v>
      </c>
      <c r="B2783" s="8">
        <f t="shared" si="92"/>
        <v>2023</v>
      </c>
      <c r="C2783" s="8">
        <f t="shared" si="93"/>
        <v>9</v>
      </c>
      <c r="D2783" s="85">
        <v>45171</v>
      </c>
      <c r="E2783" s="31"/>
      <c r="F2783" s="31">
        <v>150000</v>
      </c>
      <c r="G2783" s="31"/>
      <c r="H2783" s="31"/>
      <c r="I2783" s="31"/>
      <c r="J2783" s="5" t="s">
        <v>2160</v>
      </c>
      <c r="K2783" s="8"/>
    </row>
    <row r="2784" spans="1:11" x14ac:dyDescent="0.2">
      <c r="A2784" s="8">
        <v>2068</v>
      </c>
      <c r="B2784" s="8">
        <f t="shared" si="92"/>
        <v>2023</v>
      </c>
      <c r="C2784" s="8">
        <f t="shared" si="93"/>
        <v>9</v>
      </c>
      <c r="D2784" s="85">
        <v>45170</v>
      </c>
      <c r="E2784" s="31">
        <v>2000000</v>
      </c>
      <c r="F2784" s="31"/>
      <c r="G2784" s="31"/>
      <c r="H2784" s="31"/>
      <c r="I2784" s="31"/>
      <c r="J2784" s="5" t="s">
        <v>1546</v>
      </c>
      <c r="K2784" s="8"/>
    </row>
    <row r="2785" spans="1:11" x14ac:dyDescent="0.2">
      <c r="A2785" s="8">
        <v>2069</v>
      </c>
      <c r="B2785" s="8">
        <f t="shared" si="92"/>
        <v>2023</v>
      </c>
      <c r="C2785" s="8">
        <f t="shared" si="93"/>
        <v>9</v>
      </c>
      <c r="D2785" s="85">
        <v>45172</v>
      </c>
      <c r="E2785" s="31"/>
      <c r="F2785" s="31">
        <v>10000</v>
      </c>
      <c r="G2785" s="31"/>
      <c r="H2785" s="31"/>
      <c r="I2785" s="31"/>
      <c r="J2785" s="5" t="s">
        <v>89</v>
      </c>
      <c r="K2785" s="8"/>
    </row>
    <row r="2786" spans="1:11" x14ac:dyDescent="0.2">
      <c r="A2786" s="8">
        <v>2070</v>
      </c>
      <c r="B2786" s="8">
        <f t="shared" si="92"/>
        <v>2023</v>
      </c>
      <c r="C2786" s="8">
        <f t="shared" si="93"/>
        <v>9</v>
      </c>
      <c r="D2786" s="85">
        <v>45173</v>
      </c>
      <c r="E2786" s="31"/>
      <c r="F2786" s="31">
        <v>50000</v>
      </c>
      <c r="G2786" s="31"/>
      <c r="H2786" s="31"/>
      <c r="I2786" s="31"/>
      <c r="J2786" s="5"/>
      <c r="K2786" s="8"/>
    </row>
    <row r="2787" spans="1:11" x14ac:dyDescent="0.2">
      <c r="A2787" s="8">
        <v>2071</v>
      </c>
      <c r="B2787" s="8">
        <f t="shared" si="92"/>
        <v>2023</v>
      </c>
      <c r="C2787" s="8">
        <f t="shared" si="93"/>
        <v>9</v>
      </c>
      <c r="D2787" s="85">
        <v>45174</v>
      </c>
      <c r="E2787" s="31"/>
      <c r="F2787" s="31">
        <v>30000</v>
      </c>
      <c r="G2787" s="31"/>
      <c r="H2787" s="31"/>
      <c r="I2787" s="31"/>
      <c r="J2787" s="5"/>
      <c r="K2787" s="8"/>
    </row>
    <row r="2788" spans="1:11" x14ac:dyDescent="0.2">
      <c r="A2788" s="8">
        <v>1382</v>
      </c>
      <c r="B2788" s="8">
        <f t="shared" si="92"/>
        <v>2023</v>
      </c>
      <c r="C2788" s="8">
        <f t="shared" si="93"/>
        <v>9</v>
      </c>
      <c r="D2788" s="85">
        <v>45174</v>
      </c>
      <c r="E2788" s="31"/>
      <c r="F2788" s="31">
        <v>1000000</v>
      </c>
      <c r="G2788" s="31"/>
      <c r="H2788" s="31"/>
      <c r="I2788" s="31"/>
      <c r="J2788" s="5" t="s">
        <v>1387</v>
      </c>
      <c r="K2788" s="8"/>
    </row>
    <row r="2789" spans="1:11" x14ac:dyDescent="0.2">
      <c r="A2789" s="8">
        <v>2072</v>
      </c>
      <c r="B2789" s="8">
        <f t="shared" si="92"/>
        <v>2023</v>
      </c>
      <c r="C2789" s="8">
        <f t="shared" si="93"/>
        <v>9</v>
      </c>
      <c r="D2789" s="85">
        <v>45174</v>
      </c>
      <c r="E2789" s="31">
        <v>3000000</v>
      </c>
      <c r="F2789" s="31">
        <v>1800000</v>
      </c>
      <c r="G2789" s="31"/>
      <c r="H2789" s="31"/>
      <c r="I2789" s="31"/>
      <c r="J2789" s="5" t="s">
        <v>2161</v>
      </c>
      <c r="K2789" s="8"/>
    </row>
    <row r="2790" spans="1:11" x14ac:dyDescent="0.2">
      <c r="A2790" s="8">
        <v>2073</v>
      </c>
      <c r="B2790" s="8">
        <f t="shared" si="92"/>
        <v>2023</v>
      </c>
      <c r="C2790" s="8">
        <f t="shared" si="93"/>
        <v>9</v>
      </c>
      <c r="D2790" s="85">
        <v>45174</v>
      </c>
      <c r="E2790" s="31"/>
      <c r="F2790" s="31">
        <v>900000</v>
      </c>
      <c r="G2790" s="31"/>
      <c r="H2790" s="31"/>
      <c r="I2790" s="31"/>
      <c r="J2790" s="5" t="s">
        <v>2162</v>
      </c>
      <c r="K2790" s="8"/>
    </row>
    <row r="2791" spans="1:11" x14ac:dyDescent="0.2">
      <c r="A2791" s="8">
        <v>2074</v>
      </c>
      <c r="B2791" s="8">
        <f t="shared" si="92"/>
        <v>2023</v>
      </c>
      <c r="C2791" s="8">
        <f t="shared" si="93"/>
        <v>9</v>
      </c>
      <c r="D2791" s="85">
        <v>45174</v>
      </c>
      <c r="E2791" s="31"/>
      <c r="F2791" s="31">
        <v>300000</v>
      </c>
      <c r="G2791" s="31">
        <v>0</v>
      </c>
      <c r="H2791" s="31"/>
      <c r="I2791" s="31"/>
      <c r="J2791" s="5" t="s">
        <v>2163</v>
      </c>
      <c r="K2791" s="8"/>
    </row>
    <row r="2792" spans="1:11" x14ac:dyDescent="0.2">
      <c r="A2792" s="8">
        <v>2075</v>
      </c>
      <c r="B2792" s="8">
        <f t="shared" si="92"/>
        <v>2023</v>
      </c>
      <c r="C2792" s="8">
        <f t="shared" si="93"/>
        <v>9</v>
      </c>
      <c r="D2792" s="85">
        <v>45174</v>
      </c>
      <c r="E2792" s="31"/>
      <c r="F2792" s="31">
        <v>70000</v>
      </c>
      <c r="G2792" s="31"/>
      <c r="H2792" s="31"/>
      <c r="I2792" s="31"/>
      <c r="J2792" s="5" t="s">
        <v>2164</v>
      </c>
      <c r="K2792" s="8"/>
    </row>
    <row r="2793" spans="1:11" x14ac:dyDescent="0.2">
      <c r="A2793" s="8">
        <v>2076</v>
      </c>
      <c r="B2793" s="8">
        <f t="shared" si="92"/>
        <v>2023</v>
      </c>
      <c r="C2793" s="8">
        <f t="shared" si="93"/>
        <v>9</v>
      </c>
      <c r="D2793" s="85">
        <v>45174</v>
      </c>
      <c r="E2793" s="31"/>
      <c r="F2793" s="31">
        <v>150000</v>
      </c>
      <c r="G2793" s="31"/>
      <c r="H2793" s="31"/>
      <c r="I2793" s="31"/>
      <c r="J2793" s="5" t="s">
        <v>2165</v>
      </c>
      <c r="K2793" s="8"/>
    </row>
    <row r="2794" spans="1:11" x14ac:dyDescent="0.2">
      <c r="A2794" s="8">
        <v>2077</v>
      </c>
      <c r="B2794" s="8">
        <f t="shared" si="92"/>
        <v>2023</v>
      </c>
      <c r="C2794" s="8">
        <f t="shared" si="93"/>
        <v>9</v>
      </c>
      <c r="D2794" s="85">
        <v>45175</v>
      </c>
      <c r="E2794" s="31"/>
      <c r="F2794" s="31">
        <v>120000</v>
      </c>
      <c r="G2794" s="31"/>
      <c r="H2794" s="31"/>
      <c r="I2794" s="31"/>
      <c r="J2794" s="5" t="s">
        <v>2166</v>
      </c>
      <c r="K2794" s="8"/>
    </row>
    <row r="2795" spans="1:11" x14ac:dyDescent="0.2">
      <c r="A2795" s="8">
        <v>2078</v>
      </c>
      <c r="B2795" s="8">
        <f t="shared" si="92"/>
        <v>2023</v>
      </c>
      <c r="C2795" s="8">
        <f t="shared" si="93"/>
        <v>9</v>
      </c>
      <c r="D2795" s="85">
        <v>45176</v>
      </c>
      <c r="E2795" s="31"/>
      <c r="F2795" s="31">
        <v>300000</v>
      </c>
      <c r="G2795" s="31">
        <v>0</v>
      </c>
      <c r="H2795" s="31"/>
      <c r="I2795" s="31"/>
      <c r="J2795" s="5" t="s">
        <v>2167</v>
      </c>
      <c r="K2795" s="8"/>
    </row>
    <row r="2796" spans="1:11" x14ac:dyDescent="0.2">
      <c r="A2796" s="8">
        <v>2079</v>
      </c>
      <c r="B2796" s="8">
        <f t="shared" si="92"/>
        <v>2023</v>
      </c>
      <c r="C2796" s="8">
        <f t="shared" si="93"/>
        <v>9</v>
      </c>
      <c r="D2796" s="85">
        <v>45177</v>
      </c>
      <c r="E2796" s="31"/>
      <c r="F2796" s="31">
        <v>50000</v>
      </c>
      <c r="G2796" s="31"/>
      <c r="H2796" s="31"/>
      <c r="I2796" s="31"/>
      <c r="J2796" s="5" t="s">
        <v>287</v>
      </c>
      <c r="K2796" s="8"/>
    </row>
    <row r="2797" spans="1:11" x14ac:dyDescent="0.2">
      <c r="A2797" s="8">
        <v>2080</v>
      </c>
      <c r="B2797" s="8">
        <f t="shared" si="92"/>
        <v>2023</v>
      </c>
      <c r="C2797" s="8">
        <f t="shared" si="93"/>
        <v>9</v>
      </c>
      <c r="D2797" s="85">
        <v>45178</v>
      </c>
      <c r="E2797" s="31"/>
      <c r="F2797" s="31">
        <v>100000</v>
      </c>
      <c r="G2797" s="31"/>
      <c r="H2797" s="31"/>
      <c r="I2797" s="31"/>
      <c r="J2797" s="5" t="s">
        <v>2168</v>
      </c>
      <c r="K2797" s="8"/>
    </row>
    <row r="2798" spans="1:11" x14ac:dyDescent="0.2">
      <c r="A2798" s="8">
        <v>2081</v>
      </c>
      <c r="B2798" s="8">
        <f t="shared" si="92"/>
        <v>2023</v>
      </c>
      <c r="C2798" s="8">
        <f t="shared" si="93"/>
        <v>9</v>
      </c>
      <c r="D2798" s="85">
        <v>45178</v>
      </c>
      <c r="E2798" s="31"/>
      <c r="F2798" s="31">
        <v>10000</v>
      </c>
      <c r="G2798" s="31"/>
      <c r="H2798" s="31"/>
      <c r="I2798" s="31"/>
      <c r="J2798" s="5" t="s">
        <v>91</v>
      </c>
      <c r="K2798" s="8"/>
    </row>
    <row r="2799" spans="1:11" x14ac:dyDescent="0.2">
      <c r="A2799" s="8">
        <v>2082</v>
      </c>
      <c r="B2799" s="8">
        <f t="shared" si="92"/>
        <v>2023</v>
      </c>
      <c r="C2799" s="8">
        <f t="shared" si="93"/>
        <v>9</v>
      </c>
      <c r="D2799" s="85">
        <v>45178</v>
      </c>
      <c r="E2799" s="31"/>
      <c r="F2799" s="31">
        <v>7000</v>
      </c>
      <c r="G2799" s="31"/>
      <c r="H2799" s="31"/>
      <c r="I2799" s="31"/>
      <c r="J2799" s="5" t="s">
        <v>89</v>
      </c>
      <c r="K2799" s="8"/>
    </row>
    <row r="2800" spans="1:11" x14ac:dyDescent="0.2">
      <c r="A2800" s="8">
        <v>2083</v>
      </c>
      <c r="B2800" s="8">
        <f t="shared" si="92"/>
        <v>2023</v>
      </c>
      <c r="C2800" s="8">
        <f t="shared" si="93"/>
        <v>9</v>
      </c>
      <c r="D2800" s="85">
        <v>45178</v>
      </c>
      <c r="E2800" s="31"/>
      <c r="F2800" s="31">
        <v>30000</v>
      </c>
      <c r="G2800" s="31"/>
      <c r="H2800" s="31"/>
      <c r="I2800" s="31"/>
      <c r="J2800" s="5" t="s">
        <v>2169</v>
      </c>
      <c r="K2800" s="8"/>
    </row>
    <row r="2801" spans="1:11" x14ac:dyDescent="0.2">
      <c r="A2801" s="8">
        <v>2084</v>
      </c>
      <c r="B2801" s="8">
        <f t="shared" si="92"/>
        <v>2023</v>
      </c>
      <c r="C2801" s="8">
        <f t="shared" si="93"/>
        <v>9</v>
      </c>
      <c r="D2801" s="85">
        <v>45178</v>
      </c>
      <c r="E2801" s="31"/>
      <c r="F2801" s="31">
        <v>150000</v>
      </c>
      <c r="G2801" s="31"/>
      <c r="H2801" s="31"/>
      <c r="I2801" s="31"/>
      <c r="J2801" s="5" t="s">
        <v>439</v>
      </c>
      <c r="K2801" s="8"/>
    </row>
    <row r="2802" spans="1:11" x14ac:dyDescent="0.2">
      <c r="A2802" s="8">
        <v>2085</v>
      </c>
      <c r="B2802" s="8">
        <f t="shared" si="92"/>
        <v>2023</v>
      </c>
      <c r="C2802" s="8">
        <f t="shared" si="93"/>
        <v>9</v>
      </c>
      <c r="D2802" s="85">
        <v>45178</v>
      </c>
      <c r="E2802" s="31"/>
      <c r="F2802" s="31">
        <v>130000</v>
      </c>
      <c r="G2802" s="31"/>
      <c r="H2802" s="31"/>
      <c r="I2802" s="31"/>
      <c r="J2802" s="5" t="s">
        <v>2170</v>
      </c>
      <c r="K2802" s="8"/>
    </row>
    <row r="2803" spans="1:11" x14ac:dyDescent="0.2">
      <c r="A2803" s="8">
        <v>2079</v>
      </c>
      <c r="B2803" s="8">
        <f t="shared" si="92"/>
        <v>2023</v>
      </c>
      <c r="C2803" s="8">
        <f t="shared" si="93"/>
        <v>9</v>
      </c>
      <c r="D2803" s="85">
        <v>45178</v>
      </c>
      <c r="E2803" s="31"/>
      <c r="F2803" s="31">
        <v>25000</v>
      </c>
      <c r="G2803" s="31"/>
      <c r="H2803" s="31"/>
      <c r="I2803" s="31"/>
      <c r="J2803" s="5" t="s">
        <v>204</v>
      </c>
      <c r="K2803" s="8"/>
    </row>
    <row r="2804" spans="1:11" x14ac:dyDescent="0.2">
      <c r="A2804" s="8">
        <v>2080</v>
      </c>
      <c r="B2804" s="8">
        <f t="shared" si="92"/>
        <v>2023</v>
      </c>
      <c r="C2804" s="8">
        <f t="shared" si="93"/>
        <v>9</v>
      </c>
      <c r="D2804" s="85">
        <v>45179</v>
      </c>
      <c r="E2804" s="31"/>
      <c r="F2804" s="31">
        <v>50000</v>
      </c>
      <c r="G2804" s="31"/>
      <c r="H2804" s="31"/>
      <c r="I2804" s="31"/>
      <c r="J2804" s="5" t="s">
        <v>287</v>
      </c>
      <c r="K2804" s="8"/>
    </row>
    <row r="2805" spans="1:11" x14ac:dyDescent="0.2">
      <c r="A2805" s="8">
        <v>2081</v>
      </c>
      <c r="B2805" s="8">
        <f t="shared" si="92"/>
        <v>2023</v>
      </c>
      <c r="C2805" s="8">
        <f t="shared" si="93"/>
        <v>9</v>
      </c>
      <c r="D2805" s="85">
        <v>45180</v>
      </c>
      <c r="E2805" s="31"/>
      <c r="F2805" s="31">
        <v>50000</v>
      </c>
      <c r="G2805" s="31"/>
      <c r="H2805" s="31"/>
      <c r="I2805" s="31"/>
      <c r="J2805" s="5" t="s">
        <v>287</v>
      </c>
      <c r="K2805" s="8"/>
    </row>
    <row r="2806" spans="1:11" x14ac:dyDescent="0.2">
      <c r="A2806" s="8">
        <v>2082</v>
      </c>
      <c r="B2806" s="8">
        <f t="shared" si="92"/>
        <v>2023</v>
      </c>
      <c r="C2806" s="8">
        <f t="shared" si="93"/>
        <v>9</v>
      </c>
      <c r="D2806" s="85">
        <v>45181</v>
      </c>
      <c r="E2806" s="31"/>
      <c r="F2806" s="31">
        <v>100000</v>
      </c>
      <c r="G2806" s="31"/>
      <c r="H2806" s="31"/>
      <c r="I2806" s="31"/>
      <c r="J2806" s="5" t="s">
        <v>2171</v>
      </c>
      <c r="K2806" s="8"/>
    </row>
    <row r="2807" spans="1:11" x14ac:dyDescent="0.2">
      <c r="A2807" s="8">
        <v>2083</v>
      </c>
      <c r="B2807" s="8">
        <f t="shared" si="92"/>
        <v>2023</v>
      </c>
      <c r="C2807" s="8">
        <f t="shared" si="93"/>
        <v>9</v>
      </c>
      <c r="D2807" s="85">
        <v>45181</v>
      </c>
      <c r="E2807" s="31"/>
      <c r="F2807" s="31">
        <v>50000</v>
      </c>
      <c r="G2807" s="31"/>
      <c r="H2807" s="31"/>
      <c r="I2807" s="31"/>
      <c r="J2807" s="5" t="s">
        <v>287</v>
      </c>
      <c r="K2807" s="8"/>
    </row>
    <row r="2808" spans="1:11" x14ac:dyDescent="0.2">
      <c r="A2808" s="8">
        <v>2084</v>
      </c>
      <c r="B2808" s="8">
        <f t="shared" si="92"/>
        <v>2023</v>
      </c>
      <c r="C2808" s="8">
        <f t="shared" si="93"/>
        <v>9</v>
      </c>
      <c r="D2808" s="85">
        <v>45182</v>
      </c>
      <c r="E2808" s="31"/>
      <c r="F2808" s="31">
        <v>110000</v>
      </c>
      <c r="G2808" s="31"/>
      <c r="H2808" s="31"/>
      <c r="I2808" s="31" t="s">
        <v>1992</v>
      </c>
      <c r="J2808" s="5" t="s">
        <v>2172</v>
      </c>
      <c r="K2808" s="8"/>
    </row>
    <row r="2809" spans="1:11" x14ac:dyDescent="0.2">
      <c r="A2809" s="8">
        <v>2085</v>
      </c>
      <c r="B2809" s="8">
        <f t="shared" si="92"/>
        <v>2023</v>
      </c>
      <c r="C2809" s="8">
        <f t="shared" si="93"/>
        <v>9</v>
      </c>
      <c r="D2809" s="85">
        <v>45182</v>
      </c>
      <c r="E2809" s="31"/>
      <c r="F2809" s="31">
        <v>60000</v>
      </c>
      <c r="G2809" s="31"/>
      <c r="H2809" s="31"/>
      <c r="I2809" s="31"/>
      <c r="J2809" s="5" t="s">
        <v>2173</v>
      </c>
      <c r="K2809" s="8"/>
    </row>
    <row r="2810" spans="1:11" x14ac:dyDescent="0.2">
      <c r="A2810" s="8">
        <v>2086</v>
      </c>
      <c r="B2810" s="8">
        <f t="shared" si="92"/>
        <v>2023</v>
      </c>
      <c r="C2810" s="8">
        <f t="shared" si="93"/>
        <v>9</v>
      </c>
      <c r="D2810" s="85">
        <v>45182</v>
      </c>
      <c r="E2810" s="31"/>
      <c r="F2810" s="31">
        <v>20000</v>
      </c>
      <c r="G2810" s="31"/>
      <c r="H2810" s="31"/>
      <c r="I2810" s="31"/>
      <c r="J2810" s="5" t="s">
        <v>91</v>
      </c>
      <c r="K2810" s="8"/>
    </row>
    <row r="2811" spans="1:11" x14ac:dyDescent="0.2">
      <c r="A2811" s="8">
        <v>2087</v>
      </c>
      <c r="B2811" s="8">
        <f t="shared" si="92"/>
        <v>2023</v>
      </c>
      <c r="C2811" s="8">
        <f t="shared" si="93"/>
        <v>9</v>
      </c>
      <c r="D2811" s="85">
        <v>45182</v>
      </c>
      <c r="E2811" s="31"/>
      <c r="F2811" s="31">
        <v>7000</v>
      </c>
      <c r="G2811" s="31"/>
      <c r="H2811" s="31"/>
      <c r="I2811" s="31"/>
      <c r="J2811" s="5" t="s">
        <v>89</v>
      </c>
      <c r="K2811" s="8"/>
    </row>
    <row r="2812" spans="1:11" x14ac:dyDescent="0.2">
      <c r="A2812" s="8">
        <v>2088</v>
      </c>
      <c r="B2812" s="8">
        <f t="shared" si="92"/>
        <v>2023</v>
      </c>
      <c r="C2812" s="8">
        <f t="shared" si="93"/>
        <v>9</v>
      </c>
      <c r="D2812" s="85">
        <v>45183</v>
      </c>
      <c r="E2812" s="31"/>
      <c r="F2812" s="31">
        <v>50000</v>
      </c>
      <c r="G2812" s="31"/>
      <c r="H2812" s="31"/>
      <c r="I2812" s="31"/>
      <c r="J2812" s="5" t="s">
        <v>287</v>
      </c>
      <c r="K2812" s="8"/>
    </row>
    <row r="2813" spans="1:11" x14ac:dyDescent="0.2">
      <c r="A2813" s="8">
        <v>2089</v>
      </c>
      <c r="B2813" s="8">
        <f t="shared" si="92"/>
        <v>2023</v>
      </c>
      <c r="C2813" s="8">
        <f t="shared" si="93"/>
        <v>9</v>
      </c>
      <c r="D2813" s="85">
        <v>45184</v>
      </c>
      <c r="E2813" s="31"/>
      <c r="F2813" s="31">
        <v>100000</v>
      </c>
      <c r="G2813" s="31"/>
      <c r="H2813" s="31"/>
      <c r="I2813" s="31"/>
      <c r="J2813" s="5" t="s">
        <v>356</v>
      </c>
      <c r="K2813" s="8"/>
    </row>
    <row r="2814" spans="1:11" x14ac:dyDescent="0.2">
      <c r="A2814" s="8">
        <v>2090</v>
      </c>
      <c r="B2814" s="8">
        <f t="shared" si="92"/>
        <v>2023</v>
      </c>
      <c r="C2814" s="8">
        <f t="shared" si="93"/>
        <v>9</v>
      </c>
      <c r="D2814" s="85">
        <v>45184</v>
      </c>
      <c r="E2814" s="31"/>
      <c r="F2814" s="31">
        <v>30000</v>
      </c>
      <c r="G2814" s="31"/>
      <c r="H2814" s="31"/>
      <c r="I2814" s="31"/>
      <c r="J2814" s="5" t="s">
        <v>287</v>
      </c>
      <c r="K2814" s="8"/>
    </row>
    <row r="2815" spans="1:11" x14ac:dyDescent="0.2">
      <c r="A2815" s="8">
        <v>2091</v>
      </c>
      <c r="B2815" s="8">
        <f t="shared" si="92"/>
        <v>2023</v>
      </c>
      <c r="C2815" s="8">
        <f t="shared" si="93"/>
        <v>9</v>
      </c>
      <c r="D2815" s="85">
        <v>45185</v>
      </c>
      <c r="E2815" s="31"/>
      <c r="F2815" s="31">
        <v>90000</v>
      </c>
      <c r="G2815" s="31"/>
      <c r="H2815" s="31"/>
      <c r="I2815" s="31"/>
      <c r="J2815" s="5" t="s">
        <v>287</v>
      </c>
      <c r="K2815" s="8"/>
    </row>
    <row r="2816" spans="1:11" x14ac:dyDescent="0.2">
      <c r="A2816" s="8">
        <v>2092</v>
      </c>
      <c r="B2816" s="8">
        <f t="shared" si="92"/>
        <v>2023</v>
      </c>
      <c r="C2816" s="8">
        <f t="shared" si="93"/>
        <v>9</v>
      </c>
      <c r="D2816" s="85">
        <v>45185</v>
      </c>
      <c r="E2816" s="31"/>
      <c r="F2816" s="31">
        <v>150000</v>
      </c>
      <c r="G2816" s="31"/>
      <c r="H2816" s="31"/>
      <c r="I2816" s="31"/>
      <c r="J2816" s="5" t="s">
        <v>2174</v>
      </c>
      <c r="K2816" s="8"/>
    </row>
    <row r="2817" spans="1:11" x14ac:dyDescent="0.2">
      <c r="A2817" s="8">
        <v>2093</v>
      </c>
      <c r="B2817" s="8">
        <f t="shared" si="92"/>
        <v>2023</v>
      </c>
      <c r="C2817" s="8">
        <f t="shared" si="93"/>
        <v>9</v>
      </c>
      <c r="D2817" s="85">
        <v>45185</v>
      </c>
      <c r="E2817" s="31"/>
      <c r="F2817" s="31">
        <v>110000</v>
      </c>
      <c r="G2817" s="31"/>
      <c r="H2817" s="31"/>
      <c r="I2817" s="31"/>
      <c r="J2817" s="5" t="s">
        <v>2175</v>
      </c>
      <c r="K2817" s="8"/>
    </row>
    <row r="2818" spans="1:11" x14ac:dyDescent="0.2">
      <c r="A2818" s="8">
        <v>2094</v>
      </c>
      <c r="B2818" s="8">
        <f t="shared" si="92"/>
        <v>2023</v>
      </c>
      <c r="C2818" s="8">
        <f t="shared" si="93"/>
        <v>9</v>
      </c>
      <c r="D2818" s="85">
        <v>45186</v>
      </c>
      <c r="E2818" s="31"/>
      <c r="F2818" s="31">
        <v>30000</v>
      </c>
      <c r="G2818" s="31"/>
      <c r="H2818" s="31"/>
      <c r="I2818" s="31"/>
      <c r="J2818" s="5" t="s">
        <v>175</v>
      </c>
      <c r="K2818" s="8"/>
    </row>
    <row r="2819" spans="1:11" x14ac:dyDescent="0.2">
      <c r="A2819" s="8">
        <v>2095</v>
      </c>
      <c r="B2819" s="8">
        <f t="shared" ref="B2819:B2882" si="94">YEAR(D2819)</f>
        <v>2023</v>
      </c>
      <c r="C2819" s="8">
        <f t="shared" ref="C2819:C2882" si="95">MONTH(D2819)</f>
        <v>9</v>
      </c>
      <c r="D2819" s="85">
        <v>45186</v>
      </c>
      <c r="E2819" s="31"/>
      <c r="F2819" s="31">
        <v>400000</v>
      </c>
      <c r="G2819" s="31"/>
      <c r="H2819" s="31"/>
      <c r="I2819" s="31"/>
      <c r="J2819" s="5" t="s">
        <v>2033</v>
      </c>
      <c r="K2819" s="8"/>
    </row>
    <row r="2820" spans="1:11" x14ac:dyDescent="0.2">
      <c r="A2820" s="8">
        <v>2096</v>
      </c>
      <c r="B2820" s="8">
        <f t="shared" si="94"/>
        <v>2023</v>
      </c>
      <c r="C2820" s="8">
        <f t="shared" si="95"/>
        <v>9</v>
      </c>
      <c r="D2820" s="85">
        <v>45186</v>
      </c>
      <c r="E2820" s="31"/>
      <c r="F2820" s="31">
        <v>45000</v>
      </c>
      <c r="G2820" s="31"/>
      <c r="H2820" s="31"/>
      <c r="I2820" s="139" t="s">
        <v>1834</v>
      </c>
      <c r="J2820" s="5" t="s">
        <v>2176</v>
      </c>
      <c r="K2820" s="8"/>
    </row>
    <row r="2821" spans="1:11" x14ac:dyDescent="0.2">
      <c r="A2821" s="8">
        <v>2097</v>
      </c>
      <c r="B2821" s="8">
        <f t="shared" si="94"/>
        <v>2023</v>
      </c>
      <c r="C2821" s="8">
        <f t="shared" si="95"/>
        <v>9</v>
      </c>
      <c r="D2821" s="85">
        <v>45186</v>
      </c>
      <c r="E2821" s="31"/>
      <c r="F2821" s="31">
        <v>50000</v>
      </c>
      <c r="G2821" s="31"/>
      <c r="H2821" s="31"/>
      <c r="I2821" s="139" t="s">
        <v>1834</v>
      </c>
      <c r="J2821" s="5" t="s">
        <v>2177</v>
      </c>
      <c r="K2821" s="8"/>
    </row>
    <row r="2822" spans="1:11" x14ac:dyDescent="0.2">
      <c r="A2822" s="8">
        <v>2098</v>
      </c>
      <c r="B2822" s="8">
        <f t="shared" si="94"/>
        <v>2023</v>
      </c>
      <c r="C2822" s="8">
        <f t="shared" si="95"/>
        <v>9</v>
      </c>
      <c r="D2822" s="85">
        <v>45186</v>
      </c>
      <c r="E2822" s="31"/>
      <c r="F2822" s="31">
        <v>40000</v>
      </c>
      <c r="G2822" s="31"/>
      <c r="H2822" s="31"/>
      <c r="I2822" s="31"/>
      <c r="J2822" s="5" t="s">
        <v>2178</v>
      </c>
      <c r="K2822" s="8"/>
    </row>
    <row r="2823" spans="1:11" x14ac:dyDescent="0.2">
      <c r="A2823" s="8">
        <v>2099</v>
      </c>
      <c r="B2823" s="8">
        <f t="shared" si="94"/>
        <v>2023</v>
      </c>
      <c r="C2823" s="8">
        <f t="shared" si="95"/>
        <v>9</v>
      </c>
      <c r="D2823" s="85">
        <v>45187</v>
      </c>
      <c r="E2823" s="31"/>
      <c r="F2823" s="31">
        <v>60000</v>
      </c>
      <c r="G2823" s="31"/>
      <c r="H2823" s="31"/>
      <c r="I2823" s="31"/>
      <c r="J2823" s="5" t="s">
        <v>364</v>
      </c>
      <c r="K2823" s="8"/>
    </row>
    <row r="2824" spans="1:11" x14ac:dyDescent="0.2">
      <c r="A2824" s="8">
        <v>2100</v>
      </c>
      <c r="B2824" s="8">
        <f t="shared" si="94"/>
        <v>2023</v>
      </c>
      <c r="C2824" s="8">
        <f t="shared" si="95"/>
        <v>9</v>
      </c>
      <c r="D2824" s="85">
        <v>45188</v>
      </c>
      <c r="E2824" s="31">
        <v>0</v>
      </c>
      <c r="F2824" s="31">
        <v>0</v>
      </c>
      <c r="G2824" s="45"/>
      <c r="H2824" s="31">
        <v>0</v>
      </c>
      <c r="I2824" s="31" t="s">
        <v>92</v>
      </c>
      <c r="J2824" s="25" t="s">
        <v>2179</v>
      </c>
      <c r="K2824" s="8"/>
    </row>
    <row r="2825" spans="1:11" x14ac:dyDescent="0.2">
      <c r="A2825" s="8">
        <v>2101</v>
      </c>
      <c r="B2825" s="8">
        <f t="shared" si="94"/>
        <v>2023</v>
      </c>
      <c r="C2825" s="8">
        <f t="shared" si="95"/>
        <v>9</v>
      </c>
      <c r="D2825" s="85">
        <v>45188</v>
      </c>
      <c r="E2825" s="31"/>
      <c r="F2825" s="31">
        <v>20000</v>
      </c>
      <c r="G2825" s="31"/>
      <c r="H2825" s="31"/>
      <c r="I2825" s="31"/>
      <c r="J2825" s="5" t="s">
        <v>287</v>
      </c>
      <c r="K2825" s="8"/>
    </row>
    <row r="2826" spans="1:11" x14ac:dyDescent="0.2">
      <c r="A2826" s="8">
        <v>2102</v>
      </c>
      <c r="B2826" s="8">
        <f t="shared" si="94"/>
        <v>2023</v>
      </c>
      <c r="C2826" s="8">
        <f t="shared" si="95"/>
        <v>9</v>
      </c>
      <c r="D2826" s="85">
        <v>45188</v>
      </c>
      <c r="E2826" s="31"/>
      <c r="F2826" s="31">
        <v>680000</v>
      </c>
      <c r="G2826" s="31"/>
      <c r="H2826" s="31"/>
      <c r="I2826" s="31"/>
      <c r="J2826" s="5" t="s">
        <v>2180</v>
      </c>
      <c r="K2826" s="8"/>
    </row>
    <row r="2827" spans="1:11" x14ac:dyDescent="0.2">
      <c r="A2827" s="8">
        <v>2103</v>
      </c>
      <c r="B2827" s="8">
        <f t="shared" si="94"/>
        <v>2023</v>
      </c>
      <c r="C2827" s="8">
        <f t="shared" si="95"/>
        <v>9</v>
      </c>
      <c r="D2827" s="85">
        <v>45189</v>
      </c>
      <c r="E2827" s="31"/>
      <c r="F2827" s="31">
        <v>20000</v>
      </c>
      <c r="G2827" s="31"/>
      <c r="H2827" s="31"/>
      <c r="I2827" s="31"/>
      <c r="J2827" s="5" t="s">
        <v>91</v>
      </c>
      <c r="K2827" s="8"/>
    </row>
    <row r="2828" spans="1:11" x14ac:dyDescent="0.2">
      <c r="A2828" s="8">
        <v>2104</v>
      </c>
      <c r="B2828" s="8">
        <f t="shared" si="94"/>
        <v>2023</v>
      </c>
      <c r="C2828" s="8">
        <f t="shared" si="95"/>
        <v>9</v>
      </c>
      <c r="D2828" s="85">
        <v>45189</v>
      </c>
      <c r="E2828" s="31"/>
      <c r="F2828" s="31">
        <v>18000</v>
      </c>
      <c r="G2828" s="31"/>
      <c r="H2828" s="31"/>
      <c r="I2828" s="31"/>
      <c r="J2828" s="5" t="s">
        <v>2181</v>
      </c>
      <c r="K2828" s="8"/>
    </row>
    <row r="2829" spans="1:11" x14ac:dyDescent="0.2">
      <c r="A2829" s="8">
        <v>2105</v>
      </c>
      <c r="B2829" s="8">
        <f t="shared" si="94"/>
        <v>2023</v>
      </c>
      <c r="C2829" s="8">
        <f t="shared" si="95"/>
        <v>9</v>
      </c>
      <c r="D2829" s="85">
        <v>45189</v>
      </c>
      <c r="E2829" s="31"/>
      <c r="F2829" s="31">
        <v>170000</v>
      </c>
      <c r="G2829" s="31"/>
      <c r="H2829" s="31"/>
      <c r="I2829" s="31"/>
      <c r="J2829" s="5" t="s">
        <v>1387</v>
      </c>
      <c r="K2829" s="8"/>
    </row>
    <row r="2830" spans="1:11" x14ac:dyDescent="0.2">
      <c r="A2830" s="8">
        <v>2106</v>
      </c>
      <c r="B2830" s="8">
        <f t="shared" si="94"/>
        <v>2023</v>
      </c>
      <c r="C2830" s="8">
        <f t="shared" si="95"/>
        <v>9</v>
      </c>
      <c r="D2830" s="85">
        <v>45189</v>
      </c>
      <c r="E2830" s="31"/>
      <c r="F2830" s="31">
        <v>260000</v>
      </c>
      <c r="G2830" s="31"/>
      <c r="H2830" s="31"/>
      <c r="I2830" s="31"/>
      <c r="J2830" s="5" t="s">
        <v>2182</v>
      </c>
      <c r="K2830" s="8"/>
    </row>
    <row r="2831" spans="1:11" x14ac:dyDescent="0.2">
      <c r="A2831" s="8">
        <v>2107</v>
      </c>
      <c r="B2831" s="8">
        <f t="shared" si="94"/>
        <v>2023</v>
      </c>
      <c r="C2831" s="8">
        <f t="shared" si="95"/>
        <v>9</v>
      </c>
      <c r="D2831" s="85">
        <v>45189</v>
      </c>
      <c r="E2831" s="31"/>
      <c r="F2831" s="31">
        <v>165000</v>
      </c>
      <c r="G2831" s="31">
        <v>0</v>
      </c>
      <c r="H2831" s="31"/>
      <c r="I2831" s="31"/>
      <c r="J2831" s="5" t="s">
        <v>452</v>
      </c>
      <c r="K2831" s="8"/>
    </row>
    <row r="2832" spans="1:11" x14ac:dyDescent="0.2">
      <c r="A2832" s="8">
        <v>2108</v>
      </c>
      <c r="B2832" s="8">
        <f t="shared" si="94"/>
        <v>2023</v>
      </c>
      <c r="C2832" s="8">
        <f t="shared" si="95"/>
        <v>9</v>
      </c>
      <c r="D2832" s="85">
        <v>45190</v>
      </c>
      <c r="E2832" s="31"/>
      <c r="F2832" s="31">
        <v>100000</v>
      </c>
      <c r="G2832" s="31"/>
      <c r="H2832" s="31"/>
      <c r="I2832" s="31"/>
      <c r="J2832" s="5" t="s">
        <v>287</v>
      </c>
      <c r="K2832" s="8"/>
    </row>
    <row r="2833" spans="1:11" x14ac:dyDescent="0.2">
      <c r="A2833" s="8">
        <v>2109</v>
      </c>
      <c r="B2833" s="8">
        <f t="shared" si="94"/>
        <v>2023</v>
      </c>
      <c r="C2833" s="8">
        <f t="shared" si="95"/>
        <v>9</v>
      </c>
      <c r="D2833" s="85">
        <v>45191</v>
      </c>
      <c r="E2833" s="31"/>
      <c r="F2833" s="31">
        <v>50000</v>
      </c>
      <c r="G2833" s="31"/>
      <c r="H2833" s="31"/>
      <c r="I2833" s="31"/>
      <c r="J2833" s="5" t="s">
        <v>287</v>
      </c>
      <c r="K2833" s="8"/>
    </row>
    <row r="2834" spans="1:11" x14ac:dyDescent="0.2">
      <c r="A2834" s="8">
        <v>2110</v>
      </c>
      <c r="B2834" s="8">
        <f t="shared" si="94"/>
        <v>2023</v>
      </c>
      <c r="C2834" s="8">
        <f t="shared" si="95"/>
        <v>9</v>
      </c>
      <c r="D2834" s="85">
        <v>45192</v>
      </c>
      <c r="E2834" s="31"/>
      <c r="F2834" s="31">
        <v>130000</v>
      </c>
      <c r="G2834" s="31"/>
      <c r="H2834" s="31"/>
      <c r="I2834" s="31"/>
      <c r="J2834" s="5" t="s">
        <v>2183</v>
      </c>
      <c r="K2834" s="8"/>
    </row>
    <row r="2835" spans="1:11" x14ac:dyDescent="0.2">
      <c r="A2835" s="8">
        <v>2111</v>
      </c>
      <c r="B2835" s="8">
        <f t="shared" si="94"/>
        <v>2023</v>
      </c>
      <c r="C2835" s="8">
        <f t="shared" si="95"/>
        <v>9</v>
      </c>
      <c r="D2835" s="85">
        <v>45193</v>
      </c>
      <c r="E2835" s="31"/>
      <c r="F2835" s="31">
        <v>50000</v>
      </c>
      <c r="G2835" s="31"/>
      <c r="H2835" s="31"/>
      <c r="I2835" s="31"/>
      <c r="J2835" s="5" t="s">
        <v>287</v>
      </c>
      <c r="K2835" s="8"/>
    </row>
    <row r="2836" spans="1:11" x14ac:dyDescent="0.2">
      <c r="A2836" s="8">
        <v>2112</v>
      </c>
      <c r="B2836" s="8">
        <f t="shared" si="94"/>
        <v>2023</v>
      </c>
      <c r="C2836" s="8">
        <f t="shared" si="95"/>
        <v>9</v>
      </c>
      <c r="D2836" s="85">
        <v>45194</v>
      </c>
      <c r="E2836" s="31"/>
      <c r="F2836" s="31">
        <v>50000</v>
      </c>
      <c r="G2836" s="31"/>
      <c r="H2836" s="31"/>
      <c r="I2836" s="31"/>
      <c r="J2836" s="5" t="s">
        <v>287</v>
      </c>
      <c r="K2836" s="8"/>
    </row>
    <row r="2837" spans="1:11" x14ac:dyDescent="0.2">
      <c r="A2837" s="8">
        <v>2113</v>
      </c>
      <c r="B2837" s="8">
        <f t="shared" si="94"/>
        <v>2023</v>
      </c>
      <c r="C2837" s="8">
        <f t="shared" si="95"/>
        <v>9</v>
      </c>
      <c r="D2837" s="85">
        <v>45195</v>
      </c>
      <c r="E2837" s="31"/>
      <c r="F2837" s="31"/>
      <c r="G2837" s="31">
        <v>0</v>
      </c>
      <c r="H2837" s="31"/>
      <c r="I2837" s="31"/>
      <c r="J2837" s="5" t="s">
        <v>2184</v>
      </c>
      <c r="K2837" s="8"/>
    </row>
    <row r="2838" spans="1:11" x14ac:dyDescent="0.2">
      <c r="A2838" s="8">
        <v>2114</v>
      </c>
      <c r="B2838" s="8">
        <f t="shared" si="94"/>
        <v>2023</v>
      </c>
      <c r="C2838" s="8">
        <f t="shared" si="95"/>
        <v>9</v>
      </c>
      <c r="D2838" s="85">
        <v>45195</v>
      </c>
      <c r="E2838" s="31"/>
      <c r="F2838" s="31">
        <v>100000</v>
      </c>
      <c r="G2838" s="31"/>
      <c r="H2838" s="31"/>
      <c r="I2838" s="31"/>
      <c r="J2838" s="5" t="s">
        <v>2185</v>
      </c>
      <c r="K2838" s="8"/>
    </row>
    <row r="2839" spans="1:11" x14ac:dyDescent="0.2">
      <c r="A2839" s="8">
        <v>2115</v>
      </c>
      <c r="B2839" s="8">
        <f t="shared" si="94"/>
        <v>2023</v>
      </c>
      <c r="C2839" s="8">
        <f t="shared" si="95"/>
        <v>9</v>
      </c>
      <c r="D2839" s="85">
        <v>45195</v>
      </c>
      <c r="E2839" s="31"/>
      <c r="F2839" s="31">
        <v>140000</v>
      </c>
      <c r="G2839" s="31"/>
      <c r="H2839" s="31"/>
      <c r="I2839" s="31"/>
      <c r="J2839" s="5" t="s">
        <v>2186</v>
      </c>
      <c r="K2839" s="8"/>
    </row>
    <row r="2840" spans="1:11" x14ac:dyDescent="0.2">
      <c r="A2840" s="8">
        <v>2116</v>
      </c>
      <c r="B2840" s="8">
        <f t="shared" si="94"/>
        <v>2023</v>
      </c>
      <c r="C2840" s="8">
        <f t="shared" si="95"/>
        <v>9</v>
      </c>
      <c r="D2840" s="85">
        <v>45196</v>
      </c>
      <c r="E2840" s="31"/>
      <c r="F2840" s="31">
        <v>7000</v>
      </c>
      <c r="G2840" s="31"/>
      <c r="H2840" s="31"/>
      <c r="I2840" s="31"/>
      <c r="J2840" s="5" t="s">
        <v>89</v>
      </c>
      <c r="K2840" s="8"/>
    </row>
    <row r="2841" spans="1:11" x14ac:dyDescent="0.2">
      <c r="A2841" s="8">
        <v>2117</v>
      </c>
      <c r="B2841" s="8">
        <f t="shared" si="94"/>
        <v>2023</v>
      </c>
      <c r="C2841" s="8">
        <f t="shared" si="95"/>
        <v>9</v>
      </c>
      <c r="D2841" s="85">
        <v>45196</v>
      </c>
      <c r="E2841" s="31"/>
      <c r="F2841" s="31">
        <v>109000</v>
      </c>
      <c r="G2841" s="31"/>
      <c r="H2841" s="31"/>
      <c r="I2841" s="31"/>
      <c r="J2841" s="5" t="s">
        <v>2187</v>
      </c>
      <c r="K2841" s="8"/>
    </row>
    <row r="2842" spans="1:11" x14ac:dyDescent="0.2">
      <c r="A2842" s="8">
        <v>2118</v>
      </c>
      <c r="B2842" s="8">
        <f t="shared" si="94"/>
        <v>2023</v>
      </c>
      <c r="C2842" s="8">
        <f t="shared" si="95"/>
        <v>9</v>
      </c>
      <c r="D2842" s="85">
        <v>45197</v>
      </c>
      <c r="E2842" s="31"/>
      <c r="F2842" s="31">
        <v>50000</v>
      </c>
      <c r="G2842" s="31"/>
      <c r="H2842" s="31"/>
      <c r="I2842" s="31"/>
      <c r="J2842" s="5" t="s">
        <v>287</v>
      </c>
      <c r="K2842" s="8"/>
    </row>
    <row r="2843" spans="1:11" x14ac:dyDescent="0.2">
      <c r="A2843" s="8">
        <v>2119</v>
      </c>
      <c r="B2843" s="8">
        <f t="shared" si="94"/>
        <v>2023</v>
      </c>
      <c r="C2843" s="8">
        <f t="shared" si="95"/>
        <v>9</v>
      </c>
      <c r="D2843" s="85">
        <v>45198</v>
      </c>
      <c r="E2843" s="31"/>
      <c r="F2843" s="31">
        <v>50000</v>
      </c>
      <c r="G2843" s="31"/>
      <c r="H2843" s="31"/>
      <c r="I2843" s="31"/>
      <c r="J2843" s="5" t="s">
        <v>287</v>
      </c>
      <c r="K2843" s="8"/>
    </row>
    <row r="2844" spans="1:11" x14ac:dyDescent="0.2">
      <c r="A2844" s="8">
        <v>2120</v>
      </c>
      <c r="B2844" s="8">
        <f t="shared" si="94"/>
        <v>2023</v>
      </c>
      <c r="C2844" s="8">
        <f t="shared" si="95"/>
        <v>9</v>
      </c>
      <c r="D2844" s="85">
        <v>45199</v>
      </c>
      <c r="E2844" s="31"/>
      <c r="F2844" s="31">
        <v>50000</v>
      </c>
      <c r="G2844" s="31"/>
      <c r="H2844" s="31"/>
      <c r="I2844" s="31"/>
      <c r="J2844" s="5" t="s">
        <v>287</v>
      </c>
      <c r="K2844" s="8"/>
    </row>
    <row r="2845" spans="1:11" x14ac:dyDescent="0.2">
      <c r="A2845" s="8">
        <v>2121</v>
      </c>
      <c r="B2845" s="8">
        <f t="shared" si="94"/>
        <v>2023</v>
      </c>
      <c r="C2845" s="8">
        <f t="shared" si="95"/>
        <v>9</v>
      </c>
      <c r="D2845" s="85">
        <v>45196</v>
      </c>
      <c r="E2845" s="31"/>
      <c r="F2845" s="31">
        <v>24000</v>
      </c>
      <c r="G2845" s="31"/>
      <c r="H2845" s="31"/>
      <c r="I2845" s="31"/>
      <c r="J2845" s="5" t="s">
        <v>2188</v>
      </c>
      <c r="K2845" s="8"/>
    </row>
    <row r="2846" spans="1:11" x14ac:dyDescent="0.2">
      <c r="A2846" s="8">
        <v>2122</v>
      </c>
      <c r="B2846" s="8">
        <f t="shared" si="94"/>
        <v>2023</v>
      </c>
      <c r="C2846" s="8">
        <f t="shared" si="95"/>
        <v>9</v>
      </c>
      <c r="D2846" s="85">
        <v>45197</v>
      </c>
      <c r="E2846" s="31"/>
      <c r="F2846" s="31">
        <v>99000</v>
      </c>
      <c r="G2846" s="31"/>
      <c r="H2846" s="31"/>
      <c r="I2846" s="31"/>
      <c r="J2846" s="5" t="s">
        <v>2189</v>
      </c>
      <c r="K2846" s="8"/>
    </row>
    <row r="2847" spans="1:11" x14ac:dyDescent="0.2">
      <c r="A2847" s="8">
        <v>2123</v>
      </c>
      <c r="B2847" s="8">
        <f t="shared" si="94"/>
        <v>2023</v>
      </c>
      <c r="C2847" s="8">
        <f t="shared" si="95"/>
        <v>9</v>
      </c>
      <c r="D2847" s="85">
        <v>45198</v>
      </c>
      <c r="E2847" s="31"/>
      <c r="F2847" s="31">
        <v>70000</v>
      </c>
      <c r="G2847" s="31"/>
      <c r="H2847" s="31"/>
      <c r="I2847" s="31"/>
      <c r="J2847" s="5" t="s">
        <v>2190</v>
      </c>
      <c r="K2847" s="8"/>
    </row>
    <row r="2848" spans="1:11" x14ac:dyDescent="0.2">
      <c r="A2848" s="8">
        <v>2124</v>
      </c>
      <c r="B2848" s="8">
        <f t="shared" si="94"/>
        <v>2023</v>
      </c>
      <c r="C2848" s="8">
        <f t="shared" si="95"/>
        <v>9</v>
      </c>
      <c r="D2848" s="85">
        <v>45199</v>
      </c>
      <c r="E2848" s="31"/>
      <c r="F2848" s="31">
        <v>100000</v>
      </c>
      <c r="G2848" s="31"/>
      <c r="H2848" s="31"/>
      <c r="I2848" s="31"/>
      <c r="J2848" s="5" t="s">
        <v>2191</v>
      </c>
      <c r="K2848" s="8"/>
    </row>
    <row r="2849" spans="1:11" x14ac:dyDescent="0.2">
      <c r="A2849" s="8">
        <v>2125</v>
      </c>
      <c r="B2849" s="8">
        <f t="shared" si="94"/>
        <v>2023</v>
      </c>
      <c r="C2849" s="8">
        <f t="shared" si="95"/>
        <v>9</v>
      </c>
      <c r="D2849" s="85">
        <v>45199</v>
      </c>
      <c r="E2849" s="31"/>
      <c r="F2849" s="31">
        <v>53000</v>
      </c>
      <c r="G2849" s="31"/>
      <c r="H2849" s="31"/>
      <c r="I2849" s="31"/>
      <c r="J2849" s="5" t="s">
        <v>2192</v>
      </c>
      <c r="K2849" s="8"/>
    </row>
    <row r="2850" spans="1:11" x14ac:dyDescent="0.2">
      <c r="A2850" s="8">
        <v>2126</v>
      </c>
      <c r="B2850" s="8">
        <f t="shared" si="94"/>
        <v>2023</v>
      </c>
      <c r="C2850" s="8">
        <f t="shared" si="95"/>
        <v>10</v>
      </c>
      <c r="D2850" s="85">
        <v>45201</v>
      </c>
      <c r="E2850" s="31"/>
      <c r="F2850" s="31">
        <v>288900</v>
      </c>
      <c r="G2850" s="31"/>
      <c r="H2850" s="31"/>
      <c r="I2850" s="31"/>
      <c r="J2850" s="5" t="s">
        <v>2193</v>
      </c>
      <c r="K2850" s="8"/>
    </row>
    <row r="2851" spans="1:11" x14ac:dyDescent="0.2">
      <c r="A2851" s="8">
        <v>2127</v>
      </c>
      <c r="B2851" s="8">
        <f t="shared" si="94"/>
        <v>2023</v>
      </c>
      <c r="C2851" s="8">
        <f t="shared" si="95"/>
        <v>10</v>
      </c>
      <c r="D2851" s="85">
        <v>45202</v>
      </c>
      <c r="E2851" s="31"/>
      <c r="F2851" s="31">
        <v>920000</v>
      </c>
      <c r="G2851" s="31"/>
      <c r="H2851" s="31"/>
      <c r="I2851" s="31"/>
      <c r="J2851" s="5" t="s">
        <v>2194</v>
      </c>
      <c r="K2851" s="8"/>
    </row>
    <row r="2852" spans="1:11" x14ac:dyDescent="0.2">
      <c r="A2852" s="8">
        <v>2128</v>
      </c>
      <c r="B2852" s="8">
        <f t="shared" si="94"/>
        <v>2023</v>
      </c>
      <c r="C2852" s="8">
        <f t="shared" si="95"/>
        <v>10</v>
      </c>
      <c r="D2852" s="85">
        <v>45206</v>
      </c>
      <c r="E2852" s="31"/>
      <c r="F2852" s="31">
        <v>200000</v>
      </c>
      <c r="G2852" s="31"/>
      <c r="H2852" s="31"/>
      <c r="I2852" s="31"/>
      <c r="J2852" s="5" t="s">
        <v>2195</v>
      </c>
      <c r="K2852" s="8"/>
    </row>
    <row r="2853" spans="1:11" x14ac:dyDescent="0.2">
      <c r="A2853" s="8">
        <v>2129</v>
      </c>
      <c r="B2853" s="8">
        <f t="shared" si="94"/>
        <v>2023</v>
      </c>
      <c r="C2853" s="8">
        <f t="shared" si="95"/>
        <v>10</v>
      </c>
      <c r="D2853" s="85">
        <v>45206</v>
      </c>
      <c r="E2853" s="31"/>
      <c r="F2853" s="31">
        <v>70000</v>
      </c>
      <c r="G2853" s="31"/>
      <c r="H2853" s="31"/>
      <c r="I2853" s="31"/>
      <c r="J2853" s="5" t="s">
        <v>2196</v>
      </c>
      <c r="K2853" s="8"/>
    </row>
    <row r="2854" spans="1:11" x14ac:dyDescent="0.2">
      <c r="A2854" s="8">
        <v>2130</v>
      </c>
      <c r="B2854" s="8">
        <f t="shared" si="94"/>
        <v>2023</v>
      </c>
      <c r="C2854" s="8">
        <f t="shared" si="95"/>
        <v>10</v>
      </c>
      <c r="D2854" s="85">
        <v>45213</v>
      </c>
      <c r="E2854" s="31"/>
      <c r="F2854" s="31">
        <v>665000</v>
      </c>
      <c r="G2854" s="31"/>
      <c r="H2854" s="31"/>
      <c r="I2854" s="31"/>
      <c r="J2854" s="5" t="s">
        <v>2197</v>
      </c>
      <c r="K2854" s="8"/>
    </row>
    <row r="2855" spans="1:11" x14ac:dyDescent="0.2">
      <c r="A2855" s="8">
        <v>2131</v>
      </c>
      <c r="B2855" s="8">
        <f t="shared" si="94"/>
        <v>2023</v>
      </c>
      <c r="C2855" s="8">
        <f t="shared" si="95"/>
        <v>10</v>
      </c>
      <c r="D2855" s="85">
        <v>45217</v>
      </c>
      <c r="E2855" s="31"/>
      <c r="F2855" s="31">
        <v>181500</v>
      </c>
      <c r="G2855" s="31"/>
      <c r="H2855" s="31"/>
      <c r="I2855" s="31"/>
      <c r="J2855" s="5" t="s">
        <v>2198</v>
      </c>
      <c r="K2855" s="8"/>
    </row>
    <row r="2856" spans="1:11" x14ac:dyDescent="0.2">
      <c r="A2856" s="8">
        <v>2132</v>
      </c>
      <c r="B2856" s="8">
        <f t="shared" si="94"/>
        <v>2023</v>
      </c>
      <c r="C2856" s="8">
        <f t="shared" si="95"/>
        <v>10</v>
      </c>
      <c r="D2856" s="85">
        <v>45219</v>
      </c>
      <c r="E2856" s="31"/>
      <c r="F2856" s="31">
        <v>180000</v>
      </c>
      <c r="G2856" s="31"/>
      <c r="H2856" s="31"/>
      <c r="I2856" s="31"/>
      <c r="J2856" s="5" t="s">
        <v>2194</v>
      </c>
      <c r="K2856" s="8"/>
    </row>
    <row r="2857" spans="1:11" x14ac:dyDescent="0.2">
      <c r="A2857" s="8">
        <v>2133</v>
      </c>
      <c r="B2857" s="8">
        <f t="shared" si="94"/>
        <v>2023</v>
      </c>
      <c r="C2857" s="8">
        <f t="shared" si="95"/>
        <v>10</v>
      </c>
      <c r="D2857" s="85">
        <v>45222</v>
      </c>
      <c r="E2857" s="31"/>
      <c r="F2857" s="31">
        <v>116000</v>
      </c>
      <c r="G2857" s="31"/>
      <c r="H2857" s="31"/>
      <c r="I2857" s="31"/>
      <c r="J2857" s="5" t="s">
        <v>2199</v>
      </c>
      <c r="K2857" s="8"/>
    </row>
    <row r="2858" spans="1:11" x14ac:dyDescent="0.2">
      <c r="A2858" s="8">
        <v>2134</v>
      </c>
      <c r="B2858" s="8">
        <f t="shared" si="94"/>
        <v>2023</v>
      </c>
      <c r="C2858" s="8">
        <f t="shared" si="95"/>
        <v>10</v>
      </c>
      <c r="D2858" s="85">
        <v>45223</v>
      </c>
      <c r="E2858" s="31"/>
      <c r="F2858" s="31">
        <v>105000</v>
      </c>
      <c r="G2858" s="31"/>
      <c r="H2858" s="31"/>
      <c r="I2858" s="31"/>
      <c r="J2858" s="5" t="s">
        <v>2200</v>
      </c>
      <c r="K2858" s="8"/>
    </row>
    <row r="2859" spans="1:11" x14ac:dyDescent="0.2">
      <c r="A2859" s="8">
        <v>2135</v>
      </c>
      <c r="B2859" s="8">
        <f t="shared" si="94"/>
        <v>2023</v>
      </c>
      <c r="C2859" s="8">
        <f t="shared" si="95"/>
        <v>10</v>
      </c>
      <c r="D2859" s="85">
        <v>45226</v>
      </c>
      <c r="E2859" s="31"/>
      <c r="F2859" s="31">
        <v>144000</v>
      </c>
      <c r="G2859" s="31"/>
      <c r="H2859" s="31"/>
      <c r="I2859" s="31"/>
      <c r="J2859" s="5" t="s">
        <v>2201</v>
      </c>
      <c r="K2859" s="8"/>
    </row>
    <row r="2860" spans="1:11" x14ac:dyDescent="0.2">
      <c r="A2860" s="8">
        <v>2136</v>
      </c>
      <c r="B2860" s="8">
        <f t="shared" si="94"/>
        <v>2023</v>
      </c>
      <c r="C2860" s="8">
        <f t="shared" si="95"/>
        <v>10</v>
      </c>
      <c r="D2860" s="85">
        <v>45227</v>
      </c>
      <c r="E2860" s="31"/>
      <c r="F2860" s="31">
        <v>300000</v>
      </c>
      <c r="G2860" s="31"/>
      <c r="H2860" s="31"/>
      <c r="I2860" s="31"/>
      <c r="J2860" s="5" t="s">
        <v>2202</v>
      </c>
      <c r="K2860" s="8"/>
    </row>
    <row r="2861" spans="1:11" x14ac:dyDescent="0.2">
      <c r="A2861" s="8">
        <v>2137</v>
      </c>
      <c r="B2861" s="8">
        <f t="shared" si="94"/>
        <v>2023</v>
      </c>
      <c r="C2861" s="8">
        <f t="shared" si="95"/>
        <v>10</v>
      </c>
      <c r="D2861" s="85">
        <v>45230</v>
      </c>
      <c r="E2861" s="31"/>
      <c r="F2861" s="31">
        <v>7200</v>
      </c>
      <c r="G2861" s="31"/>
      <c r="H2861" s="31"/>
      <c r="I2861" s="31" t="s">
        <v>1992</v>
      </c>
      <c r="J2861" s="5" t="s">
        <v>2203</v>
      </c>
      <c r="K2861" s="8"/>
    </row>
    <row r="2862" spans="1:11" x14ac:dyDescent="0.2">
      <c r="A2862" s="8">
        <v>2138</v>
      </c>
      <c r="B2862" s="8">
        <f t="shared" si="94"/>
        <v>2023</v>
      </c>
      <c r="C2862" s="8">
        <f t="shared" si="95"/>
        <v>10</v>
      </c>
      <c r="D2862" s="85">
        <v>45200</v>
      </c>
      <c r="E2862" s="31"/>
      <c r="F2862" s="31">
        <v>100000</v>
      </c>
      <c r="G2862" s="31"/>
      <c r="H2862" s="31"/>
      <c r="I2862" s="31"/>
      <c r="J2862" s="5" t="s">
        <v>287</v>
      </c>
      <c r="K2862" s="8"/>
    </row>
    <row r="2863" spans="1:11" x14ac:dyDescent="0.2">
      <c r="A2863" s="8">
        <v>2139</v>
      </c>
      <c r="B2863" s="8">
        <f t="shared" si="94"/>
        <v>2023</v>
      </c>
      <c r="C2863" s="8">
        <f t="shared" si="95"/>
        <v>10</v>
      </c>
      <c r="D2863" s="85">
        <v>45201</v>
      </c>
      <c r="E2863" s="31"/>
      <c r="F2863" s="31">
        <v>20000</v>
      </c>
      <c r="G2863" s="31"/>
      <c r="H2863" s="31"/>
      <c r="I2863" s="31"/>
      <c r="J2863" s="5" t="s">
        <v>287</v>
      </c>
      <c r="K2863" s="8"/>
    </row>
    <row r="2864" spans="1:11" x14ac:dyDescent="0.2">
      <c r="A2864" s="8">
        <v>2140</v>
      </c>
      <c r="B2864" s="8">
        <f t="shared" si="94"/>
        <v>2023</v>
      </c>
      <c r="C2864" s="8">
        <f t="shared" si="95"/>
        <v>10</v>
      </c>
      <c r="D2864" s="85">
        <v>45202</v>
      </c>
      <c r="E2864" s="31"/>
      <c r="F2864" s="31">
        <v>60000</v>
      </c>
      <c r="G2864" s="31"/>
      <c r="H2864" s="31"/>
      <c r="I2864" s="31"/>
      <c r="J2864" s="5" t="s">
        <v>2204</v>
      </c>
      <c r="K2864" s="8"/>
    </row>
    <row r="2865" spans="1:11" x14ac:dyDescent="0.2">
      <c r="A2865" s="8">
        <v>2141</v>
      </c>
      <c r="B2865" s="8">
        <f t="shared" si="94"/>
        <v>2023</v>
      </c>
      <c r="C2865" s="8">
        <f t="shared" si="95"/>
        <v>10</v>
      </c>
      <c r="D2865" s="85">
        <v>45203</v>
      </c>
      <c r="E2865" s="31"/>
      <c r="F2865" s="31">
        <v>250000</v>
      </c>
      <c r="G2865" s="31"/>
      <c r="H2865" s="31"/>
      <c r="I2865" s="31"/>
      <c r="J2865" s="5" t="s">
        <v>2205</v>
      </c>
      <c r="K2865" s="8"/>
    </row>
    <row r="2866" spans="1:11" x14ac:dyDescent="0.2">
      <c r="A2866" s="8">
        <v>2142</v>
      </c>
      <c r="B2866" s="8">
        <f t="shared" si="94"/>
        <v>2023</v>
      </c>
      <c r="C2866" s="8">
        <f t="shared" si="95"/>
        <v>10</v>
      </c>
      <c r="D2866" s="85">
        <v>45204</v>
      </c>
      <c r="E2866" s="31"/>
      <c r="F2866" s="31">
        <v>50000</v>
      </c>
      <c r="G2866" s="31"/>
      <c r="H2866" s="31"/>
      <c r="I2866" s="31"/>
      <c r="J2866" s="5" t="s">
        <v>287</v>
      </c>
      <c r="K2866" s="8"/>
    </row>
    <row r="2867" spans="1:11" x14ac:dyDescent="0.2">
      <c r="A2867" s="8">
        <v>2143</v>
      </c>
      <c r="B2867" s="8">
        <f t="shared" si="94"/>
        <v>2023</v>
      </c>
      <c r="C2867" s="8">
        <f t="shared" si="95"/>
        <v>10</v>
      </c>
      <c r="D2867" s="85">
        <v>45205</v>
      </c>
      <c r="E2867" s="31"/>
      <c r="F2867" s="31">
        <v>100000</v>
      </c>
      <c r="G2867" s="31"/>
      <c r="H2867" s="31"/>
      <c r="I2867" s="31"/>
      <c r="J2867" s="5" t="s">
        <v>439</v>
      </c>
      <c r="K2867" s="8"/>
    </row>
    <row r="2868" spans="1:11" x14ac:dyDescent="0.2">
      <c r="A2868" s="8">
        <v>2144</v>
      </c>
      <c r="B2868" s="8">
        <f t="shared" si="94"/>
        <v>2023</v>
      </c>
      <c r="C2868" s="8">
        <f t="shared" si="95"/>
        <v>10</v>
      </c>
      <c r="D2868" s="85">
        <v>45205</v>
      </c>
      <c r="E2868" s="31"/>
      <c r="F2868" s="31">
        <v>1000000</v>
      </c>
      <c r="G2868" s="31"/>
      <c r="H2868" s="31"/>
      <c r="I2868" s="31"/>
      <c r="J2868" s="5" t="s">
        <v>1387</v>
      </c>
      <c r="K2868" s="8"/>
    </row>
    <row r="2869" spans="1:11" x14ac:dyDescent="0.2">
      <c r="A2869" s="8">
        <v>2145</v>
      </c>
      <c r="B2869" s="8">
        <f t="shared" si="94"/>
        <v>2023</v>
      </c>
      <c r="C2869" s="8">
        <f t="shared" si="95"/>
        <v>10</v>
      </c>
      <c r="D2869" s="85">
        <v>45205</v>
      </c>
      <c r="E2869" s="31"/>
      <c r="F2869" s="31">
        <v>50000</v>
      </c>
      <c r="G2869" s="31"/>
      <c r="H2869" s="31"/>
      <c r="I2869" s="31"/>
      <c r="J2869" s="5" t="s">
        <v>2206</v>
      </c>
      <c r="K2869" s="8"/>
    </row>
    <row r="2870" spans="1:11" x14ac:dyDescent="0.2">
      <c r="A2870" s="8">
        <v>2146</v>
      </c>
      <c r="B2870" s="8">
        <f t="shared" si="94"/>
        <v>2023</v>
      </c>
      <c r="C2870" s="8">
        <f t="shared" si="95"/>
        <v>10</v>
      </c>
      <c r="D2870" s="85">
        <v>45205</v>
      </c>
      <c r="E2870" s="31"/>
      <c r="F2870" s="31">
        <v>25000</v>
      </c>
      <c r="G2870" s="31"/>
      <c r="H2870" s="31"/>
      <c r="I2870" s="31"/>
      <c r="J2870" s="5" t="s">
        <v>91</v>
      </c>
      <c r="K2870" s="8"/>
    </row>
    <row r="2871" spans="1:11" x14ac:dyDescent="0.2">
      <c r="A2871" s="8">
        <v>2147</v>
      </c>
      <c r="B2871" s="8">
        <f t="shared" si="94"/>
        <v>2023</v>
      </c>
      <c r="C2871" s="8">
        <f t="shared" si="95"/>
        <v>10</v>
      </c>
      <c r="D2871" s="85">
        <v>45205</v>
      </c>
      <c r="E2871" s="31"/>
      <c r="F2871" s="31">
        <v>50000</v>
      </c>
      <c r="G2871" s="31"/>
      <c r="H2871" s="31"/>
      <c r="I2871" s="31"/>
      <c r="J2871" s="5" t="s">
        <v>2207</v>
      </c>
      <c r="K2871" s="8"/>
    </row>
    <row r="2872" spans="1:11" x14ac:dyDescent="0.2">
      <c r="A2872" s="8">
        <v>2148</v>
      </c>
      <c r="B2872" s="8">
        <f t="shared" si="94"/>
        <v>2023</v>
      </c>
      <c r="C2872" s="8">
        <f t="shared" si="95"/>
        <v>10</v>
      </c>
      <c r="D2872" s="85">
        <v>45206</v>
      </c>
      <c r="E2872" s="31"/>
      <c r="F2872" s="31">
        <v>100000</v>
      </c>
      <c r="G2872" s="31"/>
      <c r="H2872" s="31"/>
      <c r="I2872" s="31"/>
      <c r="J2872" s="5" t="s">
        <v>287</v>
      </c>
      <c r="K2872" s="8"/>
    </row>
    <row r="2873" spans="1:11" x14ac:dyDescent="0.2">
      <c r="A2873" s="8">
        <v>2149</v>
      </c>
      <c r="B2873" s="8">
        <f t="shared" si="94"/>
        <v>2023</v>
      </c>
      <c r="C2873" s="8">
        <f t="shared" si="95"/>
        <v>10</v>
      </c>
      <c r="D2873" s="85">
        <v>45207</v>
      </c>
      <c r="E2873" s="31"/>
      <c r="F2873" s="31">
        <v>100000</v>
      </c>
      <c r="G2873" s="31"/>
      <c r="H2873" s="31"/>
      <c r="I2873" s="31"/>
      <c r="J2873" s="5" t="s">
        <v>287</v>
      </c>
      <c r="K2873" s="8"/>
    </row>
    <row r="2874" spans="1:11" x14ac:dyDescent="0.2">
      <c r="A2874" s="8">
        <v>2150</v>
      </c>
      <c r="B2874" s="8">
        <f t="shared" si="94"/>
        <v>2023</v>
      </c>
      <c r="C2874" s="8">
        <f t="shared" si="95"/>
        <v>10</v>
      </c>
      <c r="D2874" s="85">
        <v>45208</v>
      </c>
      <c r="E2874" s="31"/>
      <c r="F2874" s="31">
        <v>100000</v>
      </c>
      <c r="G2874" s="31"/>
      <c r="H2874" s="31"/>
      <c r="I2874" s="31"/>
      <c r="J2874" s="5" t="s">
        <v>2208</v>
      </c>
      <c r="K2874" s="8"/>
    </row>
    <row r="2875" spans="1:11" x14ac:dyDescent="0.2">
      <c r="A2875" s="8">
        <v>2151</v>
      </c>
      <c r="B2875" s="8">
        <f t="shared" si="94"/>
        <v>2023</v>
      </c>
      <c r="C2875" s="8">
        <f t="shared" si="95"/>
        <v>10</v>
      </c>
      <c r="D2875" s="85">
        <v>45209</v>
      </c>
      <c r="E2875" s="31"/>
      <c r="F2875" s="31">
        <v>60000</v>
      </c>
      <c r="G2875" s="31"/>
      <c r="H2875" s="31"/>
      <c r="I2875" s="31"/>
      <c r="J2875" s="5" t="s">
        <v>2031</v>
      </c>
      <c r="K2875" s="8"/>
    </row>
    <row r="2876" spans="1:11" x14ac:dyDescent="0.2">
      <c r="A2876" s="8">
        <v>2152</v>
      </c>
      <c r="B2876" s="8">
        <f t="shared" si="94"/>
        <v>2023</v>
      </c>
      <c r="C2876" s="8">
        <f t="shared" si="95"/>
        <v>10</v>
      </c>
      <c r="D2876" s="85">
        <v>45209</v>
      </c>
      <c r="E2876" s="31"/>
      <c r="F2876" s="31">
        <v>160000</v>
      </c>
      <c r="G2876" s="31"/>
      <c r="H2876" s="31"/>
      <c r="I2876" s="31"/>
      <c r="J2876" s="5" t="s">
        <v>2209</v>
      </c>
      <c r="K2876" s="8"/>
    </row>
    <row r="2877" spans="1:11" x14ac:dyDescent="0.2">
      <c r="A2877" s="8">
        <v>2153</v>
      </c>
      <c r="B2877" s="8">
        <f t="shared" si="94"/>
        <v>2023</v>
      </c>
      <c r="C2877" s="8">
        <f t="shared" si="95"/>
        <v>10</v>
      </c>
      <c r="D2877" s="85">
        <v>45210</v>
      </c>
      <c r="E2877" s="31"/>
      <c r="F2877" s="31">
        <v>10000</v>
      </c>
      <c r="G2877" s="31"/>
      <c r="H2877" s="31"/>
      <c r="I2877" s="31"/>
      <c r="J2877" s="5" t="s">
        <v>287</v>
      </c>
      <c r="K2877" s="8"/>
    </row>
    <row r="2878" spans="1:11" x14ac:dyDescent="0.2">
      <c r="A2878" s="8">
        <v>2154</v>
      </c>
      <c r="B2878" s="8">
        <f t="shared" si="94"/>
        <v>2023</v>
      </c>
      <c r="C2878" s="8">
        <f t="shared" si="95"/>
        <v>10</v>
      </c>
      <c r="D2878" s="85">
        <v>45211</v>
      </c>
      <c r="E2878" s="31"/>
      <c r="F2878" s="31">
        <v>89000</v>
      </c>
      <c r="G2878" s="31"/>
      <c r="H2878" s="31"/>
      <c r="I2878" s="31"/>
      <c r="J2878" s="5"/>
      <c r="K2878" s="8"/>
    </row>
    <row r="2879" spans="1:11" x14ac:dyDescent="0.2">
      <c r="A2879" s="8">
        <v>2155</v>
      </c>
      <c r="B2879" s="8">
        <f t="shared" si="94"/>
        <v>2023</v>
      </c>
      <c r="C2879" s="8">
        <f t="shared" si="95"/>
        <v>10</v>
      </c>
      <c r="D2879" s="85">
        <v>45211</v>
      </c>
      <c r="E2879" s="31">
        <v>0</v>
      </c>
      <c r="F2879" s="31">
        <v>50000</v>
      </c>
      <c r="G2879" s="31">
        <v>198000</v>
      </c>
      <c r="H2879" s="31">
        <v>0</v>
      </c>
      <c r="I2879" s="31" t="s">
        <v>92</v>
      </c>
      <c r="J2879" s="5" t="s">
        <v>2210</v>
      </c>
      <c r="K2879" s="8"/>
    </row>
    <row r="2880" spans="1:11" x14ac:dyDescent="0.2">
      <c r="A2880" s="8">
        <v>2156</v>
      </c>
      <c r="B2880" s="8">
        <f t="shared" si="94"/>
        <v>2023</v>
      </c>
      <c r="C2880" s="8">
        <f t="shared" si="95"/>
        <v>10</v>
      </c>
      <c r="D2880" s="85">
        <v>45211</v>
      </c>
      <c r="E2880" s="31"/>
      <c r="F2880" s="31">
        <v>150000</v>
      </c>
      <c r="G2880" s="31">
        <v>0</v>
      </c>
      <c r="H2880" s="31"/>
      <c r="I2880" s="31"/>
      <c r="J2880" s="5" t="s">
        <v>2211</v>
      </c>
      <c r="K2880" s="8"/>
    </row>
    <row r="2881" spans="1:11" x14ac:dyDescent="0.2">
      <c r="A2881" s="8">
        <v>2157</v>
      </c>
      <c r="B2881" s="8">
        <f t="shared" si="94"/>
        <v>2023</v>
      </c>
      <c r="C2881" s="8">
        <f t="shared" si="95"/>
        <v>10</v>
      </c>
      <c r="D2881" s="85">
        <v>45212</v>
      </c>
      <c r="E2881" s="31"/>
      <c r="F2881" s="31">
        <v>50000</v>
      </c>
      <c r="G2881" s="31"/>
      <c r="H2881" s="31"/>
      <c r="I2881" s="31"/>
      <c r="J2881" s="5" t="s">
        <v>287</v>
      </c>
      <c r="K2881" s="8"/>
    </row>
    <row r="2882" spans="1:11" x14ac:dyDescent="0.2">
      <c r="A2882" s="8">
        <v>2158</v>
      </c>
      <c r="B2882" s="8">
        <f t="shared" si="94"/>
        <v>2023</v>
      </c>
      <c r="C2882" s="8">
        <f t="shared" si="95"/>
        <v>10</v>
      </c>
      <c r="D2882" s="85">
        <v>45213</v>
      </c>
      <c r="E2882" s="31"/>
      <c r="F2882" s="31">
        <v>270000</v>
      </c>
      <c r="G2882" s="31"/>
      <c r="H2882" s="31"/>
      <c r="I2882" s="31"/>
      <c r="J2882" s="5" t="s">
        <v>439</v>
      </c>
      <c r="K2882" s="8"/>
    </row>
    <row r="2883" spans="1:11" x14ac:dyDescent="0.2">
      <c r="A2883" s="8">
        <v>2159</v>
      </c>
      <c r="B2883" s="8">
        <f t="shared" ref="B2883:B2946" si="96">YEAR(D2883)</f>
        <v>2023</v>
      </c>
      <c r="C2883" s="8">
        <f t="shared" ref="C2883:C2946" si="97">MONTH(D2883)</f>
        <v>10</v>
      </c>
      <c r="D2883" s="85">
        <v>45214</v>
      </c>
      <c r="E2883" s="31"/>
      <c r="F2883" s="31">
        <v>67000</v>
      </c>
      <c r="G2883" s="31"/>
      <c r="H2883" s="31"/>
      <c r="I2883" s="31"/>
      <c r="J2883" s="5" t="s">
        <v>1273</v>
      </c>
      <c r="K2883" s="8"/>
    </row>
    <row r="2884" spans="1:11" x14ac:dyDescent="0.2">
      <c r="A2884" s="8">
        <v>2160</v>
      </c>
      <c r="B2884" s="8">
        <f t="shared" si="96"/>
        <v>2023</v>
      </c>
      <c r="C2884" s="8">
        <f t="shared" si="97"/>
        <v>10</v>
      </c>
      <c r="D2884" s="85">
        <v>45215</v>
      </c>
      <c r="E2884" s="31"/>
      <c r="F2884" s="31">
        <v>25000</v>
      </c>
      <c r="G2884" s="31"/>
      <c r="H2884" s="31"/>
      <c r="I2884" s="31"/>
      <c r="J2884" s="5" t="s">
        <v>175</v>
      </c>
      <c r="K2884" s="8"/>
    </row>
    <row r="2885" spans="1:11" x14ac:dyDescent="0.2">
      <c r="A2885" s="8">
        <v>2161</v>
      </c>
      <c r="B2885" s="8">
        <f t="shared" si="96"/>
        <v>2023</v>
      </c>
      <c r="C2885" s="8">
        <f t="shared" si="97"/>
        <v>10</v>
      </c>
      <c r="D2885" s="85">
        <v>45215</v>
      </c>
      <c r="E2885" s="31"/>
      <c r="F2885" s="31">
        <v>37000</v>
      </c>
      <c r="G2885" s="31"/>
      <c r="H2885" s="31"/>
      <c r="I2885" s="31"/>
      <c r="J2885" s="5" t="s">
        <v>91</v>
      </c>
      <c r="K2885" s="8"/>
    </row>
    <row r="2886" spans="1:11" x14ac:dyDescent="0.2">
      <c r="A2886" s="8">
        <v>2162</v>
      </c>
      <c r="B2886" s="8">
        <f t="shared" si="96"/>
        <v>2023</v>
      </c>
      <c r="C2886" s="8">
        <f t="shared" si="97"/>
        <v>10</v>
      </c>
      <c r="D2886" s="85">
        <v>45215</v>
      </c>
      <c r="E2886" s="31"/>
      <c r="F2886" s="31">
        <v>20000</v>
      </c>
      <c r="G2886" s="31"/>
      <c r="H2886" s="31"/>
      <c r="I2886" s="31"/>
      <c r="J2886" s="5" t="s">
        <v>146</v>
      </c>
      <c r="K2886" s="8"/>
    </row>
    <row r="2887" spans="1:11" x14ac:dyDescent="0.2">
      <c r="A2887" s="8">
        <v>2163</v>
      </c>
      <c r="B2887" s="8">
        <f t="shared" si="96"/>
        <v>2023</v>
      </c>
      <c r="C2887" s="8">
        <f t="shared" si="97"/>
        <v>10</v>
      </c>
      <c r="D2887" s="85">
        <v>45216</v>
      </c>
      <c r="E2887" s="31"/>
      <c r="F2887" s="31">
        <v>260000</v>
      </c>
      <c r="G2887" s="31"/>
      <c r="H2887" s="31"/>
      <c r="I2887" s="31"/>
      <c r="J2887" s="5" t="s">
        <v>2212</v>
      </c>
      <c r="K2887" s="8"/>
    </row>
    <row r="2888" spans="1:11" x14ac:dyDescent="0.2">
      <c r="A2888" s="8">
        <v>2164</v>
      </c>
      <c r="B2888" s="8">
        <f t="shared" si="96"/>
        <v>2023</v>
      </c>
      <c r="C2888" s="8">
        <f t="shared" si="97"/>
        <v>10</v>
      </c>
      <c r="D2888" s="85">
        <v>45216</v>
      </c>
      <c r="E2888" s="31"/>
      <c r="F2888" s="31">
        <v>300000</v>
      </c>
      <c r="G2888" s="31"/>
      <c r="H2888" s="31"/>
      <c r="I2888" s="31"/>
      <c r="J2888" s="5" t="s">
        <v>2213</v>
      </c>
      <c r="K2888" s="8"/>
    </row>
    <row r="2889" spans="1:11" x14ac:dyDescent="0.2">
      <c r="A2889" s="8">
        <v>2165</v>
      </c>
      <c r="B2889" s="8">
        <f t="shared" si="96"/>
        <v>2023</v>
      </c>
      <c r="C2889" s="8">
        <f t="shared" si="97"/>
        <v>10</v>
      </c>
      <c r="D2889" s="85">
        <v>45216</v>
      </c>
      <c r="E2889" s="31"/>
      <c r="F2889" s="31">
        <v>10000</v>
      </c>
      <c r="G2889" s="31"/>
      <c r="H2889" s="31"/>
      <c r="I2889" s="31"/>
      <c r="J2889" s="5" t="s">
        <v>1273</v>
      </c>
      <c r="K2889" s="8"/>
    </row>
    <row r="2890" spans="1:11" x14ac:dyDescent="0.2">
      <c r="A2890" s="8">
        <v>2166</v>
      </c>
      <c r="B2890" s="8">
        <f t="shared" si="96"/>
        <v>2023</v>
      </c>
      <c r="C2890" s="8">
        <f t="shared" si="97"/>
        <v>10</v>
      </c>
      <c r="D2890" s="85">
        <v>45217</v>
      </c>
      <c r="E2890" s="31"/>
      <c r="F2890" s="31">
        <v>35000</v>
      </c>
      <c r="G2890" s="31"/>
      <c r="H2890" s="31"/>
      <c r="I2890" s="31"/>
      <c r="J2890" s="5" t="s">
        <v>91</v>
      </c>
      <c r="K2890" s="8"/>
    </row>
    <row r="2891" spans="1:11" x14ac:dyDescent="0.2">
      <c r="A2891" s="8">
        <v>2167</v>
      </c>
      <c r="B2891" s="8">
        <f t="shared" si="96"/>
        <v>2023</v>
      </c>
      <c r="C2891" s="8">
        <f t="shared" si="97"/>
        <v>10</v>
      </c>
      <c r="D2891" s="85">
        <v>45218</v>
      </c>
      <c r="E2891" s="31"/>
      <c r="F2891" s="31">
        <v>50000</v>
      </c>
      <c r="G2891" s="31"/>
      <c r="H2891" s="31"/>
      <c r="I2891" s="31"/>
      <c r="J2891" s="5" t="s">
        <v>287</v>
      </c>
      <c r="K2891" s="8"/>
    </row>
    <row r="2892" spans="1:11" x14ac:dyDescent="0.2">
      <c r="A2892" s="8">
        <v>2168</v>
      </c>
      <c r="B2892" s="8">
        <f t="shared" si="96"/>
        <v>2023</v>
      </c>
      <c r="C2892" s="8">
        <f t="shared" si="97"/>
        <v>10</v>
      </c>
      <c r="D2892" s="85">
        <v>45219</v>
      </c>
      <c r="E2892" s="31"/>
      <c r="F2892" s="31">
        <v>50000</v>
      </c>
      <c r="G2892" s="31"/>
      <c r="H2892" s="31"/>
      <c r="I2892" s="31"/>
      <c r="J2892" s="5" t="s">
        <v>287</v>
      </c>
      <c r="K2892" s="8"/>
    </row>
    <row r="2893" spans="1:11" x14ac:dyDescent="0.2">
      <c r="A2893" s="8">
        <v>2169</v>
      </c>
      <c r="B2893" s="8">
        <f t="shared" si="96"/>
        <v>2023</v>
      </c>
      <c r="C2893" s="8">
        <f t="shared" si="97"/>
        <v>10</v>
      </c>
      <c r="D2893" s="85">
        <v>45220</v>
      </c>
      <c r="E2893" s="31"/>
      <c r="F2893" s="31">
        <v>50000</v>
      </c>
      <c r="G2893" s="31"/>
      <c r="H2893" s="31"/>
      <c r="I2893" s="31"/>
      <c r="J2893" s="5" t="s">
        <v>287</v>
      </c>
      <c r="K2893" s="8"/>
    </row>
    <row r="2894" spans="1:11" x14ac:dyDescent="0.2">
      <c r="A2894" s="8">
        <v>2170</v>
      </c>
      <c r="B2894" s="8">
        <f t="shared" si="96"/>
        <v>2023</v>
      </c>
      <c r="C2894" s="8">
        <f t="shared" si="97"/>
        <v>10</v>
      </c>
      <c r="D2894" s="85">
        <v>45221</v>
      </c>
      <c r="E2894" s="31"/>
      <c r="F2894" s="31">
        <v>100000</v>
      </c>
      <c r="G2894" s="31"/>
      <c r="H2894" s="31"/>
      <c r="I2894" s="31"/>
      <c r="J2894" s="5" t="s">
        <v>2214</v>
      </c>
      <c r="K2894" s="8"/>
    </row>
    <row r="2895" spans="1:11" x14ac:dyDescent="0.2">
      <c r="A2895" s="8">
        <v>2171</v>
      </c>
      <c r="B2895" s="8">
        <f t="shared" si="96"/>
        <v>2023</v>
      </c>
      <c r="C2895" s="8">
        <f t="shared" si="97"/>
        <v>10</v>
      </c>
      <c r="D2895" s="85">
        <v>45221</v>
      </c>
      <c r="E2895" s="31"/>
      <c r="F2895" s="31">
        <v>112000</v>
      </c>
      <c r="G2895" s="31"/>
      <c r="H2895" s="31"/>
      <c r="I2895" s="31"/>
      <c r="J2895" s="5" t="s">
        <v>2215</v>
      </c>
      <c r="K2895" s="8"/>
    </row>
    <row r="2896" spans="1:11" x14ac:dyDescent="0.2">
      <c r="A2896" s="8">
        <v>2172</v>
      </c>
      <c r="B2896" s="8">
        <f t="shared" si="96"/>
        <v>2023</v>
      </c>
      <c r="C2896" s="8">
        <f t="shared" si="97"/>
        <v>10</v>
      </c>
      <c r="D2896" s="85">
        <v>45222</v>
      </c>
      <c r="E2896" s="31"/>
      <c r="F2896" s="31">
        <v>50000</v>
      </c>
      <c r="G2896" s="31"/>
      <c r="H2896" s="31"/>
      <c r="I2896" s="31"/>
      <c r="J2896" s="5" t="s">
        <v>287</v>
      </c>
      <c r="K2896" s="8"/>
    </row>
    <row r="2897" spans="1:11" x14ac:dyDescent="0.2">
      <c r="A2897" s="8">
        <v>2173</v>
      </c>
      <c r="B2897" s="8">
        <f t="shared" si="96"/>
        <v>2023</v>
      </c>
      <c r="C2897" s="8">
        <f t="shared" si="97"/>
        <v>10</v>
      </c>
      <c r="D2897" s="85">
        <v>45223</v>
      </c>
      <c r="E2897" s="31"/>
      <c r="F2897" s="31">
        <v>108000</v>
      </c>
      <c r="G2897" s="31"/>
      <c r="H2897" s="31"/>
      <c r="I2897" s="31"/>
      <c r="J2897" s="5" t="s">
        <v>2216</v>
      </c>
      <c r="K2897" s="8"/>
    </row>
    <row r="2898" spans="1:11" x14ac:dyDescent="0.2">
      <c r="A2898" s="8">
        <v>2174</v>
      </c>
      <c r="B2898" s="8">
        <f t="shared" si="96"/>
        <v>2023</v>
      </c>
      <c r="C2898" s="8">
        <f t="shared" si="97"/>
        <v>10</v>
      </c>
      <c r="D2898" s="85">
        <v>45224</v>
      </c>
      <c r="E2898" s="31"/>
      <c r="F2898" s="31">
        <v>50000</v>
      </c>
      <c r="G2898" s="31"/>
      <c r="H2898" s="31"/>
      <c r="I2898" s="31"/>
      <c r="J2898" s="5" t="s">
        <v>287</v>
      </c>
      <c r="K2898" s="8"/>
    </row>
    <row r="2899" spans="1:11" x14ac:dyDescent="0.2">
      <c r="A2899" s="8">
        <v>2175</v>
      </c>
      <c r="B2899" s="8">
        <f t="shared" si="96"/>
        <v>2023</v>
      </c>
      <c r="C2899" s="8">
        <f t="shared" si="97"/>
        <v>10</v>
      </c>
      <c r="D2899" s="85">
        <v>45225</v>
      </c>
      <c r="E2899" s="31"/>
      <c r="F2899" s="31">
        <v>50000</v>
      </c>
      <c r="G2899" s="31"/>
      <c r="H2899" s="31"/>
      <c r="I2899" s="31"/>
      <c r="J2899" s="5" t="s">
        <v>287</v>
      </c>
      <c r="K2899" s="8"/>
    </row>
    <row r="2900" spans="1:11" x14ac:dyDescent="0.2">
      <c r="A2900" s="8">
        <v>2176</v>
      </c>
      <c r="B2900" s="8">
        <f t="shared" si="96"/>
        <v>2023</v>
      </c>
      <c r="C2900" s="8">
        <f t="shared" si="97"/>
        <v>10</v>
      </c>
      <c r="D2900" s="85">
        <v>45226</v>
      </c>
      <c r="E2900" s="31"/>
      <c r="F2900" s="31">
        <v>50000</v>
      </c>
      <c r="G2900" s="31"/>
      <c r="H2900" s="31"/>
      <c r="I2900" s="31"/>
      <c r="J2900" s="5" t="s">
        <v>287</v>
      </c>
      <c r="K2900" s="8"/>
    </row>
    <row r="2901" spans="1:11" x14ac:dyDescent="0.2">
      <c r="A2901" s="8">
        <v>2177</v>
      </c>
      <c r="B2901" s="8">
        <f t="shared" si="96"/>
        <v>2023</v>
      </c>
      <c r="C2901" s="8">
        <f t="shared" si="97"/>
        <v>10</v>
      </c>
      <c r="D2901" s="85">
        <v>45227</v>
      </c>
      <c r="E2901" s="31"/>
      <c r="F2901" s="31">
        <v>50000</v>
      </c>
      <c r="G2901" s="31"/>
      <c r="H2901" s="31"/>
      <c r="I2901" s="31"/>
      <c r="J2901" s="5" t="s">
        <v>287</v>
      </c>
      <c r="K2901" s="8"/>
    </row>
    <row r="2902" spans="1:11" x14ac:dyDescent="0.2">
      <c r="A2902" s="8">
        <v>2178</v>
      </c>
      <c r="B2902" s="8">
        <f t="shared" si="96"/>
        <v>2023</v>
      </c>
      <c r="C2902" s="8">
        <f t="shared" si="97"/>
        <v>10</v>
      </c>
      <c r="D2902" s="85">
        <v>45228</v>
      </c>
      <c r="E2902" s="31"/>
      <c r="F2902" s="31">
        <v>50000</v>
      </c>
      <c r="G2902" s="31"/>
      <c r="H2902" s="31"/>
      <c r="I2902" s="31"/>
      <c r="J2902" s="5" t="s">
        <v>287</v>
      </c>
      <c r="K2902" s="8"/>
    </row>
    <row r="2903" spans="1:11" x14ac:dyDescent="0.2">
      <c r="A2903" s="8">
        <v>2179</v>
      </c>
      <c r="B2903" s="8">
        <f t="shared" si="96"/>
        <v>2023</v>
      </c>
      <c r="C2903" s="8">
        <f t="shared" si="97"/>
        <v>10</v>
      </c>
      <c r="D2903" s="85">
        <v>45229</v>
      </c>
      <c r="E2903" s="31"/>
      <c r="F2903" s="31">
        <v>50000</v>
      </c>
      <c r="G2903" s="31"/>
      <c r="H2903" s="31"/>
      <c r="I2903" s="31"/>
      <c r="J2903" s="5" t="s">
        <v>287</v>
      </c>
      <c r="K2903" s="8"/>
    </row>
    <row r="2904" spans="1:11" x14ac:dyDescent="0.2">
      <c r="A2904" s="8">
        <v>2180</v>
      </c>
      <c r="B2904" s="8">
        <f t="shared" si="96"/>
        <v>2023</v>
      </c>
      <c r="C2904" s="8">
        <f t="shared" si="97"/>
        <v>4</v>
      </c>
      <c r="D2904" s="85">
        <v>45042</v>
      </c>
      <c r="E2904" s="31">
        <v>3000000</v>
      </c>
      <c r="F2904" s="31">
        <v>0</v>
      </c>
      <c r="G2904" s="31">
        <v>0</v>
      </c>
      <c r="H2904" s="31">
        <v>0</v>
      </c>
      <c r="I2904" s="31" t="s">
        <v>704</v>
      </c>
      <c r="J2904" s="5" t="s">
        <v>2217</v>
      </c>
      <c r="K2904" s="8"/>
    </row>
    <row r="2905" spans="1:11" x14ac:dyDescent="0.2">
      <c r="A2905" s="8">
        <v>2181</v>
      </c>
      <c r="B2905" s="8">
        <f t="shared" si="96"/>
        <v>2023</v>
      </c>
      <c r="C2905" s="8">
        <f t="shared" si="97"/>
        <v>10</v>
      </c>
      <c r="D2905" s="85">
        <v>45229</v>
      </c>
      <c r="E2905" s="31">
        <v>13500000</v>
      </c>
      <c r="F2905" s="31">
        <v>0</v>
      </c>
      <c r="G2905" s="31">
        <v>0</v>
      </c>
      <c r="H2905" s="31">
        <v>0</v>
      </c>
      <c r="I2905" s="31" t="s">
        <v>109</v>
      </c>
      <c r="J2905" s="5" t="s">
        <v>2218</v>
      </c>
      <c r="K2905" s="8"/>
    </row>
    <row r="2906" spans="1:11" x14ac:dyDescent="0.2">
      <c r="A2906" s="8">
        <v>2182</v>
      </c>
      <c r="B2906" s="8">
        <f t="shared" si="96"/>
        <v>2023</v>
      </c>
      <c r="C2906" s="8">
        <f t="shared" si="97"/>
        <v>10</v>
      </c>
      <c r="D2906" s="85">
        <v>45229</v>
      </c>
      <c r="E2906" s="31">
        <v>11250000</v>
      </c>
      <c r="F2906" s="31">
        <v>0</v>
      </c>
      <c r="G2906" s="31">
        <v>0</v>
      </c>
      <c r="H2906" s="31">
        <v>0</v>
      </c>
      <c r="I2906" s="31" t="s">
        <v>1834</v>
      </c>
      <c r="J2906" s="5" t="s">
        <v>2219</v>
      </c>
      <c r="K2906" s="8"/>
    </row>
    <row r="2907" spans="1:11" x14ac:dyDescent="0.2">
      <c r="A2907" s="8">
        <v>2183</v>
      </c>
      <c r="B2907" s="8">
        <f t="shared" si="96"/>
        <v>2023</v>
      </c>
      <c r="C2907" s="8">
        <f t="shared" si="97"/>
        <v>10</v>
      </c>
      <c r="D2907" s="85">
        <v>45229</v>
      </c>
      <c r="E2907" s="31">
        <v>1800000</v>
      </c>
      <c r="F2907" s="31">
        <v>0</v>
      </c>
      <c r="G2907" s="31">
        <v>0</v>
      </c>
      <c r="H2907" s="31">
        <v>0</v>
      </c>
      <c r="I2907" s="31" t="s">
        <v>1834</v>
      </c>
      <c r="J2907" s="5" t="s">
        <v>2220</v>
      </c>
      <c r="K2907" s="8"/>
    </row>
    <row r="2908" spans="1:11" x14ac:dyDescent="0.2">
      <c r="A2908" s="8">
        <v>2184</v>
      </c>
      <c r="B2908" s="8">
        <f t="shared" si="96"/>
        <v>2023</v>
      </c>
      <c r="C2908" s="8">
        <f t="shared" si="97"/>
        <v>10</v>
      </c>
      <c r="D2908" s="85">
        <v>45229</v>
      </c>
      <c r="E2908" s="31">
        <v>1350000</v>
      </c>
      <c r="F2908" s="31">
        <v>0</v>
      </c>
      <c r="G2908" s="31">
        <v>0</v>
      </c>
      <c r="H2908" s="31">
        <v>0</v>
      </c>
      <c r="I2908" s="31" t="s">
        <v>1834</v>
      </c>
      <c r="J2908" s="5" t="s">
        <v>2221</v>
      </c>
      <c r="K2908" s="8"/>
    </row>
    <row r="2909" spans="1:11" x14ac:dyDescent="0.2">
      <c r="A2909" s="8">
        <v>2185</v>
      </c>
      <c r="B2909" s="8">
        <f t="shared" si="96"/>
        <v>2023</v>
      </c>
      <c r="C2909" s="8">
        <f t="shared" si="97"/>
        <v>10</v>
      </c>
      <c r="D2909" s="85">
        <v>45229</v>
      </c>
      <c r="E2909" s="31">
        <v>5976000</v>
      </c>
      <c r="F2909" s="31">
        <v>0</v>
      </c>
      <c r="G2909" s="31">
        <v>0</v>
      </c>
      <c r="H2909" s="31">
        <v>0</v>
      </c>
      <c r="I2909" s="31" t="s">
        <v>1834</v>
      </c>
      <c r="J2909" s="5" t="s">
        <v>2222</v>
      </c>
      <c r="K2909" s="8"/>
    </row>
    <row r="2910" spans="1:11" x14ac:dyDescent="0.2">
      <c r="A2910" s="8">
        <v>2186</v>
      </c>
      <c r="B2910" s="8">
        <f t="shared" si="96"/>
        <v>2023</v>
      </c>
      <c r="C2910" s="8">
        <f t="shared" si="97"/>
        <v>10</v>
      </c>
      <c r="D2910" s="85">
        <v>45230</v>
      </c>
      <c r="E2910" s="31">
        <v>0</v>
      </c>
      <c r="F2910" s="31">
        <v>50000</v>
      </c>
      <c r="G2910" s="31">
        <v>0</v>
      </c>
      <c r="H2910" s="31">
        <v>0</v>
      </c>
      <c r="I2910" s="31"/>
      <c r="J2910" s="5" t="s">
        <v>287</v>
      </c>
      <c r="K2910" s="8"/>
    </row>
    <row r="2911" spans="1:11" x14ac:dyDescent="0.2">
      <c r="A2911" s="8">
        <v>2187</v>
      </c>
      <c r="B2911" s="8">
        <f t="shared" si="96"/>
        <v>2023</v>
      </c>
      <c r="C2911" s="8">
        <f t="shared" si="97"/>
        <v>11</v>
      </c>
      <c r="D2911" s="85">
        <v>45231</v>
      </c>
      <c r="E2911" s="31">
        <v>0</v>
      </c>
      <c r="F2911" s="31">
        <v>530000</v>
      </c>
      <c r="G2911" s="31">
        <v>0</v>
      </c>
      <c r="H2911" s="31">
        <v>0</v>
      </c>
      <c r="I2911" s="31"/>
      <c r="J2911" s="5" t="s">
        <v>142</v>
      </c>
      <c r="K2911" s="8"/>
    </row>
    <row r="2912" spans="1:11" x14ac:dyDescent="0.2">
      <c r="A2912" s="8">
        <v>2188</v>
      </c>
      <c r="B2912" s="8">
        <f t="shared" si="96"/>
        <v>2023</v>
      </c>
      <c r="C2912" s="8">
        <f t="shared" si="97"/>
        <v>11</v>
      </c>
      <c r="D2912" s="85">
        <v>45231</v>
      </c>
      <c r="E2912" s="31">
        <v>0</v>
      </c>
      <c r="F2912" s="31">
        <v>600000</v>
      </c>
      <c r="G2912" s="31">
        <v>0</v>
      </c>
      <c r="H2912" s="31">
        <v>0</v>
      </c>
      <c r="I2912" s="31"/>
      <c r="J2912" s="5" t="s">
        <v>2223</v>
      </c>
      <c r="K2912" s="8"/>
    </row>
    <row r="2913" spans="1:11" x14ac:dyDescent="0.2">
      <c r="A2913" s="8">
        <v>2189</v>
      </c>
      <c r="B2913" s="8">
        <f t="shared" si="96"/>
        <v>2023</v>
      </c>
      <c r="C2913" s="8">
        <f t="shared" si="97"/>
        <v>11</v>
      </c>
      <c r="D2913" s="85">
        <v>45232</v>
      </c>
      <c r="E2913" s="31">
        <v>0</v>
      </c>
      <c r="F2913" s="31">
        <v>872000</v>
      </c>
      <c r="G2913" s="31">
        <v>0</v>
      </c>
      <c r="H2913" s="31">
        <v>0</v>
      </c>
      <c r="I2913" s="31"/>
      <c r="J2913" s="5" t="s">
        <v>2224</v>
      </c>
      <c r="K2913" s="8"/>
    </row>
    <row r="2914" spans="1:11" x14ac:dyDescent="0.2">
      <c r="A2914" s="8">
        <v>2190</v>
      </c>
      <c r="B2914" s="8">
        <f t="shared" si="96"/>
        <v>2023</v>
      </c>
      <c r="C2914" s="8">
        <f t="shared" si="97"/>
        <v>11</v>
      </c>
      <c r="D2914" s="85">
        <v>45233</v>
      </c>
      <c r="E2914" s="31">
        <v>0</v>
      </c>
      <c r="F2914" s="31">
        <v>3332000</v>
      </c>
      <c r="G2914" s="31">
        <v>0</v>
      </c>
      <c r="H2914" s="31">
        <v>0</v>
      </c>
      <c r="I2914" s="31"/>
      <c r="J2914" s="5" t="s">
        <v>2225</v>
      </c>
      <c r="K2914" s="8"/>
    </row>
    <row r="2915" spans="1:11" x14ac:dyDescent="0.2">
      <c r="A2915" s="8">
        <v>2191</v>
      </c>
      <c r="B2915" s="8">
        <f t="shared" si="96"/>
        <v>2023</v>
      </c>
      <c r="C2915" s="8">
        <f t="shared" si="97"/>
        <v>11</v>
      </c>
      <c r="D2915" s="85">
        <v>45234</v>
      </c>
      <c r="E2915" s="31">
        <v>0</v>
      </c>
      <c r="F2915" s="31">
        <v>50000</v>
      </c>
      <c r="G2915" s="31">
        <v>0</v>
      </c>
      <c r="H2915" s="31">
        <v>0</v>
      </c>
      <c r="I2915" s="31"/>
      <c r="J2915" s="5" t="s">
        <v>287</v>
      </c>
      <c r="K2915" s="8"/>
    </row>
    <row r="2916" spans="1:11" x14ac:dyDescent="0.2">
      <c r="A2916" s="8">
        <v>2192</v>
      </c>
      <c r="B2916" s="8">
        <f t="shared" si="96"/>
        <v>2023</v>
      </c>
      <c r="C2916" s="8">
        <f t="shared" si="97"/>
        <v>11</v>
      </c>
      <c r="D2916" s="85">
        <v>45235</v>
      </c>
      <c r="E2916" s="31">
        <v>0</v>
      </c>
      <c r="F2916" s="31">
        <v>50000</v>
      </c>
      <c r="G2916" s="31">
        <v>0</v>
      </c>
      <c r="H2916" s="31">
        <v>0</v>
      </c>
      <c r="I2916" s="31"/>
      <c r="J2916" s="5" t="s">
        <v>287</v>
      </c>
      <c r="K2916" s="8"/>
    </row>
    <row r="2917" spans="1:11" x14ac:dyDescent="0.2">
      <c r="A2917" s="8">
        <v>2193</v>
      </c>
      <c r="B2917" s="8">
        <f t="shared" si="96"/>
        <v>2023</v>
      </c>
      <c r="C2917" s="8">
        <f t="shared" si="97"/>
        <v>11</v>
      </c>
      <c r="D2917" s="85">
        <v>45236</v>
      </c>
      <c r="E2917" s="31">
        <v>0</v>
      </c>
      <c r="F2917" s="31">
        <v>50000</v>
      </c>
      <c r="G2917" s="31">
        <v>0</v>
      </c>
      <c r="H2917" s="31">
        <v>0</v>
      </c>
      <c r="I2917" s="31"/>
      <c r="J2917" s="5" t="s">
        <v>287</v>
      </c>
      <c r="K2917" s="8"/>
    </row>
    <row r="2918" spans="1:11" x14ac:dyDescent="0.2">
      <c r="A2918" s="8">
        <v>2194</v>
      </c>
      <c r="B2918" s="8">
        <f t="shared" si="96"/>
        <v>2023</v>
      </c>
      <c r="C2918" s="8">
        <f t="shared" si="97"/>
        <v>11</v>
      </c>
      <c r="D2918" s="85">
        <v>45237</v>
      </c>
      <c r="E2918" s="31">
        <v>0</v>
      </c>
      <c r="F2918" s="31">
        <v>410000</v>
      </c>
      <c r="G2918" s="31">
        <v>0</v>
      </c>
      <c r="H2918" s="31">
        <v>0</v>
      </c>
      <c r="I2918" s="31"/>
      <c r="J2918" s="5" t="s">
        <v>2226</v>
      </c>
      <c r="K2918" s="8"/>
    </row>
    <row r="2919" spans="1:11" x14ac:dyDescent="0.2">
      <c r="A2919" s="8">
        <v>2195</v>
      </c>
      <c r="B2919" s="8">
        <f t="shared" si="96"/>
        <v>2023</v>
      </c>
      <c r="C2919" s="8">
        <f t="shared" si="97"/>
        <v>11</v>
      </c>
      <c r="D2919" s="85">
        <v>45238</v>
      </c>
      <c r="E2919" s="31">
        <v>0</v>
      </c>
      <c r="F2919" s="31">
        <v>120000</v>
      </c>
      <c r="G2919" s="31">
        <v>0</v>
      </c>
      <c r="H2919" s="31">
        <v>0</v>
      </c>
      <c r="I2919" s="31"/>
      <c r="J2919" s="5" t="s">
        <v>2227</v>
      </c>
      <c r="K2919" s="8"/>
    </row>
    <row r="2920" spans="1:11" x14ac:dyDescent="0.2">
      <c r="A2920" s="8">
        <v>2196</v>
      </c>
      <c r="B2920" s="8">
        <f t="shared" si="96"/>
        <v>2023</v>
      </c>
      <c r="C2920" s="8">
        <f t="shared" si="97"/>
        <v>11</v>
      </c>
      <c r="D2920" s="85">
        <v>45239</v>
      </c>
      <c r="E2920" s="31">
        <v>0</v>
      </c>
      <c r="F2920" s="31">
        <v>130000</v>
      </c>
      <c r="G2920" s="31">
        <v>0</v>
      </c>
      <c r="H2920" s="31">
        <v>0</v>
      </c>
      <c r="I2920" s="31"/>
      <c r="J2920" s="5" t="s">
        <v>2228</v>
      </c>
      <c r="K2920" s="8"/>
    </row>
    <row r="2921" spans="1:11" x14ac:dyDescent="0.2">
      <c r="A2921" s="8">
        <v>2197</v>
      </c>
      <c r="B2921" s="8">
        <f t="shared" si="96"/>
        <v>2023</v>
      </c>
      <c r="C2921" s="8">
        <f t="shared" si="97"/>
        <v>11</v>
      </c>
      <c r="D2921" s="85">
        <v>45240</v>
      </c>
      <c r="E2921" s="31">
        <v>0</v>
      </c>
      <c r="F2921" s="31">
        <v>2150000</v>
      </c>
      <c r="G2921" s="31">
        <v>0</v>
      </c>
      <c r="H2921" s="31">
        <v>0</v>
      </c>
      <c r="I2921" s="31"/>
      <c r="J2921" s="5" t="s">
        <v>2229</v>
      </c>
      <c r="K2921" s="8"/>
    </row>
    <row r="2922" spans="1:11" x14ac:dyDescent="0.2">
      <c r="A2922" s="8">
        <v>2198</v>
      </c>
      <c r="B2922" s="8">
        <f t="shared" si="96"/>
        <v>2023</v>
      </c>
      <c r="C2922" s="8">
        <f t="shared" si="97"/>
        <v>11</v>
      </c>
      <c r="D2922" s="85">
        <v>45241</v>
      </c>
      <c r="E2922" s="31">
        <v>0</v>
      </c>
      <c r="F2922" s="31">
        <v>175000</v>
      </c>
      <c r="G2922" s="31">
        <v>0</v>
      </c>
      <c r="H2922" s="31">
        <v>0</v>
      </c>
      <c r="I2922" s="31"/>
      <c r="J2922" s="5" t="s">
        <v>2230</v>
      </c>
      <c r="K2922" s="8"/>
    </row>
    <row r="2923" spans="1:11" x14ac:dyDescent="0.2">
      <c r="A2923" s="8">
        <v>2199</v>
      </c>
      <c r="B2923" s="8">
        <f t="shared" si="96"/>
        <v>2023</v>
      </c>
      <c r="C2923" s="8">
        <f t="shared" si="97"/>
        <v>11</v>
      </c>
      <c r="D2923" s="85">
        <v>45241</v>
      </c>
      <c r="E2923" s="31">
        <v>0</v>
      </c>
      <c r="F2923" s="31">
        <v>200000</v>
      </c>
      <c r="G2923" s="31">
        <v>0</v>
      </c>
      <c r="H2923" s="31">
        <v>0</v>
      </c>
      <c r="I2923" s="31"/>
      <c r="J2923" s="5" t="s">
        <v>2231</v>
      </c>
      <c r="K2923" s="8"/>
    </row>
    <row r="2924" spans="1:11" x14ac:dyDescent="0.2">
      <c r="A2924" s="8">
        <v>2200</v>
      </c>
      <c r="B2924" s="8">
        <f t="shared" si="96"/>
        <v>2023</v>
      </c>
      <c r="C2924" s="8">
        <f t="shared" si="97"/>
        <v>11</v>
      </c>
      <c r="D2924" s="85">
        <v>45241</v>
      </c>
      <c r="E2924" s="31">
        <v>0</v>
      </c>
      <c r="F2924" s="31">
        <v>230000</v>
      </c>
      <c r="G2924" s="31">
        <v>0</v>
      </c>
      <c r="H2924" s="31">
        <v>0</v>
      </c>
      <c r="I2924" s="31"/>
      <c r="J2924" s="5" t="s">
        <v>1406</v>
      </c>
      <c r="K2924" s="8"/>
    </row>
    <row r="2925" spans="1:11" x14ac:dyDescent="0.2">
      <c r="A2925" s="8">
        <v>2201</v>
      </c>
      <c r="B2925" s="8">
        <f t="shared" si="96"/>
        <v>2023</v>
      </c>
      <c r="C2925" s="8">
        <f t="shared" si="97"/>
        <v>11</v>
      </c>
      <c r="D2925" s="85">
        <v>45241</v>
      </c>
      <c r="E2925" s="31">
        <v>0</v>
      </c>
      <c r="F2925" s="31">
        <v>200000</v>
      </c>
      <c r="G2925" s="31">
        <v>0</v>
      </c>
      <c r="H2925" s="31">
        <v>0</v>
      </c>
      <c r="I2925" s="31"/>
      <c r="J2925" s="5" t="s">
        <v>2232</v>
      </c>
      <c r="K2925" s="8"/>
    </row>
    <row r="2926" spans="1:11" x14ac:dyDescent="0.2">
      <c r="A2926" s="8">
        <v>2202</v>
      </c>
      <c r="B2926" s="8">
        <f t="shared" si="96"/>
        <v>2023</v>
      </c>
      <c r="C2926" s="8">
        <f t="shared" si="97"/>
        <v>11</v>
      </c>
      <c r="D2926" s="85">
        <v>45242</v>
      </c>
      <c r="E2926" s="31">
        <v>0</v>
      </c>
      <c r="F2926" s="31">
        <v>700000</v>
      </c>
      <c r="G2926" s="31">
        <v>0</v>
      </c>
      <c r="H2926" s="31">
        <v>0</v>
      </c>
      <c r="I2926" s="31"/>
      <c r="J2926" s="5" t="s">
        <v>2233</v>
      </c>
      <c r="K2926" s="8"/>
    </row>
    <row r="2927" spans="1:11" x14ac:dyDescent="0.2">
      <c r="A2927" s="8">
        <v>2203</v>
      </c>
      <c r="B2927" s="8">
        <f t="shared" si="96"/>
        <v>2023</v>
      </c>
      <c r="C2927" s="8">
        <f t="shared" si="97"/>
        <v>11</v>
      </c>
      <c r="D2927" s="85">
        <v>45242</v>
      </c>
      <c r="E2927" s="31">
        <v>0</v>
      </c>
      <c r="F2927" s="31">
        <v>190000</v>
      </c>
      <c r="G2927" s="31">
        <v>0</v>
      </c>
      <c r="H2927" s="31">
        <v>0</v>
      </c>
      <c r="I2927" s="31"/>
      <c r="J2927" s="5" t="s">
        <v>2234</v>
      </c>
      <c r="K2927" s="8"/>
    </row>
    <row r="2928" spans="1:11" x14ac:dyDescent="0.2">
      <c r="A2928" s="8">
        <v>2204</v>
      </c>
      <c r="B2928" s="8">
        <f t="shared" si="96"/>
        <v>2023</v>
      </c>
      <c r="C2928" s="8">
        <f t="shared" si="97"/>
        <v>11</v>
      </c>
      <c r="D2928" s="85">
        <v>45242</v>
      </c>
      <c r="E2928" s="31">
        <v>0</v>
      </c>
      <c r="F2928" s="31">
        <v>25000</v>
      </c>
      <c r="G2928" s="31">
        <v>0</v>
      </c>
      <c r="H2928" s="31">
        <v>0</v>
      </c>
      <c r="I2928" s="31"/>
      <c r="J2928" s="5" t="s">
        <v>2235</v>
      </c>
      <c r="K2928" s="8"/>
    </row>
    <row r="2929" spans="1:11" x14ac:dyDescent="0.2">
      <c r="A2929" s="8">
        <v>2205</v>
      </c>
      <c r="B2929" s="8">
        <f t="shared" si="96"/>
        <v>2023</v>
      </c>
      <c r="C2929" s="8">
        <f t="shared" si="97"/>
        <v>11</v>
      </c>
      <c r="D2929" s="85">
        <v>45243</v>
      </c>
      <c r="E2929" s="31">
        <v>0</v>
      </c>
      <c r="F2929" s="31">
        <v>300000</v>
      </c>
      <c r="G2929" s="31">
        <v>0</v>
      </c>
      <c r="H2929" s="31">
        <v>0</v>
      </c>
      <c r="I2929" s="31"/>
      <c r="J2929" s="5" t="s">
        <v>2236</v>
      </c>
      <c r="K2929" s="8"/>
    </row>
    <row r="2930" spans="1:11" x14ac:dyDescent="0.2">
      <c r="A2930" s="8">
        <v>2206</v>
      </c>
      <c r="B2930" s="8">
        <f t="shared" si="96"/>
        <v>2023</v>
      </c>
      <c r="C2930" s="8">
        <f t="shared" si="97"/>
        <v>11</v>
      </c>
      <c r="D2930" s="85">
        <v>45244</v>
      </c>
      <c r="E2930" s="31">
        <v>0</v>
      </c>
      <c r="F2930" s="31">
        <v>260000</v>
      </c>
      <c r="G2930" s="31">
        <v>0</v>
      </c>
      <c r="H2930" s="31">
        <v>0</v>
      </c>
      <c r="I2930" s="31"/>
      <c r="J2930" s="5" t="s">
        <v>149</v>
      </c>
      <c r="K2930" s="8"/>
    </row>
    <row r="2931" spans="1:11" x14ac:dyDescent="0.2">
      <c r="A2931" s="8">
        <v>2207</v>
      </c>
      <c r="B2931" s="8">
        <f t="shared" si="96"/>
        <v>2023</v>
      </c>
      <c r="C2931" s="8">
        <f t="shared" si="97"/>
        <v>11</v>
      </c>
      <c r="D2931" s="85">
        <v>45244</v>
      </c>
      <c r="E2931" s="31">
        <v>0</v>
      </c>
      <c r="F2931" s="31">
        <v>20000</v>
      </c>
      <c r="G2931" s="31">
        <v>0</v>
      </c>
      <c r="H2931" s="31">
        <v>0</v>
      </c>
      <c r="I2931" s="31"/>
      <c r="J2931" s="5" t="s">
        <v>91</v>
      </c>
      <c r="K2931" s="8"/>
    </row>
    <row r="2932" spans="1:11" x14ac:dyDescent="0.2">
      <c r="A2932" s="8">
        <v>2208</v>
      </c>
      <c r="B2932" s="8">
        <f t="shared" si="96"/>
        <v>2023</v>
      </c>
      <c r="C2932" s="8">
        <f t="shared" si="97"/>
        <v>11</v>
      </c>
      <c r="D2932" s="85">
        <v>45245</v>
      </c>
      <c r="E2932" s="31">
        <v>0</v>
      </c>
      <c r="F2932" s="31">
        <v>1000000</v>
      </c>
      <c r="G2932" s="31">
        <v>0</v>
      </c>
      <c r="H2932" s="31">
        <v>0</v>
      </c>
      <c r="I2932" s="31"/>
      <c r="J2932" s="5" t="s">
        <v>1387</v>
      </c>
      <c r="K2932" s="8"/>
    </row>
    <row r="2933" spans="1:11" x14ac:dyDescent="0.2">
      <c r="A2933" s="8">
        <v>2209</v>
      </c>
      <c r="B2933" s="8">
        <f t="shared" si="96"/>
        <v>2023</v>
      </c>
      <c r="C2933" s="8">
        <f t="shared" si="97"/>
        <v>11</v>
      </c>
      <c r="D2933" s="85">
        <v>45244</v>
      </c>
      <c r="E2933" s="31">
        <v>0</v>
      </c>
      <c r="F2933" s="31">
        <v>295000</v>
      </c>
      <c r="G2933" s="31">
        <v>0</v>
      </c>
      <c r="H2933" s="31">
        <v>0</v>
      </c>
      <c r="I2933" s="31"/>
      <c r="J2933" s="5" t="s">
        <v>2237</v>
      </c>
      <c r="K2933" s="8"/>
    </row>
    <row r="2934" spans="1:11" x14ac:dyDescent="0.2">
      <c r="A2934" s="8">
        <v>2210</v>
      </c>
      <c r="B2934" s="8">
        <f t="shared" si="96"/>
        <v>2023</v>
      </c>
      <c r="C2934" s="8">
        <f t="shared" si="97"/>
        <v>11</v>
      </c>
      <c r="D2934" s="85">
        <v>45244</v>
      </c>
      <c r="E2934" s="31">
        <v>0</v>
      </c>
      <c r="F2934" s="31">
        <v>100000</v>
      </c>
      <c r="G2934" s="31">
        <v>0</v>
      </c>
      <c r="H2934" s="31">
        <v>0</v>
      </c>
      <c r="I2934" s="31"/>
      <c r="J2934" s="5" t="s">
        <v>661</v>
      </c>
      <c r="K2934" s="8"/>
    </row>
    <row r="2935" spans="1:11" x14ac:dyDescent="0.2">
      <c r="A2935" s="8">
        <v>2211</v>
      </c>
      <c r="B2935" s="8">
        <f t="shared" si="96"/>
        <v>2023</v>
      </c>
      <c r="C2935" s="8">
        <f t="shared" si="97"/>
        <v>11</v>
      </c>
      <c r="D2935" s="85">
        <v>45245</v>
      </c>
      <c r="E2935" s="31">
        <v>0</v>
      </c>
      <c r="F2935" s="31">
        <v>55000</v>
      </c>
      <c r="G2935" s="31">
        <v>0</v>
      </c>
      <c r="H2935" s="31">
        <v>0</v>
      </c>
      <c r="I2935" s="31"/>
      <c r="J2935" s="5" t="s">
        <v>356</v>
      </c>
      <c r="K2935" s="8"/>
    </row>
    <row r="2936" spans="1:11" x14ac:dyDescent="0.2">
      <c r="A2936" s="8">
        <v>2212</v>
      </c>
      <c r="B2936" s="8">
        <f t="shared" si="96"/>
        <v>2023</v>
      </c>
      <c r="C2936" s="8">
        <f t="shared" si="97"/>
        <v>11</v>
      </c>
      <c r="D2936" s="85">
        <v>45246</v>
      </c>
      <c r="E2936" s="31">
        <v>0</v>
      </c>
      <c r="F2936" s="31">
        <v>90000</v>
      </c>
      <c r="G2936" s="31">
        <v>0</v>
      </c>
      <c r="H2936" s="31">
        <v>0</v>
      </c>
      <c r="I2936" s="31"/>
      <c r="J2936" s="5" t="s">
        <v>2238</v>
      </c>
      <c r="K2936" s="8"/>
    </row>
    <row r="2937" spans="1:11" x14ac:dyDescent="0.2">
      <c r="A2937" s="8">
        <v>2213</v>
      </c>
      <c r="B2937" s="8">
        <f t="shared" si="96"/>
        <v>2023</v>
      </c>
      <c r="C2937" s="8">
        <f t="shared" si="97"/>
        <v>11</v>
      </c>
      <c r="D2937" s="85">
        <v>45246</v>
      </c>
      <c r="E2937" s="31">
        <v>0</v>
      </c>
      <c r="F2937" s="31">
        <v>70000</v>
      </c>
      <c r="G2937" s="31">
        <v>0</v>
      </c>
      <c r="H2937" s="31">
        <v>0</v>
      </c>
      <c r="I2937" s="31"/>
      <c r="J2937" s="5" t="s">
        <v>2239</v>
      </c>
      <c r="K2937" s="8"/>
    </row>
    <row r="2938" spans="1:11" x14ac:dyDescent="0.2">
      <c r="A2938" s="8">
        <v>2214</v>
      </c>
      <c r="B2938" s="8">
        <f t="shared" si="96"/>
        <v>2023</v>
      </c>
      <c r="C2938" s="8">
        <f t="shared" si="97"/>
        <v>11</v>
      </c>
      <c r="D2938" s="85">
        <v>45246</v>
      </c>
      <c r="E2938" s="31">
        <v>0</v>
      </c>
      <c r="F2938" s="31">
        <v>21000</v>
      </c>
      <c r="G2938" s="31">
        <v>0</v>
      </c>
      <c r="H2938" s="31">
        <v>0</v>
      </c>
      <c r="I2938" s="31"/>
      <c r="J2938" s="5" t="s">
        <v>91</v>
      </c>
      <c r="K2938" s="8"/>
    </row>
    <row r="2939" spans="1:11" x14ac:dyDescent="0.2">
      <c r="A2939" s="8">
        <v>2215</v>
      </c>
      <c r="B2939" s="8">
        <f t="shared" si="96"/>
        <v>2023</v>
      </c>
      <c r="C2939" s="8">
        <f t="shared" si="97"/>
        <v>11</v>
      </c>
      <c r="D2939" s="85">
        <v>45247</v>
      </c>
      <c r="E2939" s="31">
        <v>0</v>
      </c>
      <c r="F2939" s="31">
        <v>50000</v>
      </c>
      <c r="G2939" s="31">
        <v>0</v>
      </c>
      <c r="H2939" s="31">
        <v>0</v>
      </c>
      <c r="I2939" s="31"/>
      <c r="J2939" s="5" t="s">
        <v>287</v>
      </c>
      <c r="K2939" s="8"/>
    </row>
    <row r="2940" spans="1:11" x14ac:dyDescent="0.2">
      <c r="A2940" s="8">
        <v>2216</v>
      </c>
      <c r="B2940" s="8">
        <f t="shared" si="96"/>
        <v>2023</v>
      </c>
      <c r="C2940" s="8">
        <f t="shared" si="97"/>
        <v>11</v>
      </c>
      <c r="D2940" s="85">
        <v>45248</v>
      </c>
      <c r="E2940" s="31">
        <v>0</v>
      </c>
      <c r="F2940" s="31">
        <v>80000</v>
      </c>
      <c r="G2940" s="31">
        <v>0</v>
      </c>
      <c r="H2940" s="31">
        <v>0</v>
      </c>
      <c r="I2940" s="31"/>
      <c r="J2940" s="5" t="s">
        <v>2238</v>
      </c>
      <c r="K2940" s="8"/>
    </row>
    <row r="2941" spans="1:11" x14ac:dyDescent="0.2">
      <c r="A2941" s="8">
        <v>2217</v>
      </c>
      <c r="B2941" s="8">
        <f t="shared" si="96"/>
        <v>2023</v>
      </c>
      <c r="C2941" s="8">
        <f t="shared" si="97"/>
        <v>11</v>
      </c>
      <c r="D2941" s="85">
        <v>45249</v>
      </c>
      <c r="E2941" s="31">
        <v>0</v>
      </c>
      <c r="F2941" s="31">
        <v>50000</v>
      </c>
      <c r="G2941" s="31">
        <v>0</v>
      </c>
      <c r="H2941" s="31">
        <v>0</v>
      </c>
      <c r="I2941" s="31"/>
      <c r="J2941" s="5" t="s">
        <v>681</v>
      </c>
      <c r="K2941" s="8"/>
    </row>
    <row r="2942" spans="1:11" x14ac:dyDescent="0.2">
      <c r="A2942" s="8">
        <v>2218</v>
      </c>
      <c r="B2942" s="8">
        <f t="shared" si="96"/>
        <v>2023</v>
      </c>
      <c r="C2942" s="8">
        <f t="shared" si="97"/>
        <v>11</v>
      </c>
      <c r="D2942" s="85">
        <v>45249</v>
      </c>
      <c r="E2942" s="31">
        <v>0</v>
      </c>
      <c r="F2942" s="31">
        <v>150000</v>
      </c>
      <c r="G2942" s="31">
        <v>0</v>
      </c>
      <c r="H2942" s="31">
        <v>0</v>
      </c>
      <c r="I2942" s="31"/>
      <c r="J2942" s="5" t="s">
        <v>681</v>
      </c>
      <c r="K2942" s="8"/>
    </row>
    <row r="2943" spans="1:11" x14ac:dyDescent="0.2">
      <c r="A2943" s="8">
        <v>2219</v>
      </c>
      <c r="B2943" s="8">
        <f t="shared" si="96"/>
        <v>2023</v>
      </c>
      <c r="C2943" s="8">
        <f t="shared" si="97"/>
        <v>11</v>
      </c>
      <c r="D2943" s="85">
        <v>45250</v>
      </c>
      <c r="E2943" s="31">
        <v>0</v>
      </c>
      <c r="F2943" s="31">
        <v>50000</v>
      </c>
      <c r="G2943" s="31">
        <v>0</v>
      </c>
      <c r="H2943" s="31">
        <v>0</v>
      </c>
      <c r="I2943" s="31"/>
      <c r="J2943" s="5" t="s">
        <v>287</v>
      </c>
      <c r="K2943" s="8"/>
    </row>
    <row r="2944" spans="1:11" x14ac:dyDescent="0.2">
      <c r="A2944" s="8">
        <v>2220</v>
      </c>
      <c r="B2944" s="8">
        <f t="shared" si="96"/>
        <v>2023</v>
      </c>
      <c r="C2944" s="8">
        <f t="shared" si="97"/>
        <v>11</v>
      </c>
      <c r="D2944" s="85">
        <v>45251</v>
      </c>
      <c r="E2944" s="31">
        <v>0</v>
      </c>
      <c r="F2944" s="31">
        <v>30000</v>
      </c>
      <c r="G2944" s="31">
        <v>0</v>
      </c>
      <c r="H2944" s="31">
        <v>0</v>
      </c>
      <c r="I2944" s="31"/>
      <c r="J2944" s="5" t="s">
        <v>2240</v>
      </c>
      <c r="K2944" s="8"/>
    </row>
    <row r="2945" spans="1:11" x14ac:dyDescent="0.2">
      <c r="A2945" s="8">
        <v>2221</v>
      </c>
      <c r="B2945" s="8">
        <f t="shared" si="96"/>
        <v>2023</v>
      </c>
      <c r="C2945" s="8">
        <f t="shared" si="97"/>
        <v>11</v>
      </c>
      <c r="D2945" s="85">
        <v>45251</v>
      </c>
      <c r="E2945" s="31">
        <v>0</v>
      </c>
      <c r="F2945" s="31">
        <v>68000</v>
      </c>
      <c r="G2945" s="31">
        <v>0</v>
      </c>
      <c r="H2945" s="31">
        <v>0</v>
      </c>
      <c r="I2945" s="31"/>
      <c r="J2945" s="5" t="s">
        <v>2241</v>
      </c>
      <c r="K2945" s="8"/>
    </row>
    <row r="2946" spans="1:11" x14ac:dyDescent="0.2">
      <c r="A2946" s="8">
        <v>2222</v>
      </c>
      <c r="B2946" s="8">
        <f t="shared" si="96"/>
        <v>2023</v>
      </c>
      <c r="C2946" s="8">
        <f t="shared" si="97"/>
        <v>11</v>
      </c>
      <c r="D2946" s="85">
        <v>45252</v>
      </c>
      <c r="E2946" s="31">
        <v>0</v>
      </c>
      <c r="F2946" s="31">
        <v>400000</v>
      </c>
      <c r="G2946" s="31">
        <v>0</v>
      </c>
      <c r="H2946" s="31">
        <v>0</v>
      </c>
      <c r="I2946" s="31"/>
      <c r="J2946" s="5" t="s">
        <v>2242</v>
      </c>
      <c r="K2946" s="8"/>
    </row>
    <row r="2947" spans="1:11" x14ac:dyDescent="0.2">
      <c r="A2947" s="8">
        <v>2223</v>
      </c>
      <c r="B2947" s="8">
        <f t="shared" ref="B2947:B3010" si="98">YEAR(D2947)</f>
        <v>2023</v>
      </c>
      <c r="C2947" s="8">
        <f t="shared" ref="C2947:C3010" si="99">MONTH(D2947)</f>
        <v>11</v>
      </c>
      <c r="D2947" s="85">
        <v>45252</v>
      </c>
      <c r="E2947" s="31">
        <v>0</v>
      </c>
      <c r="F2947" s="31">
        <v>400000</v>
      </c>
      <c r="G2947" s="31">
        <v>0</v>
      </c>
      <c r="H2947" s="31">
        <v>0</v>
      </c>
      <c r="I2947" s="31"/>
      <c r="J2947" s="5" t="s">
        <v>2243</v>
      </c>
      <c r="K2947" s="8"/>
    </row>
    <row r="2948" spans="1:11" x14ac:dyDescent="0.2">
      <c r="A2948" s="8">
        <v>2224</v>
      </c>
      <c r="B2948" s="8">
        <f t="shared" si="98"/>
        <v>2023</v>
      </c>
      <c r="C2948" s="8">
        <f t="shared" si="99"/>
        <v>11</v>
      </c>
      <c r="D2948" s="85">
        <v>45252</v>
      </c>
      <c r="E2948" s="31">
        <v>0</v>
      </c>
      <c r="F2948" s="31">
        <v>60000</v>
      </c>
      <c r="G2948" s="31">
        <v>0</v>
      </c>
      <c r="H2948" s="31">
        <v>0</v>
      </c>
      <c r="I2948" s="31"/>
      <c r="J2948" s="5" t="s">
        <v>2244</v>
      </c>
      <c r="K2948" s="8"/>
    </row>
    <row r="2949" spans="1:11" x14ac:dyDescent="0.2">
      <c r="A2949" s="8">
        <v>2225</v>
      </c>
      <c r="B2949" s="8">
        <f t="shared" si="98"/>
        <v>2023</v>
      </c>
      <c r="C2949" s="8">
        <f t="shared" si="99"/>
        <v>11</v>
      </c>
      <c r="D2949" s="85">
        <v>45253</v>
      </c>
      <c r="E2949" s="31">
        <v>0</v>
      </c>
      <c r="F2949" s="31">
        <v>13000</v>
      </c>
      <c r="G2949" s="31">
        <v>0</v>
      </c>
      <c r="H2949" s="31">
        <v>0</v>
      </c>
      <c r="I2949" s="31"/>
      <c r="J2949" s="5" t="s">
        <v>356</v>
      </c>
      <c r="K2949" s="8"/>
    </row>
    <row r="2950" spans="1:11" x14ac:dyDescent="0.2">
      <c r="A2950" s="8">
        <v>2226</v>
      </c>
      <c r="B2950" s="8">
        <f t="shared" si="98"/>
        <v>2023</v>
      </c>
      <c r="C2950" s="8">
        <f t="shared" si="99"/>
        <v>11</v>
      </c>
      <c r="D2950" s="85">
        <v>45253</v>
      </c>
      <c r="E2950" s="31">
        <v>0</v>
      </c>
      <c r="F2950" s="31">
        <v>3300000</v>
      </c>
      <c r="G2950" s="31">
        <v>0</v>
      </c>
      <c r="H2950" s="31">
        <v>0</v>
      </c>
      <c r="I2950" s="31"/>
      <c r="J2950" s="5" t="s">
        <v>2245</v>
      </c>
      <c r="K2950" s="8"/>
    </row>
    <row r="2951" spans="1:11" x14ac:dyDescent="0.2">
      <c r="A2951" s="8">
        <v>2227</v>
      </c>
      <c r="B2951" s="8">
        <f t="shared" si="98"/>
        <v>2023</v>
      </c>
      <c r="C2951" s="8">
        <f t="shared" si="99"/>
        <v>11</v>
      </c>
      <c r="D2951" s="85">
        <v>45254</v>
      </c>
      <c r="E2951" s="31">
        <v>0</v>
      </c>
      <c r="F2951" s="31">
        <v>15000</v>
      </c>
      <c r="G2951" s="31">
        <v>0</v>
      </c>
      <c r="H2951" s="31">
        <v>0</v>
      </c>
      <c r="I2951" s="31"/>
      <c r="J2951" s="5" t="s">
        <v>356</v>
      </c>
      <c r="K2951" s="8"/>
    </row>
    <row r="2952" spans="1:11" x14ac:dyDescent="0.2">
      <c r="A2952" s="8">
        <v>2228</v>
      </c>
      <c r="B2952" s="8">
        <f t="shared" si="98"/>
        <v>2023</v>
      </c>
      <c r="C2952" s="8">
        <f t="shared" si="99"/>
        <v>11</v>
      </c>
      <c r="D2952" s="85">
        <v>45255</v>
      </c>
      <c r="E2952" s="31">
        <v>0</v>
      </c>
      <c r="F2952" s="31">
        <v>60000</v>
      </c>
      <c r="G2952" s="31">
        <v>0</v>
      </c>
      <c r="H2952" s="31">
        <v>0</v>
      </c>
      <c r="I2952" s="31"/>
      <c r="J2952" s="5" t="s">
        <v>91</v>
      </c>
      <c r="K2952" s="8"/>
    </row>
    <row r="2953" spans="1:11" x14ac:dyDescent="0.2">
      <c r="A2953" s="8">
        <v>2229</v>
      </c>
      <c r="B2953" s="8">
        <f t="shared" si="98"/>
        <v>2023</v>
      </c>
      <c r="C2953" s="8">
        <f t="shared" si="99"/>
        <v>11</v>
      </c>
      <c r="D2953" s="85">
        <v>45255</v>
      </c>
      <c r="E2953" s="31">
        <v>0</v>
      </c>
      <c r="F2953" s="31">
        <v>450000</v>
      </c>
      <c r="G2953" s="31">
        <v>0</v>
      </c>
      <c r="H2953" s="31">
        <v>0</v>
      </c>
      <c r="I2953" s="31"/>
      <c r="J2953" s="5" t="s">
        <v>2246</v>
      </c>
      <c r="K2953" s="8"/>
    </row>
    <row r="2954" spans="1:11" x14ac:dyDescent="0.2">
      <c r="A2954" s="8">
        <v>2230</v>
      </c>
      <c r="B2954" s="8">
        <f t="shared" si="98"/>
        <v>2023</v>
      </c>
      <c r="C2954" s="8">
        <f t="shared" si="99"/>
        <v>11</v>
      </c>
      <c r="D2954" s="85">
        <v>45255</v>
      </c>
      <c r="E2954" s="31">
        <v>0</v>
      </c>
      <c r="F2954" s="31">
        <v>150000</v>
      </c>
      <c r="G2954" s="31">
        <v>0</v>
      </c>
      <c r="H2954" s="31">
        <v>0</v>
      </c>
      <c r="I2954" s="31"/>
      <c r="J2954" s="5" t="s">
        <v>2247</v>
      </c>
      <c r="K2954" s="8"/>
    </row>
    <row r="2955" spans="1:11" x14ac:dyDescent="0.2">
      <c r="A2955" s="8">
        <v>2231</v>
      </c>
      <c r="B2955" s="8">
        <f t="shared" si="98"/>
        <v>2023</v>
      </c>
      <c r="C2955" s="8">
        <f t="shared" si="99"/>
        <v>11</v>
      </c>
      <c r="D2955" s="85">
        <v>45256</v>
      </c>
      <c r="E2955" s="31">
        <v>0</v>
      </c>
      <c r="F2955" s="31">
        <v>50000</v>
      </c>
      <c r="G2955" s="31">
        <v>0</v>
      </c>
      <c r="H2955" s="31">
        <v>0</v>
      </c>
      <c r="I2955" s="31"/>
      <c r="J2955" s="5" t="s">
        <v>287</v>
      </c>
      <c r="K2955" s="8"/>
    </row>
    <row r="2956" spans="1:11" x14ac:dyDescent="0.2">
      <c r="A2956" s="8">
        <v>2232</v>
      </c>
      <c r="B2956" s="8">
        <f t="shared" si="98"/>
        <v>2023</v>
      </c>
      <c r="C2956" s="8">
        <f t="shared" si="99"/>
        <v>11</v>
      </c>
      <c r="D2956" s="85">
        <v>45257</v>
      </c>
      <c r="E2956" s="31">
        <v>0</v>
      </c>
      <c r="F2956" s="31">
        <v>50000</v>
      </c>
      <c r="G2956" s="31">
        <v>0</v>
      </c>
      <c r="H2956" s="31">
        <v>0</v>
      </c>
      <c r="I2956" s="31"/>
      <c r="J2956" s="5" t="s">
        <v>287</v>
      </c>
      <c r="K2956" s="8"/>
    </row>
    <row r="2957" spans="1:11" x14ac:dyDescent="0.2">
      <c r="A2957" s="8">
        <v>2233</v>
      </c>
      <c r="B2957" s="8">
        <f t="shared" si="98"/>
        <v>2023</v>
      </c>
      <c r="C2957" s="8">
        <f t="shared" si="99"/>
        <v>11</v>
      </c>
      <c r="D2957" s="85">
        <v>45258</v>
      </c>
      <c r="E2957" s="31">
        <v>0</v>
      </c>
      <c r="F2957" s="31">
        <v>50000</v>
      </c>
      <c r="G2957" s="31">
        <v>0</v>
      </c>
      <c r="H2957" s="31">
        <v>0</v>
      </c>
      <c r="I2957" s="31"/>
      <c r="J2957" s="5" t="s">
        <v>287</v>
      </c>
      <c r="K2957" s="8"/>
    </row>
    <row r="2958" spans="1:11" x14ac:dyDescent="0.2">
      <c r="A2958" s="8">
        <v>2234</v>
      </c>
      <c r="B2958" s="8">
        <f t="shared" si="98"/>
        <v>2023</v>
      </c>
      <c r="C2958" s="8">
        <f t="shared" si="99"/>
        <v>11</v>
      </c>
      <c r="D2958" s="85">
        <v>45259</v>
      </c>
      <c r="E2958" s="31">
        <v>0</v>
      </c>
      <c r="F2958" s="31">
        <v>50000</v>
      </c>
      <c r="G2958" s="31">
        <v>0</v>
      </c>
      <c r="H2958" s="31">
        <v>0</v>
      </c>
      <c r="I2958" s="31"/>
      <c r="J2958" s="5" t="s">
        <v>287</v>
      </c>
      <c r="K2958" s="8"/>
    </row>
    <row r="2959" spans="1:11" x14ac:dyDescent="0.2">
      <c r="A2959" s="8">
        <v>2235</v>
      </c>
      <c r="B2959" s="8">
        <f t="shared" si="98"/>
        <v>2023</v>
      </c>
      <c r="C2959" s="8">
        <f t="shared" si="99"/>
        <v>11</v>
      </c>
      <c r="D2959" s="85">
        <v>45260</v>
      </c>
      <c r="E2959" s="31">
        <v>0</v>
      </c>
      <c r="F2959" s="31">
        <v>170000</v>
      </c>
      <c r="G2959" s="31">
        <v>0</v>
      </c>
      <c r="H2959" s="31">
        <v>0</v>
      </c>
      <c r="I2959" s="31"/>
      <c r="J2959" s="5" t="s">
        <v>2248</v>
      </c>
      <c r="K2959" s="8"/>
    </row>
    <row r="2960" spans="1:11" x14ac:dyDescent="0.2">
      <c r="A2960" s="8">
        <v>2236</v>
      </c>
      <c r="B2960" s="8">
        <f t="shared" si="98"/>
        <v>2023</v>
      </c>
      <c r="C2960" s="8">
        <f t="shared" si="99"/>
        <v>11</v>
      </c>
      <c r="D2960" s="85">
        <v>45260</v>
      </c>
      <c r="E2960" s="31">
        <v>0</v>
      </c>
      <c r="F2960" s="31">
        <v>51000</v>
      </c>
      <c r="G2960" s="31">
        <v>0</v>
      </c>
      <c r="H2960" s="31">
        <v>0</v>
      </c>
      <c r="I2960" s="31"/>
      <c r="J2960" s="5" t="s">
        <v>2238</v>
      </c>
      <c r="K2960" s="8"/>
    </row>
    <row r="2961" spans="1:11" x14ac:dyDescent="0.2">
      <c r="A2961" s="8">
        <v>2237</v>
      </c>
      <c r="B2961" s="8">
        <f t="shared" si="98"/>
        <v>2023</v>
      </c>
      <c r="C2961" s="8">
        <f t="shared" si="99"/>
        <v>11</v>
      </c>
      <c r="D2961" s="85">
        <v>45260</v>
      </c>
      <c r="E2961" s="31">
        <v>0</v>
      </c>
      <c r="F2961" s="31">
        <v>20000</v>
      </c>
      <c r="G2961" s="31">
        <v>0</v>
      </c>
      <c r="H2961" s="31">
        <v>0</v>
      </c>
      <c r="I2961" s="31"/>
      <c r="J2961" s="5" t="s">
        <v>2249</v>
      </c>
      <c r="K2961" s="8"/>
    </row>
    <row r="2962" spans="1:11" x14ac:dyDescent="0.2">
      <c r="A2962" s="8">
        <v>2238</v>
      </c>
      <c r="B2962" s="8">
        <f t="shared" si="98"/>
        <v>2023</v>
      </c>
      <c r="C2962" s="8">
        <f t="shared" si="99"/>
        <v>11</v>
      </c>
      <c r="D2962" s="85">
        <v>45260</v>
      </c>
      <c r="E2962" s="31">
        <v>0</v>
      </c>
      <c r="F2962" s="31">
        <v>10000</v>
      </c>
      <c r="G2962" s="31">
        <v>0</v>
      </c>
      <c r="H2962" s="31">
        <v>0</v>
      </c>
      <c r="I2962" s="31"/>
      <c r="J2962" s="5" t="s">
        <v>1273</v>
      </c>
      <c r="K2962" s="8"/>
    </row>
    <row r="2963" spans="1:11" x14ac:dyDescent="0.2">
      <c r="A2963" s="8">
        <v>2239</v>
      </c>
      <c r="B2963" s="8">
        <f t="shared" si="98"/>
        <v>2023</v>
      </c>
      <c r="C2963" s="8">
        <f t="shared" si="99"/>
        <v>12</v>
      </c>
      <c r="D2963" s="85">
        <v>45261</v>
      </c>
      <c r="E2963" s="31">
        <v>0</v>
      </c>
      <c r="F2963" s="31">
        <v>85000</v>
      </c>
      <c r="G2963" s="31">
        <v>0</v>
      </c>
      <c r="H2963" s="31">
        <v>0</v>
      </c>
      <c r="I2963" s="31"/>
      <c r="J2963" s="5" t="s">
        <v>2250</v>
      </c>
      <c r="K2963" s="8"/>
    </row>
    <row r="2964" spans="1:11" x14ac:dyDescent="0.2">
      <c r="A2964" s="8">
        <v>2240</v>
      </c>
      <c r="B2964" s="8">
        <f t="shared" si="98"/>
        <v>2023</v>
      </c>
      <c r="C2964" s="8">
        <f t="shared" si="99"/>
        <v>12</v>
      </c>
      <c r="D2964" s="85">
        <v>45262</v>
      </c>
      <c r="E2964" s="31">
        <v>0</v>
      </c>
      <c r="F2964" s="31">
        <v>20000</v>
      </c>
      <c r="G2964" s="31">
        <v>0</v>
      </c>
      <c r="H2964" s="31">
        <v>0</v>
      </c>
      <c r="I2964" s="31"/>
      <c r="J2964" s="5" t="s">
        <v>244</v>
      </c>
      <c r="K2964" s="8"/>
    </row>
    <row r="2965" spans="1:11" x14ac:dyDescent="0.2">
      <c r="A2965" s="8">
        <v>2241</v>
      </c>
      <c r="B2965" s="8">
        <f t="shared" si="98"/>
        <v>2023</v>
      </c>
      <c r="C2965" s="8">
        <f t="shared" si="99"/>
        <v>12</v>
      </c>
      <c r="D2965" s="85">
        <v>45262</v>
      </c>
      <c r="E2965" s="31">
        <v>0</v>
      </c>
      <c r="F2965" s="31">
        <v>15000</v>
      </c>
      <c r="G2965" s="31">
        <v>0</v>
      </c>
      <c r="H2965" s="31">
        <v>0</v>
      </c>
      <c r="I2965" s="31"/>
      <c r="J2965" s="5" t="s">
        <v>175</v>
      </c>
      <c r="K2965" s="8"/>
    </row>
    <row r="2966" spans="1:11" x14ac:dyDescent="0.2">
      <c r="A2966" s="8">
        <v>2242</v>
      </c>
      <c r="B2966" s="8">
        <f t="shared" si="98"/>
        <v>2023</v>
      </c>
      <c r="C2966" s="8">
        <f t="shared" si="99"/>
        <v>12</v>
      </c>
      <c r="D2966" s="85">
        <v>45262</v>
      </c>
      <c r="E2966" s="31">
        <v>0</v>
      </c>
      <c r="F2966" s="31">
        <v>99000</v>
      </c>
      <c r="G2966" s="31">
        <v>0</v>
      </c>
      <c r="H2966" s="31">
        <v>0</v>
      </c>
      <c r="I2966" s="31"/>
      <c r="J2966" s="5" t="s">
        <v>2251</v>
      </c>
      <c r="K2966" s="8"/>
    </row>
    <row r="2967" spans="1:11" x14ac:dyDescent="0.2">
      <c r="A2967" s="8">
        <v>2243</v>
      </c>
      <c r="B2967" s="8">
        <f t="shared" si="98"/>
        <v>2023</v>
      </c>
      <c r="C2967" s="8">
        <f t="shared" si="99"/>
        <v>12</v>
      </c>
      <c r="D2967" s="85">
        <v>45262</v>
      </c>
      <c r="E2967" s="31">
        <v>0</v>
      </c>
      <c r="F2967" s="31">
        <v>188000</v>
      </c>
      <c r="G2967" s="31">
        <v>0</v>
      </c>
      <c r="H2967" s="31">
        <v>0</v>
      </c>
      <c r="I2967" s="31"/>
      <c r="J2967" s="5" t="s">
        <v>2238</v>
      </c>
      <c r="K2967" s="8"/>
    </row>
    <row r="2968" spans="1:11" x14ac:dyDescent="0.2">
      <c r="A2968" s="8">
        <v>2244</v>
      </c>
      <c r="B2968" s="8">
        <f t="shared" si="98"/>
        <v>2023</v>
      </c>
      <c r="C2968" s="8">
        <f t="shared" si="99"/>
        <v>12</v>
      </c>
      <c r="D2968" s="85">
        <v>45262</v>
      </c>
      <c r="E2968" s="31">
        <v>0</v>
      </c>
      <c r="F2968" s="31">
        <v>60000</v>
      </c>
      <c r="G2968" s="31">
        <v>0</v>
      </c>
      <c r="H2968" s="31">
        <v>0</v>
      </c>
      <c r="I2968" s="31"/>
      <c r="J2968" s="5" t="s">
        <v>2238</v>
      </c>
      <c r="K2968" s="8"/>
    </row>
    <row r="2969" spans="1:11" x14ac:dyDescent="0.2">
      <c r="A2969" s="8">
        <v>2245</v>
      </c>
      <c r="B2969" s="8">
        <f t="shared" si="98"/>
        <v>2023</v>
      </c>
      <c r="C2969" s="8">
        <f t="shared" si="99"/>
        <v>12</v>
      </c>
      <c r="D2969" s="85">
        <v>45263</v>
      </c>
      <c r="E2969" s="31">
        <v>0</v>
      </c>
      <c r="F2969" s="31">
        <v>60000</v>
      </c>
      <c r="G2969" s="31">
        <v>0</v>
      </c>
      <c r="H2969" s="31">
        <v>0</v>
      </c>
      <c r="I2969" s="31"/>
      <c r="J2969" s="5" t="s">
        <v>356</v>
      </c>
      <c r="K2969" s="8"/>
    </row>
    <row r="2970" spans="1:11" x14ac:dyDescent="0.2">
      <c r="A2970" s="8">
        <v>2246</v>
      </c>
      <c r="B2970" s="8">
        <f t="shared" si="98"/>
        <v>2023</v>
      </c>
      <c r="C2970" s="8">
        <f t="shared" si="99"/>
        <v>12</v>
      </c>
      <c r="D2970" s="85">
        <v>45263</v>
      </c>
      <c r="E2970" s="31">
        <v>0</v>
      </c>
      <c r="F2970" s="31">
        <v>30000</v>
      </c>
      <c r="G2970" s="31">
        <v>0</v>
      </c>
      <c r="H2970" s="31">
        <v>0</v>
      </c>
      <c r="I2970" s="31"/>
      <c r="J2970" s="5" t="s">
        <v>1273</v>
      </c>
      <c r="K2970" s="8"/>
    </row>
    <row r="2971" spans="1:11" x14ac:dyDescent="0.2">
      <c r="A2971" s="8">
        <v>2247</v>
      </c>
      <c r="B2971" s="8">
        <f t="shared" si="98"/>
        <v>2023</v>
      </c>
      <c r="C2971" s="8">
        <f t="shared" si="99"/>
        <v>12</v>
      </c>
      <c r="D2971" s="85">
        <v>45264</v>
      </c>
      <c r="E2971" s="31">
        <v>0</v>
      </c>
      <c r="F2971" s="31">
        <v>10000</v>
      </c>
      <c r="G2971" s="31">
        <v>0</v>
      </c>
      <c r="H2971" s="31">
        <v>0</v>
      </c>
      <c r="I2971" s="31"/>
      <c r="J2971" s="5" t="s">
        <v>149</v>
      </c>
      <c r="K2971" s="8"/>
    </row>
    <row r="2972" spans="1:11" x14ac:dyDescent="0.2">
      <c r="A2972" s="8">
        <v>2248</v>
      </c>
      <c r="B2972" s="8">
        <f t="shared" si="98"/>
        <v>2023</v>
      </c>
      <c r="C2972" s="8">
        <f t="shared" si="99"/>
        <v>12</v>
      </c>
      <c r="D2972" s="85">
        <v>45264</v>
      </c>
      <c r="E2972" s="31">
        <v>0</v>
      </c>
      <c r="F2972" s="31">
        <v>10000</v>
      </c>
      <c r="G2972" s="31">
        <v>0</v>
      </c>
      <c r="H2972" s="31">
        <v>0</v>
      </c>
      <c r="I2972" s="31"/>
      <c r="J2972" s="5" t="s">
        <v>89</v>
      </c>
      <c r="K2972" s="8"/>
    </row>
    <row r="2973" spans="1:11" x14ac:dyDescent="0.2">
      <c r="A2973" s="8">
        <v>2249</v>
      </c>
      <c r="B2973" s="8">
        <f t="shared" si="98"/>
        <v>2023</v>
      </c>
      <c r="C2973" s="8">
        <f t="shared" si="99"/>
        <v>12</v>
      </c>
      <c r="D2973" s="85">
        <v>45264</v>
      </c>
      <c r="E2973" s="31">
        <v>0</v>
      </c>
      <c r="F2973" s="31">
        <v>20000</v>
      </c>
      <c r="G2973" s="31">
        <v>0</v>
      </c>
      <c r="H2973" s="31">
        <v>0</v>
      </c>
      <c r="I2973" s="31"/>
      <c r="J2973" s="5" t="s">
        <v>91</v>
      </c>
      <c r="K2973" s="8"/>
    </row>
    <row r="2974" spans="1:11" x14ac:dyDescent="0.2">
      <c r="A2974" s="8">
        <v>2250</v>
      </c>
      <c r="B2974" s="8">
        <f t="shared" si="98"/>
        <v>2023</v>
      </c>
      <c r="C2974" s="8">
        <f t="shared" si="99"/>
        <v>12</v>
      </c>
      <c r="D2974" s="85">
        <v>45265</v>
      </c>
      <c r="E2974" s="31">
        <v>0</v>
      </c>
      <c r="F2974" s="31">
        <v>1000000</v>
      </c>
      <c r="G2974" s="31">
        <v>0</v>
      </c>
      <c r="H2974" s="31">
        <v>0</v>
      </c>
      <c r="I2974" s="31"/>
      <c r="J2974" s="5" t="s">
        <v>1387</v>
      </c>
      <c r="K2974" s="8"/>
    </row>
    <row r="2975" spans="1:11" x14ac:dyDescent="0.2">
      <c r="A2975" s="8">
        <v>2251</v>
      </c>
      <c r="B2975" s="8">
        <f t="shared" si="98"/>
        <v>2023</v>
      </c>
      <c r="C2975" s="8">
        <f t="shared" si="99"/>
        <v>12</v>
      </c>
      <c r="D2975" s="85">
        <v>45272</v>
      </c>
      <c r="E2975" s="31">
        <v>3700000</v>
      </c>
      <c r="F2975" s="31">
        <v>0</v>
      </c>
      <c r="G2975" s="31">
        <v>0</v>
      </c>
      <c r="H2975" s="31">
        <v>0</v>
      </c>
      <c r="I2975" s="31" t="s">
        <v>109</v>
      </c>
      <c r="J2975" s="5" t="s">
        <v>2062</v>
      </c>
      <c r="K2975" s="8"/>
    </row>
    <row r="2976" spans="1:11" x14ac:dyDescent="0.2">
      <c r="A2976" s="8">
        <v>2252</v>
      </c>
      <c r="B2976" s="8">
        <f t="shared" si="98"/>
        <v>2023</v>
      </c>
      <c r="C2976" s="8">
        <f t="shared" si="99"/>
        <v>12</v>
      </c>
      <c r="D2976" s="85">
        <v>45272</v>
      </c>
      <c r="E2976" s="31">
        <v>0</v>
      </c>
      <c r="F2976" s="31">
        <v>750000</v>
      </c>
      <c r="G2976" s="31">
        <v>0</v>
      </c>
      <c r="H2976" s="31">
        <v>0</v>
      </c>
      <c r="I2976" s="31"/>
      <c r="J2976" s="5" t="s">
        <v>2252</v>
      </c>
      <c r="K2976" s="8"/>
    </row>
    <row r="2977" spans="1:11" x14ac:dyDescent="0.2">
      <c r="A2977" s="8">
        <v>2253</v>
      </c>
      <c r="B2977" s="8">
        <f t="shared" si="98"/>
        <v>2023</v>
      </c>
      <c r="C2977" s="8">
        <f t="shared" si="99"/>
        <v>12</v>
      </c>
      <c r="D2977" s="85">
        <v>45272</v>
      </c>
      <c r="E2977" s="31">
        <v>0</v>
      </c>
      <c r="F2977" s="31">
        <v>188000</v>
      </c>
      <c r="G2977" s="31">
        <v>0</v>
      </c>
      <c r="H2977" s="31">
        <v>0</v>
      </c>
      <c r="I2977" s="31"/>
      <c r="J2977" s="5" t="s">
        <v>2253</v>
      </c>
      <c r="K2977" s="8"/>
    </row>
    <row r="2978" spans="1:11" x14ac:dyDescent="0.2">
      <c r="A2978" s="8">
        <v>2254</v>
      </c>
      <c r="B2978" s="8">
        <f t="shared" si="98"/>
        <v>2023</v>
      </c>
      <c r="C2978" s="8">
        <f t="shared" si="99"/>
        <v>12</v>
      </c>
      <c r="D2978" s="85">
        <v>45272</v>
      </c>
      <c r="E2978" s="31">
        <v>0</v>
      </c>
      <c r="F2978" s="31">
        <v>15000</v>
      </c>
      <c r="G2978" s="31">
        <v>0</v>
      </c>
      <c r="H2978" s="31">
        <v>0</v>
      </c>
      <c r="I2978" s="31"/>
      <c r="J2978" s="5" t="s">
        <v>2036</v>
      </c>
      <c r="K2978" s="8"/>
    </row>
    <row r="2979" spans="1:11" x14ac:dyDescent="0.2">
      <c r="A2979" s="8">
        <v>2255</v>
      </c>
      <c r="B2979" s="8">
        <f t="shared" si="98"/>
        <v>2023</v>
      </c>
      <c r="C2979" s="8">
        <f t="shared" si="99"/>
        <v>12</v>
      </c>
      <c r="D2979" s="85">
        <v>45273</v>
      </c>
      <c r="E2979" s="31">
        <v>0</v>
      </c>
      <c r="F2979" s="31">
        <v>16000</v>
      </c>
      <c r="G2979" s="31">
        <v>0</v>
      </c>
      <c r="H2979" s="31">
        <v>0</v>
      </c>
      <c r="I2979" s="31"/>
      <c r="J2979" s="5" t="s">
        <v>89</v>
      </c>
      <c r="K2979" s="8"/>
    </row>
    <row r="2980" spans="1:11" x14ac:dyDescent="0.2">
      <c r="A2980" s="8">
        <v>2256</v>
      </c>
      <c r="B2980" s="8">
        <f t="shared" si="98"/>
        <v>2023</v>
      </c>
      <c r="C2980" s="8">
        <f t="shared" si="99"/>
        <v>12</v>
      </c>
      <c r="D2980" s="85">
        <v>45273</v>
      </c>
      <c r="E2980" s="31">
        <v>0</v>
      </c>
      <c r="F2980" s="31">
        <v>50000</v>
      </c>
      <c r="G2980" s="31">
        <v>0</v>
      </c>
      <c r="H2980" s="31">
        <v>0</v>
      </c>
      <c r="I2980" s="31"/>
      <c r="J2980" s="5" t="s">
        <v>2033</v>
      </c>
      <c r="K2980" s="8"/>
    </row>
    <row r="2981" spans="1:11" x14ac:dyDescent="0.2">
      <c r="A2981" s="8">
        <v>2257</v>
      </c>
      <c r="B2981" s="8">
        <f t="shared" si="98"/>
        <v>2023</v>
      </c>
      <c r="C2981" s="8">
        <f t="shared" si="99"/>
        <v>12</v>
      </c>
      <c r="D2981" s="85">
        <v>45273</v>
      </c>
      <c r="E2981" s="31">
        <v>0</v>
      </c>
      <c r="F2981" s="31">
        <v>1000000</v>
      </c>
      <c r="G2981" s="31">
        <v>0</v>
      </c>
      <c r="H2981" s="31">
        <v>0</v>
      </c>
      <c r="I2981" s="31"/>
      <c r="J2981" s="5" t="s">
        <v>1297</v>
      </c>
      <c r="K2981" s="8"/>
    </row>
    <row r="2982" spans="1:11" x14ac:dyDescent="0.2">
      <c r="A2982" s="8">
        <v>2258</v>
      </c>
      <c r="B2982" s="8">
        <f t="shared" si="98"/>
        <v>2023</v>
      </c>
      <c r="C2982" s="8">
        <f t="shared" si="99"/>
        <v>12</v>
      </c>
      <c r="D2982" s="85">
        <v>45273</v>
      </c>
      <c r="E2982" s="31">
        <v>0</v>
      </c>
      <c r="F2982" s="31">
        <v>100000</v>
      </c>
      <c r="G2982" s="31">
        <v>0</v>
      </c>
      <c r="H2982" s="31">
        <v>0</v>
      </c>
      <c r="I2982" s="31"/>
      <c r="J2982" s="5" t="s">
        <v>1819</v>
      </c>
      <c r="K2982" s="8"/>
    </row>
    <row r="2983" spans="1:11" x14ac:dyDescent="0.2">
      <c r="A2983" s="8">
        <v>2259</v>
      </c>
      <c r="B2983" s="8">
        <f t="shared" si="98"/>
        <v>2023</v>
      </c>
      <c r="C2983" s="8">
        <f t="shared" si="99"/>
        <v>12</v>
      </c>
      <c r="D2983" s="85">
        <v>45273</v>
      </c>
      <c r="E2983" s="31">
        <v>0</v>
      </c>
      <c r="F2983" s="31">
        <v>337000</v>
      </c>
      <c r="G2983" s="31">
        <v>0</v>
      </c>
      <c r="H2983" s="31">
        <v>0</v>
      </c>
      <c r="I2983" s="31"/>
      <c r="J2983" s="5" t="s">
        <v>2254</v>
      </c>
      <c r="K2983" s="8"/>
    </row>
    <row r="2984" spans="1:11" x14ac:dyDescent="0.2">
      <c r="A2984" s="8">
        <v>2260</v>
      </c>
      <c r="B2984" s="8">
        <f t="shared" si="98"/>
        <v>2023</v>
      </c>
      <c r="C2984" s="8">
        <f t="shared" si="99"/>
        <v>12</v>
      </c>
      <c r="D2984" s="85">
        <v>45274</v>
      </c>
      <c r="E2984" s="31">
        <v>0</v>
      </c>
      <c r="F2984" s="31">
        <v>22000</v>
      </c>
      <c r="G2984" s="31">
        <v>0</v>
      </c>
      <c r="H2984" s="31">
        <v>0</v>
      </c>
      <c r="I2984" s="31"/>
      <c r="J2984" s="5" t="s">
        <v>1273</v>
      </c>
      <c r="K2984" s="8"/>
    </row>
    <row r="2985" spans="1:11" x14ac:dyDescent="0.2">
      <c r="A2985" s="8">
        <v>2261</v>
      </c>
      <c r="B2985" s="8">
        <f t="shared" si="98"/>
        <v>2023</v>
      </c>
      <c r="C2985" s="8">
        <f t="shared" si="99"/>
        <v>12</v>
      </c>
      <c r="D2985" s="85">
        <v>45274</v>
      </c>
      <c r="E2985" s="31">
        <v>0</v>
      </c>
      <c r="F2985" s="31">
        <v>150000</v>
      </c>
      <c r="G2985" s="31">
        <v>0</v>
      </c>
      <c r="H2985" s="31">
        <v>0</v>
      </c>
      <c r="I2985" s="31"/>
      <c r="J2985" s="5" t="s">
        <v>2255</v>
      </c>
      <c r="K2985" s="8"/>
    </row>
    <row r="2986" spans="1:11" x14ac:dyDescent="0.2">
      <c r="A2986" s="8">
        <v>2262</v>
      </c>
      <c r="B2986" s="8">
        <f t="shared" si="98"/>
        <v>2023</v>
      </c>
      <c r="C2986" s="8">
        <f t="shared" si="99"/>
        <v>12</v>
      </c>
      <c r="D2986" s="85">
        <v>45275</v>
      </c>
      <c r="E2986" s="31">
        <v>0</v>
      </c>
      <c r="F2986" s="31">
        <v>55000</v>
      </c>
      <c r="G2986" s="31">
        <v>0</v>
      </c>
      <c r="H2986" s="31">
        <v>0</v>
      </c>
      <c r="I2986" s="31"/>
      <c r="J2986" s="5" t="s">
        <v>356</v>
      </c>
      <c r="K2986" s="8"/>
    </row>
    <row r="2987" spans="1:11" x14ac:dyDescent="0.2">
      <c r="A2987" s="8">
        <v>2263</v>
      </c>
      <c r="B2987" s="8">
        <f t="shared" si="98"/>
        <v>2023</v>
      </c>
      <c r="C2987" s="8">
        <f t="shared" si="99"/>
        <v>12</v>
      </c>
      <c r="D2987" s="85">
        <v>45275</v>
      </c>
      <c r="E2987" s="31">
        <v>0</v>
      </c>
      <c r="F2987" s="31">
        <v>290000</v>
      </c>
      <c r="G2987" s="31">
        <v>0</v>
      </c>
      <c r="H2987" s="31">
        <v>0</v>
      </c>
      <c r="I2987" s="31"/>
      <c r="J2987" s="5" t="s">
        <v>2256</v>
      </c>
      <c r="K2987" s="8"/>
    </row>
    <row r="2988" spans="1:11" x14ac:dyDescent="0.2">
      <c r="A2988" s="8">
        <v>2264</v>
      </c>
      <c r="B2988" s="8">
        <f t="shared" si="98"/>
        <v>2023</v>
      </c>
      <c r="C2988" s="8">
        <f t="shared" si="99"/>
        <v>12</v>
      </c>
      <c r="D2988" s="85">
        <v>45275</v>
      </c>
      <c r="E2988" s="31">
        <v>0</v>
      </c>
      <c r="F2988" s="31">
        <v>50000</v>
      </c>
      <c r="G2988" s="31">
        <v>0</v>
      </c>
      <c r="H2988" s="31">
        <v>0</v>
      </c>
      <c r="I2988" s="31"/>
      <c r="J2988" s="5" t="s">
        <v>2257</v>
      </c>
      <c r="K2988" s="8"/>
    </row>
    <row r="2989" spans="1:11" x14ac:dyDescent="0.2">
      <c r="A2989" s="8">
        <v>2265</v>
      </c>
      <c r="B2989" s="8">
        <f t="shared" si="98"/>
        <v>2023</v>
      </c>
      <c r="C2989" s="8">
        <f t="shared" si="99"/>
        <v>12</v>
      </c>
      <c r="D2989" s="85">
        <v>45275</v>
      </c>
      <c r="E2989" s="31">
        <v>0</v>
      </c>
      <c r="F2989" s="31">
        <v>30000</v>
      </c>
      <c r="G2989" s="31">
        <v>0</v>
      </c>
      <c r="H2989" s="31">
        <v>0</v>
      </c>
      <c r="I2989" s="31"/>
      <c r="J2989" s="5" t="s">
        <v>2258</v>
      </c>
      <c r="K2989" s="8"/>
    </row>
    <row r="2990" spans="1:11" x14ac:dyDescent="0.2">
      <c r="A2990" s="8">
        <v>2266</v>
      </c>
      <c r="B2990" s="8">
        <f t="shared" si="98"/>
        <v>2023</v>
      </c>
      <c r="C2990" s="8">
        <f t="shared" si="99"/>
        <v>12</v>
      </c>
      <c r="D2990" s="85">
        <v>45275</v>
      </c>
      <c r="E2990" s="31">
        <v>3900000</v>
      </c>
      <c r="F2990" s="31"/>
      <c r="G2990" s="31">
        <v>0</v>
      </c>
      <c r="H2990" s="31">
        <v>0</v>
      </c>
      <c r="I2990" s="31" t="s">
        <v>109</v>
      </c>
      <c r="J2990" s="5" t="s">
        <v>2259</v>
      </c>
      <c r="K2990" s="8"/>
    </row>
    <row r="2991" spans="1:11" x14ac:dyDescent="0.2">
      <c r="A2991" s="8">
        <v>2267</v>
      </c>
      <c r="B2991" s="8">
        <f t="shared" si="98"/>
        <v>2023</v>
      </c>
      <c r="C2991" s="8">
        <f t="shared" si="99"/>
        <v>12</v>
      </c>
      <c r="D2991" s="85">
        <v>45275</v>
      </c>
      <c r="E2991" s="31">
        <v>0</v>
      </c>
      <c r="F2991" s="31">
        <v>600000</v>
      </c>
      <c r="G2991" s="31">
        <v>0</v>
      </c>
      <c r="H2991" s="31">
        <v>0</v>
      </c>
      <c r="I2991" s="31"/>
      <c r="J2991" s="5" t="s">
        <v>2260</v>
      </c>
      <c r="K2991" s="8"/>
    </row>
    <row r="2992" spans="1:11" x14ac:dyDescent="0.2">
      <c r="A2992" s="8">
        <v>2267</v>
      </c>
      <c r="B2992" s="8">
        <f t="shared" si="98"/>
        <v>2023</v>
      </c>
      <c r="C2992" s="8">
        <f t="shared" si="99"/>
        <v>12</v>
      </c>
      <c r="D2992" s="85">
        <v>45275</v>
      </c>
      <c r="E2992" s="31">
        <v>0</v>
      </c>
      <c r="F2992" s="31">
        <v>1600000</v>
      </c>
      <c r="G2992" s="31">
        <v>0</v>
      </c>
      <c r="H2992" s="31">
        <v>0</v>
      </c>
      <c r="I2992" s="31"/>
      <c r="J2992" s="5" t="s">
        <v>2261</v>
      </c>
      <c r="K2992" s="8"/>
    </row>
    <row r="2993" spans="1:11" x14ac:dyDescent="0.2">
      <c r="A2993" s="8">
        <v>2268</v>
      </c>
      <c r="B2993" s="8">
        <f t="shared" si="98"/>
        <v>2023</v>
      </c>
      <c r="C2993" s="8">
        <f t="shared" si="99"/>
        <v>12</v>
      </c>
      <c r="D2993" s="85">
        <v>45276</v>
      </c>
      <c r="E2993" s="31">
        <v>0</v>
      </c>
      <c r="F2993" s="31">
        <v>7500</v>
      </c>
      <c r="G2993" s="31">
        <v>0</v>
      </c>
      <c r="H2993" s="31">
        <v>0</v>
      </c>
      <c r="I2993" s="31"/>
      <c r="J2993" s="5" t="s">
        <v>89</v>
      </c>
      <c r="K2993" s="8"/>
    </row>
    <row r="2994" spans="1:11" x14ac:dyDescent="0.2">
      <c r="A2994" s="8">
        <v>2269</v>
      </c>
      <c r="B2994" s="8">
        <f t="shared" si="98"/>
        <v>2023</v>
      </c>
      <c r="C2994" s="8">
        <f t="shared" si="99"/>
        <v>12</v>
      </c>
      <c r="D2994" s="85">
        <v>45276</v>
      </c>
      <c r="E2994" s="31">
        <v>0</v>
      </c>
      <c r="F2994" s="31">
        <v>250000</v>
      </c>
      <c r="G2994" s="31">
        <v>0</v>
      </c>
      <c r="H2994" s="31">
        <v>0</v>
      </c>
      <c r="I2994" s="31"/>
      <c r="J2994" s="5" t="s">
        <v>2262</v>
      </c>
      <c r="K2994" s="8"/>
    </row>
    <row r="2995" spans="1:11" x14ac:dyDescent="0.2">
      <c r="A2995" s="8">
        <v>2270</v>
      </c>
      <c r="B2995" s="8">
        <f t="shared" si="98"/>
        <v>2023</v>
      </c>
      <c r="C2995" s="8">
        <f t="shared" si="99"/>
        <v>12</v>
      </c>
      <c r="D2995" s="85">
        <v>45277</v>
      </c>
      <c r="E2995" s="31">
        <v>0</v>
      </c>
      <c r="F2995" s="31">
        <v>200000</v>
      </c>
      <c r="G2995" s="31">
        <v>0</v>
      </c>
      <c r="H2995" s="31">
        <v>0</v>
      </c>
      <c r="I2995" s="31"/>
      <c r="J2995" s="5" t="s">
        <v>2263</v>
      </c>
      <c r="K2995" s="8"/>
    </row>
    <row r="2996" spans="1:11" x14ac:dyDescent="0.2">
      <c r="A2996" s="8">
        <v>2271</v>
      </c>
      <c r="B2996" s="8">
        <f t="shared" si="98"/>
        <v>2023</v>
      </c>
      <c r="C2996" s="8">
        <f t="shared" si="99"/>
        <v>12</v>
      </c>
      <c r="D2996" s="85">
        <v>45277</v>
      </c>
      <c r="E2996" s="31">
        <v>0</v>
      </c>
      <c r="F2996" s="31">
        <v>600000</v>
      </c>
      <c r="G2996" s="31">
        <v>0</v>
      </c>
      <c r="H2996" s="31">
        <v>0</v>
      </c>
      <c r="I2996" s="31"/>
      <c r="J2996" s="5" t="s">
        <v>2264</v>
      </c>
      <c r="K2996" s="8"/>
    </row>
    <row r="2997" spans="1:11" x14ac:dyDescent="0.2">
      <c r="A2997" s="8">
        <v>2272</v>
      </c>
      <c r="B2997" s="8">
        <f t="shared" si="98"/>
        <v>2023</v>
      </c>
      <c r="C2997" s="8">
        <f t="shared" si="99"/>
        <v>12</v>
      </c>
      <c r="D2997" s="85">
        <v>45277</v>
      </c>
      <c r="E2997" s="31">
        <v>0</v>
      </c>
      <c r="F2997" s="31">
        <v>100000</v>
      </c>
      <c r="G2997" s="31">
        <v>0</v>
      </c>
      <c r="H2997" s="31">
        <v>0</v>
      </c>
      <c r="I2997" s="31"/>
      <c r="J2997" s="5" t="s">
        <v>2265</v>
      </c>
      <c r="K2997" s="8"/>
    </row>
    <row r="2998" spans="1:11" x14ac:dyDescent="0.2">
      <c r="A2998" s="8">
        <v>2273</v>
      </c>
      <c r="B2998" s="8">
        <f t="shared" si="98"/>
        <v>2023</v>
      </c>
      <c r="C2998" s="8">
        <f t="shared" si="99"/>
        <v>12</v>
      </c>
      <c r="D2998" s="85">
        <v>45278</v>
      </c>
      <c r="E2998" s="31">
        <v>0</v>
      </c>
      <c r="F2998" s="31">
        <v>50000</v>
      </c>
      <c r="G2998" s="31">
        <v>0</v>
      </c>
      <c r="H2998" s="31">
        <v>0</v>
      </c>
      <c r="I2998" s="31"/>
      <c r="J2998" s="5" t="s">
        <v>287</v>
      </c>
      <c r="K2998" s="8"/>
    </row>
    <row r="2999" spans="1:11" x14ac:dyDescent="0.2">
      <c r="A2999" s="8">
        <v>2274</v>
      </c>
      <c r="B2999" s="8">
        <f t="shared" si="98"/>
        <v>2023</v>
      </c>
      <c r="C2999" s="8">
        <f t="shared" si="99"/>
        <v>12</v>
      </c>
      <c r="D2999" s="85">
        <v>45279</v>
      </c>
      <c r="E2999" s="31">
        <v>0</v>
      </c>
      <c r="F2999" s="31">
        <v>200000</v>
      </c>
      <c r="G2999" s="31">
        <v>0</v>
      </c>
      <c r="H2999" s="31">
        <v>0</v>
      </c>
      <c r="I2999" s="31"/>
      <c r="J2999" s="5" t="s">
        <v>2266</v>
      </c>
      <c r="K2999" s="8"/>
    </row>
    <row r="3000" spans="1:11" x14ac:dyDescent="0.2">
      <c r="A3000" s="8">
        <v>2275</v>
      </c>
      <c r="B3000" s="8">
        <f t="shared" si="98"/>
        <v>2023</v>
      </c>
      <c r="C3000" s="8">
        <f t="shared" si="99"/>
        <v>12</v>
      </c>
      <c r="D3000" s="85">
        <v>45275</v>
      </c>
      <c r="E3000" s="31">
        <v>6000000</v>
      </c>
      <c r="F3000" s="31">
        <v>0</v>
      </c>
      <c r="G3000" s="31">
        <v>0</v>
      </c>
      <c r="H3000" s="31">
        <v>0</v>
      </c>
      <c r="I3000" s="31" t="s">
        <v>109</v>
      </c>
      <c r="J3000" s="5" t="s">
        <v>1761</v>
      </c>
      <c r="K3000" s="8"/>
    </row>
    <row r="3001" spans="1:11" x14ac:dyDescent="0.2">
      <c r="A3001" s="8">
        <v>2277</v>
      </c>
      <c r="B3001" s="8">
        <f t="shared" si="98"/>
        <v>2023</v>
      </c>
      <c r="C3001" s="8">
        <f t="shared" si="99"/>
        <v>12</v>
      </c>
      <c r="D3001" s="85">
        <v>45282</v>
      </c>
      <c r="E3001" s="31">
        <v>0</v>
      </c>
      <c r="F3001" s="31">
        <v>364000</v>
      </c>
      <c r="G3001" s="31">
        <v>0</v>
      </c>
      <c r="H3001" s="31">
        <v>0</v>
      </c>
      <c r="I3001" s="31"/>
      <c r="J3001" s="5" t="s">
        <v>2267</v>
      </c>
      <c r="K3001" s="8"/>
    </row>
    <row r="3002" spans="1:11" x14ac:dyDescent="0.2">
      <c r="A3002" s="8">
        <v>2278</v>
      </c>
      <c r="B3002" s="8">
        <f t="shared" si="98"/>
        <v>2023</v>
      </c>
      <c r="C3002" s="8">
        <f t="shared" si="99"/>
        <v>12</v>
      </c>
      <c r="D3002" s="85">
        <v>45283</v>
      </c>
      <c r="E3002" s="31">
        <v>0</v>
      </c>
      <c r="F3002" s="31">
        <v>180000</v>
      </c>
      <c r="G3002" s="31">
        <v>0</v>
      </c>
      <c r="H3002" s="31">
        <v>0</v>
      </c>
      <c r="I3002" s="31"/>
      <c r="J3002" s="5" t="s">
        <v>2268</v>
      </c>
      <c r="K3002" s="8"/>
    </row>
    <row r="3003" spans="1:11" x14ac:dyDescent="0.2">
      <c r="A3003" s="8">
        <v>2279</v>
      </c>
      <c r="B3003" s="8">
        <f t="shared" si="98"/>
        <v>2023</v>
      </c>
      <c r="C3003" s="8">
        <f t="shared" si="99"/>
        <v>12</v>
      </c>
      <c r="D3003" s="85">
        <v>45283</v>
      </c>
      <c r="E3003" s="31">
        <v>0</v>
      </c>
      <c r="F3003" s="31">
        <v>155999</v>
      </c>
      <c r="G3003" s="31">
        <v>0</v>
      </c>
      <c r="H3003" s="31">
        <v>0</v>
      </c>
      <c r="I3003" s="31"/>
      <c r="J3003" s="5" t="s">
        <v>2269</v>
      </c>
      <c r="K3003" s="8"/>
    </row>
    <row r="3004" spans="1:11" x14ac:dyDescent="0.2">
      <c r="A3004" s="8">
        <v>2280</v>
      </c>
      <c r="B3004" s="8">
        <f t="shared" si="98"/>
        <v>2023</v>
      </c>
      <c r="C3004" s="8">
        <f t="shared" si="99"/>
        <v>12</v>
      </c>
      <c r="D3004" s="85">
        <v>45283</v>
      </c>
      <c r="E3004" s="31">
        <v>0</v>
      </c>
      <c r="F3004" s="31">
        <v>18000</v>
      </c>
      <c r="G3004" s="31">
        <v>0</v>
      </c>
      <c r="H3004" s="31">
        <v>0</v>
      </c>
      <c r="I3004" s="31"/>
      <c r="J3004" s="5" t="s">
        <v>1273</v>
      </c>
      <c r="K3004" s="8"/>
    </row>
    <row r="3005" spans="1:11" x14ac:dyDescent="0.2">
      <c r="A3005" s="8">
        <v>2281</v>
      </c>
      <c r="B3005" s="8">
        <f t="shared" si="98"/>
        <v>2023</v>
      </c>
      <c r="C3005" s="8">
        <f t="shared" si="99"/>
        <v>12</v>
      </c>
      <c r="D3005" s="85">
        <v>45284</v>
      </c>
      <c r="E3005" s="31">
        <v>0</v>
      </c>
      <c r="F3005" s="31">
        <v>20000</v>
      </c>
      <c r="G3005" s="31">
        <v>0</v>
      </c>
      <c r="H3005" s="31">
        <v>0</v>
      </c>
      <c r="I3005" s="31"/>
      <c r="J3005" s="5" t="s">
        <v>1273</v>
      </c>
      <c r="K3005" s="8"/>
    </row>
    <row r="3006" spans="1:11" x14ac:dyDescent="0.2">
      <c r="A3006" s="8">
        <v>2282</v>
      </c>
      <c r="B3006" s="8">
        <f t="shared" si="98"/>
        <v>2023</v>
      </c>
      <c r="C3006" s="8">
        <f t="shared" si="99"/>
        <v>12</v>
      </c>
      <c r="D3006" s="85">
        <v>45284</v>
      </c>
      <c r="E3006" s="31">
        <v>0</v>
      </c>
      <c r="F3006" s="31">
        <v>500000</v>
      </c>
      <c r="G3006" s="31">
        <v>0</v>
      </c>
      <c r="H3006" s="31">
        <v>0</v>
      </c>
      <c r="I3006" s="31"/>
      <c r="J3006" s="5" t="s">
        <v>2270</v>
      </c>
      <c r="K3006" s="8"/>
    </row>
    <row r="3007" spans="1:11" x14ac:dyDescent="0.2">
      <c r="A3007" s="8">
        <v>2283</v>
      </c>
      <c r="B3007" s="8">
        <f t="shared" si="98"/>
        <v>2023</v>
      </c>
      <c r="C3007" s="8">
        <f t="shared" si="99"/>
        <v>12</v>
      </c>
      <c r="D3007" s="85">
        <v>45284</v>
      </c>
      <c r="E3007" s="31">
        <v>0</v>
      </c>
      <c r="F3007" s="31">
        <v>50000</v>
      </c>
      <c r="G3007" s="31">
        <v>0</v>
      </c>
      <c r="H3007" s="31">
        <v>0</v>
      </c>
      <c r="I3007" s="31"/>
      <c r="J3007" s="5" t="s">
        <v>2271</v>
      </c>
      <c r="K3007" s="8"/>
    </row>
    <row r="3008" spans="1:11" x14ac:dyDescent="0.2">
      <c r="A3008" s="8">
        <v>2284</v>
      </c>
      <c r="B3008" s="8">
        <f t="shared" si="98"/>
        <v>2023</v>
      </c>
      <c r="C3008" s="8">
        <f t="shared" si="99"/>
        <v>12</v>
      </c>
      <c r="D3008" s="85">
        <v>45284</v>
      </c>
      <c r="E3008" s="31">
        <v>0</v>
      </c>
      <c r="F3008" s="31">
        <v>20000</v>
      </c>
      <c r="G3008" s="31">
        <v>0</v>
      </c>
      <c r="H3008" s="31">
        <v>0</v>
      </c>
      <c r="I3008" s="31"/>
      <c r="J3008" s="5" t="s">
        <v>2009</v>
      </c>
      <c r="K3008" s="8"/>
    </row>
    <row r="3009" spans="1:11" x14ac:dyDescent="0.2">
      <c r="A3009" s="8">
        <v>2285</v>
      </c>
      <c r="B3009" s="8">
        <f t="shared" si="98"/>
        <v>2023</v>
      </c>
      <c r="C3009" s="8">
        <f t="shared" si="99"/>
        <v>12</v>
      </c>
      <c r="D3009" s="85">
        <v>45284</v>
      </c>
      <c r="E3009" s="31">
        <v>0</v>
      </c>
      <c r="F3009" s="31">
        <v>40000</v>
      </c>
      <c r="G3009" s="31">
        <v>0</v>
      </c>
      <c r="H3009" s="31">
        <v>0</v>
      </c>
      <c r="I3009" s="31"/>
      <c r="J3009" s="5" t="s">
        <v>2272</v>
      </c>
      <c r="K3009" s="8"/>
    </row>
    <row r="3010" spans="1:11" x14ac:dyDescent="0.2">
      <c r="A3010" s="8">
        <v>2288</v>
      </c>
      <c r="B3010" s="8">
        <f t="shared" si="98"/>
        <v>2023</v>
      </c>
      <c r="C3010" s="8">
        <f t="shared" si="99"/>
        <v>12</v>
      </c>
      <c r="D3010" s="85">
        <v>45286</v>
      </c>
      <c r="E3010" s="31">
        <v>0</v>
      </c>
      <c r="F3010" s="31">
        <v>120000</v>
      </c>
      <c r="G3010" s="31">
        <v>0</v>
      </c>
      <c r="H3010" s="31">
        <v>0</v>
      </c>
      <c r="I3010" s="31"/>
      <c r="J3010" s="5" t="s">
        <v>2273</v>
      </c>
      <c r="K3010" s="8"/>
    </row>
    <row r="3011" spans="1:11" x14ac:dyDescent="0.2">
      <c r="A3011" s="8">
        <v>2289</v>
      </c>
      <c r="B3011" s="8">
        <f t="shared" ref="B3011:B3074" si="100">YEAR(D3011)</f>
        <v>2023</v>
      </c>
      <c r="C3011" s="8">
        <f t="shared" ref="C3011:C3074" si="101">MONTH(D3011)</f>
        <v>12</v>
      </c>
      <c r="D3011" s="85">
        <v>45287</v>
      </c>
      <c r="E3011" s="31">
        <v>0</v>
      </c>
      <c r="F3011" s="31">
        <v>220000</v>
      </c>
      <c r="G3011" s="31">
        <v>0</v>
      </c>
      <c r="H3011" s="31">
        <v>0</v>
      </c>
      <c r="I3011" s="31"/>
      <c r="J3011" s="5" t="s">
        <v>2273</v>
      </c>
      <c r="K3011" s="8"/>
    </row>
    <row r="3012" spans="1:11" x14ac:dyDescent="0.2">
      <c r="A3012" s="8">
        <v>2273</v>
      </c>
      <c r="B3012" s="8">
        <f t="shared" si="100"/>
        <v>2023</v>
      </c>
      <c r="C3012" s="8">
        <f t="shared" si="101"/>
        <v>4</v>
      </c>
      <c r="D3012" s="85">
        <v>45042</v>
      </c>
      <c r="E3012" s="31">
        <v>9656000</v>
      </c>
      <c r="F3012" s="31">
        <v>0</v>
      </c>
      <c r="G3012" s="31">
        <v>0</v>
      </c>
      <c r="H3012" s="31">
        <v>0</v>
      </c>
      <c r="I3012" s="31" t="s">
        <v>109</v>
      </c>
      <c r="J3012" s="5" t="s">
        <v>2274</v>
      </c>
      <c r="K3012" s="8"/>
    </row>
    <row r="3013" spans="1:11" x14ac:dyDescent="0.2">
      <c r="A3013" s="8">
        <v>2276</v>
      </c>
      <c r="B3013" s="8">
        <f t="shared" si="100"/>
        <v>2023</v>
      </c>
      <c r="C3013" s="8">
        <f t="shared" si="101"/>
        <v>12</v>
      </c>
      <c r="D3013" s="85">
        <v>45287</v>
      </c>
      <c r="E3013" s="31">
        <v>2500000</v>
      </c>
      <c r="F3013" s="31">
        <v>0</v>
      </c>
      <c r="G3013" s="31">
        <v>0</v>
      </c>
      <c r="H3013" s="31">
        <v>0</v>
      </c>
      <c r="I3013" s="31" t="s">
        <v>109</v>
      </c>
      <c r="J3013" s="5" t="s">
        <v>2275</v>
      </c>
      <c r="K3013" s="8"/>
    </row>
    <row r="3014" spans="1:11" x14ac:dyDescent="0.2">
      <c r="A3014" s="8">
        <v>2290</v>
      </c>
      <c r="B3014" s="8">
        <f t="shared" si="100"/>
        <v>2023</v>
      </c>
      <c r="C3014" s="8">
        <f t="shared" si="101"/>
        <v>12</v>
      </c>
      <c r="D3014" s="85">
        <v>45290</v>
      </c>
      <c r="E3014" s="31">
        <v>0</v>
      </c>
      <c r="F3014" s="31">
        <v>214000</v>
      </c>
      <c r="G3014" s="31">
        <v>0</v>
      </c>
      <c r="H3014" s="31">
        <v>0</v>
      </c>
      <c r="I3014" s="31"/>
      <c r="J3014" s="5" t="s">
        <v>2276</v>
      </c>
      <c r="K3014" s="8"/>
    </row>
    <row r="3015" spans="1:11" x14ac:dyDescent="0.2">
      <c r="A3015" s="8">
        <v>2291</v>
      </c>
      <c r="B3015" s="8">
        <f t="shared" si="100"/>
        <v>2023</v>
      </c>
      <c r="C3015" s="8">
        <f t="shared" si="101"/>
        <v>12</v>
      </c>
      <c r="D3015" s="85">
        <v>45290</v>
      </c>
      <c r="E3015" s="31">
        <v>0</v>
      </c>
      <c r="F3015" s="31">
        <v>7000</v>
      </c>
      <c r="G3015" s="31">
        <v>0</v>
      </c>
      <c r="H3015" s="31">
        <v>0</v>
      </c>
      <c r="I3015" s="31" t="s">
        <v>1992</v>
      </c>
      <c r="J3015" s="5" t="s">
        <v>1771</v>
      </c>
      <c r="K3015" s="8"/>
    </row>
    <row r="3016" spans="1:11" x14ac:dyDescent="0.2">
      <c r="A3016" s="8">
        <v>2292</v>
      </c>
      <c r="B3016" s="8">
        <f t="shared" si="100"/>
        <v>2023</v>
      </c>
      <c r="C3016" s="8">
        <f t="shared" si="101"/>
        <v>12</v>
      </c>
      <c r="D3016" s="85">
        <v>45290</v>
      </c>
      <c r="E3016" s="31">
        <v>0</v>
      </c>
      <c r="F3016" s="31">
        <v>93000</v>
      </c>
      <c r="G3016" s="31">
        <v>0</v>
      </c>
      <c r="H3016" s="31">
        <v>0</v>
      </c>
      <c r="I3016" s="31"/>
      <c r="J3016" s="5" t="s">
        <v>2277</v>
      </c>
      <c r="K3016" s="8"/>
    </row>
    <row r="3017" spans="1:11" x14ac:dyDescent="0.2">
      <c r="A3017" s="8">
        <v>2293</v>
      </c>
      <c r="B3017" s="8">
        <f t="shared" si="100"/>
        <v>2023</v>
      </c>
      <c r="C3017" s="8">
        <f t="shared" si="101"/>
        <v>12</v>
      </c>
      <c r="D3017" s="85">
        <v>45290</v>
      </c>
      <c r="E3017" s="31">
        <v>0</v>
      </c>
      <c r="F3017" s="31">
        <v>15000</v>
      </c>
      <c r="G3017" s="31">
        <v>0</v>
      </c>
      <c r="H3017" s="31">
        <v>0</v>
      </c>
      <c r="I3017" s="31"/>
      <c r="J3017" s="5" t="s">
        <v>2278</v>
      </c>
      <c r="K3017" s="8"/>
    </row>
    <row r="3018" spans="1:11" x14ac:dyDescent="0.2">
      <c r="A3018" s="8">
        <v>2294</v>
      </c>
      <c r="B3018" s="8">
        <f t="shared" si="100"/>
        <v>2023</v>
      </c>
      <c r="C3018" s="8">
        <f t="shared" si="101"/>
        <v>12</v>
      </c>
      <c r="D3018" s="85">
        <v>45290</v>
      </c>
      <c r="E3018" s="31">
        <v>0</v>
      </c>
      <c r="F3018" s="31">
        <v>132000</v>
      </c>
      <c r="G3018" s="31">
        <v>0</v>
      </c>
      <c r="H3018" s="31">
        <v>0</v>
      </c>
      <c r="I3018" s="31"/>
      <c r="J3018" s="5" t="s">
        <v>2279</v>
      </c>
      <c r="K3018" s="8"/>
    </row>
    <row r="3019" spans="1:11" x14ac:dyDescent="0.2">
      <c r="A3019" s="8">
        <v>2295</v>
      </c>
      <c r="B3019" s="8">
        <f t="shared" si="100"/>
        <v>2023</v>
      </c>
      <c r="C3019" s="8">
        <f t="shared" si="101"/>
        <v>12</v>
      </c>
      <c r="D3019" s="85">
        <v>45290</v>
      </c>
      <c r="E3019" s="31">
        <v>0</v>
      </c>
      <c r="F3019" s="31">
        <v>10000</v>
      </c>
      <c r="G3019" s="31">
        <v>0</v>
      </c>
      <c r="H3019" s="31">
        <v>0</v>
      </c>
      <c r="I3019" s="31"/>
      <c r="J3019" s="5" t="s">
        <v>299</v>
      </c>
      <c r="K3019" s="8"/>
    </row>
    <row r="3020" spans="1:11" x14ac:dyDescent="0.2">
      <c r="A3020" s="8">
        <v>2296</v>
      </c>
      <c r="B3020" s="8">
        <f t="shared" si="100"/>
        <v>2023</v>
      </c>
      <c r="C3020" s="8">
        <f t="shared" si="101"/>
        <v>12</v>
      </c>
      <c r="D3020" s="85">
        <v>45290</v>
      </c>
      <c r="E3020" s="31">
        <v>0</v>
      </c>
      <c r="F3020" s="31">
        <v>221000</v>
      </c>
      <c r="G3020" s="31">
        <v>0</v>
      </c>
      <c r="H3020" s="31">
        <v>0</v>
      </c>
      <c r="I3020" s="31"/>
      <c r="J3020" s="5" t="s">
        <v>2280</v>
      </c>
      <c r="K3020" s="8"/>
    </row>
    <row r="3021" spans="1:11" x14ac:dyDescent="0.2">
      <c r="A3021" s="8">
        <v>2297</v>
      </c>
      <c r="B3021" s="8">
        <f t="shared" si="100"/>
        <v>2023</v>
      </c>
      <c r="C3021" s="8">
        <f t="shared" si="101"/>
        <v>12</v>
      </c>
      <c r="D3021" s="85">
        <v>45290</v>
      </c>
      <c r="E3021" s="31">
        <v>0</v>
      </c>
      <c r="F3021" s="31">
        <v>120000</v>
      </c>
      <c r="G3021" s="31">
        <v>0</v>
      </c>
      <c r="H3021" s="31">
        <v>0</v>
      </c>
      <c r="I3021" s="31"/>
      <c r="J3021" s="5" t="s">
        <v>2281</v>
      </c>
      <c r="K3021" s="8"/>
    </row>
    <row r="3022" spans="1:11" x14ac:dyDescent="0.2">
      <c r="A3022" s="8">
        <v>2298</v>
      </c>
      <c r="B3022" s="8">
        <f t="shared" si="100"/>
        <v>2023</v>
      </c>
      <c r="C3022" s="8">
        <f t="shared" si="101"/>
        <v>12</v>
      </c>
      <c r="D3022" s="85">
        <v>45290</v>
      </c>
      <c r="E3022" s="31">
        <v>0</v>
      </c>
      <c r="F3022" s="31">
        <v>250000</v>
      </c>
      <c r="G3022" s="31">
        <v>0</v>
      </c>
      <c r="H3022" s="31">
        <v>0</v>
      </c>
      <c r="I3022" s="31"/>
      <c r="J3022" s="5" t="s">
        <v>2192</v>
      </c>
      <c r="K3022" s="8"/>
    </row>
    <row r="3023" spans="1:11" x14ac:dyDescent="0.2">
      <c r="A3023" s="8">
        <v>2299</v>
      </c>
      <c r="B3023" s="8">
        <f t="shared" si="100"/>
        <v>2023</v>
      </c>
      <c r="C3023" s="8">
        <f t="shared" si="101"/>
        <v>12</v>
      </c>
      <c r="D3023" s="85">
        <v>45290</v>
      </c>
      <c r="E3023" s="31">
        <v>0</v>
      </c>
      <c r="F3023" s="31">
        <v>300000</v>
      </c>
      <c r="G3023" s="31">
        <v>0</v>
      </c>
      <c r="H3023" s="31">
        <v>0</v>
      </c>
      <c r="I3023" s="31"/>
      <c r="J3023" s="5" t="s">
        <v>2282</v>
      </c>
      <c r="K3023" s="8"/>
    </row>
    <row r="3024" spans="1:11" x14ac:dyDescent="0.2">
      <c r="A3024" s="8">
        <v>2300</v>
      </c>
      <c r="B3024" s="8">
        <f t="shared" si="100"/>
        <v>2023</v>
      </c>
      <c r="C3024" s="8">
        <f t="shared" si="101"/>
        <v>12</v>
      </c>
      <c r="D3024" s="85">
        <v>45290</v>
      </c>
      <c r="E3024" s="31">
        <v>0</v>
      </c>
      <c r="F3024" s="31">
        <v>250000</v>
      </c>
      <c r="G3024" s="31">
        <v>0</v>
      </c>
      <c r="H3024" s="31">
        <v>0</v>
      </c>
      <c r="I3024" s="31"/>
      <c r="J3024" s="5" t="s">
        <v>374</v>
      </c>
      <c r="K3024" s="8"/>
    </row>
    <row r="3025" spans="1:11" x14ac:dyDescent="0.2">
      <c r="A3025" s="8">
        <v>2301</v>
      </c>
      <c r="B3025" s="8">
        <f t="shared" si="100"/>
        <v>2023</v>
      </c>
      <c r="C3025" s="8">
        <f t="shared" si="101"/>
        <v>12</v>
      </c>
      <c r="D3025" s="85">
        <v>45290</v>
      </c>
      <c r="E3025" s="31">
        <v>0</v>
      </c>
      <c r="F3025" s="31">
        <v>230000</v>
      </c>
      <c r="G3025" s="31">
        <v>0</v>
      </c>
      <c r="H3025" s="31">
        <v>0</v>
      </c>
      <c r="I3025" s="31"/>
      <c r="J3025" s="5" t="s">
        <v>1224</v>
      </c>
      <c r="K3025" s="8"/>
    </row>
    <row r="3026" spans="1:11" x14ac:dyDescent="0.2">
      <c r="A3026" s="8">
        <v>2302</v>
      </c>
      <c r="B3026" s="8">
        <f t="shared" si="100"/>
        <v>2023</v>
      </c>
      <c r="C3026" s="8">
        <f t="shared" si="101"/>
        <v>8</v>
      </c>
      <c r="D3026" s="85">
        <v>45151</v>
      </c>
      <c r="E3026" s="31">
        <v>0</v>
      </c>
      <c r="F3026" s="31">
        <v>47000</v>
      </c>
      <c r="G3026" s="31">
        <v>0</v>
      </c>
      <c r="H3026" s="31">
        <v>0</v>
      </c>
      <c r="I3026" s="31"/>
      <c r="J3026" s="5" t="s">
        <v>2283</v>
      </c>
      <c r="K3026" s="8"/>
    </row>
    <row r="3027" spans="1:11" x14ac:dyDescent="0.2">
      <c r="A3027" s="8">
        <v>2303</v>
      </c>
      <c r="B3027" s="8">
        <f t="shared" si="100"/>
        <v>2023</v>
      </c>
      <c r="C3027" s="8">
        <f t="shared" si="101"/>
        <v>8</v>
      </c>
      <c r="D3027" s="85">
        <v>45150</v>
      </c>
      <c r="E3027" s="31">
        <v>0</v>
      </c>
      <c r="F3027" s="31">
        <v>45000</v>
      </c>
      <c r="G3027" s="31">
        <v>0</v>
      </c>
      <c r="H3027" s="31">
        <v>0</v>
      </c>
      <c r="I3027" s="31"/>
      <c r="J3027" s="5" t="s">
        <v>2284</v>
      </c>
      <c r="K3027" s="8"/>
    </row>
    <row r="3028" spans="1:11" x14ac:dyDescent="0.2">
      <c r="A3028" s="8">
        <v>2304</v>
      </c>
      <c r="B3028" s="8">
        <f t="shared" si="100"/>
        <v>2023</v>
      </c>
      <c r="C3028" s="8">
        <f t="shared" si="101"/>
        <v>8</v>
      </c>
      <c r="D3028" s="85">
        <v>45154</v>
      </c>
      <c r="E3028" s="31">
        <v>600000</v>
      </c>
      <c r="F3028" s="31">
        <v>0</v>
      </c>
      <c r="G3028" s="31">
        <v>0</v>
      </c>
      <c r="H3028" s="31">
        <v>0</v>
      </c>
      <c r="I3028" s="31"/>
      <c r="J3028" s="5" t="s">
        <v>2285</v>
      </c>
      <c r="K3028" s="8"/>
    </row>
    <row r="3029" spans="1:11" x14ac:dyDescent="0.2">
      <c r="A3029" s="8">
        <v>2305</v>
      </c>
      <c r="B3029" s="8">
        <f t="shared" si="100"/>
        <v>2023</v>
      </c>
      <c r="C3029" s="8">
        <f t="shared" si="101"/>
        <v>8</v>
      </c>
      <c r="D3029" s="85">
        <v>45158</v>
      </c>
      <c r="E3029" s="31">
        <v>0</v>
      </c>
      <c r="F3029" s="31">
        <v>500000</v>
      </c>
      <c r="G3029" s="31">
        <v>0</v>
      </c>
      <c r="H3029" s="31">
        <v>0</v>
      </c>
      <c r="I3029" s="31"/>
      <c r="J3029" s="5" t="s">
        <v>2286</v>
      </c>
      <c r="K3029" s="8"/>
    </row>
    <row r="3030" spans="1:11" x14ac:dyDescent="0.2">
      <c r="A3030" s="8">
        <v>2306</v>
      </c>
      <c r="B3030" s="8">
        <f t="shared" si="100"/>
        <v>2023</v>
      </c>
      <c r="C3030" s="8">
        <f t="shared" si="101"/>
        <v>8</v>
      </c>
      <c r="D3030" s="85">
        <v>45161</v>
      </c>
      <c r="E3030" s="31">
        <v>500000</v>
      </c>
      <c r="F3030" s="31">
        <v>0</v>
      </c>
      <c r="G3030" s="31">
        <v>0</v>
      </c>
      <c r="H3030" s="31">
        <v>0</v>
      </c>
      <c r="I3030" s="31"/>
      <c r="J3030" s="5" t="s">
        <v>2287</v>
      </c>
      <c r="K3030" s="8"/>
    </row>
    <row r="3031" spans="1:11" x14ac:dyDescent="0.2">
      <c r="A3031" s="8">
        <v>2307</v>
      </c>
      <c r="B3031" s="8">
        <f t="shared" si="100"/>
        <v>2023</v>
      </c>
      <c r="C3031" s="8">
        <f t="shared" si="101"/>
        <v>8</v>
      </c>
      <c r="D3031" s="85">
        <v>45161</v>
      </c>
      <c r="E3031" s="31">
        <v>0</v>
      </c>
      <c r="F3031" s="31">
        <v>60000</v>
      </c>
      <c r="G3031" s="31">
        <v>0</v>
      </c>
      <c r="H3031" s="31">
        <v>0</v>
      </c>
      <c r="I3031" s="31"/>
      <c r="J3031" s="5" t="s">
        <v>2288</v>
      </c>
      <c r="K3031" s="8"/>
    </row>
    <row r="3032" spans="1:11" x14ac:dyDescent="0.2">
      <c r="A3032" s="8">
        <v>2308</v>
      </c>
      <c r="B3032" s="8">
        <f t="shared" si="100"/>
        <v>2023</v>
      </c>
      <c r="C3032" s="8">
        <f t="shared" si="101"/>
        <v>8</v>
      </c>
      <c r="D3032" s="85">
        <v>45161</v>
      </c>
      <c r="E3032" s="31">
        <v>0</v>
      </c>
      <c r="F3032" s="31">
        <v>50000</v>
      </c>
      <c r="G3032" s="31">
        <v>0</v>
      </c>
      <c r="H3032" s="31">
        <v>0</v>
      </c>
      <c r="I3032" s="31"/>
      <c r="J3032" s="5" t="s">
        <v>2289</v>
      </c>
      <c r="K3032" s="8"/>
    </row>
    <row r="3033" spans="1:11" x14ac:dyDescent="0.2">
      <c r="A3033" s="8">
        <v>2305</v>
      </c>
      <c r="B3033" s="8">
        <f t="shared" si="100"/>
        <v>2023</v>
      </c>
      <c r="C3033" s="8">
        <f t="shared" si="101"/>
        <v>8</v>
      </c>
      <c r="D3033" s="85">
        <v>45161</v>
      </c>
      <c r="E3033" s="31">
        <v>5000000</v>
      </c>
      <c r="F3033" s="31">
        <v>0</v>
      </c>
      <c r="G3033" s="31">
        <v>0</v>
      </c>
      <c r="H3033" s="31">
        <v>0</v>
      </c>
      <c r="I3033" s="31"/>
      <c r="J3033" s="5" t="s">
        <v>2290</v>
      </c>
      <c r="K3033" s="8"/>
    </row>
    <row r="3034" spans="1:11" x14ac:dyDescent="0.2">
      <c r="A3034" s="8">
        <v>2305</v>
      </c>
      <c r="B3034" s="8">
        <f t="shared" si="100"/>
        <v>2023</v>
      </c>
      <c r="C3034" s="8">
        <f t="shared" si="101"/>
        <v>11</v>
      </c>
      <c r="D3034" s="85">
        <v>45246</v>
      </c>
      <c r="E3034" s="31">
        <v>5000000</v>
      </c>
      <c r="F3034" s="31">
        <v>0</v>
      </c>
      <c r="G3034" s="31">
        <v>0</v>
      </c>
      <c r="H3034" s="31">
        <v>0</v>
      </c>
      <c r="I3034" s="31"/>
      <c r="J3034" s="5" t="s">
        <v>2290</v>
      </c>
      <c r="K3034" s="8"/>
    </row>
    <row r="3035" spans="1:11" x14ac:dyDescent="0.2">
      <c r="A3035" s="8">
        <v>2306</v>
      </c>
      <c r="B3035" s="8">
        <f t="shared" si="100"/>
        <v>2023</v>
      </c>
      <c r="C3035" s="8">
        <f t="shared" si="101"/>
        <v>8</v>
      </c>
      <c r="D3035" s="85">
        <v>45161</v>
      </c>
      <c r="E3035" s="31">
        <v>0</v>
      </c>
      <c r="F3035" s="31">
        <v>5000000</v>
      </c>
      <c r="G3035" s="31">
        <v>0</v>
      </c>
      <c r="H3035" s="31">
        <v>0</v>
      </c>
      <c r="I3035" s="31"/>
      <c r="J3035" s="5" t="s">
        <v>2291</v>
      </c>
      <c r="K3035" s="8"/>
    </row>
    <row r="3036" spans="1:11" x14ac:dyDescent="0.2">
      <c r="A3036" s="8">
        <v>2307</v>
      </c>
      <c r="B3036" s="8">
        <f t="shared" si="100"/>
        <v>2023</v>
      </c>
      <c r="C3036" s="8">
        <f t="shared" si="101"/>
        <v>8</v>
      </c>
      <c r="D3036" s="85">
        <v>45167</v>
      </c>
      <c r="E3036" s="31">
        <v>3000000</v>
      </c>
      <c r="F3036" s="31">
        <v>0</v>
      </c>
      <c r="G3036" s="31">
        <v>0</v>
      </c>
      <c r="H3036" s="31">
        <v>0</v>
      </c>
      <c r="I3036" s="31"/>
      <c r="J3036" s="5" t="s">
        <v>2285</v>
      </c>
      <c r="K3036" s="8"/>
    </row>
    <row r="3037" spans="1:11" x14ac:dyDescent="0.2">
      <c r="A3037" s="8">
        <v>2308</v>
      </c>
      <c r="B3037" s="8">
        <f t="shared" si="100"/>
        <v>2023</v>
      </c>
      <c r="C3037" s="8">
        <f t="shared" si="101"/>
        <v>9</v>
      </c>
      <c r="D3037" s="85">
        <v>45184</v>
      </c>
      <c r="E3037" s="31">
        <v>0</v>
      </c>
      <c r="F3037" s="31">
        <v>250000</v>
      </c>
      <c r="G3037" s="31">
        <v>0</v>
      </c>
      <c r="H3037" s="31">
        <v>0</v>
      </c>
      <c r="I3037" s="31"/>
      <c r="J3037" s="5" t="s">
        <v>2292</v>
      </c>
      <c r="K3037" s="8"/>
    </row>
    <row r="3038" spans="1:11" x14ac:dyDescent="0.2">
      <c r="A3038" s="8">
        <v>2309</v>
      </c>
      <c r="B3038" s="8">
        <f t="shared" si="100"/>
        <v>2023</v>
      </c>
      <c r="C3038" s="8">
        <f t="shared" si="101"/>
        <v>9</v>
      </c>
      <c r="D3038" s="85">
        <v>45198</v>
      </c>
      <c r="E3038" s="31">
        <v>0</v>
      </c>
      <c r="F3038" s="31">
        <v>100000</v>
      </c>
      <c r="G3038" s="31">
        <v>0</v>
      </c>
      <c r="H3038" s="31">
        <v>0</v>
      </c>
      <c r="I3038" s="31"/>
      <c r="J3038" s="5" t="s">
        <v>2293</v>
      </c>
      <c r="K3038" s="8"/>
    </row>
    <row r="3039" spans="1:11" x14ac:dyDescent="0.2">
      <c r="A3039" s="8">
        <v>2310</v>
      </c>
      <c r="B3039" s="8">
        <f t="shared" si="100"/>
        <v>2023</v>
      </c>
      <c r="C3039" s="8">
        <f t="shared" si="101"/>
        <v>10</v>
      </c>
      <c r="D3039" s="85">
        <v>45201</v>
      </c>
      <c r="E3039" s="31">
        <v>0</v>
      </c>
      <c r="F3039" s="31">
        <v>50000</v>
      </c>
      <c r="G3039" s="31">
        <v>0</v>
      </c>
      <c r="H3039" s="31">
        <v>0</v>
      </c>
      <c r="I3039" s="31"/>
      <c r="J3039" s="5" t="s">
        <v>2289</v>
      </c>
      <c r="K3039" s="8"/>
    </row>
    <row r="3040" spans="1:11" x14ac:dyDescent="0.2">
      <c r="A3040" s="8">
        <v>2311</v>
      </c>
      <c r="B3040" s="8">
        <f t="shared" si="100"/>
        <v>2023</v>
      </c>
      <c r="C3040" s="8">
        <f t="shared" si="101"/>
        <v>10</v>
      </c>
      <c r="D3040" s="85">
        <v>45200</v>
      </c>
      <c r="E3040" s="31">
        <v>250000</v>
      </c>
      <c r="F3040" s="31">
        <v>0</v>
      </c>
      <c r="G3040" s="31">
        <v>0</v>
      </c>
      <c r="H3040" s="31">
        <v>0</v>
      </c>
      <c r="I3040" s="31"/>
      <c r="J3040" s="5" t="s">
        <v>2294</v>
      </c>
      <c r="K3040" s="8"/>
    </row>
    <row r="3041" spans="1:11" x14ac:dyDescent="0.2">
      <c r="A3041" s="8">
        <v>2312</v>
      </c>
      <c r="B3041" s="8">
        <f t="shared" si="100"/>
        <v>2023</v>
      </c>
      <c r="C3041" s="8">
        <f t="shared" si="101"/>
        <v>10</v>
      </c>
      <c r="D3041" s="85">
        <v>45200</v>
      </c>
      <c r="E3041" s="31">
        <v>1500000</v>
      </c>
      <c r="F3041" s="31">
        <v>0</v>
      </c>
      <c r="G3041" s="31">
        <v>0</v>
      </c>
      <c r="H3041" s="31">
        <v>0</v>
      </c>
      <c r="I3041" s="31"/>
      <c r="J3041" s="5" t="s">
        <v>2295</v>
      </c>
      <c r="K3041" s="8"/>
    </row>
    <row r="3042" spans="1:11" x14ac:dyDescent="0.2">
      <c r="A3042" s="8">
        <v>2313</v>
      </c>
      <c r="B3042" s="8">
        <f t="shared" si="100"/>
        <v>2023</v>
      </c>
      <c r="C3042" s="8">
        <f t="shared" si="101"/>
        <v>10</v>
      </c>
      <c r="D3042" s="85">
        <v>45214</v>
      </c>
      <c r="E3042" s="31">
        <v>0</v>
      </c>
      <c r="F3042" s="31">
        <v>250000</v>
      </c>
      <c r="G3042" s="31">
        <v>0</v>
      </c>
      <c r="H3042" s="31">
        <v>0</v>
      </c>
      <c r="I3042" s="31"/>
      <c r="J3042" s="5" t="s">
        <v>1069</v>
      </c>
      <c r="K3042" s="8"/>
    </row>
    <row r="3043" spans="1:11" x14ac:dyDescent="0.2">
      <c r="A3043" s="8">
        <v>2314</v>
      </c>
      <c r="B3043" s="8">
        <f t="shared" si="100"/>
        <v>2023</v>
      </c>
      <c r="C3043" s="8">
        <f t="shared" si="101"/>
        <v>10</v>
      </c>
      <c r="D3043" s="85">
        <v>45214</v>
      </c>
      <c r="E3043" s="31">
        <v>0</v>
      </c>
      <c r="F3043" s="31">
        <v>250000</v>
      </c>
      <c r="G3043" s="31">
        <v>0</v>
      </c>
      <c r="H3043" s="31">
        <v>0</v>
      </c>
      <c r="I3043" s="31"/>
      <c r="J3043" s="5" t="s">
        <v>2296</v>
      </c>
      <c r="K3043" s="8"/>
    </row>
    <row r="3044" spans="1:11" x14ac:dyDescent="0.2">
      <c r="A3044" s="8">
        <v>2315</v>
      </c>
      <c r="B3044" s="8">
        <f t="shared" si="100"/>
        <v>2023</v>
      </c>
      <c r="C3044" s="8">
        <f t="shared" si="101"/>
        <v>10</v>
      </c>
      <c r="D3044" s="85">
        <v>45218</v>
      </c>
      <c r="E3044" s="31">
        <v>0</v>
      </c>
      <c r="F3044" s="31">
        <v>170000</v>
      </c>
      <c r="G3044" s="31">
        <v>0</v>
      </c>
      <c r="H3044" s="31">
        <v>0</v>
      </c>
      <c r="I3044" s="31"/>
      <c r="J3044" s="5" t="s">
        <v>2297</v>
      </c>
      <c r="K3044" s="8"/>
    </row>
    <row r="3045" spans="1:11" x14ac:dyDescent="0.2">
      <c r="A3045" s="8">
        <v>2316</v>
      </c>
      <c r="B3045" s="8">
        <f t="shared" si="100"/>
        <v>2023</v>
      </c>
      <c r="C3045" s="8">
        <f t="shared" si="101"/>
        <v>10</v>
      </c>
      <c r="D3045" s="85">
        <v>45219</v>
      </c>
      <c r="E3045" s="31">
        <v>0</v>
      </c>
      <c r="F3045" s="31">
        <v>20000</v>
      </c>
      <c r="G3045" s="31">
        <v>0</v>
      </c>
      <c r="H3045" s="31">
        <v>0</v>
      </c>
      <c r="I3045" s="31"/>
      <c r="J3045" s="5" t="s">
        <v>2298</v>
      </c>
      <c r="K3045" s="8"/>
    </row>
    <row r="3046" spans="1:11" x14ac:dyDescent="0.2">
      <c r="A3046" s="8">
        <v>2317</v>
      </c>
      <c r="B3046" s="8">
        <f t="shared" si="100"/>
        <v>2023</v>
      </c>
      <c r="C3046" s="8">
        <f t="shared" si="101"/>
        <v>10</v>
      </c>
      <c r="D3046" s="85">
        <v>45224</v>
      </c>
      <c r="E3046" s="31">
        <v>0</v>
      </c>
      <c r="F3046" s="31">
        <v>78000</v>
      </c>
      <c r="G3046" s="31">
        <v>0</v>
      </c>
      <c r="H3046" s="31">
        <v>0</v>
      </c>
      <c r="I3046" s="31"/>
      <c r="J3046" s="5" t="s">
        <v>2299</v>
      </c>
      <c r="K3046" s="8"/>
    </row>
    <row r="3047" spans="1:11" x14ac:dyDescent="0.2">
      <c r="A3047" s="8">
        <v>2318</v>
      </c>
      <c r="B3047" s="8">
        <f t="shared" si="100"/>
        <v>2023</v>
      </c>
      <c r="C3047" s="8">
        <f t="shared" si="101"/>
        <v>10</v>
      </c>
      <c r="D3047" s="85">
        <v>45226</v>
      </c>
      <c r="E3047" s="31">
        <v>0</v>
      </c>
      <c r="F3047" s="31">
        <v>150000</v>
      </c>
      <c r="G3047" s="31">
        <v>0</v>
      </c>
      <c r="H3047" s="31">
        <v>0</v>
      </c>
      <c r="I3047" s="31"/>
      <c r="J3047" s="5" t="s">
        <v>2300</v>
      </c>
      <c r="K3047" s="8"/>
    </row>
    <row r="3048" spans="1:11" x14ac:dyDescent="0.2">
      <c r="A3048" s="8">
        <v>2320</v>
      </c>
      <c r="B3048" s="8">
        <f t="shared" si="100"/>
        <v>2023</v>
      </c>
      <c r="C3048" s="8">
        <f t="shared" si="101"/>
        <v>10</v>
      </c>
      <c r="D3048" s="85">
        <v>45230</v>
      </c>
      <c r="E3048" s="31">
        <v>300000</v>
      </c>
      <c r="F3048" s="31">
        <v>0</v>
      </c>
      <c r="G3048" s="31">
        <v>0</v>
      </c>
      <c r="H3048" s="31">
        <v>0</v>
      </c>
      <c r="I3048" s="31"/>
      <c r="J3048" s="5" t="s">
        <v>2301</v>
      </c>
      <c r="K3048" s="8"/>
    </row>
    <row r="3049" spans="1:11" x14ac:dyDescent="0.2">
      <c r="A3049" s="8">
        <v>2322</v>
      </c>
      <c r="B3049" s="8">
        <f t="shared" si="100"/>
        <v>2023</v>
      </c>
      <c r="C3049" s="8">
        <f t="shared" si="101"/>
        <v>11</v>
      </c>
      <c r="D3049" s="85">
        <v>45235</v>
      </c>
      <c r="E3049" s="31">
        <v>0</v>
      </c>
      <c r="F3049" s="31">
        <v>1450000</v>
      </c>
      <c r="G3049" s="31">
        <v>0</v>
      </c>
      <c r="H3049" s="31">
        <v>0</v>
      </c>
      <c r="I3049" s="31"/>
      <c r="J3049" s="5" t="s">
        <v>2302</v>
      </c>
      <c r="K3049" s="8"/>
    </row>
    <row r="3050" spans="1:11" x14ac:dyDescent="0.2">
      <c r="A3050" s="8">
        <v>2323</v>
      </c>
      <c r="B3050" s="8">
        <f t="shared" si="100"/>
        <v>2023</v>
      </c>
      <c r="C3050" s="8">
        <f t="shared" si="101"/>
        <v>11</v>
      </c>
      <c r="D3050" s="85">
        <v>45237</v>
      </c>
      <c r="E3050" s="31">
        <v>0</v>
      </c>
      <c r="F3050" s="31">
        <v>200000</v>
      </c>
      <c r="G3050" s="31">
        <v>0</v>
      </c>
      <c r="H3050" s="31">
        <v>0</v>
      </c>
      <c r="I3050" s="31"/>
      <c r="J3050" s="5" t="s">
        <v>2303</v>
      </c>
      <c r="K3050" s="8"/>
    </row>
    <row r="3051" spans="1:11" x14ac:dyDescent="0.2">
      <c r="A3051" s="8">
        <v>2324</v>
      </c>
      <c r="B3051" s="8">
        <f t="shared" si="100"/>
        <v>2023</v>
      </c>
      <c r="C3051" s="8">
        <f t="shared" si="101"/>
        <v>11</v>
      </c>
      <c r="D3051" s="85">
        <v>45240</v>
      </c>
      <c r="E3051" s="31">
        <v>0</v>
      </c>
      <c r="F3051" s="31">
        <v>100000</v>
      </c>
      <c r="G3051" s="31">
        <v>0</v>
      </c>
      <c r="H3051" s="31">
        <v>0</v>
      </c>
      <c r="I3051" s="31"/>
      <c r="J3051" s="5" t="s">
        <v>2304</v>
      </c>
      <c r="K3051" s="8"/>
    </row>
    <row r="3052" spans="1:11" x14ac:dyDescent="0.2">
      <c r="A3052" s="8">
        <v>2325</v>
      </c>
      <c r="B3052" s="8">
        <f t="shared" si="100"/>
        <v>2023</v>
      </c>
      <c r="C3052" s="8">
        <f t="shared" si="101"/>
        <v>11</v>
      </c>
      <c r="D3052" s="85">
        <v>45245</v>
      </c>
      <c r="E3052" s="31">
        <v>0</v>
      </c>
      <c r="F3052" s="31">
        <v>250000</v>
      </c>
      <c r="G3052" s="31">
        <v>0</v>
      </c>
      <c r="H3052" s="31">
        <v>0</v>
      </c>
      <c r="I3052" s="31"/>
      <c r="J3052" s="5" t="s">
        <v>2305</v>
      </c>
      <c r="K3052" s="8"/>
    </row>
    <row r="3053" spans="1:11" x14ac:dyDescent="0.2">
      <c r="A3053" s="8">
        <v>2326</v>
      </c>
      <c r="B3053" s="8">
        <f t="shared" si="100"/>
        <v>2023</v>
      </c>
      <c r="C3053" s="8">
        <f t="shared" si="101"/>
        <v>11</v>
      </c>
      <c r="D3053" s="85">
        <v>45252</v>
      </c>
      <c r="E3053" s="31">
        <v>0</v>
      </c>
      <c r="F3053" s="31">
        <v>200000</v>
      </c>
      <c r="G3053" s="31">
        <v>0</v>
      </c>
      <c r="H3053" s="31">
        <v>0</v>
      </c>
      <c r="I3053" s="31"/>
      <c r="J3053" s="5" t="s">
        <v>2306</v>
      </c>
      <c r="K3053" s="8"/>
    </row>
    <row r="3054" spans="1:11" x14ac:dyDescent="0.2">
      <c r="A3054" s="8">
        <v>2327</v>
      </c>
      <c r="B3054" s="8">
        <f t="shared" si="100"/>
        <v>2023</v>
      </c>
      <c r="C3054" s="8">
        <f t="shared" si="101"/>
        <v>11</v>
      </c>
      <c r="D3054" s="85">
        <v>45253</v>
      </c>
      <c r="E3054" s="31">
        <v>800000</v>
      </c>
      <c r="F3054" s="31">
        <v>0</v>
      </c>
      <c r="G3054" s="31">
        <v>0</v>
      </c>
      <c r="H3054" s="31">
        <v>0</v>
      </c>
      <c r="I3054" s="31"/>
      <c r="J3054" s="5" t="s">
        <v>2307</v>
      </c>
      <c r="K3054" s="8"/>
    </row>
    <row r="3055" spans="1:11" x14ac:dyDescent="0.2">
      <c r="A3055" s="8">
        <v>2328</v>
      </c>
      <c r="B3055" s="8">
        <f t="shared" si="100"/>
        <v>2023</v>
      </c>
      <c r="C3055" s="8">
        <f t="shared" si="101"/>
        <v>12</v>
      </c>
      <c r="D3055" s="85">
        <v>45262</v>
      </c>
      <c r="E3055" s="31">
        <v>800000</v>
      </c>
      <c r="F3055" s="31">
        <v>0</v>
      </c>
      <c r="G3055" s="31">
        <v>0</v>
      </c>
      <c r="H3055" s="31">
        <v>0</v>
      </c>
      <c r="I3055" s="31"/>
      <c r="J3055" s="5" t="s">
        <v>2308</v>
      </c>
      <c r="K3055" s="8"/>
    </row>
    <row r="3056" spans="1:11" x14ac:dyDescent="0.2">
      <c r="A3056" s="8">
        <v>2329</v>
      </c>
      <c r="B3056" s="8">
        <f t="shared" si="100"/>
        <v>2023</v>
      </c>
      <c r="C3056" s="8">
        <f t="shared" si="101"/>
        <v>12</v>
      </c>
      <c r="D3056" s="85">
        <v>45266</v>
      </c>
      <c r="E3056" s="31">
        <v>0</v>
      </c>
      <c r="F3056" s="31">
        <v>1500000</v>
      </c>
      <c r="G3056" s="31">
        <v>0</v>
      </c>
      <c r="H3056" s="31">
        <v>0</v>
      </c>
      <c r="I3056" s="31"/>
      <c r="J3056" s="5" t="s">
        <v>2309</v>
      </c>
      <c r="K3056" s="8"/>
    </row>
    <row r="3057" spans="1:14" x14ac:dyDescent="0.2">
      <c r="A3057" s="8">
        <v>2332</v>
      </c>
      <c r="B3057" s="8">
        <f t="shared" si="100"/>
        <v>2023</v>
      </c>
      <c r="C3057" s="8">
        <f t="shared" si="101"/>
        <v>12</v>
      </c>
      <c r="D3057" s="85">
        <v>45290</v>
      </c>
      <c r="E3057" s="31">
        <v>0</v>
      </c>
      <c r="F3057" s="31">
        <v>27000</v>
      </c>
      <c r="G3057" s="31">
        <v>0</v>
      </c>
      <c r="H3057" s="31">
        <v>0</v>
      </c>
      <c r="I3057" s="31"/>
      <c r="J3057" s="5" t="s">
        <v>2310</v>
      </c>
      <c r="K3057" s="8"/>
    </row>
    <row r="3058" spans="1:14" x14ac:dyDescent="0.2">
      <c r="A3058" s="8">
        <v>2333</v>
      </c>
      <c r="B3058" s="8">
        <f t="shared" si="100"/>
        <v>2023</v>
      </c>
      <c r="C3058" s="8">
        <f t="shared" si="101"/>
        <v>12</v>
      </c>
      <c r="D3058" s="85">
        <v>45290</v>
      </c>
      <c r="E3058" s="31">
        <v>0</v>
      </c>
      <c r="F3058" s="31">
        <v>50000</v>
      </c>
      <c r="G3058" s="31">
        <v>0</v>
      </c>
      <c r="H3058" s="31">
        <v>0</v>
      </c>
      <c r="I3058" s="31"/>
      <c r="J3058" s="5" t="s">
        <v>2311</v>
      </c>
      <c r="K3058" s="8"/>
    </row>
    <row r="3059" spans="1:14" x14ac:dyDescent="0.2">
      <c r="A3059" s="8">
        <v>2333</v>
      </c>
      <c r="B3059" s="8">
        <f t="shared" si="100"/>
        <v>2023</v>
      </c>
      <c r="C3059" s="8">
        <f t="shared" si="101"/>
        <v>12</v>
      </c>
      <c r="D3059" s="85">
        <v>45290</v>
      </c>
      <c r="E3059" s="31">
        <v>0</v>
      </c>
      <c r="F3059" s="31">
        <v>30000000</v>
      </c>
      <c r="G3059" s="31">
        <v>0</v>
      </c>
      <c r="H3059" s="31">
        <v>0</v>
      </c>
      <c r="I3059" s="31"/>
      <c r="J3059" s="5" t="s">
        <v>2312</v>
      </c>
      <c r="K3059" s="8"/>
    </row>
    <row r="3060" spans="1:14" s="48" customFormat="1" x14ac:dyDescent="0.2">
      <c r="A3060" s="29">
        <v>2334</v>
      </c>
      <c r="B3060" s="29">
        <f t="shared" si="100"/>
        <v>1900</v>
      </c>
      <c r="C3060" s="29">
        <f t="shared" si="101"/>
        <v>1</v>
      </c>
      <c r="D3060" s="86"/>
      <c r="E3060" s="45"/>
      <c r="F3060" s="45"/>
      <c r="G3060" s="45"/>
      <c r="H3060" s="45"/>
      <c r="I3060" s="45"/>
      <c r="J3060" s="25"/>
      <c r="K3060" s="29"/>
      <c r="N3060" s="149"/>
    </row>
    <row r="3061" spans="1:14" x14ac:dyDescent="0.2">
      <c r="A3061" s="8">
        <v>2335</v>
      </c>
      <c r="B3061" s="8">
        <f t="shared" si="100"/>
        <v>2024</v>
      </c>
      <c r="C3061" s="8">
        <f t="shared" si="101"/>
        <v>1</v>
      </c>
      <c r="D3061" s="85">
        <v>45292</v>
      </c>
      <c r="E3061" s="31">
        <v>0</v>
      </c>
      <c r="F3061" s="31">
        <v>50000</v>
      </c>
      <c r="G3061" s="31">
        <v>0</v>
      </c>
      <c r="H3061" s="31">
        <v>0</v>
      </c>
      <c r="I3061" s="31" t="s">
        <v>91</v>
      </c>
      <c r="J3061" s="5" t="s">
        <v>287</v>
      </c>
      <c r="K3061" s="8"/>
    </row>
    <row r="3062" spans="1:14" x14ac:dyDescent="0.2">
      <c r="A3062" s="8">
        <v>2336</v>
      </c>
      <c r="B3062" s="8">
        <f t="shared" si="100"/>
        <v>2024</v>
      </c>
      <c r="C3062" s="8">
        <f t="shared" si="101"/>
        <v>1</v>
      </c>
      <c r="D3062" s="85">
        <v>45293</v>
      </c>
      <c r="E3062" s="31">
        <v>0</v>
      </c>
      <c r="F3062" s="31">
        <v>100000</v>
      </c>
      <c r="H3062" s="31">
        <v>0</v>
      </c>
      <c r="I3062" s="31" t="s">
        <v>335</v>
      </c>
      <c r="J3062" s="5" t="s">
        <v>1234</v>
      </c>
      <c r="K3062" s="8"/>
    </row>
    <row r="3063" spans="1:14" x14ac:dyDescent="0.2">
      <c r="A3063" s="8">
        <v>2337</v>
      </c>
      <c r="B3063" s="8">
        <f t="shared" si="100"/>
        <v>2024</v>
      </c>
      <c r="C3063" s="8">
        <f t="shared" si="101"/>
        <v>1</v>
      </c>
      <c r="D3063" s="85">
        <v>45294</v>
      </c>
      <c r="E3063" s="31">
        <v>0</v>
      </c>
      <c r="F3063" s="31">
        <v>79000</v>
      </c>
      <c r="G3063" s="31">
        <v>0</v>
      </c>
      <c r="H3063" s="31">
        <v>0</v>
      </c>
      <c r="I3063" s="31" t="s">
        <v>85</v>
      </c>
      <c r="J3063" s="5" t="s">
        <v>2313</v>
      </c>
      <c r="K3063" s="8"/>
    </row>
    <row r="3064" spans="1:14" x14ac:dyDescent="0.2">
      <c r="A3064" s="8">
        <v>2338</v>
      </c>
      <c r="B3064" s="8">
        <f t="shared" si="100"/>
        <v>2024</v>
      </c>
      <c r="C3064" s="8">
        <f t="shared" si="101"/>
        <v>1</v>
      </c>
      <c r="D3064" s="85">
        <v>45294</v>
      </c>
      <c r="E3064" s="31">
        <v>0</v>
      </c>
      <c r="F3064" s="31">
        <v>80000</v>
      </c>
      <c r="G3064" s="31">
        <v>0</v>
      </c>
      <c r="H3064" s="31">
        <v>0</v>
      </c>
      <c r="I3064" s="31" t="s">
        <v>85</v>
      </c>
      <c r="J3064" s="5" t="s">
        <v>2313</v>
      </c>
      <c r="K3064" s="8"/>
    </row>
    <row r="3065" spans="1:14" x14ac:dyDescent="0.2">
      <c r="A3065" s="8">
        <v>2339</v>
      </c>
      <c r="B3065" s="8">
        <f t="shared" si="100"/>
        <v>2024</v>
      </c>
      <c r="C3065" s="8">
        <f t="shared" si="101"/>
        <v>1</v>
      </c>
      <c r="D3065" s="85">
        <v>45294</v>
      </c>
      <c r="E3065" s="31">
        <v>0</v>
      </c>
      <c r="F3065" s="31">
        <v>54000</v>
      </c>
      <c r="G3065" s="31">
        <v>0</v>
      </c>
      <c r="H3065" s="31">
        <v>0</v>
      </c>
      <c r="I3065" s="31" t="s">
        <v>1350</v>
      </c>
      <c r="J3065" s="5" t="s">
        <v>2314</v>
      </c>
      <c r="K3065" s="8"/>
    </row>
    <row r="3066" spans="1:14" x14ac:dyDescent="0.2">
      <c r="A3066" s="8">
        <v>2340</v>
      </c>
      <c r="B3066" s="8">
        <f t="shared" si="100"/>
        <v>2024</v>
      </c>
      <c r="C3066" s="8">
        <f t="shared" si="101"/>
        <v>1</v>
      </c>
      <c r="D3066" s="85">
        <v>45294</v>
      </c>
      <c r="E3066" s="31">
        <v>0</v>
      </c>
      <c r="F3066" s="31">
        <v>25000</v>
      </c>
      <c r="G3066" s="31">
        <v>0</v>
      </c>
      <c r="H3066" s="31">
        <v>0</v>
      </c>
      <c r="I3066" s="31" t="s">
        <v>1815</v>
      </c>
      <c r="J3066" s="5" t="s">
        <v>2315</v>
      </c>
      <c r="K3066" s="8"/>
    </row>
    <row r="3067" spans="1:14" x14ac:dyDescent="0.2">
      <c r="A3067" s="8">
        <v>2341</v>
      </c>
      <c r="B3067" s="8">
        <f t="shared" si="100"/>
        <v>2024</v>
      </c>
      <c r="C3067" s="8">
        <f t="shared" si="101"/>
        <v>1</v>
      </c>
      <c r="D3067" s="85">
        <v>45295</v>
      </c>
      <c r="E3067" s="31">
        <v>0</v>
      </c>
      <c r="F3067" s="31">
        <v>27000</v>
      </c>
      <c r="G3067" s="31">
        <v>0</v>
      </c>
      <c r="H3067" s="31">
        <v>0</v>
      </c>
      <c r="I3067" s="31" t="s">
        <v>91</v>
      </c>
      <c r="J3067" s="5" t="s">
        <v>356</v>
      </c>
      <c r="K3067" s="8"/>
    </row>
    <row r="3068" spans="1:14" x14ac:dyDescent="0.2">
      <c r="A3068" s="8">
        <v>2342</v>
      </c>
      <c r="B3068" s="8">
        <f t="shared" si="100"/>
        <v>2024</v>
      </c>
      <c r="C3068" s="8">
        <f t="shared" si="101"/>
        <v>1</v>
      </c>
      <c r="D3068" s="85">
        <v>45295</v>
      </c>
      <c r="E3068" s="31">
        <v>0</v>
      </c>
      <c r="F3068" s="31">
        <v>18000</v>
      </c>
      <c r="G3068" s="31">
        <v>0</v>
      </c>
      <c r="H3068" s="31">
        <v>0</v>
      </c>
      <c r="I3068" s="31" t="s">
        <v>149</v>
      </c>
      <c r="J3068" s="5" t="s">
        <v>149</v>
      </c>
      <c r="K3068" s="8"/>
    </row>
    <row r="3069" spans="1:14" x14ac:dyDescent="0.2">
      <c r="A3069" s="8">
        <v>2343</v>
      </c>
      <c r="B3069" s="8">
        <f t="shared" si="100"/>
        <v>2024</v>
      </c>
      <c r="C3069" s="8">
        <f t="shared" si="101"/>
        <v>1</v>
      </c>
      <c r="D3069" s="85">
        <v>45295</v>
      </c>
      <c r="E3069" s="31">
        <v>0</v>
      </c>
      <c r="F3069" s="31">
        <v>50000</v>
      </c>
      <c r="G3069" s="31">
        <v>0</v>
      </c>
      <c r="H3069" s="31">
        <v>0</v>
      </c>
      <c r="I3069" s="31" t="s">
        <v>85</v>
      </c>
      <c r="J3069" s="5" t="s">
        <v>1297</v>
      </c>
      <c r="K3069" s="8"/>
    </row>
    <row r="3070" spans="1:14" x14ac:dyDescent="0.2">
      <c r="A3070" s="8">
        <v>2344</v>
      </c>
      <c r="B3070" s="8">
        <f t="shared" si="100"/>
        <v>2024</v>
      </c>
      <c r="C3070" s="8">
        <f t="shared" si="101"/>
        <v>1</v>
      </c>
      <c r="D3070" s="85">
        <v>45294</v>
      </c>
      <c r="E3070" s="31">
        <v>0</v>
      </c>
      <c r="F3070" s="31">
        <v>12000</v>
      </c>
      <c r="G3070" s="31">
        <v>0</v>
      </c>
      <c r="H3070" s="31">
        <v>0</v>
      </c>
      <c r="I3070" s="31" t="s">
        <v>149</v>
      </c>
      <c r="J3070" s="5" t="s">
        <v>149</v>
      </c>
      <c r="K3070" s="8"/>
    </row>
    <row r="3071" spans="1:14" x14ac:dyDescent="0.2">
      <c r="A3071" s="8">
        <v>2345</v>
      </c>
      <c r="B3071" s="8">
        <f t="shared" si="100"/>
        <v>2024</v>
      </c>
      <c r="C3071" s="8">
        <f t="shared" si="101"/>
        <v>1</v>
      </c>
      <c r="D3071" s="85">
        <v>45295</v>
      </c>
      <c r="E3071" s="31">
        <v>0</v>
      </c>
      <c r="F3071" s="31">
        <v>12000</v>
      </c>
      <c r="G3071" s="31">
        <v>0</v>
      </c>
      <c r="H3071" s="31">
        <v>0</v>
      </c>
      <c r="I3071" s="31" t="s">
        <v>149</v>
      </c>
      <c r="J3071" s="5" t="s">
        <v>149</v>
      </c>
      <c r="K3071" s="8"/>
    </row>
    <row r="3072" spans="1:14" x14ac:dyDescent="0.2">
      <c r="A3072" s="8">
        <v>2346</v>
      </c>
      <c r="B3072" s="8">
        <f t="shared" si="100"/>
        <v>2024</v>
      </c>
      <c r="C3072" s="8">
        <f t="shared" si="101"/>
        <v>1</v>
      </c>
      <c r="D3072" s="85">
        <v>45296</v>
      </c>
      <c r="E3072" s="31">
        <v>0</v>
      </c>
      <c r="F3072" s="31">
        <v>12000</v>
      </c>
      <c r="G3072" s="31">
        <v>0</v>
      </c>
      <c r="H3072" s="31">
        <v>0</v>
      </c>
      <c r="I3072" s="31" t="s">
        <v>149</v>
      </c>
      <c r="J3072" s="5" t="s">
        <v>149</v>
      </c>
      <c r="K3072" s="8"/>
    </row>
    <row r="3073" spans="1:11" x14ac:dyDescent="0.2">
      <c r="A3073" s="8">
        <v>2347</v>
      </c>
      <c r="B3073" s="8">
        <f t="shared" si="100"/>
        <v>2024</v>
      </c>
      <c r="C3073" s="8">
        <f t="shared" si="101"/>
        <v>1</v>
      </c>
      <c r="D3073" s="85">
        <v>45296</v>
      </c>
      <c r="E3073" s="31">
        <v>0</v>
      </c>
      <c r="F3073" s="31">
        <v>27000</v>
      </c>
      <c r="G3073" s="31">
        <v>0</v>
      </c>
      <c r="H3073" s="31">
        <v>0</v>
      </c>
      <c r="I3073" s="31" t="s">
        <v>149</v>
      </c>
      <c r="J3073" s="31" t="s">
        <v>149</v>
      </c>
      <c r="K3073" s="8"/>
    </row>
    <row r="3074" spans="1:11" x14ac:dyDescent="0.2">
      <c r="A3074" s="8">
        <v>2348</v>
      </c>
      <c r="B3074" s="8">
        <f t="shared" si="100"/>
        <v>2024</v>
      </c>
      <c r="C3074" s="8">
        <f t="shared" si="101"/>
        <v>1</v>
      </c>
      <c r="D3074" s="85">
        <v>45293</v>
      </c>
      <c r="E3074" s="31">
        <v>0</v>
      </c>
      <c r="F3074" s="31">
        <v>150000</v>
      </c>
      <c r="G3074" s="31">
        <v>0</v>
      </c>
      <c r="H3074" s="31">
        <v>0</v>
      </c>
      <c r="I3074" s="31" t="s">
        <v>85</v>
      </c>
      <c r="J3074" s="5" t="s">
        <v>2316</v>
      </c>
      <c r="K3074" s="8"/>
    </row>
    <row r="3075" spans="1:11" x14ac:dyDescent="0.2">
      <c r="A3075" s="8">
        <v>2349</v>
      </c>
      <c r="B3075" s="8">
        <f t="shared" ref="B3075:B3138" si="102">YEAR(D3075)</f>
        <v>2024</v>
      </c>
      <c r="C3075" s="8">
        <f t="shared" ref="C3075:C3138" si="103">MONTH(D3075)</f>
        <v>1</v>
      </c>
      <c r="D3075" s="85">
        <v>45313</v>
      </c>
      <c r="E3075" s="31">
        <v>0</v>
      </c>
      <c r="F3075" s="31">
        <v>8000</v>
      </c>
      <c r="G3075" s="31">
        <v>0</v>
      </c>
      <c r="H3075" s="31">
        <v>0</v>
      </c>
      <c r="I3075" s="31" t="s">
        <v>1992</v>
      </c>
      <c r="J3075" s="5" t="s">
        <v>2317</v>
      </c>
      <c r="K3075" s="8"/>
    </row>
    <row r="3076" spans="1:11" x14ac:dyDescent="0.2">
      <c r="A3076" s="8">
        <v>2350</v>
      </c>
      <c r="B3076" s="8">
        <f t="shared" si="102"/>
        <v>2024</v>
      </c>
      <c r="C3076" s="8">
        <f t="shared" si="103"/>
        <v>1</v>
      </c>
      <c r="D3076" s="85">
        <v>45314</v>
      </c>
      <c r="E3076" s="31">
        <v>0</v>
      </c>
      <c r="F3076" s="31">
        <v>5000</v>
      </c>
      <c r="G3076" s="31">
        <v>0</v>
      </c>
      <c r="H3076" s="31">
        <v>0</v>
      </c>
      <c r="I3076" s="31" t="s">
        <v>85</v>
      </c>
      <c r="J3076" s="5" t="s">
        <v>2318</v>
      </c>
      <c r="K3076" s="8"/>
    </row>
    <row r="3077" spans="1:11" x14ac:dyDescent="0.2">
      <c r="A3077" s="8">
        <v>2351</v>
      </c>
      <c r="B3077" s="8">
        <f t="shared" si="102"/>
        <v>2024</v>
      </c>
      <c r="C3077" s="8">
        <f t="shared" si="103"/>
        <v>1</v>
      </c>
      <c r="D3077" s="85">
        <v>45315</v>
      </c>
      <c r="E3077" s="31">
        <v>0</v>
      </c>
      <c r="F3077" s="31">
        <v>100000</v>
      </c>
      <c r="G3077" s="31">
        <v>0</v>
      </c>
      <c r="H3077" s="31">
        <v>0</v>
      </c>
      <c r="I3077" s="31" t="s">
        <v>85</v>
      </c>
      <c r="J3077" s="5" t="s">
        <v>2319</v>
      </c>
      <c r="K3077" s="8"/>
    </row>
    <row r="3078" spans="1:11" x14ac:dyDescent="0.2">
      <c r="A3078" s="8">
        <v>2352</v>
      </c>
      <c r="B3078" s="8">
        <f t="shared" si="102"/>
        <v>2024</v>
      </c>
      <c r="C3078" s="8">
        <f t="shared" si="103"/>
        <v>1</v>
      </c>
      <c r="D3078" s="85">
        <v>45318</v>
      </c>
      <c r="E3078" s="31">
        <v>0</v>
      </c>
      <c r="F3078" s="31">
        <v>126000</v>
      </c>
      <c r="G3078" s="31">
        <v>0</v>
      </c>
      <c r="H3078" s="31">
        <v>0</v>
      </c>
      <c r="I3078" s="31" t="s">
        <v>1992</v>
      </c>
      <c r="J3078" s="5" t="s">
        <v>2320</v>
      </c>
      <c r="K3078" s="8"/>
    </row>
    <row r="3079" spans="1:11" x14ac:dyDescent="0.2">
      <c r="A3079" s="8">
        <v>2353</v>
      </c>
      <c r="B3079" s="8">
        <f t="shared" si="102"/>
        <v>2024</v>
      </c>
      <c r="C3079" s="8">
        <f t="shared" si="103"/>
        <v>1</v>
      </c>
      <c r="D3079" s="85">
        <v>45298</v>
      </c>
      <c r="E3079" s="31">
        <v>0</v>
      </c>
      <c r="F3079" s="31">
        <v>166000</v>
      </c>
      <c r="G3079" s="31">
        <v>0</v>
      </c>
      <c r="H3079" s="31">
        <v>0</v>
      </c>
      <c r="I3079" s="31" t="s">
        <v>299</v>
      </c>
      <c r="J3079" s="5" t="s">
        <v>2321</v>
      </c>
      <c r="K3079" s="8"/>
    </row>
    <row r="3080" spans="1:11" x14ac:dyDescent="0.2">
      <c r="A3080" s="8">
        <v>2354</v>
      </c>
      <c r="B3080" s="8">
        <f t="shared" si="102"/>
        <v>2024</v>
      </c>
      <c r="C3080" s="8">
        <f t="shared" si="103"/>
        <v>1</v>
      </c>
      <c r="D3080" s="85">
        <v>45298</v>
      </c>
      <c r="E3080" s="31">
        <v>0</v>
      </c>
      <c r="F3080" s="31">
        <v>45000</v>
      </c>
      <c r="G3080" s="31">
        <v>0</v>
      </c>
      <c r="H3080" s="31">
        <v>0</v>
      </c>
      <c r="I3080" s="31" t="s">
        <v>1815</v>
      </c>
      <c r="J3080" s="5" t="s">
        <v>2322</v>
      </c>
      <c r="K3080" s="8"/>
    </row>
    <row r="3081" spans="1:11" x14ac:dyDescent="0.2">
      <c r="A3081" s="8">
        <v>2355</v>
      </c>
      <c r="B3081" s="8">
        <f t="shared" si="102"/>
        <v>2024</v>
      </c>
      <c r="C3081" s="8">
        <f t="shared" si="103"/>
        <v>1</v>
      </c>
      <c r="D3081" s="85">
        <v>45298</v>
      </c>
      <c r="E3081" s="31">
        <v>0</v>
      </c>
      <c r="F3081" s="31">
        <v>90000</v>
      </c>
      <c r="G3081" s="31">
        <v>0</v>
      </c>
      <c r="H3081" s="31">
        <v>0</v>
      </c>
      <c r="I3081" s="31" t="s">
        <v>1350</v>
      </c>
      <c r="J3081" s="5" t="s">
        <v>2323</v>
      </c>
      <c r="K3081" s="8"/>
    </row>
    <row r="3082" spans="1:11" x14ac:dyDescent="0.2">
      <c r="A3082" s="8">
        <v>2356</v>
      </c>
      <c r="B3082" s="8">
        <f t="shared" si="102"/>
        <v>2024</v>
      </c>
      <c r="C3082" s="8">
        <f t="shared" si="103"/>
        <v>1</v>
      </c>
      <c r="D3082" s="85">
        <v>45299</v>
      </c>
      <c r="E3082" s="31">
        <v>0</v>
      </c>
      <c r="F3082" s="31">
        <v>50000</v>
      </c>
      <c r="G3082" s="31">
        <v>0</v>
      </c>
      <c r="H3082" s="31">
        <v>0</v>
      </c>
      <c r="I3082" s="31" t="s">
        <v>91</v>
      </c>
      <c r="J3082" s="5" t="s">
        <v>1096</v>
      </c>
      <c r="K3082" s="8"/>
    </row>
    <row r="3083" spans="1:11" x14ac:dyDescent="0.2">
      <c r="A3083" s="8">
        <v>2357</v>
      </c>
      <c r="B3083" s="8">
        <f t="shared" si="102"/>
        <v>2024</v>
      </c>
      <c r="C3083" s="8">
        <f t="shared" si="103"/>
        <v>1</v>
      </c>
      <c r="D3083" s="85">
        <v>45299</v>
      </c>
      <c r="E3083" s="31">
        <v>0</v>
      </c>
      <c r="F3083" s="31">
        <v>100000</v>
      </c>
      <c r="G3083" s="31">
        <v>0</v>
      </c>
      <c r="H3083" s="31">
        <v>0</v>
      </c>
      <c r="I3083" s="31" t="s">
        <v>85</v>
      </c>
      <c r="J3083" s="5" t="s">
        <v>2324</v>
      </c>
      <c r="K3083" s="8"/>
    </row>
    <row r="3084" spans="1:11" x14ac:dyDescent="0.2">
      <c r="A3084" s="8">
        <v>2358</v>
      </c>
      <c r="B3084" s="8">
        <f t="shared" si="102"/>
        <v>2024</v>
      </c>
      <c r="C3084" s="8">
        <f t="shared" si="103"/>
        <v>1</v>
      </c>
      <c r="D3084" s="85">
        <v>45299</v>
      </c>
      <c r="E3084" s="31">
        <v>0</v>
      </c>
      <c r="F3084" s="31">
        <v>120000</v>
      </c>
      <c r="G3084" s="31">
        <v>0</v>
      </c>
      <c r="H3084" s="31">
        <v>0</v>
      </c>
      <c r="I3084" s="31" t="s">
        <v>85</v>
      </c>
      <c r="J3084" s="5" t="s">
        <v>2325</v>
      </c>
      <c r="K3084" s="8"/>
    </row>
    <row r="3085" spans="1:11" x14ac:dyDescent="0.2">
      <c r="A3085" s="8">
        <v>2359</v>
      </c>
      <c r="B3085" s="8">
        <f t="shared" si="102"/>
        <v>2024</v>
      </c>
      <c r="C3085" s="8">
        <f t="shared" si="103"/>
        <v>1</v>
      </c>
      <c r="D3085" s="85">
        <v>45300</v>
      </c>
      <c r="E3085" s="31">
        <v>0</v>
      </c>
      <c r="F3085" s="31">
        <v>300000</v>
      </c>
      <c r="G3085" s="31">
        <v>0</v>
      </c>
      <c r="H3085" s="31">
        <v>0</v>
      </c>
      <c r="I3085" s="31" t="s">
        <v>1999</v>
      </c>
      <c r="J3085" s="5" t="s">
        <v>2326</v>
      </c>
      <c r="K3085" s="8"/>
    </row>
    <row r="3086" spans="1:11" x14ac:dyDescent="0.2">
      <c r="A3086" s="8">
        <v>2360</v>
      </c>
      <c r="B3086" s="8">
        <f t="shared" si="102"/>
        <v>2024</v>
      </c>
      <c r="C3086" s="8">
        <f t="shared" si="103"/>
        <v>1</v>
      </c>
      <c r="D3086" s="85">
        <v>45301</v>
      </c>
      <c r="E3086" s="31">
        <v>0</v>
      </c>
      <c r="F3086" s="31">
        <v>50000</v>
      </c>
      <c r="G3086" s="31">
        <v>0</v>
      </c>
      <c r="H3086" s="31">
        <v>0</v>
      </c>
      <c r="I3086" s="31" t="s">
        <v>149</v>
      </c>
      <c r="J3086" s="5" t="s">
        <v>2327</v>
      </c>
      <c r="K3086" s="8"/>
    </row>
    <row r="3087" spans="1:11" x14ac:dyDescent="0.2">
      <c r="A3087" s="8">
        <v>2361</v>
      </c>
      <c r="B3087" s="8">
        <f t="shared" si="102"/>
        <v>2024</v>
      </c>
      <c r="C3087" s="8">
        <f t="shared" si="103"/>
        <v>1</v>
      </c>
      <c r="D3087" s="85">
        <v>45302</v>
      </c>
      <c r="E3087" s="31">
        <v>0</v>
      </c>
      <c r="F3087" s="31">
        <v>50000</v>
      </c>
      <c r="G3087" s="31">
        <v>0</v>
      </c>
      <c r="H3087" s="31">
        <v>0</v>
      </c>
      <c r="I3087" s="31" t="s">
        <v>91</v>
      </c>
      <c r="J3087" s="5" t="s">
        <v>2327</v>
      </c>
      <c r="K3087" s="8"/>
    </row>
    <row r="3088" spans="1:11" x14ac:dyDescent="0.2">
      <c r="A3088" s="8">
        <v>2362</v>
      </c>
      <c r="B3088" s="8">
        <f t="shared" si="102"/>
        <v>2024</v>
      </c>
      <c r="C3088" s="8">
        <f t="shared" si="103"/>
        <v>1</v>
      </c>
      <c r="D3088" s="85">
        <v>45303</v>
      </c>
      <c r="E3088" s="31">
        <v>0</v>
      </c>
      <c r="F3088" s="31">
        <v>50000</v>
      </c>
      <c r="G3088" s="31">
        <v>0</v>
      </c>
      <c r="H3088" s="31">
        <v>0</v>
      </c>
      <c r="I3088" s="31" t="s">
        <v>149</v>
      </c>
      <c r="J3088" s="5" t="s">
        <v>2327</v>
      </c>
      <c r="K3088" s="8"/>
    </row>
    <row r="3089" spans="1:11" x14ac:dyDescent="0.2">
      <c r="A3089" s="8">
        <v>2363</v>
      </c>
      <c r="B3089" s="8">
        <f t="shared" si="102"/>
        <v>2024</v>
      </c>
      <c r="C3089" s="8">
        <f t="shared" si="103"/>
        <v>1</v>
      </c>
      <c r="D3089" s="85">
        <v>45304</v>
      </c>
      <c r="E3089" s="31">
        <v>0</v>
      </c>
      <c r="F3089" s="31">
        <v>750000</v>
      </c>
      <c r="G3089" s="31">
        <v>0</v>
      </c>
      <c r="H3089" s="31">
        <v>0</v>
      </c>
      <c r="I3089" s="31" t="s">
        <v>85</v>
      </c>
      <c r="J3089" s="5" t="s">
        <v>2328</v>
      </c>
      <c r="K3089" s="8"/>
    </row>
    <row r="3090" spans="1:11" x14ac:dyDescent="0.2">
      <c r="A3090" s="8">
        <v>2364</v>
      </c>
      <c r="B3090" s="8">
        <f t="shared" si="102"/>
        <v>2024</v>
      </c>
      <c r="C3090" s="8">
        <f t="shared" si="103"/>
        <v>1</v>
      </c>
      <c r="D3090" s="85">
        <v>45304</v>
      </c>
      <c r="E3090" s="31">
        <v>0</v>
      </c>
      <c r="F3090" s="31">
        <v>160000</v>
      </c>
      <c r="G3090" s="31">
        <v>0</v>
      </c>
      <c r="H3090" s="31">
        <v>0</v>
      </c>
      <c r="I3090" s="31" t="s">
        <v>1815</v>
      </c>
      <c r="J3090" s="5" t="s">
        <v>2329</v>
      </c>
      <c r="K3090" s="8"/>
    </row>
    <row r="3091" spans="1:11" x14ac:dyDescent="0.2">
      <c r="A3091" s="8">
        <v>2365</v>
      </c>
      <c r="B3091" s="8">
        <f t="shared" si="102"/>
        <v>2024</v>
      </c>
      <c r="C3091" s="8">
        <f t="shared" si="103"/>
        <v>1</v>
      </c>
      <c r="D3091" s="85">
        <v>45305</v>
      </c>
      <c r="E3091" s="31">
        <v>0</v>
      </c>
      <c r="F3091" s="31">
        <v>600000</v>
      </c>
      <c r="G3091" s="31">
        <v>0</v>
      </c>
      <c r="H3091" s="31">
        <v>0</v>
      </c>
      <c r="I3091" s="31" t="s">
        <v>1729</v>
      </c>
      <c r="J3091" s="5" t="s">
        <v>2330</v>
      </c>
      <c r="K3091" s="8"/>
    </row>
    <row r="3092" spans="1:11" x14ac:dyDescent="0.2">
      <c r="A3092" s="8">
        <v>2366</v>
      </c>
      <c r="B3092" s="8">
        <f t="shared" si="102"/>
        <v>2024</v>
      </c>
      <c r="C3092" s="8">
        <f t="shared" si="103"/>
        <v>1</v>
      </c>
      <c r="D3092" s="85">
        <v>45305</v>
      </c>
      <c r="E3092" s="31">
        <v>0</v>
      </c>
      <c r="F3092" s="31">
        <v>35000</v>
      </c>
      <c r="G3092" s="31">
        <v>0</v>
      </c>
      <c r="H3092" s="31">
        <v>0</v>
      </c>
      <c r="I3092" s="31" t="s">
        <v>91</v>
      </c>
      <c r="J3092" s="5" t="s">
        <v>2331</v>
      </c>
      <c r="K3092" s="8"/>
    </row>
    <row r="3093" spans="1:11" x14ac:dyDescent="0.2">
      <c r="A3093" s="8">
        <v>2367</v>
      </c>
      <c r="B3093" s="8">
        <f t="shared" si="102"/>
        <v>2024</v>
      </c>
      <c r="C3093" s="8">
        <f t="shared" si="103"/>
        <v>1</v>
      </c>
      <c r="D3093" s="85">
        <v>45305</v>
      </c>
      <c r="E3093" s="31">
        <v>0</v>
      </c>
      <c r="F3093" s="31">
        <v>355000</v>
      </c>
      <c r="G3093" s="31">
        <v>0</v>
      </c>
      <c r="H3093" s="31">
        <v>0</v>
      </c>
      <c r="I3093" s="31" t="s">
        <v>1815</v>
      </c>
      <c r="J3093" s="5" t="s">
        <v>2332</v>
      </c>
      <c r="K3093" s="8"/>
    </row>
    <row r="3094" spans="1:11" x14ac:dyDescent="0.2">
      <c r="A3094" s="8">
        <v>2368</v>
      </c>
      <c r="B3094" s="8">
        <f t="shared" si="102"/>
        <v>2024</v>
      </c>
      <c r="C3094" s="8">
        <f t="shared" si="103"/>
        <v>1</v>
      </c>
      <c r="D3094" s="85">
        <v>45305</v>
      </c>
      <c r="E3094" s="31">
        <v>0</v>
      </c>
      <c r="F3094" s="31">
        <v>28000</v>
      </c>
      <c r="G3094" s="31">
        <v>0</v>
      </c>
      <c r="H3094" s="31">
        <v>0</v>
      </c>
      <c r="I3094" s="31" t="s">
        <v>85</v>
      </c>
      <c r="J3094" s="5" t="s">
        <v>2333</v>
      </c>
      <c r="K3094" s="8"/>
    </row>
    <row r="3095" spans="1:11" x14ac:dyDescent="0.2">
      <c r="A3095" s="8">
        <v>2369</v>
      </c>
      <c r="B3095" s="8">
        <f t="shared" si="102"/>
        <v>2024</v>
      </c>
      <c r="C3095" s="8">
        <f t="shared" si="103"/>
        <v>1</v>
      </c>
      <c r="D3095" s="85">
        <v>45306</v>
      </c>
      <c r="E3095" s="31">
        <v>0</v>
      </c>
      <c r="F3095" s="31">
        <v>50000</v>
      </c>
      <c r="G3095" s="31">
        <v>0</v>
      </c>
      <c r="H3095" s="31">
        <v>0</v>
      </c>
      <c r="I3095" s="31" t="s">
        <v>149</v>
      </c>
      <c r="J3095" s="5" t="s">
        <v>2327</v>
      </c>
      <c r="K3095" s="8"/>
    </row>
    <row r="3096" spans="1:11" x14ac:dyDescent="0.2">
      <c r="A3096" s="8">
        <v>2520</v>
      </c>
      <c r="B3096" s="8">
        <f t="shared" si="102"/>
        <v>2024</v>
      </c>
      <c r="C3096" s="8">
        <f t="shared" si="103"/>
        <v>1</v>
      </c>
      <c r="D3096" s="85">
        <v>45294</v>
      </c>
      <c r="E3096" s="31">
        <v>0</v>
      </c>
      <c r="F3096" s="31">
        <v>100000</v>
      </c>
      <c r="G3096" s="31">
        <v>0</v>
      </c>
      <c r="H3096" s="31">
        <v>0</v>
      </c>
      <c r="I3096" s="31" t="s">
        <v>1350</v>
      </c>
      <c r="J3096" s="5" t="s">
        <v>2334</v>
      </c>
      <c r="K3096" s="8"/>
    </row>
    <row r="3097" spans="1:11" x14ac:dyDescent="0.2">
      <c r="A3097" s="8">
        <v>2522</v>
      </c>
      <c r="B3097" s="8">
        <f t="shared" si="102"/>
        <v>2024</v>
      </c>
      <c r="C3097" s="8">
        <f t="shared" si="103"/>
        <v>1</v>
      </c>
      <c r="D3097" s="85">
        <v>45300</v>
      </c>
      <c r="E3097" s="31">
        <v>0</v>
      </c>
      <c r="F3097" s="31">
        <v>380000</v>
      </c>
      <c r="G3097" s="31">
        <v>0</v>
      </c>
      <c r="H3097" s="31">
        <v>0</v>
      </c>
      <c r="I3097" s="31" t="s">
        <v>335</v>
      </c>
      <c r="J3097" s="5" t="s">
        <v>2335</v>
      </c>
      <c r="K3097" s="8"/>
    </row>
    <row r="3098" spans="1:11" x14ac:dyDescent="0.2">
      <c r="A3098" s="8">
        <v>2523</v>
      </c>
      <c r="B3098" s="8">
        <f t="shared" si="102"/>
        <v>2024</v>
      </c>
      <c r="C3098" s="8">
        <f t="shared" si="103"/>
        <v>1</v>
      </c>
      <c r="D3098" s="85">
        <v>45300</v>
      </c>
      <c r="E3098" s="31">
        <v>0</v>
      </c>
      <c r="F3098" s="31">
        <v>20000</v>
      </c>
      <c r="G3098" s="31">
        <v>0</v>
      </c>
      <c r="H3098" s="31">
        <v>0</v>
      </c>
      <c r="I3098" s="31" t="s">
        <v>1387</v>
      </c>
      <c r="J3098" s="5" t="s">
        <v>2336</v>
      </c>
      <c r="K3098" s="8"/>
    </row>
    <row r="3099" spans="1:11" x14ac:dyDescent="0.2">
      <c r="A3099" s="8">
        <v>2527</v>
      </c>
      <c r="B3099" s="8">
        <f t="shared" si="102"/>
        <v>2024</v>
      </c>
      <c r="C3099" s="8">
        <f t="shared" si="103"/>
        <v>1</v>
      </c>
      <c r="D3099" s="85">
        <v>45306</v>
      </c>
      <c r="E3099" s="31">
        <v>0</v>
      </c>
      <c r="F3099" s="31">
        <v>250000</v>
      </c>
      <c r="G3099" s="31">
        <v>0</v>
      </c>
      <c r="H3099" s="31">
        <v>0</v>
      </c>
      <c r="I3099" s="31" t="s">
        <v>1894</v>
      </c>
      <c r="J3099" s="5" t="s">
        <v>2337</v>
      </c>
      <c r="K3099" s="8"/>
    </row>
    <row r="3100" spans="1:11" x14ac:dyDescent="0.2">
      <c r="A3100" s="8">
        <v>2528</v>
      </c>
      <c r="B3100" s="8">
        <f t="shared" si="102"/>
        <v>2024</v>
      </c>
      <c r="C3100" s="8">
        <f t="shared" si="103"/>
        <v>1</v>
      </c>
      <c r="D3100" s="85">
        <v>45312</v>
      </c>
      <c r="E3100" s="31">
        <v>0</v>
      </c>
      <c r="F3100" s="31">
        <v>50000</v>
      </c>
      <c r="G3100" s="31">
        <v>0</v>
      </c>
      <c r="H3100" s="31">
        <v>0</v>
      </c>
      <c r="I3100" s="31" t="s">
        <v>573</v>
      </c>
      <c r="J3100" s="5" t="s">
        <v>2338</v>
      </c>
      <c r="K3100" s="8"/>
    </row>
    <row r="3101" spans="1:11" x14ac:dyDescent="0.2">
      <c r="A3101" s="8">
        <v>2535</v>
      </c>
      <c r="B3101" s="8">
        <f t="shared" si="102"/>
        <v>2024</v>
      </c>
      <c r="C3101" s="8">
        <f t="shared" si="103"/>
        <v>1</v>
      </c>
      <c r="D3101" s="85">
        <v>45317</v>
      </c>
      <c r="E3101" s="31">
        <v>0</v>
      </c>
      <c r="F3101" s="31">
        <v>122000</v>
      </c>
      <c r="G3101" s="31">
        <v>0</v>
      </c>
      <c r="H3101" s="31">
        <v>0</v>
      </c>
      <c r="I3101" s="31" t="s">
        <v>391</v>
      </c>
      <c r="J3101" s="5" t="s">
        <v>2339</v>
      </c>
      <c r="K3101" s="8"/>
    </row>
    <row r="3102" spans="1:11" x14ac:dyDescent="0.2">
      <c r="A3102" s="8">
        <v>2536</v>
      </c>
      <c r="B3102" s="8">
        <f t="shared" si="102"/>
        <v>2024</v>
      </c>
      <c r="C3102" s="8">
        <f t="shared" si="103"/>
        <v>1</v>
      </c>
      <c r="D3102" s="85">
        <v>45317</v>
      </c>
      <c r="E3102" s="31">
        <v>0</v>
      </c>
      <c r="F3102" s="31">
        <v>3700</v>
      </c>
      <c r="G3102" s="31">
        <v>0</v>
      </c>
      <c r="H3102" s="31">
        <v>0</v>
      </c>
      <c r="I3102" s="31" t="s">
        <v>391</v>
      </c>
      <c r="J3102" s="5" t="s">
        <v>2340</v>
      </c>
      <c r="K3102" s="8"/>
    </row>
    <row r="3103" spans="1:11" x14ac:dyDescent="0.2">
      <c r="A3103" s="8">
        <v>2537</v>
      </c>
      <c r="B3103" s="8">
        <f t="shared" si="102"/>
        <v>2024</v>
      </c>
      <c r="C3103" s="8">
        <f t="shared" si="103"/>
        <v>1</v>
      </c>
      <c r="D3103" s="85">
        <v>45319</v>
      </c>
      <c r="E3103" s="31">
        <v>0</v>
      </c>
      <c r="F3103" s="31">
        <v>125000</v>
      </c>
      <c r="G3103" s="31">
        <v>0</v>
      </c>
      <c r="H3103" s="31">
        <v>0</v>
      </c>
      <c r="I3103" s="31" t="s">
        <v>335</v>
      </c>
      <c r="J3103" s="5" t="s">
        <v>2341</v>
      </c>
      <c r="K3103" s="8"/>
    </row>
    <row r="3104" spans="1:11" x14ac:dyDescent="0.2">
      <c r="A3104" s="8">
        <v>2539</v>
      </c>
      <c r="B3104" s="8">
        <f t="shared" si="102"/>
        <v>2024</v>
      </c>
      <c r="C3104" s="8">
        <f t="shared" si="103"/>
        <v>1</v>
      </c>
      <c r="D3104" s="85">
        <v>45320</v>
      </c>
      <c r="E3104" s="31">
        <v>0</v>
      </c>
      <c r="F3104" s="31">
        <v>100000</v>
      </c>
      <c r="G3104" s="31">
        <v>0</v>
      </c>
      <c r="H3104" s="31">
        <v>0</v>
      </c>
      <c r="I3104" s="31" t="s">
        <v>85</v>
      </c>
      <c r="J3104" s="5" t="s">
        <v>2342</v>
      </c>
      <c r="K3104" s="8"/>
    </row>
    <row r="3105" spans="1:11" x14ac:dyDescent="0.2">
      <c r="A3105" s="8">
        <v>2370</v>
      </c>
      <c r="B3105" s="8">
        <f t="shared" si="102"/>
        <v>2024</v>
      </c>
      <c r="C3105" s="8">
        <f t="shared" si="103"/>
        <v>1</v>
      </c>
      <c r="D3105" s="85">
        <v>45307</v>
      </c>
      <c r="E3105" s="31">
        <v>0</v>
      </c>
      <c r="F3105" s="31">
        <v>50000</v>
      </c>
      <c r="G3105" s="31">
        <v>0</v>
      </c>
      <c r="H3105" s="31">
        <v>0</v>
      </c>
      <c r="I3105" s="31" t="s">
        <v>91</v>
      </c>
      <c r="J3105" s="5" t="s">
        <v>2327</v>
      </c>
      <c r="K3105" s="8"/>
    </row>
    <row r="3106" spans="1:11" x14ac:dyDescent="0.2">
      <c r="A3106" s="8">
        <v>2371</v>
      </c>
      <c r="B3106" s="8">
        <f t="shared" si="102"/>
        <v>2024</v>
      </c>
      <c r="C3106" s="8">
        <f t="shared" si="103"/>
        <v>1</v>
      </c>
      <c r="D3106" s="85">
        <v>45308</v>
      </c>
      <c r="E3106" s="31">
        <v>0</v>
      </c>
      <c r="F3106" s="31">
        <v>110000</v>
      </c>
      <c r="G3106" s="31">
        <v>0</v>
      </c>
      <c r="H3106" s="31">
        <v>0</v>
      </c>
      <c r="I3106" s="31" t="s">
        <v>299</v>
      </c>
      <c r="J3106" s="5" t="s">
        <v>2343</v>
      </c>
      <c r="K3106" s="8"/>
    </row>
    <row r="3107" spans="1:11" x14ac:dyDescent="0.2">
      <c r="A3107" s="8">
        <v>2372</v>
      </c>
      <c r="B3107" s="8">
        <f t="shared" si="102"/>
        <v>2024</v>
      </c>
      <c r="C3107" s="8">
        <f t="shared" si="103"/>
        <v>1</v>
      </c>
      <c r="D3107" s="85">
        <v>45308</v>
      </c>
      <c r="E3107" s="31">
        <v>0</v>
      </c>
      <c r="F3107" s="31">
        <v>352000</v>
      </c>
      <c r="G3107" s="31">
        <v>0</v>
      </c>
      <c r="H3107" s="31">
        <v>0</v>
      </c>
      <c r="I3107" s="31" t="s">
        <v>1992</v>
      </c>
      <c r="J3107" s="5" t="s">
        <v>2344</v>
      </c>
      <c r="K3107" s="8"/>
    </row>
    <row r="3108" spans="1:11" x14ac:dyDescent="0.2">
      <c r="A3108" s="8">
        <v>2373</v>
      </c>
      <c r="B3108" s="8">
        <f t="shared" si="102"/>
        <v>2024</v>
      </c>
      <c r="C3108" s="8">
        <f t="shared" si="103"/>
        <v>1</v>
      </c>
      <c r="D3108" s="85">
        <v>45309</v>
      </c>
      <c r="E3108" s="31">
        <v>0</v>
      </c>
      <c r="F3108" s="31">
        <v>50000</v>
      </c>
      <c r="G3108" s="31">
        <v>0</v>
      </c>
      <c r="H3108" s="31">
        <v>0</v>
      </c>
      <c r="I3108" s="31" t="s">
        <v>149</v>
      </c>
      <c r="J3108" s="5" t="s">
        <v>2327</v>
      </c>
      <c r="K3108" s="8"/>
    </row>
    <row r="3109" spans="1:11" x14ac:dyDescent="0.2">
      <c r="A3109" s="8">
        <v>2374</v>
      </c>
      <c r="B3109" s="8">
        <f t="shared" si="102"/>
        <v>2024</v>
      </c>
      <c r="C3109" s="8">
        <f t="shared" si="103"/>
        <v>1</v>
      </c>
      <c r="D3109" s="85">
        <v>45310</v>
      </c>
      <c r="E3109" s="31">
        <v>0</v>
      </c>
      <c r="F3109" s="31">
        <v>50000</v>
      </c>
      <c r="G3109" s="31">
        <v>0</v>
      </c>
      <c r="H3109" s="31">
        <v>0</v>
      </c>
      <c r="I3109" s="31" t="s">
        <v>91</v>
      </c>
      <c r="J3109" s="5" t="s">
        <v>2327</v>
      </c>
      <c r="K3109" s="8"/>
    </row>
    <row r="3110" spans="1:11" x14ac:dyDescent="0.2">
      <c r="A3110" s="8">
        <v>2375</v>
      </c>
      <c r="B3110" s="8">
        <f t="shared" si="102"/>
        <v>2024</v>
      </c>
      <c r="C3110" s="8">
        <f t="shared" si="103"/>
        <v>1</v>
      </c>
      <c r="D3110" s="85">
        <v>45311</v>
      </c>
      <c r="E3110" s="31">
        <v>0</v>
      </c>
      <c r="F3110" s="31">
        <v>50000</v>
      </c>
      <c r="G3110" s="31">
        <v>0</v>
      </c>
      <c r="H3110" s="31">
        <v>0</v>
      </c>
      <c r="I3110" s="31" t="s">
        <v>149</v>
      </c>
      <c r="J3110" s="5" t="s">
        <v>2327</v>
      </c>
      <c r="K3110" s="8"/>
    </row>
    <row r="3111" spans="1:11" x14ac:dyDescent="0.2">
      <c r="A3111" s="8">
        <v>2376</v>
      </c>
      <c r="B3111" s="8">
        <f t="shared" si="102"/>
        <v>2024</v>
      </c>
      <c r="C3111" s="8">
        <f t="shared" si="103"/>
        <v>1</v>
      </c>
      <c r="D3111" s="85">
        <v>45312</v>
      </c>
      <c r="E3111" s="31">
        <v>0</v>
      </c>
      <c r="F3111" s="31">
        <v>50000</v>
      </c>
      <c r="G3111" s="31">
        <v>0</v>
      </c>
      <c r="H3111" s="31">
        <v>0</v>
      </c>
      <c r="I3111" s="31" t="s">
        <v>91</v>
      </c>
      <c r="J3111" s="5" t="s">
        <v>2327</v>
      </c>
      <c r="K3111" s="8"/>
    </row>
    <row r="3112" spans="1:11" x14ac:dyDescent="0.2">
      <c r="A3112" s="8">
        <v>2377</v>
      </c>
      <c r="B3112" s="8">
        <f t="shared" si="102"/>
        <v>2024</v>
      </c>
      <c r="C3112" s="8">
        <f t="shared" si="103"/>
        <v>1</v>
      </c>
      <c r="D3112" s="85">
        <v>45313</v>
      </c>
      <c r="E3112" s="31">
        <v>0</v>
      </c>
      <c r="F3112" s="31">
        <v>118000</v>
      </c>
      <c r="G3112" s="31">
        <v>0</v>
      </c>
      <c r="H3112" s="31">
        <v>0</v>
      </c>
      <c r="I3112" s="31" t="s">
        <v>1999</v>
      </c>
      <c r="J3112" s="5" t="s">
        <v>2345</v>
      </c>
      <c r="K3112" s="8"/>
    </row>
    <row r="3113" spans="1:11" x14ac:dyDescent="0.2">
      <c r="A3113" s="8">
        <v>2378</v>
      </c>
      <c r="B3113" s="8">
        <f t="shared" si="102"/>
        <v>2024</v>
      </c>
      <c r="C3113" s="8">
        <f t="shared" si="103"/>
        <v>1</v>
      </c>
      <c r="D3113" s="85">
        <v>45313</v>
      </c>
      <c r="E3113" s="31">
        <v>0</v>
      </c>
      <c r="F3113" s="31">
        <v>1500000</v>
      </c>
      <c r="G3113" s="31">
        <v>0</v>
      </c>
      <c r="H3113" s="31">
        <v>0</v>
      </c>
      <c r="I3113" s="31" t="s">
        <v>1999</v>
      </c>
      <c r="J3113" s="5" t="s">
        <v>2346</v>
      </c>
      <c r="K3113" s="8"/>
    </row>
    <row r="3114" spans="1:11" x14ac:dyDescent="0.2">
      <c r="A3114" s="8">
        <v>2379</v>
      </c>
      <c r="B3114" s="8">
        <f t="shared" si="102"/>
        <v>2024</v>
      </c>
      <c r="C3114" s="8">
        <f t="shared" si="103"/>
        <v>1</v>
      </c>
      <c r="D3114" s="85">
        <v>45314</v>
      </c>
      <c r="E3114" s="31">
        <v>0</v>
      </c>
      <c r="F3114" s="31">
        <v>126000</v>
      </c>
      <c r="G3114" s="31">
        <v>0</v>
      </c>
      <c r="H3114" s="31">
        <v>0</v>
      </c>
      <c r="I3114" s="31" t="s">
        <v>1992</v>
      </c>
      <c r="J3114" s="5" t="s">
        <v>2347</v>
      </c>
      <c r="K3114" s="8"/>
    </row>
    <row r="3115" spans="1:11" x14ac:dyDescent="0.2">
      <c r="A3115" s="8">
        <v>2380</v>
      </c>
      <c r="B3115" s="8">
        <f t="shared" si="102"/>
        <v>2024</v>
      </c>
      <c r="C3115" s="8">
        <f t="shared" si="103"/>
        <v>1</v>
      </c>
      <c r="D3115" s="85">
        <v>45314</v>
      </c>
      <c r="E3115" s="31">
        <v>0</v>
      </c>
      <c r="F3115" s="31">
        <v>40000</v>
      </c>
      <c r="G3115" s="31">
        <v>0</v>
      </c>
      <c r="H3115" s="31">
        <v>0</v>
      </c>
      <c r="I3115" s="31" t="s">
        <v>1992</v>
      </c>
      <c r="J3115" s="5" t="s">
        <v>2348</v>
      </c>
      <c r="K3115" s="8"/>
    </row>
    <row r="3116" spans="1:11" x14ac:dyDescent="0.2">
      <c r="A3116" s="8">
        <v>2381</v>
      </c>
      <c r="B3116" s="8">
        <f t="shared" si="102"/>
        <v>2024</v>
      </c>
      <c r="C3116" s="8">
        <f t="shared" si="103"/>
        <v>1</v>
      </c>
      <c r="D3116" s="85">
        <v>45315</v>
      </c>
      <c r="E3116" s="31">
        <v>0</v>
      </c>
      <c r="F3116" s="31">
        <v>50000</v>
      </c>
      <c r="G3116" s="31">
        <v>0</v>
      </c>
      <c r="H3116" s="31">
        <v>0</v>
      </c>
      <c r="I3116" s="31" t="s">
        <v>149</v>
      </c>
      <c r="J3116" s="5" t="s">
        <v>2327</v>
      </c>
      <c r="K3116" s="8"/>
    </row>
    <row r="3117" spans="1:11" x14ac:dyDescent="0.2">
      <c r="A3117" s="8">
        <v>2382</v>
      </c>
      <c r="B3117" s="8">
        <f t="shared" si="102"/>
        <v>2024</v>
      </c>
      <c r="C3117" s="8">
        <f t="shared" si="103"/>
        <v>1</v>
      </c>
      <c r="D3117" s="85">
        <v>45316</v>
      </c>
      <c r="E3117" s="31">
        <v>0</v>
      </c>
      <c r="F3117" s="31">
        <v>50000</v>
      </c>
      <c r="G3117" s="31">
        <v>0</v>
      </c>
      <c r="H3117" s="31">
        <v>0</v>
      </c>
      <c r="I3117" s="31" t="s">
        <v>91</v>
      </c>
      <c r="J3117" s="5" t="s">
        <v>2327</v>
      </c>
      <c r="K3117" s="8"/>
    </row>
    <row r="3118" spans="1:11" x14ac:dyDescent="0.2">
      <c r="A3118" s="8">
        <v>2383</v>
      </c>
      <c r="B3118" s="8">
        <f t="shared" si="102"/>
        <v>2024</v>
      </c>
      <c r="C3118" s="8">
        <f t="shared" si="103"/>
        <v>1</v>
      </c>
      <c r="D3118" s="85">
        <v>45317</v>
      </c>
      <c r="E3118" s="31">
        <v>0</v>
      </c>
      <c r="F3118" s="31">
        <v>200000</v>
      </c>
      <c r="G3118" s="31">
        <v>0</v>
      </c>
      <c r="H3118" s="31">
        <v>0</v>
      </c>
      <c r="I3118" s="31" t="s">
        <v>1350</v>
      </c>
      <c r="J3118" s="5" t="s">
        <v>2349</v>
      </c>
      <c r="K3118" s="8"/>
    </row>
    <row r="3119" spans="1:11" x14ac:dyDescent="0.2">
      <c r="A3119" s="8">
        <v>2384</v>
      </c>
      <c r="B3119" s="8">
        <f t="shared" si="102"/>
        <v>2024</v>
      </c>
      <c r="C3119" s="8">
        <f t="shared" si="103"/>
        <v>1</v>
      </c>
      <c r="D3119" s="85">
        <v>45317</v>
      </c>
      <c r="E3119" s="31">
        <v>0</v>
      </c>
      <c r="F3119" s="31">
        <v>180000</v>
      </c>
      <c r="G3119" s="31">
        <v>0</v>
      </c>
      <c r="H3119" s="31">
        <v>0</v>
      </c>
      <c r="I3119" s="31" t="s">
        <v>1350</v>
      </c>
      <c r="J3119" s="5" t="s">
        <v>2350</v>
      </c>
      <c r="K3119" s="8"/>
    </row>
    <row r="3120" spans="1:11" x14ac:dyDescent="0.2">
      <c r="A3120" s="8">
        <v>2385</v>
      </c>
      <c r="B3120" s="8">
        <f t="shared" si="102"/>
        <v>2024</v>
      </c>
      <c r="C3120" s="8">
        <f t="shared" si="103"/>
        <v>1</v>
      </c>
      <c r="D3120" s="85">
        <v>45318</v>
      </c>
      <c r="E3120" s="31">
        <v>0</v>
      </c>
      <c r="F3120" s="31">
        <v>114000</v>
      </c>
      <c r="G3120" s="31">
        <v>0</v>
      </c>
      <c r="H3120" s="31">
        <v>0</v>
      </c>
      <c r="I3120" s="31" t="s">
        <v>1815</v>
      </c>
      <c r="J3120" s="5" t="s">
        <v>2351</v>
      </c>
      <c r="K3120" s="8"/>
    </row>
    <row r="3121" spans="1:11" x14ac:dyDescent="0.2">
      <c r="A3121" s="8">
        <v>2386</v>
      </c>
      <c r="B3121" s="8">
        <f t="shared" si="102"/>
        <v>2024</v>
      </c>
      <c r="C3121" s="8">
        <f t="shared" si="103"/>
        <v>1</v>
      </c>
      <c r="D3121" s="85">
        <v>45318</v>
      </c>
      <c r="E3121" s="31">
        <v>0</v>
      </c>
      <c r="F3121" s="31">
        <v>50000</v>
      </c>
      <c r="G3121" s="31">
        <v>0</v>
      </c>
      <c r="H3121" s="31">
        <v>0</v>
      </c>
      <c r="I3121" s="31" t="s">
        <v>1815</v>
      </c>
      <c r="J3121" s="5" t="s">
        <v>2352</v>
      </c>
      <c r="K3121" s="8"/>
    </row>
    <row r="3122" spans="1:11" x14ac:dyDescent="0.2">
      <c r="A3122" s="8">
        <v>2387</v>
      </c>
      <c r="B3122" s="8">
        <f t="shared" si="102"/>
        <v>2024</v>
      </c>
      <c r="C3122" s="8">
        <f t="shared" si="103"/>
        <v>1</v>
      </c>
      <c r="D3122" s="85">
        <v>45319</v>
      </c>
      <c r="E3122" s="31">
        <v>0</v>
      </c>
      <c r="F3122" s="31">
        <v>100000</v>
      </c>
      <c r="G3122" s="31">
        <v>0</v>
      </c>
      <c r="H3122" s="31">
        <v>0</v>
      </c>
      <c r="I3122" s="31" t="s">
        <v>1815</v>
      </c>
      <c r="J3122" s="5" t="s">
        <v>2353</v>
      </c>
      <c r="K3122" s="8"/>
    </row>
    <row r="3123" spans="1:11" x14ac:dyDescent="0.2">
      <c r="A3123" s="8">
        <v>2388</v>
      </c>
      <c r="B3123" s="8">
        <f t="shared" si="102"/>
        <v>2024</v>
      </c>
      <c r="C3123" s="8">
        <f t="shared" si="103"/>
        <v>1</v>
      </c>
      <c r="D3123" s="85">
        <v>45319</v>
      </c>
      <c r="E3123" s="31">
        <v>0</v>
      </c>
      <c r="F3123" s="31">
        <v>100000</v>
      </c>
      <c r="G3123" s="31">
        <v>0</v>
      </c>
      <c r="H3123" s="31">
        <v>0</v>
      </c>
      <c r="I3123" s="31" t="s">
        <v>1350</v>
      </c>
      <c r="J3123" s="5" t="s">
        <v>2354</v>
      </c>
      <c r="K3123" s="8"/>
    </row>
    <row r="3124" spans="1:11" x14ac:dyDescent="0.2">
      <c r="A3124" s="8">
        <v>2389</v>
      </c>
      <c r="B3124" s="8">
        <f t="shared" si="102"/>
        <v>2024</v>
      </c>
      <c r="C3124" s="8">
        <f t="shared" si="103"/>
        <v>1</v>
      </c>
      <c r="D3124" s="85">
        <v>45320</v>
      </c>
      <c r="E3124" s="31">
        <v>0</v>
      </c>
      <c r="F3124" s="31">
        <v>100000</v>
      </c>
      <c r="G3124" s="31">
        <v>0</v>
      </c>
      <c r="H3124" s="31">
        <v>0</v>
      </c>
      <c r="I3124" s="31" t="s">
        <v>85</v>
      </c>
      <c r="J3124" s="5" t="s">
        <v>2355</v>
      </c>
      <c r="K3124" s="8"/>
    </row>
    <row r="3125" spans="1:11" x14ac:dyDescent="0.2">
      <c r="A3125" s="8">
        <v>2390</v>
      </c>
      <c r="B3125" s="8">
        <f t="shared" si="102"/>
        <v>2024</v>
      </c>
      <c r="C3125" s="8">
        <f t="shared" si="103"/>
        <v>1</v>
      </c>
      <c r="D3125" s="85">
        <v>45320</v>
      </c>
      <c r="E3125" s="31">
        <v>0</v>
      </c>
      <c r="F3125" s="31">
        <v>50000</v>
      </c>
      <c r="G3125" s="31">
        <v>0</v>
      </c>
      <c r="H3125" s="31">
        <v>0</v>
      </c>
      <c r="I3125" s="31" t="s">
        <v>1815</v>
      </c>
      <c r="J3125" s="5" t="s">
        <v>2356</v>
      </c>
      <c r="K3125" s="8"/>
    </row>
    <row r="3126" spans="1:11" x14ac:dyDescent="0.2">
      <c r="A3126" s="8">
        <v>2391</v>
      </c>
      <c r="B3126" s="8">
        <f t="shared" si="102"/>
        <v>2024</v>
      </c>
      <c r="C3126" s="8">
        <f t="shared" si="103"/>
        <v>1</v>
      </c>
      <c r="D3126" s="85">
        <v>45321</v>
      </c>
      <c r="E3126" s="31">
        <v>0</v>
      </c>
      <c r="F3126" s="31">
        <v>15000</v>
      </c>
      <c r="G3126" s="31">
        <v>0</v>
      </c>
      <c r="H3126" s="31">
        <v>0</v>
      </c>
      <c r="I3126" s="31" t="s">
        <v>149</v>
      </c>
      <c r="J3126" s="5" t="s">
        <v>2357</v>
      </c>
      <c r="K3126" s="8"/>
    </row>
    <row r="3127" spans="1:11" x14ac:dyDescent="0.2">
      <c r="A3127" s="8">
        <v>2392</v>
      </c>
      <c r="B3127" s="8">
        <f t="shared" si="102"/>
        <v>2024</v>
      </c>
      <c r="C3127" s="8">
        <f t="shared" si="103"/>
        <v>1</v>
      </c>
      <c r="D3127" s="85">
        <v>45321</v>
      </c>
      <c r="E3127" s="31">
        <v>0</v>
      </c>
      <c r="F3127" s="31">
        <v>18000</v>
      </c>
      <c r="G3127" s="31">
        <v>0</v>
      </c>
      <c r="H3127" s="31">
        <v>0</v>
      </c>
      <c r="I3127" s="31" t="s">
        <v>149</v>
      </c>
      <c r="J3127" s="5" t="s">
        <v>2358</v>
      </c>
      <c r="K3127" s="8"/>
    </row>
    <row r="3128" spans="1:11" x14ac:dyDescent="0.2">
      <c r="A3128" s="8">
        <v>2393</v>
      </c>
      <c r="B3128" s="8">
        <f t="shared" si="102"/>
        <v>2024</v>
      </c>
      <c r="C3128" s="8">
        <f t="shared" si="103"/>
        <v>1</v>
      </c>
      <c r="D3128" s="85">
        <v>45321</v>
      </c>
      <c r="E3128" s="31">
        <v>0</v>
      </c>
      <c r="F3128" s="31">
        <v>12000</v>
      </c>
      <c r="G3128" s="31">
        <v>0</v>
      </c>
      <c r="H3128" s="31">
        <v>0</v>
      </c>
      <c r="I3128" s="31" t="s">
        <v>91</v>
      </c>
      <c r="J3128" s="5" t="s">
        <v>2359</v>
      </c>
      <c r="K3128" s="8"/>
    </row>
    <row r="3129" spans="1:11" x14ac:dyDescent="0.2">
      <c r="A3129" s="8">
        <v>2394</v>
      </c>
      <c r="B3129" s="8">
        <f t="shared" si="102"/>
        <v>2024</v>
      </c>
      <c r="C3129" s="8">
        <f t="shared" si="103"/>
        <v>1</v>
      </c>
      <c r="D3129" s="85">
        <v>45321</v>
      </c>
      <c r="E3129" s="31">
        <v>0</v>
      </c>
      <c r="F3129" s="31">
        <v>4000</v>
      </c>
      <c r="G3129" s="31">
        <v>0</v>
      </c>
      <c r="H3129" s="31">
        <v>0</v>
      </c>
      <c r="I3129" s="31" t="s">
        <v>1350</v>
      </c>
      <c r="J3129" s="5" t="s">
        <v>2360</v>
      </c>
      <c r="K3129" s="8"/>
    </row>
    <row r="3130" spans="1:11" x14ac:dyDescent="0.2">
      <c r="A3130" s="8">
        <v>2395</v>
      </c>
      <c r="B3130" s="8">
        <f t="shared" si="102"/>
        <v>2024</v>
      </c>
      <c r="C3130" s="8">
        <f t="shared" si="103"/>
        <v>1</v>
      </c>
      <c r="D3130" s="85">
        <v>45321</v>
      </c>
      <c r="E3130" s="31">
        <v>0</v>
      </c>
      <c r="F3130" s="31">
        <v>50000</v>
      </c>
      <c r="G3130" s="31">
        <v>0</v>
      </c>
      <c r="H3130" s="31">
        <v>0</v>
      </c>
      <c r="I3130" s="31" t="s">
        <v>1815</v>
      </c>
      <c r="J3130" s="5" t="s">
        <v>2361</v>
      </c>
      <c r="K3130" s="8"/>
    </row>
    <row r="3131" spans="1:11" x14ac:dyDescent="0.2">
      <c r="A3131" s="8">
        <v>2398</v>
      </c>
      <c r="B3131" s="8">
        <f t="shared" si="102"/>
        <v>2024</v>
      </c>
      <c r="C3131" s="8">
        <f t="shared" si="103"/>
        <v>1</v>
      </c>
      <c r="D3131" s="85">
        <v>45322</v>
      </c>
      <c r="E3131" s="31">
        <v>0</v>
      </c>
      <c r="F3131" s="31">
        <v>9000</v>
      </c>
      <c r="G3131" s="31">
        <v>0</v>
      </c>
      <c r="H3131" s="31">
        <v>0</v>
      </c>
      <c r="I3131" s="31" t="s">
        <v>1350</v>
      </c>
      <c r="J3131" s="5" t="s">
        <v>2362</v>
      </c>
      <c r="K3131" s="8"/>
    </row>
    <row r="3132" spans="1:11" x14ac:dyDescent="0.2">
      <c r="A3132" s="8">
        <v>2399</v>
      </c>
      <c r="B3132" s="8">
        <f t="shared" si="102"/>
        <v>2024</v>
      </c>
      <c r="C3132" s="8">
        <f t="shared" si="103"/>
        <v>1</v>
      </c>
      <c r="D3132" s="85">
        <v>45322</v>
      </c>
      <c r="E3132" s="31">
        <v>0</v>
      </c>
      <c r="F3132" s="31">
        <v>25000</v>
      </c>
      <c r="G3132" s="31">
        <v>0</v>
      </c>
      <c r="H3132" s="31">
        <v>0</v>
      </c>
      <c r="I3132" s="31" t="s">
        <v>91</v>
      </c>
      <c r="J3132" s="5" t="s">
        <v>2363</v>
      </c>
      <c r="K3132" s="8"/>
    </row>
    <row r="3133" spans="1:11" x14ac:dyDescent="0.2">
      <c r="A3133" s="8">
        <v>2400</v>
      </c>
      <c r="B3133" s="8">
        <f t="shared" si="102"/>
        <v>2024</v>
      </c>
      <c r="C3133" s="8">
        <f t="shared" si="103"/>
        <v>1</v>
      </c>
      <c r="D3133" s="85">
        <v>45322</v>
      </c>
      <c r="E3133" s="31">
        <v>0</v>
      </c>
      <c r="F3133" s="31">
        <v>9000</v>
      </c>
      <c r="G3133" s="31">
        <v>0</v>
      </c>
      <c r="H3133" s="31">
        <v>0</v>
      </c>
      <c r="I3133" s="31" t="s">
        <v>149</v>
      </c>
      <c r="J3133" s="5" t="s">
        <v>2364</v>
      </c>
      <c r="K3133" s="8"/>
    </row>
    <row r="3134" spans="1:11" x14ac:dyDescent="0.2">
      <c r="A3134" s="8">
        <v>2401</v>
      </c>
      <c r="B3134" s="8">
        <f t="shared" si="102"/>
        <v>2024</v>
      </c>
      <c r="C3134" s="8">
        <f t="shared" si="103"/>
        <v>1</v>
      </c>
      <c r="D3134" s="85">
        <v>45322</v>
      </c>
      <c r="E3134" s="31">
        <v>0</v>
      </c>
      <c r="F3134" s="31">
        <v>20000</v>
      </c>
      <c r="G3134" s="31">
        <v>0</v>
      </c>
      <c r="H3134" s="31">
        <v>0</v>
      </c>
      <c r="I3134" s="31" t="s">
        <v>91</v>
      </c>
      <c r="J3134" s="5" t="s">
        <v>1826</v>
      </c>
      <c r="K3134" s="8"/>
    </row>
    <row r="3135" spans="1:11" x14ac:dyDescent="0.2">
      <c r="A3135" s="8">
        <v>2402</v>
      </c>
      <c r="B3135" s="8">
        <f t="shared" si="102"/>
        <v>2024</v>
      </c>
      <c r="C3135" s="8">
        <f t="shared" si="103"/>
        <v>2</v>
      </c>
      <c r="D3135" s="85">
        <v>45323</v>
      </c>
      <c r="E3135" s="31">
        <v>0</v>
      </c>
      <c r="F3135" s="31">
        <v>3000</v>
      </c>
      <c r="G3135" s="31">
        <v>0</v>
      </c>
      <c r="H3135" s="31">
        <v>0</v>
      </c>
      <c r="I3135" s="31" t="s">
        <v>1350</v>
      </c>
      <c r="J3135" s="5" t="s">
        <v>2365</v>
      </c>
      <c r="K3135" s="8"/>
    </row>
    <row r="3136" spans="1:11" x14ac:dyDescent="0.2">
      <c r="A3136" s="8">
        <v>2403</v>
      </c>
      <c r="B3136" s="8">
        <f t="shared" si="102"/>
        <v>2024</v>
      </c>
      <c r="C3136" s="8">
        <f t="shared" si="103"/>
        <v>2</v>
      </c>
      <c r="D3136" s="85">
        <v>45323</v>
      </c>
      <c r="E3136" s="31">
        <v>0</v>
      </c>
      <c r="F3136" s="31">
        <v>38000</v>
      </c>
      <c r="G3136" s="31">
        <v>0</v>
      </c>
      <c r="H3136" s="31">
        <v>0</v>
      </c>
      <c r="I3136" s="31" t="s">
        <v>1815</v>
      </c>
      <c r="J3136" s="5" t="s">
        <v>2366</v>
      </c>
      <c r="K3136" s="8"/>
    </row>
    <row r="3137" spans="1:11" x14ac:dyDescent="0.2">
      <c r="A3137" s="8">
        <v>2404</v>
      </c>
      <c r="B3137" s="8">
        <f t="shared" si="102"/>
        <v>2024</v>
      </c>
      <c r="C3137" s="8">
        <f t="shared" si="103"/>
        <v>2</v>
      </c>
      <c r="D3137" s="85">
        <v>45323</v>
      </c>
      <c r="E3137" s="31">
        <v>0</v>
      </c>
      <c r="F3137" s="31">
        <v>50000</v>
      </c>
      <c r="G3137" s="31">
        <v>0</v>
      </c>
      <c r="H3137" s="31">
        <v>0</v>
      </c>
      <c r="I3137" s="31" t="s">
        <v>85</v>
      </c>
      <c r="J3137" s="5" t="s">
        <v>2367</v>
      </c>
      <c r="K3137" s="8"/>
    </row>
    <row r="3138" spans="1:11" x14ac:dyDescent="0.2">
      <c r="A3138" s="8">
        <v>2404</v>
      </c>
      <c r="B3138" s="8">
        <f t="shared" si="102"/>
        <v>2024</v>
      </c>
      <c r="C3138" s="8">
        <f t="shared" si="103"/>
        <v>2</v>
      </c>
      <c r="D3138" s="85">
        <v>45323</v>
      </c>
      <c r="E3138" s="31">
        <v>0</v>
      </c>
      <c r="F3138" s="31">
        <v>190000</v>
      </c>
      <c r="G3138" s="31">
        <v>0</v>
      </c>
      <c r="H3138" s="31">
        <v>0</v>
      </c>
      <c r="I3138" s="31" t="s">
        <v>1350</v>
      </c>
      <c r="J3138" s="5" t="s">
        <v>2368</v>
      </c>
      <c r="K3138" s="8"/>
    </row>
    <row r="3139" spans="1:11" x14ac:dyDescent="0.2">
      <c r="A3139" s="8">
        <v>2405</v>
      </c>
      <c r="B3139" s="8">
        <f t="shared" ref="B3139:B3202" si="104">YEAR(D3139)</f>
        <v>2024</v>
      </c>
      <c r="C3139" s="8">
        <f t="shared" ref="C3139:C3202" si="105">MONTH(D3139)</f>
        <v>2</v>
      </c>
      <c r="D3139" s="85">
        <v>45324</v>
      </c>
      <c r="E3139" s="31">
        <v>0</v>
      </c>
      <c r="F3139" s="31">
        <v>17000</v>
      </c>
      <c r="G3139" s="31">
        <v>0</v>
      </c>
      <c r="H3139" s="31">
        <v>0</v>
      </c>
      <c r="I3139" s="31" t="s">
        <v>91</v>
      </c>
      <c r="J3139" s="5" t="s">
        <v>2369</v>
      </c>
      <c r="K3139" s="8"/>
    </row>
    <row r="3140" spans="1:11" x14ac:dyDescent="0.2">
      <c r="A3140" s="8">
        <v>2406</v>
      </c>
      <c r="B3140" s="8">
        <f t="shared" si="104"/>
        <v>2024</v>
      </c>
      <c r="C3140" s="8">
        <f t="shared" si="105"/>
        <v>2</v>
      </c>
      <c r="D3140" s="85">
        <v>45324</v>
      </c>
      <c r="E3140" s="31">
        <v>0</v>
      </c>
      <c r="F3140" s="31">
        <v>13000</v>
      </c>
      <c r="G3140" s="31">
        <v>0</v>
      </c>
      <c r="H3140" s="31">
        <v>0</v>
      </c>
      <c r="I3140" s="31" t="s">
        <v>149</v>
      </c>
      <c r="J3140" s="5" t="s">
        <v>2370</v>
      </c>
      <c r="K3140" s="8"/>
    </row>
    <row r="3141" spans="1:11" x14ac:dyDescent="0.2">
      <c r="A3141" s="8">
        <v>2407</v>
      </c>
      <c r="B3141" s="8">
        <f t="shared" si="104"/>
        <v>2024</v>
      </c>
      <c r="C3141" s="8">
        <f t="shared" si="105"/>
        <v>2</v>
      </c>
      <c r="D3141" s="85">
        <v>45324</v>
      </c>
      <c r="E3141" s="31">
        <v>0</v>
      </c>
      <c r="F3141" s="31">
        <v>10000</v>
      </c>
      <c r="G3141" s="31">
        <v>0</v>
      </c>
      <c r="H3141" s="31">
        <v>0</v>
      </c>
      <c r="I3141" s="31" t="s">
        <v>91</v>
      </c>
      <c r="J3141" s="5" t="s">
        <v>2371</v>
      </c>
      <c r="K3141" s="8"/>
    </row>
    <row r="3142" spans="1:11" x14ac:dyDescent="0.2">
      <c r="A3142" s="8">
        <v>2408</v>
      </c>
      <c r="B3142" s="8">
        <f t="shared" si="104"/>
        <v>2024</v>
      </c>
      <c r="C3142" s="8">
        <f t="shared" si="105"/>
        <v>2</v>
      </c>
      <c r="D3142" s="85">
        <v>45324</v>
      </c>
      <c r="E3142" s="31">
        <v>0</v>
      </c>
      <c r="F3142" s="31">
        <v>207000</v>
      </c>
      <c r="G3142" s="31">
        <v>0</v>
      </c>
      <c r="H3142" s="31">
        <v>0</v>
      </c>
      <c r="I3142" s="31" t="s">
        <v>299</v>
      </c>
      <c r="J3142" s="5" t="s">
        <v>2372</v>
      </c>
      <c r="K3142" s="8"/>
    </row>
    <row r="3143" spans="1:11" x14ac:dyDescent="0.2">
      <c r="A3143" s="8">
        <v>2409</v>
      </c>
      <c r="B3143" s="8">
        <f t="shared" si="104"/>
        <v>2024</v>
      </c>
      <c r="C3143" s="8">
        <f t="shared" si="105"/>
        <v>2</v>
      </c>
      <c r="D3143" s="85">
        <v>45325</v>
      </c>
      <c r="E3143" s="31">
        <v>0</v>
      </c>
      <c r="F3143" s="31">
        <v>15000</v>
      </c>
      <c r="G3143" s="31">
        <v>0</v>
      </c>
      <c r="H3143" s="31">
        <v>0</v>
      </c>
      <c r="I3143" s="31" t="s">
        <v>149</v>
      </c>
      <c r="J3143" s="5" t="s">
        <v>2357</v>
      </c>
      <c r="K3143" s="8"/>
    </row>
    <row r="3144" spans="1:11" x14ac:dyDescent="0.2">
      <c r="A3144" s="8">
        <v>2410</v>
      </c>
      <c r="B3144" s="8">
        <f t="shared" si="104"/>
        <v>2024</v>
      </c>
      <c r="C3144" s="8">
        <f t="shared" si="105"/>
        <v>2</v>
      </c>
      <c r="D3144" s="85">
        <v>45325</v>
      </c>
      <c r="E3144" s="31">
        <v>0</v>
      </c>
      <c r="F3144" s="31">
        <v>50000</v>
      </c>
      <c r="G3144" s="31">
        <v>0</v>
      </c>
      <c r="H3144" s="31">
        <v>0</v>
      </c>
      <c r="I3144" s="31" t="s">
        <v>1815</v>
      </c>
      <c r="J3144" s="5" t="s">
        <v>2373</v>
      </c>
      <c r="K3144" s="8"/>
    </row>
    <row r="3145" spans="1:11" x14ac:dyDescent="0.2">
      <c r="A3145" s="8">
        <v>2411</v>
      </c>
      <c r="B3145" s="8">
        <f t="shared" si="104"/>
        <v>2024</v>
      </c>
      <c r="C3145" s="8">
        <f t="shared" si="105"/>
        <v>2</v>
      </c>
      <c r="D3145" s="85">
        <v>45325</v>
      </c>
      <c r="E3145" s="31">
        <v>0</v>
      </c>
      <c r="F3145" s="31">
        <v>50000</v>
      </c>
      <c r="G3145" s="31">
        <v>0</v>
      </c>
      <c r="H3145" s="31">
        <v>0</v>
      </c>
      <c r="I3145" s="31" t="s">
        <v>1815</v>
      </c>
      <c r="J3145" s="5" t="s">
        <v>2374</v>
      </c>
      <c r="K3145" s="8"/>
    </row>
    <row r="3146" spans="1:11" x14ac:dyDescent="0.2">
      <c r="A3146" s="8">
        <v>2412</v>
      </c>
      <c r="B3146" s="8">
        <f t="shared" si="104"/>
        <v>2024</v>
      </c>
      <c r="C3146" s="8">
        <f t="shared" si="105"/>
        <v>2</v>
      </c>
      <c r="D3146" s="85">
        <v>45325</v>
      </c>
      <c r="E3146" s="31">
        <v>0</v>
      </c>
      <c r="F3146" s="31">
        <v>80000</v>
      </c>
      <c r="G3146" s="31">
        <v>0</v>
      </c>
      <c r="H3146" s="31">
        <v>0</v>
      </c>
      <c r="I3146" s="31" t="s">
        <v>1815</v>
      </c>
      <c r="J3146" s="5" t="s">
        <v>2375</v>
      </c>
      <c r="K3146" s="8"/>
    </row>
    <row r="3147" spans="1:11" x14ac:dyDescent="0.2">
      <c r="A3147" s="8">
        <v>2413</v>
      </c>
      <c r="B3147" s="8">
        <f t="shared" si="104"/>
        <v>2024</v>
      </c>
      <c r="C3147" s="8">
        <f t="shared" si="105"/>
        <v>2</v>
      </c>
      <c r="D3147" s="85">
        <v>45326</v>
      </c>
      <c r="E3147" s="31">
        <v>0</v>
      </c>
      <c r="F3147" s="31">
        <v>36000</v>
      </c>
      <c r="G3147" s="31">
        <v>0</v>
      </c>
      <c r="H3147" s="31">
        <v>0</v>
      </c>
      <c r="I3147" s="31" t="s">
        <v>91</v>
      </c>
      <c r="J3147" s="5" t="s">
        <v>2376</v>
      </c>
      <c r="K3147" s="8"/>
    </row>
    <row r="3148" spans="1:11" x14ac:dyDescent="0.2">
      <c r="A3148" s="8">
        <v>2414</v>
      </c>
      <c r="B3148" s="8">
        <f t="shared" si="104"/>
        <v>2024</v>
      </c>
      <c r="C3148" s="8">
        <f t="shared" si="105"/>
        <v>2</v>
      </c>
      <c r="D3148" s="85">
        <v>45326</v>
      </c>
      <c r="E3148" s="31">
        <v>0</v>
      </c>
      <c r="F3148" s="31">
        <v>150000</v>
      </c>
      <c r="G3148" s="31">
        <v>0</v>
      </c>
      <c r="H3148" s="31">
        <v>0</v>
      </c>
      <c r="I3148" s="31" t="s">
        <v>85</v>
      </c>
      <c r="J3148" s="5" t="s">
        <v>2377</v>
      </c>
      <c r="K3148" s="8"/>
    </row>
    <row r="3149" spans="1:11" x14ac:dyDescent="0.2">
      <c r="A3149" s="8">
        <v>2415</v>
      </c>
      <c r="B3149" s="8">
        <f t="shared" si="104"/>
        <v>2024</v>
      </c>
      <c r="C3149" s="8">
        <f t="shared" si="105"/>
        <v>2</v>
      </c>
      <c r="D3149" s="85">
        <v>45326</v>
      </c>
      <c r="E3149" s="31">
        <v>0</v>
      </c>
      <c r="F3149" s="31">
        <v>20000</v>
      </c>
      <c r="G3149" s="31">
        <v>0</v>
      </c>
      <c r="H3149" s="31">
        <v>0</v>
      </c>
      <c r="I3149" s="31" t="s">
        <v>91</v>
      </c>
      <c r="J3149" s="5" t="s">
        <v>2378</v>
      </c>
      <c r="K3149" s="8"/>
    </row>
    <row r="3150" spans="1:11" x14ac:dyDescent="0.2">
      <c r="A3150" s="8">
        <v>2416</v>
      </c>
      <c r="B3150" s="8">
        <f t="shared" si="104"/>
        <v>2024</v>
      </c>
      <c r="C3150" s="8">
        <f t="shared" si="105"/>
        <v>2</v>
      </c>
      <c r="D3150" s="85">
        <v>45327</v>
      </c>
      <c r="E3150" s="31">
        <v>0</v>
      </c>
      <c r="F3150" s="31">
        <v>15000</v>
      </c>
      <c r="G3150" s="31">
        <v>0</v>
      </c>
      <c r="H3150" s="31">
        <v>0</v>
      </c>
      <c r="I3150" s="31" t="s">
        <v>149</v>
      </c>
      <c r="J3150" s="5" t="s">
        <v>2379</v>
      </c>
      <c r="K3150" s="8"/>
    </row>
    <row r="3151" spans="1:11" x14ac:dyDescent="0.2">
      <c r="A3151" s="8">
        <v>2417</v>
      </c>
      <c r="B3151" s="8">
        <f t="shared" si="104"/>
        <v>2024</v>
      </c>
      <c r="C3151" s="8">
        <f t="shared" si="105"/>
        <v>2</v>
      </c>
      <c r="D3151" s="85">
        <v>45327</v>
      </c>
      <c r="E3151" s="31">
        <v>0</v>
      </c>
      <c r="F3151" s="31">
        <v>23000</v>
      </c>
      <c r="G3151" s="31">
        <v>0</v>
      </c>
      <c r="H3151" s="31">
        <v>0</v>
      </c>
      <c r="I3151" s="31" t="s">
        <v>91</v>
      </c>
      <c r="J3151" s="5" t="s">
        <v>2380</v>
      </c>
      <c r="K3151" s="8"/>
    </row>
    <row r="3152" spans="1:11" x14ac:dyDescent="0.2">
      <c r="A3152" s="8">
        <v>2418</v>
      </c>
      <c r="B3152" s="8">
        <f t="shared" si="104"/>
        <v>2024</v>
      </c>
      <c r="C3152" s="8">
        <f t="shared" si="105"/>
        <v>2</v>
      </c>
      <c r="D3152" s="85">
        <v>45328</v>
      </c>
      <c r="E3152" s="31">
        <v>0</v>
      </c>
      <c r="F3152" s="31">
        <v>6000</v>
      </c>
      <c r="G3152" s="31">
        <v>0</v>
      </c>
      <c r="H3152" s="31">
        <v>0</v>
      </c>
      <c r="I3152" s="31" t="s">
        <v>85</v>
      </c>
      <c r="J3152" s="5" t="s">
        <v>2381</v>
      </c>
      <c r="K3152" s="8"/>
    </row>
    <row r="3153" spans="1:11" x14ac:dyDescent="0.2">
      <c r="A3153" s="8">
        <v>2419</v>
      </c>
      <c r="B3153" s="8">
        <f t="shared" si="104"/>
        <v>2024</v>
      </c>
      <c r="C3153" s="8">
        <f t="shared" si="105"/>
        <v>2</v>
      </c>
      <c r="D3153" s="85">
        <v>45328</v>
      </c>
      <c r="E3153" s="31">
        <v>0</v>
      </c>
      <c r="F3153" s="31">
        <v>30000</v>
      </c>
      <c r="G3153" s="31">
        <v>0</v>
      </c>
      <c r="H3153" s="31">
        <v>0</v>
      </c>
      <c r="I3153" s="31" t="s">
        <v>91</v>
      </c>
      <c r="J3153" s="5" t="s">
        <v>2382</v>
      </c>
      <c r="K3153" s="8"/>
    </row>
    <row r="3154" spans="1:11" x14ac:dyDescent="0.2">
      <c r="A3154" s="8">
        <v>2420</v>
      </c>
      <c r="B3154" s="8">
        <f t="shared" si="104"/>
        <v>2024</v>
      </c>
      <c r="C3154" s="8">
        <f t="shared" si="105"/>
        <v>2</v>
      </c>
      <c r="D3154" s="85">
        <v>45328</v>
      </c>
      <c r="E3154" s="31">
        <v>0</v>
      </c>
      <c r="F3154" s="31">
        <v>14000</v>
      </c>
      <c r="G3154" s="31">
        <v>0</v>
      </c>
      <c r="H3154" s="31">
        <v>0</v>
      </c>
      <c r="I3154" s="31" t="s">
        <v>85</v>
      </c>
      <c r="J3154" s="5" t="s">
        <v>2383</v>
      </c>
      <c r="K3154" s="8"/>
    </row>
    <row r="3155" spans="1:11" x14ac:dyDescent="0.2">
      <c r="A3155" s="8">
        <v>2421</v>
      </c>
      <c r="B3155" s="8">
        <f t="shared" si="104"/>
        <v>2024</v>
      </c>
      <c r="C3155" s="8">
        <f t="shared" si="105"/>
        <v>2</v>
      </c>
      <c r="D3155" s="85">
        <v>45328</v>
      </c>
      <c r="E3155" s="31">
        <v>400000</v>
      </c>
      <c r="F3155" s="31">
        <v>0</v>
      </c>
      <c r="G3155" s="31">
        <v>0</v>
      </c>
      <c r="H3155" s="31">
        <v>0</v>
      </c>
      <c r="I3155" s="31" t="s">
        <v>109</v>
      </c>
      <c r="J3155" s="5" t="s">
        <v>2384</v>
      </c>
      <c r="K3155" s="8"/>
    </row>
    <row r="3156" spans="1:11" x14ac:dyDescent="0.2">
      <c r="A3156" s="8">
        <v>2422</v>
      </c>
      <c r="B3156" s="8">
        <f t="shared" si="104"/>
        <v>2024</v>
      </c>
      <c r="C3156" s="8">
        <f t="shared" si="105"/>
        <v>2</v>
      </c>
      <c r="D3156" s="85">
        <v>45328</v>
      </c>
      <c r="E3156" s="31">
        <v>0</v>
      </c>
      <c r="F3156" s="31">
        <v>15000</v>
      </c>
      <c r="G3156" s="31">
        <v>0</v>
      </c>
      <c r="H3156" s="31">
        <v>0</v>
      </c>
      <c r="I3156" s="31" t="s">
        <v>149</v>
      </c>
      <c r="J3156" s="5" t="s">
        <v>2379</v>
      </c>
      <c r="K3156" s="8"/>
    </row>
    <row r="3157" spans="1:11" x14ac:dyDescent="0.2">
      <c r="A3157" s="8">
        <v>2423</v>
      </c>
      <c r="B3157" s="8">
        <f t="shared" si="104"/>
        <v>2024</v>
      </c>
      <c r="C3157" s="8">
        <f t="shared" si="105"/>
        <v>2</v>
      </c>
      <c r="D3157" s="85">
        <v>45328</v>
      </c>
      <c r="E3157" s="31">
        <v>0</v>
      </c>
      <c r="F3157" s="31">
        <v>5000</v>
      </c>
      <c r="G3157" s="31">
        <v>0</v>
      </c>
      <c r="H3157" s="31">
        <v>0</v>
      </c>
      <c r="I3157" s="31" t="s">
        <v>85</v>
      </c>
      <c r="J3157" s="5" t="s">
        <v>2385</v>
      </c>
      <c r="K3157" s="8"/>
    </row>
    <row r="3158" spans="1:11" x14ac:dyDescent="0.2">
      <c r="A3158" s="8">
        <v>2423</v>
      </c>
      <c r="B3158" s="8">
        <f t="shared" si="104"/>
        <v>2024</v>
      </c>
      <c r="C3158" s="8">
        <f t="shared" si="105"/>
        <v>2</v>
      </c>
      <c r="D3158" s="85">
        <v>45328</v>
      </c>
      <c r="E3158" s="31">
        <v>0</v>
      </c>
      <c r="F3158" s="31">
        <v>0</v>
      </c>
      <c r="G3158" s="31">
        <v>0</v>
      </c>
      <c r="H3158" s="31">
        <v>180000</v>
      </c>
      <c r="I3158" s="31" t="s">
        <v>74</v>
      </c>
      <c r="J3158" s="5" t="s">
        <v>2386</v>
      </c>
      <c r="K3158" s="8"/>
    </row>
    <row r="3159" spans="1:11" x14ac:dyDescent="0.2">
      <c r="A3159" s="8">
        <v>2424</v>
      </c>
      <c r="B3159" s="8">
        <f t="shared" si="104"/>
        <v>2024</v>
      </c>
      <c r="C3159" s="8">
        <f t="shared" si="105"/>
        <v>2</v>
      </c>
      <c r="D3159" s="85">
        <v>45329</v>
      </c>
      <c r="E3159" s="31">
        <v>0</v>
      </c>
      <c r="F3159" s="31">
        <v>6000</v>
      </c>
      <c r="G3159" s="31">
        <v>0</v>
      </c>
      <c r="H3159" s="31">
        <v>0</v>
      </c>
      <c r="I3159" s="31" t="s">
        <v>85</v>
      </c>
      <c r="J3159" s="5" t="s">
        <v>2381</v>
      </c>
      <c r="K3159" s="8"/>
    </row>
    <row r="3160" spans="1:11" x14ac:dyDescent="0.2">
      <c r="A3160" s="8">
        <v>2425</v>
      </c>
      <c r="B3160" s="8">
        <f t="shared" si="104"/>
        <v>2024</v>
      </c>
      <c r="C3160" s="8">
        <f t="shared" si="105"/>
        <v>2</v>
      </c>
      <c r="D3160" s="85">
        <v>45329</v>
      </c>
      <c r="E3160" s="31">
        <v>0</v>
      </c>
      <c r="F3160" s="31">
        <v>9000</v>
      </c>
      <c r="G3160" s="31">
        <v>0</v>
      </c>
      <c r="H3160" s="31">
        <v>0</v>
      </c>
      <c r="I3160" s="31" t="s">
        <v>149</v>
      </c>
      <c r="J3160" s="5" t="s">
        <v>2387</v>
      </c>
      <c r="K3160" s="8"/>
    </row>
    <row r="3161" spans="1:11" x14ac:dyDescent="0.2">
      <c r="A3161" s="8">
        <v>2426</v>
      </c>
      <c r="B3161" s="8">
        <f t="shared" si="104"/>
        <v>2024</v>
      </c>
      <c r="C3161" s="8">
        <f t="shared" si="105"/>
        <v>2</v>
      </c>
      <c r="D3161" s="85">
        <v>45329</v>
      </c>
      <c r="E3161" s="31">
        <v>0</v>
      </c>
      <c r="F3161" s="31">
        <v>12000</v>
      </c>
      <c r="G3161" s="31">
        <v>0</v>
      </c>
      <c r="H3161" s="31">
        <v>0</v>
      </c>
      <c r="I3161" s="31" t="s">
        <v>91</v>
      </c>
      <c r="J3161" s="5" t="s">
        <v>2388</v>
      </c>
      <c r="K3161" s="8"/>
    </row>
    <row r="3162" spans="1:11" x14ac:dyDescent="0.2">
      <c r="A3162" s="8">
        <v>2427</v>
      </c>
      <c r="B3162" s="8">
        <f t="shared" si="104"/>
        <v>2024</v>
      </c>
      <c r="C3162" s="8">
        <f t="shared" si="105"/>
        <v>2</v>
      </c>
      <c r="D3162" s="85">
        <v>45329</v>
      </c>
      <c r="E3162" s="31">
        <v>0</v>
      </c>
      <c r="F3162" s="31">
        <v>10000</v>
      </c>
      <c r="G3162" s="31">
        <v>0</v>
      </c>
      <c r="H3162" s="31">
        <v>0</v>
      </c>
      <c r="I3162" s="31" t="s">
        <v>91</v>
      </c>
      <c r="J3162" s="5" t="s">
        <v>2389</v>
      </c>
      <c r="K3162" s="8"/>
    </row>
    <row r="3163" spans="1:11" x14ac:dyDescent="0.2">
      <c r="A3163" s="8">
        <v>2428</v>
      </c>
      <c r="B3163" s="8">
        <f t="shared" si="104"/>
        <v>2024</v>
      </c>
      <c r="C3163" s="8">
        <f t="shared" si="105"/>
        <v>2</v>
      </c>
      <c r="D3163" s="85">
        <v>45330</v>
      </c>
      <c r="E3163" s="31">
        <v>0</v>
      </c>
      <c r="F3163" s="31">
        <v>11000</v>
      </c>
      <c r="G3163" s="31">
        <v>0</v>
      </c>
      <c r="H3163" s="31">
        <v>0</v>
      </c>
      <c r="I3163" s="31" t="s">
        <v>85</v>
      </c>
      <c r="J3163" s="5" t="s">
        <v>2390</v>
      </c>
      <c r="K3163" s="8"/>
    </row>
    <row r="3164" spans="1:11" x14ac:dyDescent="0.2">
      <c r="A3164" s="8">
        <v>2429</v>
      </c>
      <c r="B3164" s="8">
        <f t="shared" si="104"/>
        <v>2024</v>
      </c>
      <c r="C3164" s="8">
        <f t="shared" si="105"/>
        <v>2</v>
      </c>
      <c r="D3164" s="85">
        <v>45330</v>
      </c>
      <c r="E3164" s="31">
        <v>0</v>
      </c>
      <c r="F3164" s="31">
        <v>3000</v>
      </c>
      <c r="G3164" s="31">
        <v>0</v>
      </c>
      <c r="H3164" s="31">
        <v>0</v>
      </c>
      <c r="I3164" s="31" t="s">
        <v>1815</v>
      </c>
      <c r="J3164" s="5" t="s">
        <v>2391</v>
      </c>
      <c r="K3164" s="8"/>
    </row>
    <row r="3165" spans="1:11" x14ac:dyDescent="0.2">
      <c r="A3165" s="8">
        <v>2430</v>
      </c>
      <c r="B3165" s="8">
        <f t="shared" si="104"/>
        <v>2024</v>
      </c>
      <c r="C3165" s="8">
        <f t="shared" si="105"/>
        <v>2</v>
      </c>
      <c r="D3165" s="85">
        <v>45330</v>
      </c>
      <c r="E3165" s="31">
        <v>0</v>
      </c>
      <c r="F3165" s="31">
        <v>30000</v>
      </c>
      <c r="G3165" s="31">
        <v>0</v>
      </c>
      <c r="H3165" s="31">
        <v>0</v>
      </c>
      <c r="I3165" s="31" t="s">
        <v>85</v>
      </c>
      <c r="J3165" s="5" t="s">
        <v>2392</v>
      </c>
      <c r="K3165" s="8"/>
    </row>
    <row r="3166" spans="1:11" x14ac:dyDescent="0.2">
      <c r="A3166" s="8">
        <v>2431</v>
      </c>
      <c r="B3166" s="8">
        <f t="shared" si="104"/>
        <v>2024</v>
      </c>
      <c r="C3166" s="8">
        <f t="shared" si="105"/>
        <v>2</v>
      </c>
      <c r="D3166" s="85">
        <v>45330</v>
      </c>
      <c r="E3166" s="31">
        <v>0</v>
      </c>
      <c r="F3166" s="31">
        <v>10000</v>
      </c>
      <c r="G3166" s="31">
        <v>0</v>
      </c>
      <c r="H3166" s="31">
        <v>0</v>
      </c>
      <c r="I3166" s="31" t="s">
        <v>91</v>
      </c>
      <c r="J3166" s="5" t="s">
        <v>2393</v>
      </c>
      <c r="K3166" s="8"/>
    </row>
    <row r="3167" spans="1:11" x14ac:dyDescent="0.2">
      <c r="A3167" s="8">
        <v>2432</v>
      </c>
      <c r="B3167" s="8">
        <f t="shared" si="104"/>
        <v>2024</v>
      </c>
      <c r="C3167" s="8">
        <f t="shared" si="105"/>
        <v>2</v>
      </c>
      <c r="D3167" s="85">
        <v>45331</v>
      </c>
      <c r="E3167" s="31">
        <v>0</v>
      </c>
      <c r="F3167" s="31">
        <v>22000</v>
      </c>
      <c r="G3167" s="31">
        <v>0</v>
      </c>
      <c r="H3167" s="31">
        <v>0</v>
      </c>
      <c r="I3167" s="31" t="s">
        <v>91</v>
      </c>
      <c r="J3167" s="5" t="s">
        <v>2394</v>
      </c>
      <c r="K3167" s="8"/>
    </row>
    <row r="3168" spans="1:11" x14ac:dyDescent="0.2">
      <c r="A3168" s="8">
        <v>2433</v>
      </c>
      <c r="B3168" s="8">
        <f t="shared" si="104"/>
        <v>2024</v>
      </c>
      <c r="C3168" s="8">
        <f t="shared" si="105"/>
        <v>2</v>
      </c>
      <c r="D3168" s="85">
        <v>45331</v>
      </c>
      <c r="E3168" s="31">
        <v>0</v>
      </c>
      <c r="F3168" s="31">
        <v>4000</v>
      </c>
      <c r="G3168" s="31">
        <v>0</v>
      </c>
      <c r="H3168" s="31">
        <v>0</v>
      </c>
      <c r="I3168" s="31" t="s">
        <v>1350</v>
      </c>
      <c r="J3168" s="5" t="s">
        <v>2395</v>
      </c>
      <c r="K3168" s="8"/>
    </row>
    <row r="3169" spans="1:11" x14ac:dyDescent="0.2">
      <c r="A3169" s="8">
        <v>2435</v>
      </c>
      <c r="B3169" s="8">
        <f t="shared" si="104"/>
        <v>2024</v>
      </c>
      <c r="C3169" s="8">
        <f t="shared" si="105"/>
        <v>2</v>
      </c>
      <c r="D3169" s="85">
        <v>45331</v>
      </c>
      <c r="E3169" s="31">
        <v>0</v>
      </c>
      <c r="F3169" s="31">
        <v>35000</v>
      </c>
      <c r="G3169" s="31">
        <v>0</v>
      </c>
      <c r="H3169" s="31">
        <v>0</v>
      </c>
      <c r="I3169" s="31" t="s">
        <v>1815</v>
      </c>
      <c r="J3169" s="5" t="s">
        <v>2396</v>
      </c>
      <c r="K3169" s="8"/>
    </row>
    <row r="3170" spans="1:11" x14ac:dyDescent="0.2">
      <c r="A3170" s="8">
        <v>2436</v>
      </c>
      <c r="B3170" s="8">
        <f t="shared" si="104"/>
        <v>2024</v>
      </c>
      <c r="C3170" s="8">
        <f t="shared" si="105"/>
        <v>2</v>
      </c>
      <c r="D3170" s="85">
        <v>45331</v>
      </c>
      <c r="E3170" s="31">
        <v>0</v>
      </c>
      <c r="F3170" s="31">
        <v>5000</v>
      </c>
      <c r="G3170" s="31">
        <v>0</v>
      </c>
      <c r="H3170" s="31">
        <v>0</v>
      </c>
      <c r="I3170" s="31" t="s">
        <v>91</v>
      </c>
      <c r="J3170" s="5" t="s">
        <v>2397</v>
      </c>
      <c r="K3170" s="8"/>
    </row>
    <row r="3171" spans="1:11" x14ac:dyDescent="0.2">
      <c r="A3171" s="8">
        <v>2437</v>
      </c>
      <c r="B3171" s="8">
        <f t="shared" si="104"/>
        <v>2024</v>
      </c>
      <c r="C3171" s="8">
        <f t="shared" si="105"/>
        <v>2</v>
      </c>
      <c r="D3171" s="85">
        <v>45332</v>
      </c>
      <c r="E3171" s="31">
        <v>0</v>
      </c>
      <c r="F3171" s="31">
        <v>11000</v>
      </c>
      <c r="G3171" s="31">
        <v>0</v>
      </c>
      <c r="H3171" s="31">
        <v>0</v>
      </c>
      <c r="I3171" s="31" t="s">
        <v>85</v>
      </c>
      <c r="J3171" s="5" t="s">
        <v>2398</v>
      </c>
      <c r="K3171" s="8"/>
    </row>
    <row r="3172" spans="1:11" x14ac:dyDescent="0.2">
      <c r="A3172" s="8">
        <v>2438</v>
      </c>
      <c r="B3172" s="8">
        <f t="shared" si="104"/>
        <v>2024</v>
      </c>
      <c r="C3172" s="8">
        <f t="shared" si="105"/>
        <v>2</v>
      </c>
      <c r="D3172" s="85">
        <v>45332</v>
      </c>
      <c r="E3172" s="31">
        <v>0</v>
      </c>
      <c r="F3172" s="31">
        <v>6000</v>
      </c>
      <c r="G3172" s="31">
        <v>0</v>
      </c>
      <c r="H3172" s="31">
        <v>0</v>
      </c>
      <c r="I3172" s="31" t="s">
        <v>91</v>
      </c>
      <c r="J3172" s="5" t="s">
        <v>2399</v>
      </c>
      <c r="K3172" s="8"/>
    </row>
    <row r="3173" spans="1:11" x14ac:dyDescent="0.2">
      <c r="A3173" s="8">
        <v>2439</v>
      </c>
      <c r="B3173" s="8">
        <f t="shared" si="104"/>
        <v>2024</v>
      </c>
      <c r="C3173" s="8">
        <f t="shared" si="105"/>
        <v>2</v>
      </c>
      <c r="D3173" s="85">
        <v>45332</v>
      </c>
      <c r="E3173" s="31">
        <v>0</v>
      </c>
      <c r="F3173" s="31">
        <v>60000</v>
      </c>
      <c r="G3173" s="31">
        <v>0</v>
      </c>
      <c r="H3173" s="31">
        <v>0</v>
      </c>
      <c r="I3173" s="31" t="s">
        <v>1815</v>
      </c>
      <c r="J3173" s="5" t="s">
        <v>2400</v>
      </c>
      <c r="K3173" s="8"/>
    </row>
    <row r="3174" spans="1:11" x14ac:dyDescent="0.2">
      <c r="A3174" s="8">
        <v>2440</v>
      </c>
      <c r="B3174" s="8">
        <f t="shared" si="104"/>
        <v>2024</v>
      </c>
      <c r="C3174" s="8">
        <f t="shared" si="105"/>
        <v>2</v>
      </c>
      <c r="D3174" s="85">
        <v>45332</v>
      </c>
      <c r="E3174" s="31">
        <v>0</v>
      </c>
      <c r="F3174" s="31">
        <v>10000</v>
      </c>
      <c r="G3174" s="31">
        <v>0</v>
      </c>
      <c r="H3174" s="31">
        <v>0</v>
      </c>
      <c r="I3174" s="31" t="s">
        <v>1815</v>
      </c>
      <c r="J3174" s="5" t="s">
        <v>2401</v>
      </c>
      <c r="K3174" s="8"/>
    </row>
    <row r="3175" spans="1:11" x14ac:dyDescent="0.2">
      <c r="A3175" s="8">
        <v>2441</v>
      </c>
      <c r="B3175" s="8">
        <f t="shared" si="104"/>
        <v>2024</v>
      </c>
      <c r="C3175" s="8">
        <f t="shared" si="105"/>
        <v>2</v>
      </c>
      <c r="D3175" s="85">
        <v>45332</v>
      </c>
      <c r="E3175" s="31">
        <v>0</v>
      </c>
      <c r="F3175" s="31">
        <v>280000</v>
      </c>
      <c r="G3175" s="31">
        <v>0</v>
      </c>
      <c r="H3175" s="31">
        <v>0</v>
      </c>
      <c r="I3175" s="31" t="s">
        <v>1815</v>
      </c>
      <c r="J3175" s="5" t="s">
        <v>2402</v>
      </c>
      <c r="K3175" s="8"/>
    </row>
    <row r="3176" spans="1:11" x14ac:dyDescent="0.2">
      <c r="A3176" s="8">
        <v>2442</v>
      </c>
      <c r="B3176" s="8">
        <f t="shared" si="104"/>
        <v>2024</v>
      </c>
      <c r="C3176" s="8">
        <f t="shared" si="105"/>
        <v>2</v>
      </c>
      <c r="D3176" s="85">
        <v>45332</v>
      </c>
      <c r="E3176" s="31">
        <v>0</v>
      </c>
      <c r="F3176" s="31">
        <v>10000</v>
      </c>
      <c r="G3176" s="31">
        <v>0</v>
      </c>
      <c r="H3176" s="31">
        <v>0</v>
      </c>
      <c r="I3176" s="31" t="s">
        <v>149</v>
      </c>
      <c r="J3176" s="5" t="s">
        <v>2403</v>
      </c>
      <c r="K3176" s="8"/>
    </row>
    <row r="3177" spans="1:11" x14ac:dyDescent="0.2">
      <c r="A3177" s="8">
        <v>2443</v>
      </c>
      <c r="B3177" s="8">
        <f t="shared" si="104"/>
        <v>2024</v>
      </c>
      <c r="C3177" s="8">
        <f t="shared" si="105"/>
        <v>2</v>
      </c>
      <c r="D3177" s="85">
        <v>45332</v>
      </c>
      <c r="E3177" s="31">
        <v>0</v>
      </c>
      <c r="F3177" s="31">
        <v>20000</v>
      </c>
      <c r="G3177" s="31">
        <v>0</v>
      </c>
      <c r="H3177" s="31">
        <v>0</v>
      </c>
      <c r="I3177" s="31" t="s">
        <v>91</v>
      </c>
      <c r="J3177" s="5" t="s">
        <v>2404</v>
      </c>
      <c r="K3177" s="8"/>
    </row>
    <row r="3178" spans="1:11" x14ac:dyDescent="0.2">
      <c r="A3178" s="8">
        <v>2444</v>
      </c>
      <c r="B3178" s="8">
        <f t="shared" si="104"/>
        <v>2024</v>
      </c>
      <c r="C3178" s="8">
        <f t="shared" si="105"/>
        <v>2</v>
      </c>
      <c r="D3178" s="85">
        <v>45333</v>
      </c>
      <c r="E3178" s="31">
        <v>0</v>
      </c>
      <c r="F3178" s="31">
        <v>38000</v>
      </c>
      <c r="G3178" s="31">
        <v>0</v>
      </c>
      <c r="H3178" s="31">
        <v>0</v>
      </c>
      <c r="I3178" s="31" t="s">
        <v>91</v>
      </c>
      <c r="J3178" s="5" t="s">
        <v>2405</v>
      </c>
      <c r="K3178" s="8"/>
    </row>
    <row r="3179" spans="1:11" x14ac:dyDescent="0.2">
      <c r="A3179" s="8">
        <v>2445</v>
      </c>
      <c r="B3179" s="8">
        <f t="shared" si="104"/>
        <v>2024</v>
      </c>
      <c r="C3179" s="8">
        <f t="shared" si="105"/>
        <v>2</v>
      </c>
      <c r="D3179" s="85">
        <v>45333</v>
      </c>
      <c r="E3179" s="31">
        <v>0</v>
      </c>
      <c r="F3179" s="31">
        <v>50000</v>
      </c>
      <c r="G3179" s="31">
        <v>0</v>
      </c>
      <c r="H3179" s="31">
        <v>0</v>
      </c>
      <c r="I3179" s="31" t="s">
        <v>1815</v>
      </c>
      <c r="J3179" s="5" t="s">
        <v>2406</v>
      </c>
      <c r="K3179" s="8"/>
    </row>
    <row r="3180" spans="1:11" x14ac:dyDescent="0.2">
      <c r="A3180" s="8">
        <v>2446</v>
      </c>
      <c r="B3180" s="8">
        <f t="shared" si="104"/>
        <v>2024</v>
      </c>
      <c r="C3180" s="8">
        <f t="shared" si="105"/>
        <v>2</v>
      </c>
      <c r="D3180" s="85">
        <v>45333</v>
      </c>
      <c r="E3180" s="31">
        <v>0</v>
      </c>
      <c r="F3180" s="31">
        <v>200000</v>
      </c>
      <c r="G3180" s="31">
        <v>0</v>
      </c>
      <c r="H3180" s="31">
        <v>0</v>
      </c>
      <c r="I3180" s="31" t="s">
        <v>1815</v>
      </c>
      <c r="J3180" s="5" t="s">
        <v>2407</v>
      </c>
      <c r="K3180" s="8"/>
    </row>
    <row r="3181" spans="1:11" x14ac:dyDescent="0.2">
      <c r="A3181" s="8">
        <v>2447</v>
      </c>
      <c r="B3181" s="8">
        <f t="shared" si="104"/>
        <v>2024</v>
      </c>
      <c r="C3181" s="8">
        <f t="shared" si="105"/>
        <v>2</v>
      </c>
      <c r="D3181" s="85">
        <v>45333</v>
      </c>
      <c r="E3181" s="31">
        <v>0</v>
      </c>
      <c r="F3181" s="31">
        <v>20000</v>
      </c>
      <c r="G3181" s="31">
        <v>0</v>
      </c>
      <c r="H3181" s="31">
        <v>0</v>
      </c>
      <c r="I3181" s="31" t="s">
        <v>1815</v>
      </c>
      <c r="J3181" s="5" t="s">
        <v>2408</v>
      </c>
      <c r="K3181" s="8"/>
    </row>
    <row r="3182" spans="1:11" x14ac:dyDescent="0.2">
      <c r="A3182" s="8">
        <v>2448</v>
      </c>
      <c r="B3182" s="8">
        <f t="shared" si="104"/>
        <v>2024</v>
      </c>
      <c r="C3182" s="8">
        <f t="shared" si="105"/>
        <v>2</v>
      </c>
      <c r="D3182" s="85">
        <v>45333</v>
      </c>
      <c r="E3182" s="31">
        <v>0</v>
      </c>
      <c r="F3182" s="31">
        <v>25000</v>
      </c>
      <c r="G3182" s="31">
        <v>0</v>
      </c>
      <c r="H3182" s="31">
        <v>0</v>
      </c>
      <c r="I3182" s="31" t="s">
        <v>1815</v>
      </c>
      <c r="J3182" s="5" t="s">
        <v>2409</v>
      </c>
      <c r="K3182" s="8"/>
    </row>
    <row r="3183" spans="1:11" x14ac:dyDescent="0.2">
      <c r="A3183" s="8">
        <v>2449</v>
      </c>
      <c r="B3183" s="8">
        <f t="shared" si="104"/>
        <v>2024</v>
      </c>
      <c r="C3183" s="8">
        <f t="shared" si="105"/>
        <v>2</v>
      </c>
      <c r="D3183" s="85">
        <v>45334</v>
      </c>
      <c r="E3183" s="31">
        <v>0</v>
      </c>
      <c r="F3183" s="31">
        <v>300000</v>
      </c>
      <c r="G3183" s="31">
        <v>0</v>
      </c>
      <c r="H3183" s="31">
        <v>0</v>
      </c>
      <c r="I3183" s="31" t="s">
        <v>1992</v>
      </c>
      <c r="J3183" s="5" t="s">
        <v>2410</v>
      </c>
      <c r="K3183" s="8"/>
    </row>
    <row r="3184" spans="1:11" x14ac:dyDescent="0.2">
      <c r="A3184" s="8">
        <v>2451</v>
      </c>
      <c r="B3184" s="8">
        <f t="shared" si="104"/>
        <v>2024</v>
      </c>
      <c r="C3184" s="8">
        <f t="shared" si="105"/>
        <v>2</v>
      </c>
      <c r="D3184" s="85">
        <v>45334</v>
      </c>
      <c r="E3184" s="31">
        <v>0</v>
      </c>
      <c r="F3184" s="31">
        <v>12000</v>
      </c>
      <c r="G3184" s="31">
        <v>0</v>
      </c>
      <c r="H3184" s="31">
        <v>0</v>
      </c>
      <c r="I3184" s="31" t="s">
        <v>149</v>
      </c>
      <c r="J3184" s="5" t="s">
        <v>2411</v>
      </c>
      <c r="K3184" s="8"/>
    </row>
    <row r="3185" spans="1:11" x14ac:dyDescent="0.2">
      <c r="A3185" s="8">
        <v>2452</v>
      </c>
      <c r="B3185" s="8">
        <f t="shared" si="104"/>
        <v>2024</v>
      </c>
      <c r="C3185" s="8">
        <f t="shared" si="105"/>
        <v>2</v>
      </c>
      <c r="D3185" s="85">
        <v>45334</v>
      </c>
      <c r="E3185" s="31">
        <v>0</v>
      </c>
      <c r="F3185" s="31">
        <v>13000</v>
      </c>
      <c r="G3185" s="31">
        <v>0</v>
      </c>
      <c r="H3185" s="31">
        <v>0</v>
      </c>
      <c r="I3185" s="31" t="s">
        <v>91</v>
      </c>
      <c r="J3185" s="5" t="s">
        <v>2412</v>
      </c>
      <c r="K3185" s="8"/>
    </row>
    <row r="3186" spans="1:11" x14ac:dyDescent="0.2">
      <c r="A3186" s="8">
        <v>2453</v>
      </c>
      <c r="B3186" s="8">
        <f t="shared" si="104"/>
        <v>2024</v>
      </c>
      <c r="C3186" s="8">
        <f t="shared" si="105"/>
        <v>2</v>
      </c>
      <c r="D3186" s="85">
        <v>45334</v>
      </c>
      <c r="E3186" s="31">
        <v>0</v>
      </c>
      <c r="F3186" s="31">
        <v>12000</v>
      </c>
      <c r="G3186" s="31">
        <v>0</v>
      </c>
      <c r="H3186" s="31">
        <v>0</v>
      </c>
      <c r="I3186" s="31" t="s">
        <v>91</v>
      </c>
      <c r="J3186" s="5" t="s">
        <v>2413</v>
      </c>
      <c r="K3186" s="8"/>
    </row>
    <row r="3187" spans="1:11" x14ac:dyDescent="0.2">
      <c r="A3187" s="8">
        <v>2454</v>
      </c>
      <c r="B3187" s="8">
        <f t="shared" si="104"/>
        <v>2024</v>
      </c>
      <c r="C3187" s="8">
        <f t="shared" si="105"/>
        <v>2</v>
      </c>
      <c r="D3187" s="85">
        <v>45335</v>
      </c>
      <c r="E3187" s="31">
        <v>0</v>
      </c>
      <c r="F3187" s="31">
        <v>12000</v>
      </c>
      <c r="G3187" s="31">
        <v>0</v>
      </c>
      <c r="H3187" s="31">
        <v>0</v>
      </c>
      <c r="I3187" s="31" t="s">
        <v>1350</v>
      </c>
      <c r="J3187" s="5" t="s">
        <v>2414</v>
      </c>
      <c r="K3187" s="8"/>
    </row>
    <row r="3188" spans="1:11" x14ac:dyDescent="0.2">
      <c r="A3188" s="8">
        <v>2455</v>
      </c>
      <c r="B3188" s="8">
        <f t="shared" si="104"/>
        <v>2024</v>
      </c>
      <c r="C3188" s="8">
        <f t="shared" si="105"/>
        <v>2</v>
      </c>
      <c r="D3188" s="85">
        <v>45335</v>
      </c>
      <c r="E3188" s="31">
        <v>0</v>
      </c>
      <c r="F3188" s="31">
        <v>9000</v>
      </c>
      <c r="G3188" s="31">
        <v>0</v>
      </c>
      <c r="H3188" s="31">
        <v>0</v>
      </c>
      <c r="I3188" s="31" t="s">
        <v>149</v>
      </c>
      <c r="J3188" s="5" t="s">
        <v>2387</v>
      </c>
      <c r="K3188" s="8"/>
    </row>
    <row r="3189" spans="1:11" x14ac:dyDescent="0.2">
      <c r="A3189" s="8">
        <v>2456</v>
      </c>
      <c r="B3189" s="8">
        <f t="shared" si="104"/>
        <v>2024</v>
      </c>
      <c r="C3189" s="8">
        <f t="shared" si="105"/>
        <v>2</v>
      </c>
      <c r="D3189" s="85">
        <v>45335</v>
      </c>
      <c r="E3189" s="31">
        <v>0</v>
      </c>
      <c r="F3189" s="31">
        <v>12000</v>
      </c>
      <c r="G3189" s="31">
        <v>0</v>
      </c>
      <c r="H3189" s="31">
        <v>0</v>
      </c>
      <c r="I3189" s="31" t="s">
        <v>91</v>
      </c>
      <c r="J3189" s="5" t="s">
        <v>2388</v>
      </c>
      <c r="K3189" s="8"/>
    </row>
    <row r="3190" spans="1:11" x14ac:dyDescent="0.2">
      <c r="A3190" s="8">
        <v>2457</v>
      </c>
      <c r="B3190" s="8">
        <f t="shared" si="104"/>
        <v>2024</v>
      </c>
      <c r="C3190" s="8">
        <f t="shared" si="105"/>
        <v>2</v>
      </c>
      <c r="D3190" s="85">
        <v>45335</v>
      </c>
      <c r="E3190" s="31">
        <v>0</v>
      </c>
      <c r="F3190" s="31">
        <v>8000</v>
      </c>
      <c r="G3190" s="31">
        <v>0</v>
      </c>
      <c r="H3190" s="31">
        <v>0</v>
      </c>
      <c r="I3190" s="31" t="s">
        <v>91</v>
      </c>
      <c r="J3190" s="5" t="s">
        <v>2415</v>
      </c>
      <c r="K3190" s="8"/>
    </row>
    <row r="3191" spans="1:11" x14ac:dyDescent="0.2">
      <c r="A3191" s="8">
        <v>2458</v>
      </c>
      <c r="B3191" s="8">
        <f t="shared" si="104"/>
        <v>2024</v>
      </c>
      <c r="C3191" s="8">
        <f t="shared" si="105"/>
        <v>2</v>
      </c>
      <c r="D3191" s="85">
        <v>45335</v>
      </c>
      <c r="E3191" s="31">
        <v>0</v>
      </c>
      <c r="F3191" s="31">
        <v>20000</v>
      </c>
      <c r="G3191" s="31">
        <v>0</v>
      </c>
      <c r="H3191" s="31">
        <v>0</v>
      </c>
      <c r="I3191" s="31" t="s">
        <v>91</v>
      </c>
      <c r="J3191" s="5" t="s">
        <v>2416</v>
      </c>
      <c r="K3191" s="8"/>
    </row>
    <row r="3192" spans="1:11" x14ac:dyDescent="0.2">
      <c r="A3192" s="8">
        <v>2459</v>
      </c>
      <c r="B3192" s="8">
        <f t="shared" si="104"/>
        <v>2024</v>
      </c>
      <c r="C3192" s="8">
        <f t="shared" si="105"/>
        <v>2</v>
      </c>
      <c r="D3192" s="85">
        <v>45336</v>
      </c>
      <c r="E3192" s="31">
        <v>0</v>
      </c>
      <c r="F3192" s="31">
        <v>6000</v>
      </c>
      <c r="G3192" s="31">
        <v>0</v>
      </c>
      <c r="H3192" s="31">
        <v>0</v>
      </c>
      <c r="I3192" s="31" t="s">
        <v>1350</v>
      </c>
      <c r="J3192" s="5" t="s">
        <v>2417</v>
      </c>
      <c r="K3192" s="8"/>
    </row>
    <row r="3193" spans="1:11" x14ac:dyDescent="0.2">
      <c r="A3193" s="8">
        <v>2460</v>
      </c>
      <c r="B3193" s="8">
        <f t="shared" si="104"/>
        <v>2024</v>
      </c>
      <c r="C3193" s="8">
        <f t="shared" si="105"/>
        <v>2</v>
      </c>
      <c r="D3193" s="85">
        <v>45336</v>
      </c>
      <c r="E3193" s="31">
        <v>0</v>
      </c>
      <c r="F3193" s="31">
        <v>15000</v>
      </c>
      <c r="G3193" s="31">
        <v>0</v>
      </c>
      <c r="H3193" s="31">
        <v>0</v>
      </c>
      <c r="I3193" s="31" t="s">
        <v>91</v>
      </c>
      <c r="J3193" s="5" t="s">
        <v>2418</v>
      </c>
      <c r="K3193" s="8"/>
    </row>
    <row r="3194" spans="1:11" x14ac:dyDescent="0.2">
      <c r="A3194" s="8">
        <v>2461</v>
      </c>
      <c r="B3194" s="8">
        <f t="shared" si="104"/>
        <v>2024</v>
      </c>
      <c r="C3194" s="8">
        <f t="shared" si="105"/>
        <v>2</v>
      </c>
      <c r="D3194" s="85">
        <v>45336</v>
      </c>
      <c r="E3194" s="31">
        <v>0</v>
      </c>
      <c r="F3194" s="31">
        <v>20000</v>
      </c>
      <c r="G3194" s="31">
        <v>0</v>
      </c>
      <c r="H3194" s="31">
        <v>0</v>
      </c>
      <c r="I3194" s="31" t="s">
        <v>85</v>
      </c>
      <c r="J3194" s="5" t="s">
        <v>2419</v>
      </c>
      <c r="K3194" s="8"/>
    </row>
    <row r="3195" spans="1:11" x14ac:dyDescent="0.2">
      <c r="A3195" s="8">
        <v>2462</v>
      </c>
      <c r="B3195" s="8">
        <f t="shared" si="104"/>
        <v>2024</v>
      </c>
      <c r="C3195" s="8">
        <f t="shared" si="105"/>
        <v>2</v>
      </c>
      <c r="D3195" s="85">
        <v>45336</v>
      </c>
      <c r="E3195" s="31">
        <v>0</v>
      </c>
      <c r="F3195" s="31">
        <v>9000</v>
      </c>
      <c r="G3195" s="31">
        <v>0</v>
      </c>
      <c r="H3195" s="31">
        <v>0</v>
      </c>
      <c r="I3195" s="31" t="s">
        <v>149</v>
      </c>
      <c r="J3195" s="5" t="s">
        <v>2420</v>
      </c>
      <c r="K3195" s="8"/>
    </row>
    <row r="3196" spans="1:11" x14ac:dyDescent="0.2">
      <c r="A3196" s="8">
        <v>2463</v>
      </c>
      <c r="B3196" s="8">
        <f t="shared" si="104"/>
        <v>2024</v>
      </c>
      <c r="C3196" s="8">
        <f t="shared" si="105"/>
        <v>2</v>
      </c>
      <c r="D3196" s="85">
        <v>45337</v>
      </c>
      <c r="E3196" s="31">
        <v>0</v>
      </c>
      <c r="F3196" s="31">
        <v>7000</v>
      </c>
      <c r="G3196" s="31">
        <v>0</v>
      </c>
      <c r="H3196" s="31">
        <v>0</v>
      </c>
      <c r="I3196" s="31" t="s">
        <v>149</v>
      </c>
      <c r="J3196" s="5" t="s">
        <v>2421</v>
      </c>
      <c r="K3196" s="8"/>
    </row>
    <row r="3197" spans="1:11" x14ac:dyDescent="0.2">
      <c r="A3197" s="8">
        <v>2464</v>
      </c>
      <c r="B3197" s="8">
        <f t="shared" si="104"/>
        <v>2024</v>
      </c>
      <c r="C3197" s="8">
        <f t="shared" si="105"/>
        <v>2</v>
      </c>
      <c r="D3197" s="85">
        <v>45337</v>
      </c>
      <c r="E3197" s="31">
        <v>0</v>
      </c>
      <c r="F3197" s="31">
        <v>7000</v>
      </c>
      <c r="G3197" s="31">
        <v>0</v>
      </c>
      <c r="H3197" s="31">
        <v>0</v>
      </c>
      <c r="I3197" s="31" t="s">
        <v>91</v>
      </c>
      <c r="J3197" s="5" t="s">
        <v>2422</v>
      </c>
      <c r="K3197" s="8"/>
    </row>
    <row r="3198" spans="1:11" x14ac:dyDescent="0.2">
      <c r="A3198" s="8">
        <v>2465</v>
      </c>
      <c r="B3198" s="8">
        <f t="shared" si="104"/>
        <v>2024</v>
      </c>
      <c r="C3198" s="8">
        <f t="shared" si="105"/>
        <v>2</v>
      </c>
      <c r="D3198" s="85">
        <v>45337</v>
      </c>
      <c r="E3198" s="31">
        <v>0</v>
      </c>
      <c r="F3198" s="31">
        <v>12000</v>
      </c>
      <c r="G3198" s="31">
        <v>0</v>
      </c>
      <c r="H3198" s="31">
        <v>0</v>
      </c>
      <c r="I3198" s="31" t="s">
        <v>149</v>
      </c>
      <c r="J3198" s="5" t="s">
        <v>2423</v>
      </c>
      <c r="K3198" s="8"/>
    </row>
    <row r="3199" spans="1:11" x14ac:dyDescent="0.2">
      <c r="A3199" s="8">
        <v>2466</v>
      </c>
      <c r="B3199" s="8">
        <f t="shared" si="104"/>
        <v>2024</v>
      </c>
      <c r="C3199" s="8">
        <f t="shared" si="105"/>
        <v>2</v>
      </c>
      <c r="D3199" s="85">
        <v>45337</v>
      </c>
      <c r="E3199" s="31">
        <v>0</v>
      </c>
      <c r="F3199" s="31">
        <v>30000</v>
      </c>
      <c r="G3199" s="31">
        <v>0</v>
      </c>
      <c r="H3199" s="31">
        <v>0</v>
      </c>
      <c r="I3199" s="31" t="s">
        <v>91</v>
      </c>
      <c r="J3199" s="5" t="s">
        <v>2424</v>
      </c>
      <c r="K3199" s="8"/>
    </row>
    <row r="3200" spans="1:11" x14ac:dyDescent="0.2">
      <c r="A3200" s="8">
        <v>2467</v>
      </c>
      <c r="B3200" s="8">
        <f t="shared" si="104"/>
        <v>2024</v>
      </c>
      <c r="C3200" s="8">
        <f t="shared" si="105"/>
        <v>2</v>
      </c>
      <c r="D3200" s="85">
        <v>45337</v>
      </c>
      <c r="E3200" s="31">
        <v>0</v>
      </c>
      <c r="F3200" s="31">
        <v>15000</v>
      </c>
      <c r="G3200" s="31">
        <v>0</v>
      </c>
      <c r="H3200" s="31">
        <v>0</v>
      </c>
      <c r="I3200" s="31" t="s">
        <v>85</v>
      </c>
      <c r="J3200" s="5" t="s">
        <v>2425</v>
      </c>
      <c r="K3200" s="8"/>
    </row>
    <row r="3201" spans="1:11" x14ac:dyDescent="0.2">
      <c r="A3201" s="8">
        <v>2468</v>
      </c>
      <c r="B3201" s="8">
        <f t="shared" si="104"/>
        <v>2024</v>
      </c>
      <c r="C3201" s="8">
        <f t="shared" si="105"/>
        <v>2</v>
      </c>
      <c r="D3201" s="85">
        <v>45337</v>
      </c>
      <c r="E3201" s="31">
        <v>0</v>
      </c>
      <c r="F3201" s="31">
        <v>20000</v>
      </c>
      <c r="G3201" s="31">
        <v>0</v>
      </c>
      <c r="H3201" s="31">
        <v>0</v>
      </c>
      <c r="I3201" s="31" t="s">
        <v>91</v>
      </c>
      <c r="J3201" s="5" t="s">
        <v>2426</v>
      </c>
      <c r="K3201" s="8"/>
    </row>
    <row r="3202" spans="1:11" x14ac:dyDescent="0.2">
      <c r="A3202" s="8">
        <v>2542</v>
      </c>
      <c r="B3202" s="8">
        <f t="shared" si="104"/>
        <v>2024</v>
      </c>
      <c r="C3202" s="8">
        <f t="shared" si="105"/>
        <v>2</v>
      </c>
      <c r="D3202" s="85">
        <v>45325</v>
      </c>
      <c r="E3202" s="31">
        <v>0</v>
      </c>
      <c r="F3202" s="31">
        <v>40000</v>
      </c>
      <c r="G3202" s="31">
        <v>0</v>
      </c>
      <c r="H3202" s="31">
        <v>0</v>
      </c>
      <c r="I3202" s="31" t="s">
        <v>573</v>
      </c>
      <c r="J3202" s="5" t="s">
        <v>2427</v>
      </c>
      <c r="K3202" s="8"/>
    </row>
    <row r="3203" spans="1:11" x14ac:dyDescent="0.2">
      <c r="A3203" s="8">
        <v>2544</v>
      </c>
      <c r="B3203" s="8">
        <f t="shared" ref="B3203:B3266" si="106">YEAR(D3203)</f>
        <v>2024</v>
      </c>
      <c r="C3203" s="8">
        <f t="shared" ref="C3203:C3266" si="107">MONTH(D3203)</f>
        <v>2</v>
      </c>
      <c r="D3203" s="85">
        <v>45325</v>
      </c>
      <c r="E3203" s="31">
        <v>0</v>
      </c>
      <c r="F3203" s="31">
        <v>130000</v>
      </c>
      <c r="G3203" s="31">
        <v>0</v>
      </c>
      <c r="H3203" s="31">
        <v>0</v>
      </c>
      <c r="I3203" s="31" t="s">
        <v>1350</v>
      </c>
      <c r="J3203" s="5" t="s">
        <v>2428</v>
      </c>
      <c r="K3203" s="8"/>
    </row>
    <row r="3204" spans="1:11" x14ac:dyDescent="0.2">
      <c r="A3204" s="8">
        <v>2545</v>
      </c>
      <c r="B3204" s="8">
        <f t="shared" si="106"/>
        <v>2024</v>
      </c>
      <c r="C3204" s="8">
        <f t="shared" si="107"/>
        <v>2</v>
      </c>
      <c r="D3204" s="85">
        <v>45328</v>
      </c>
      <c r="E3204" s="31">
        <v>0</v>
      </c>
      <c r="F3204" s="31">
        <v>90000</v>
      </c>
      <c r="G3204" s="31">
        <v>0</v>
      </c>
      <c r="H3204" s="31">
        <v>0</v>
      </c>
      <c r="I3204" s="31" t="s">
        <v>1350</v>
      </c>
      <c r="J3204" s="5" t="s">
        <v>2429</v>
      </c>
      <c r="K3204" s="8"/>
    </row>
    <row r="3205" spans="1:11" x14ac:dyDescent="0.2">
      <c r="A3205" s="8">
        <v>2546</v>
      </c>
      <c r="B3205" s="8">
        <f t="shared" si="106"/>
        <v>2024</v>
      </c>
      <c r="C3205" s="8">
        <f t="shared" si="107"/>
        <v>2</v>
      </c>
      <c r="D3205" s="85">
        <v>45328</v>
      </c>
      <c r="E3205" s="31">
        <v>0</v>
      </c>
      <c r="F3205" s="31">
        <v>100000</v>
      </c>
      <c r="G3205" s="31">
        <v>0</v>
      </c>
      <c r="H3205" s="31">
        <v>0</v>
      </c>
      <c r="I3205" s="31" t="s">
        <v>335</v>
      </c>
      <c r="J3205" s="5" t="s">
        <v>2430</v>
      </c>
      <c r="K3205" s="8"/>
    </row>
    <row r="3206" spans="1:11" x14ac:dyDescent="0.2">
      <c r="A3206" s="8">
        <v>2547</v>
      </c>
      <c r="B3206" s="8">
        <f t="shared" si="106"/>
        <v>2024</v>
      </c>
      <c r="C3206" s="8">
        <f t="shared" si="107"/>
        <v>2</v>
      </c>
      <c r="D3206" s="85">
        <v>45334</v>
      </c>
      <c r="E3206" s="31">
        <v>0</v>
      </c>
      <c r="F3206" s="31">
        <v>30000</v>
      </c>
      <c r="G3206" s="31">
        <v>0</v>
      </c>
      <c r="H3206" s="31">
        <v>0</v>
      </c>
      <c r="I3206" s="31" t="s">
        <v>1350</v>
      </c>
      <c r="J3206" s="5" t="s">
        <v>2431</v>
      </c>
      <c r="K3206" s="8"/>
    </row>
    <row r="3207" spans="1:11" x14ac:dyDescent="0.2">
      <c r="A3207" s="8">
        <v>2548</v>
      </c>
      <c r="B3207" s="8">
        <f t="shared" si="106"/>
        <v>2024</v>
      </c>
      <c r="C3207" s="8">
        <f t="shared" si="107"/>
        <v>2</v>
      </c>
      <c r="D3207" s="85">
        <v>45337</v>
      </c>
      <c r="E3207" s="31">
        <v>0</v>
      </c>
      <c r="F3207" s="31">
        <v>250000</v>
      </c>
      <c r="G3207" s="31">
        <v>0</v>
      </c>
      <c r="H3207" s="31">
        <v>0</v>
      </c>
      <c r="I3207" s="31" t="s">
        <v>1894</v>
      </c>
      <c r="J3207" s="5" t="s">
        <v>2432</v>
      </c>
      <c r="K3207" s="8"/>
    </row>
    <row r="3208" spans="1:11" x14ac:dyDescent="0.2">
      <c r="A3208" s="8">
        <v>2549</v>
      </c>
      <c r="B3208" s="8">
        <f t="shared" si="106"/>
        <v>2024</v>
      </c>
      <c r="C3208" s="8">
        <f t="shared" si="107"/>
        <v>2</v>
      </c>
      <c r="D3208" s="85">
        <v>45339</v>
      </c>
      <c r="E3208" s="31">
        <v>0</v>
      </c>
      <c r="F3208" s="31">
        <v>155000</v>
      </c>
      <c r="G3208" s="31">
        <v>0</v>
      </c>
      <c r="H3208" s="31">
        <v>0</v>
      </c>
      <c r="I3208" s="31" t="s">
        <v>391</v>
      </c>
      <c r="J3208" s="5" t="s">
        <v>2339</v>
      </c>
      <c r="K3208" s="8"/>
    </row>
    <row r="3209" spans="1:11" x14ac:dyDescent="0.2">
      <c r="A3209" s="8">
        <v>2550</v>
      </c>
      <c r="B3209" s="8">
        <f t="shared" si="106"/>
        <v>2024</v>
      </c>
      <c r="C3209" s="8">
        <f t="shared" si="107"/>
        <v>2</v>
      </c>
      <c r="D3209" s="85">
        <v>45339</v>
      </c>
      <c r="E3209" s="31">
        <v>0</v>
      </c>
      <c r="F3209" s="31">
        <v>13000</v>
      </c>
      <c r="G3209" s="31">
        <v>0</v>
      </c>
      <c r="H3209" s="31">
        <v>0</v>
      </c>
      <c r="I3209" s="31" t="s">
        <v>391</v>
      </c>
      <c r="J3209" s="5" t="s">
        <v>2340</v>
      </c>
      <c r="K3209" s="8"/>
    </row>
    <row r="3210" spans="1:11" x14ac:dyDescent="0.2">
      <c r="A3210" s="8">
        <v>2551</v>
      </c>
      <c r="B3210" s="8">
        <f t="shared" si="106"/>
        <v>2024</v>
      </c>
      <c r="C3210" s="8">
        <f t="shared" si="107"/>
        <v>2</v>
      </c>
      <c r="D3210" s="85">
        <v>45339</v>
      </c>
      <c r="E3210" s="31">
        <v>0</v>
      </c>
      <c r="F3210" s="31">
        <v>160500</v>
      </c>
      <c r="G3210" s="31">
        <v>0</v>
      </c>
      <c r="H3210" s="31">
        <v>0</v>
      </c>
      <c r="I3210" s="31" t="s">
        <v>335</v>
      </c>
      <c r="J3210" s="5" t="s">
        <v>2433</v>
      </c>
      <c r="K3210" s="8"/>
    </row>
    <row r="3211" spans="1:11" x14ac:dyDescent="0.2">
      <c r="A3211" s="8">
        <v>2553</v>
      </c>
      <c r="B3211" s="8">
        <f t="shared" si="106"/>
        <v>2024</v>
      </c>
      <c r="C3211" s="8">
        <f t="shared" si="107"/>
        <v>2</v>
      </c>
      <c r="D3211" s="85">
        <v>45342</v>
      </c>
      <c r="E3211" s="31">
        <v>0</v>
      </c>
      <c r="F3211" s="31">
        <v>70000</v>
      </c>
      <c r="G3211" s="31">
        <v>0</v>
      </c>
      <c r="H3211" s="31">
        <v>0</v>
      </c>
      <c r="I3211" s="31" t="s">
        <v>1350</v>
      </c>
      <c r="J3211" s="5" t="s">
        <v>2434</v>
      </c>
      <c r="K3211" s="8"/>
    </row>
    <row r="3212" spans="1:11" x14ac:dyDescent="0.2">
      <c r="A3212" s="8">
        <v>2553</v>
      </c>
      <c r="B3212" s="8">
        <f t="shared" si="106"/>
        <v>2024</v>
      </c>
      <c r="C3212" s="8">
        <f t="shared" si="107"/>
        <v>1</v>
      </c>
      <c r="D3212" s="85">
        <v>45306</v>
      </c>
      <c r="E3212" s="31">
        <v>0</v>
      </c>
      <c r="F3212" s="31">
        <v>235500</v>
      </c>
      <c r="G3212" s="31">
        <v>0</v>
      </c>
      <c r="H3212" s="31">
        <v>0</v>
      </c>
      <c r="I3212" s="31" t="s">
        <v>1973</v>
      </c>
      <c r="J3212" s="5" t="s">
        <v>2435</v>
      </c>
      <c r="K3212" s="8"/>
    </row>
    <row r="3213" spans="1:11" x14ac:dyDescent="0.2">
      <c r="A3213" s="8">
        <v>2557</v>
      </c>
      <c r="B3213" s="8">
        <f t="shared" si="106"/>
        <v>2024</v>
      </c>
      <c r="C3213" s="8">
        <f t="shared" si="107"/>
        <v>2</v>
      </c>
      <c r="D3213" s="85">
        <v>45337</v>
      </c>
      <c r="E3213" s="31">
        <v>0</v>
      </c>
      <c r="F3213" s="31">
        <v>235500</v>
      </c>
      <c r="G3213" s="31">
        <v>0</v>
      </c>
      <c r="H3213" s="31">
        <v>0</v>
      </c>
      <c r="I3213" s="31" t="s">
        <v>1973</v>
      </c>
      <c r="J3213" s="5" t="s">
        <v>2435</v>
      </c>
      <c r="K3213" s="8"/>
    </row>
    <row r="3214" spans="1:11" x14ac:dyDescent="0.2">
      <c r="A3214" s="8">
        <v>2469</v>
      </c>
      <c r="B3214" s="8">
        <f t="shared" si="106"/>
        <v>2024</v>
      </c>
      <c r="C3214" s="8">
        <f t="shared" si="107"/>
        <v>2</v>
      </c>
      <c r="D3214" s="85">
        <v>45338</v>
      </c>
      <c r="E3214" s="31">
        <v>0</v>
      </c>
      <c r="F3214" s="31">
        <v>20000</v>
      </c>
      <c r="G3214" s="31">
        <v>0</v>
      </c>
      <c r="H3214" s="31">
        <v>0</v>
      </c>
      <c r="I3214" s="31" t="s">
        <v>91</v>
      </c>
      <c r="J3214" s="5" t="s">
        <v>2436</v>
      </c>
      <c r="K3214" s="8"/>
    </row>
    <row r="3215" spans="1:11" x14ac:dyDescent="0.2">
      <c r="A3215" s="8">
        <v>2470</v>
      </c>
      <c r="B3215" s="8">
        <f t="shared" si="106"/>
        <v>2024</v>
      </c>
      <c r="C3215" s="8">
        <f t="shared" si="107"/>
        <v>2</v>
      </c>
      <c r="D3215" s="85">
        <v>45338</v>
      </c>
      <c r="E3215" s="31">
        <v>0</v>
      </c>
      <c r="F3215" s="31">
        <v>56000</v>
      </c>
      <c r="G3215" s="31">
        <v>0</v>
      </c>
      <c r="H3215" s="31">
        <v>0</v>
      </c>
      <c r="I3215" s="31" t="s">
        <v>1815</v>
      </c>
      <c r="J3215" s="5" t="s">
        <v>2437</v>
      </c>
      <c r="K3215" s="8"/>
    </row>
    <row r="3216" spans="1:11" x14ac:dyDescent="0.2">
      <c r="A3216" s="8">
        <v>2471</v>
      </c>
      <c r="B3216" s="8">
        <f t="shared" si="106"/>
        <v>2024</v>
      </c>
      <c r="C3216" s="8">
        <f t="shared" si="107"/>
        <v>2</v>
      </c>
      <c r="D3216" s="85">
        <v>45338</v>
      </c>
      <c r="E3216" s="31">
        <v>0</v>
      </c>
      <c r="F3216" s="31">
        <v>50000</v>
      </c>
      <c r="G3216" s="31">
        <v>0</v>
      </c>
      <c r="H3216" s="31">
        <v>0</v>
      </c>
      <c r="I3216" s="31" t="s">
        <v>1815</v>
      </c>
      <c r="J3216" s="5" t="s">
        <v>2438</v>
      </c>
      <c r="K3216" s="8"/>
    </row>
    <row r="3217" spans="1:11" x14ac:dyDescent="0.2">
      <c r="A3217" s="8">
        <v>2472</v>
      </c>
      <c r="B3217" s="8">
        <f t="shared" si="106"/>
        <v>2024</v>
      </c>
      <c r="C3217" s="8">
        <f t="shared" si="107"/>
        <v>2</v>
      </c>
      <c r="D3217" s="85">
        <v>45338</v>
      </c>
      <c r="E3217" s="31">
        <v>0</v>
      </c>
      <c r="F3217" s="31">
        <v>216000</v>
      </c>
      <c r="G3217" s="31">
        <v>0</v>
      </c>
      <c r="H3217" s="31">
        <v>0</v>
      </c>
      <c r="I3217" s="31" t="s">
        <v>299</v>
      </c>
      <c r="J3217" s="5" t="s">
        <v>2439</v>
      </c>
      <c r="K3217" s="8"/>
    </row>
    <row r="3218" spans="1:11" x14ac:dyDescent="0.2">
      <c r="A3218" s="8">
        <v>2473</v>
      </c>
      <c r="B3218" s="8">
        <f t="shared" si="106"/>
        <v>2024</v>
      </c>
      <c r="C3218" s="8">
        <f t="shared" si="107"/>
        <v>2</v>
      </c>
      <c r="D3218" s="85">
        <v>45339</v>
      </c>
      <c r="E3218" s="31">
        <v>0</v>
      </c>
      <c r="F3218" s="31">
        <v>10000</v>
      </c>
      <c r="G3218" s="31">
        <v>0</v>
      </c>
      <c r="H3218" s="31">
        <v>0</v>
      </c>
      <c r="I3218" s="31" t="s">
        <v>1350</v>
      </c>
      <c r="J3218" s="5" t="s">
        <v>2440</v>
      </c>
      <c r="K3218" s="8"/>
    </row>
    <row r="3219" spans="1:11" x14ac:dyDescent="0.2">
      <c r="A3219" s="8">
        <v>2474</v>
      </c>
      <c r="B3219" s="8">
        <f t="shared" si="106"/>
        <v>2024</v>
      </c>
      <c r="C3219" s="8">
        <f t="shared" si="107"/>
        <v>2</v>
      </c>
      <c r="D3219" s="85">
        <v>45339</v>
      </c>
      <c r="E3219" s="31">
        <v>0</v>
      </c>
      <c r="F3219" s="31">
        <v>25000</v>
      </c>
      <c r="G3219" s="31">
        <v>0</v>
      </c>
      <c r="H3219" s="31">
        <v>0</v>
      </c>
      <c r="I3219" s="31" t="s">
        <v>85</v>
      </c>
      <c r="J3219" s="5" t="s">
        <v>2441</v>
      </c>
      <c r="K3219" s="8"/>
    </row>
    <row r="3220" spans="1:11" x14ac:dyDescent="0.2">
      <c r="A3220" s="8">
        <v>2475</v>
      </c>
      <c r="B3220" s="8">
        <f t="shared" si="106"/>
        <v>2024</v>
      </c>
      <c r="C3220" s="8">
        <f t="shared" si="107"/>
        <v>2</v>
      </c>
      <c r="D3220" s="85">
        <v>45339</v>
      </c>
      <c r="E3220" s="31">
        <v>0</v>
      </c>
      <c r="F3220" s="31">
        <v>30000</v>
      </c>
      <c r="G3220" s="31">
        <v>0</v>
      </c>
      <c r="H3220" s="31">
        <v>0</v>
      </c>
      <c r="I3220" s="31" t="s">
        <v>85</v>
      </c>
      <c r="J3220" s="5" t="s">
        <v>2442</v>
      </c>
      <c r="K3220" s="8"/>
    </row>
    <row r="3221" spans="1:11" x14ac:dyDescent="0.2">
      <c r="A3221" s="8">
        <v>2476</v>
      </c>
      <c r="B3221" s="8">
        <f t="shared" si="106"/>
        <v>2024</v>
      </c>
      <c r="C3221" s="8">
        <f t="shared" si="107"/>
        <v>2</v>
      </c>
      <c r="D3221" s="85">
        <v>45339</v>
      </c>
      <c r="E3221" s="31">
        <v>0</v>
      </c>
      <c r="F3221" s="31">
        <v>320000</v>
      </c>
      <c r="G3221" s="31">
        <v>0</v>
      </c>
      <c r="H3221" s="31">
        <v>0</v>
      </c>
      <c r="I3221" s="31" t="s">
        <v>335</v>
      </c>
      <c r="J3221" s="5" t="s">
        <v>2443</v>
      </c>
      <c r="K3221" s="8"/>
    </row>
    <row r="3222" spans="1:11" x14ac:dyDescent="0.2">
      <c r="A3222" s="8">
        <v>2477</v>
      </c>
      <c r="B3222" s="8">
        <f t="shared" si="106"/>
        <v>2024</v>
      </c>
      <c r="C3222" s="8">
        <f t="shared" si="107"/>
        <v>2</v>
      </c>
      <c r="D3222" s="85">
        <v>45339</v>
      </c>
      <c r="E3222" s="31">
        <v>0</v>
      </c>
      <c r="F3222" s="31">
        <v>56000</v>
      </c>
      <c r="G3222" s="31">
        <v>0</v>
      </c>
      <c r="H3222" s="31">
        <v>0</v>
      </c>
      <c r="I3222" s="31" t="s">
        <v>1815</v>
      </c>
      <c r="J3222" s="5" t="s">
        <v>2444</v>
      </c>
      <c r="K3222" s="8"/>
    </row>
    <row r="3223" spans="1:11" x14ac:dyDescent="0.2">
      <c r="A3223" s="8">
        <v>2478</v>
      </c>
      <c r="B3223" s="8">
        <f t="shared" si="106"/>
        <v>2024</v>
      </c>
      <c r="C3223" s="8">
        <f t="shared" si="107"/>
        <v>2</v>
      </c>
      <c r="D3223" s="85">
        <v>45339</v>
      </c>
      <c r="E3223" s="31">
        <v>0</v>
      </c>
      <c r="F3223" s="31">
        <v>80000</v>
      </c>
      <c r="G3223" s="31">
        <v>0</v>
      </c>
      <c r="H3223" s="31">
        <v>0</v>
      </c>
      <c r="I3223" s="31" t="s">
        <v>1815</v>
      </c>
      <c r="J3223" s="5" t="s">
        <v>2445</v>
      </c>
      <c r="K3223" s="8"/>
    </row>
    <row r="3224" spans="1:11" x14ac:dyDescent="0.2">
      <c r="A3224" s="8">
        <v>2479</v>
      </c>
      <c r="B3224" s="8">
        <f t="shared" si="106"/>
        <v>2024</v>
      </c>
      <c r="C3224" s="8">
        <f t="shared" si="107"/>
        <v>2</v>
      </c>
      <c r="D3224" s="85">
        <v>45340</v>
      </c>
      <c r="E3224" s="31">
        <v>0</v>
      </c>
      <c r="F3224" s="31">
        <v>0</v>
      </c>
      <c r="G3224" s="31">
        <v>0</v>
      </c>
      <c r="H3224" s="31">
        <v>0</v>
      </c>
      <c r="I3224" s="31" t="s">
        <v>85</v>
      </c>
      <c r="J3224" s="5" t="s">
        <v>2446</v>
      </c>
      <c r="K3224" s="8"/>
    </row>
    <row r="3225" spans="1:11" x14ac:dyDescent="0.2">
      <c r="A3225" s="8">
        <v>2480</v>
      </c>
      <c r="B3225" s="8">
        <f t="shared" si="106"/>
        <v>2024</v>
      </c>
      <c r="C3225" s="8">
        <f t="shared" si="107"/>
        <v>2</v>
      </c>
      <c r="D3225" s="85">
        <v>45341</v>
      </c>
      <c r="E3225" s="31">
        <v>0</v>
      </c>
      <c r="F3225" s="31">
        <v>5000</v>
      </c>
      <c r="G3225" s="31">
        <v>0</v>
      </c>
      <c r="H3225" s="31">
        <v>0</v>
      </c>
      <c r="I3225" s="31" t="s">
        <v>1350</v>
      </c>
      <c r="J3225" s="5" t="s">
        <v>2447</v>
      </c>
      <c r="K3225" s="8"/>
    </row>
    <row r="3226" spans="1:11" x14ac:dyDescent="0.2">
      <c r="A3226" s="8">
        <v>2481</v>
      </c>
      <c r="B3226" s="8">
        <f t="shared" si="106"/>
        <v>2024</v>
      </c>
      <c r="C3226" s="8">
        <f t="shared" si="107"/>
        <v>2</v>
      </c>
      <c r="D3226" s="85">
        <v>45341</v>
      </c>
      <c r="E3226" s="31">
        <v>0</v>
      </c>
      <c r="F3226" s="31">
        <v>16000</v>
      </c>
      <c r="G3226" s="31">
        <v>0</v>
      </c>
      <c r="H3226" s="31">
        <v>0</v>
      </c>
      <c r="I3226" s="31" t="s">
        <v>91</v>
      </c>
      <c r="J3226" s="5" t="s">
        <v>458</v>
      </c>
      <c r="K3226" s="8"/>
    </row>
    <row r="3227" spans="1:11" x14ac:dyDescent="0.2">
      <c r="A3227" s="8">
        <v>2482</v>
      </c>
      <c r="B3227" s="8">
        <f t="shared" si="106"/>
        <v>2024</v>
      </c>
      <c r="C3227" s="8">
        <f t="shared" si="107"/>
        <v>2</v>
      </c>
      <c r="D3227" s="85">
        <v>45341</v>
      </c>
      <c r="E3227" s="31">
        <v>0</v>
      </c>
      <c r="F3227" s="31">
        <v>9000</v>
      </c>
      <c r="G3227" s="31">
        <v>0</v>
      </c>
      <c r="H3227" s="31">
        <v>0</v>
      </c>
      <c r="I3227" s="31" t="s">
        <v>149</v>
      </c>
      <c r="J3227" s="5" t="s">
        <v>96</v>
      </c>
      <c r="K3227" s="8"/>
    </row>
    <row r="3228" spans="1:11" x14ac:dyDescent="0.2">
      <c r="A3228" s="8">
        <v>2483</v>
      </c>
      <c r="B3228" s="8">
        <f t="shared" si="106"/>
        <v>2024</v>
      </c>
      <c r="C3228" s="8">
        <f t="shared" si="107"/>
        <v>2</v>
      </c>
      <c r="D3228" s="85">
        <v>45342</v>
      </c>
      <c r="E3228" s="31">
        <v>0</v>
      </c>
      <c r="F3228" s="31">
        <v>10000</v>
      </c>
      <c r="G3228" s="31">
        <v>0</v>
      </c>
      <c r="H3228" s="31">
        <v>0</v>
      </c>
      <c r="I3228" s="31" t="s">
        <v>91</v>
      </c>
      <c r="J3228" s="5" t="s">
        <v>729</v>
      </c>
      <c r="K3228" s="8"/>
    </row>
    <row r="3229" spans="1:11" x14ac:dyDescent="0.2">
      <c r="A3229" s="8">
        <v>2484</v>
      </c>
      <c r="B3229" s="8">
        <f t="shared" si="106"/>
        <v>2024</v>
      </c>
      <c r="C3229" s="8">
        <f t="shared" si="107"/>
        <v>2</v>
      </c>
      <c r="D3229" s="85">
        <v>45342</v>
      </c>
      <c r="E3229" s="31">
        <v>0</v>
      </c>
      <c r="F3229" s="31">
        <v>30000</v>
      </c>
      <c r="G3229" s="31">
        <v>0</v>
      </c>
      <c r="H3229" s="31">
        <v>0</v>
      </c>
      <c r="I3229" s="31" t="s">
        <v>91</v>
      </c>
      <c r="J3229" s="5" t="s">
        <v>458</v>
      </c>
      <c r="K3229" s="8"/>
    </row>
    <row r="3230" spans="1:11" x14ac:dyDescent="0.2">
      <c r="A3230" s="8">
        <v>2485</v>
      </c>
      <c r="B3230" s="8">
        <f t="shared" si="106"/>
        <v>2024</v>
      </c>
      <c r="C3230" s="8">
        <f t="shared" si="107"/>
        <v>2</v>
      </c>
      <c r="D3230" s="85">
        <v>45342</v>
      </c>
      <c r="E3230" s="31">
        <v>0</v>
      </c>
      <c r="F3230" s="31">
        <v>80000</v>
      </c>
      <c r="G3230" s="31">
        <v>0</v>
      </c>
      <c r="H3230" s="31">
        <v>0</v>
      </c>
      <c r="I3230" s="31" t="s">
        <v>85</v>
      </c>
      <c r="J3230" s="5" t="s">
        <v>2448</v>
      </c>
      <c r="K3230" s="8"/>
    </row>
    <row r="3231" spans="1:11" x14ac:dyDescent="0.2">
      <c r="A3231" s="8">
        <v>2486</v>
      </c>
      <c r="B3231" s="8">
        <f t="shared" si="106"/>
        <v>2024</v>
      </c>
      <c r="C3231" s="8">
        <f t="shared" si="107"/>
        <v>2</v>
      </c>
      <c r="D3231" s="85">
        <v>45342</v>
      </c>
      <c r="E3231" s="31">
        <v>0</v>
      </c>
      <c r="F3231" s="31">
        <v>5000</v>
      </c>
      <c r="G3231" s="31">
        <v>0</v>
      </c>
      <c r="H3231" s="31">
        <v>0</v>
      </c>
      <c r="I3231" s="31" t="s">
        <v>91</v>
      </c>
      <c r="J3231" s="5" t="s">
        <v>401</v>
      </c>
      <c r="K3231" s="8"/>
    </row>
    <row r="3232" spans="1:11" x14ac:dyDescent="0.2">
      <c r="A3232" s="8">
        <v>2487</v>
      </c>
      <c r="B3232" s="8">
        <f t="shared" si="106"/>
        <v>2024</v>
      </c>
      <c r="C3232" s="8">
        <f t="shared" si="107"/>
        <v>2</v>
      </c>
      <c r="D3232" s="85">
        <v>45343</v>
      </c>
      <c r="E3232" s="31">
        <v>0</v>
      </c>
      <c r="F3232" s="31">
        <v>6000</v>
      </c>
      <c r="G3232" s="31">
        <v>0</v>
      </c>
      <c r="H3232" s="31">
        <v>0</v>
      </c>
      <c r="I3232" s="31" t="s">
        <v>1350</v>
      </c>
      <c r="J3232" s="5" t="s">
        <v>2447</v>
      </c>
      <c r="K3232" s="8"/>
    </row>
    <row r="3233" spans="1:11" x14ac:dyDescent="0.2">
      <c r="A3233" s="8">
        <v>2488</v>
      </c>
      <c r="B3233" s="8">
        <f t="shared" si="106"/>
        <v>2024</v>
      </c>
      <c r="C3233" s="8">
        <f t="shared" si="107"/>
        <v>2</v>
      </c>
      <c r="D3233" s="85">
        <v>45343</v>
      </c>
      <c r="E3233" s="31">
        <v>0</v>
      </c>
      <c r="F3233" s="31">
        <v>4000</v>
      </c>
      <c r="G3233" s="31">
        <v>0</v>
      </c>
      <c r="H3233" s="31">
        <v>0</v>
      </c>
      <c r="I3233" s="31" t="s">
        <v>91</v>
      </c>
      <c r="J3233" s="5" t="s">
        <v>729</v>
      </c>
      <c r="K3233" s="8"/>
    </row>
    <row r="3234" spans="1:11" x14ac:dyDescent="0.2">
      <c r="A3234" s="8">
        <v>2489</v>
      </c>
      <c r="B3234" s="8">
        <f t="shared" si="106"/>
        <v>2024</v>
      </c>
      <c r="C3234" s="8">
        <f t="shared" si="107"/>
        <v>2</v>
      </c>
      <c r="D3234" s="85">
        <v>45343</v>
      </c>
      <c r="E3234" s="31">
        <v>0</v>
      </c>
      <c r="F3234" s="31">
        <v>36000</v>
      </c>
      <c r="G3234" s="31">
        <v>0</v>
      </c>
      <c r="H3234" s="31">
        <v>0</v>
      </c>
      <c r="I3234" s="31" t="s">
        <v>91</v>
      </c>
      <c r="J3234" s="5" t="s">
        <v>2449</v>
      </c>
      <c r="K3234" s="8"/>
    </row>
    <row r="3235" spans="1:11" x14ac:dyDescent="0.2">
      <c r="A3235" s="8">
        <v>2490</v>
      </c>
      <c r="B3235" s="8">
        <f t="shared" si="106"/>
        <v>2024</v>
      </c>
      <c r="C3235" s="8">
        <f t="shared" si="107"/>
        <v>2</v>
      </c>
      <c r="D3235" s="85">
        <v>45343</v>
      </c>
      <c r="E3235" s="31">
        <v>0</v>
      </c>
      <c r="F3235" s="31">
        <v>260000</v>
      </c>
      <c r="G3235" s="31">
        <v>0</v>
      </c>
      <c r="H3235" s="31">
        <v>0</v>
      </c>
      <c r="I3235" s="31" t="s">
        <v>85</v>
      </c>
      <c r="J3235" s="5" t="s">
        <v>2450</v>
      </c>
      <c r="K3235" s="8"/>
    </row>
    <row r="3236" spans="1:11" x14ac:dyDescent="0.2">
      <c r="A3236" s="8">
        <v>2491</v>
      </c>
      <c r="B3236" s="8">
        <f t="shared" si="106"/>
        <v>2024</v>
      </c>
      <c r="C3236" s="8">
        <f t="shared" si="107"/>
        <v>2</v>
      </c>
      <c r="D3236" s="85">
        <v>45343</v>
      </c>
      <c r="E3236" s="31">
        <v>0</v>
      </c>
      <c r="F3236" s="31">
        <v>12000</v>
      </c>
      <c r="G3236" s="31">
        <v>0</v>
      </c>
      <c r="H3236" s="31">
        <v>0</v>
      </c>
      <c r="I3236" s="31" t="s">
        <v>149</v>
      </c>
      <c r="J3236" s="5" t="s">
        <v>96</v>
      </c>
      <c r="K3236" s="8"/>
    </row>
    <row r="3237" spans="1:11" x14ac:dyDescent="0.2">
      <c r="A3237" s="8">
        <v>2492</v>
      </c>
      <c r="B3237" s="8">
        <f t="shared" si="106"/>
        <v>2024</v>
      </c>
      <c r="C3237" s="8">
        <f t="shared" si="107"/>
        <v>2</v>
      </c>
      <c r="D3237" s="85">
        <v>45343</v>
      </c>
      <c r="E3237" s="31">
        <v>0</v>
      </c>
      <c r="F3237" s="31">
        <v>17000</v>
      </c>
      <c r="G3237" s="31">
        <v>0</v>
      </c>
      <c r="H3237" s="31">
        <v>0</v>
      </c>
      <c r="I3237" s="31" t="s">
        <v>85</v>
      </c>
      <c r="J3237" s="5" t="s">
        <v>2451</v>
      </c>
      <c r="K3237" s="8"/>
    </row>
    <row r="3238" spans="1:11" x14ac:dyDescent="0.2">
      <c r="A3238" s="8">
        <v>2493</v>
      </c>
      <c r="B3238" s="8">
        <f t="shared" si="106"/>
        <v>2024</v>
      </c>
      <c r="C3238" s="8">
        <f t="shared" si="107"/>
        <v>2</v>
      </c>
      <c r="D3238" s="85">
        <v>45343</v>
      </c>
      <c r="E3238" s="31">
        <v>0</v>
      </c>
      <c r="F3238" s="31">
        <v>35000</v>
      </c>
      <c r="G3238" s="31">
        <v>0</v>
      </c>
      <c r="H3238" s="31">
        <v>0</v>
      </c>
      <c r="I3238" s="31" t="s">
        <v>1350</v>
      </c>
      <c r="J3238" s="5" t="s">
        <v>690</v>
      </c>
      <c r="K3238" s="8"/>
    </row>
    <row r="3239" spans="1:11" x14ac:dyDescent="0.2">
      <c r="A3239" s="8">
        <v>2494</v>
      </c>
      <c r="B3239" s="8">
        <f t="shared" si="106"/>
        <v>2024</v>
      </c>
      <c r="C3239" s="8">
        <f t="shared" si="107"/>
        <v>2</v>
      </c>
      <c r="D3239" s="85">
        <v>45344</v>
      </c>
      <c r="E3239" s="31">
        <v>0</v>
      </c>
      <c r="F3239" s="31">
        <v>6000</v>
      </c>
      <c r="G3239" s="31">
        <v>0</v>
      </c>
      <c r="H3239" s="31">
        <v>0</v>
      </c>
      <c r="I3239" s="31" t="s">
        <v>1350</v>
      </c>
      <c r="J3239" s="5" t="s">
        <v>2447</v>
      </c>
      <c r="K3239" s="8"/>
    </row>
    <row r="3240" spans="1:11" x14ac:dyDescent="0.2">
      <c r="A3240" s="8">
        <v>2495</v>
      </c>
      <c r="B3240" s="8">
        <f t="shared" si="106"/>
        <v>2024</v>
      </c>
      <c r="C3240" s="8">
        <f t="shared" si="107"/>
        <v>2</v>
      </c>
      <c r="D3240" s="85">
        <v>45344</v>
      </c>
      <c r="E3240" s="31">
        <v>0</v>
      </c>
      <c r="F3240" s="31">
        <v>30000</v>
      </c>
      <c r="G3240" s="31">
        <v>0</v>
      </c>
      <c r="H3240" s="31">
        <v>0</v>
      </c>
      <c r="I3240" s="31" t="s">
        <v>91</v>
      </c>
      <c r="J3240" s="5" t="s">
        <v>458</v>
      </c>
      <c r="K3240" s="8"/>
    </row>
    <row r="3241" spans="1:11" x14ac:dyDescent="0.2">
      <c r="A3241" s="8">
        <v>2496</v>
      </c>
      <c r="B3241" s="8">
        <f t="shared" si="106"/>
        <v>2024</v>
      </c>
      <c r="C3241" s="8">
        <f t="shared" si="107"/>
        <v>2</v>
      </c>
      <c r="D3241" s="85">
        <v>45344</v>
      </c>
      <c r="E3241" s="31">
        <v>0</v>
      </c>
      <c r="F3241" s="31">
        <v>15000</v>
      </c>
      <c r="G3241" s="31">
        <v>0</v>
      </c>
      <c r="H3241" s="31">
        <v>0</v>
      </c>
      <c r="I3241" s="31" t="s">
        <v>149</v>
      </c>
      <c r="J3241" s="5" t="s">
        <v>96</v>
      </c>
      <c r="K3241" s="8"/>
    </row>
    <row r="3242" spans="1:11" x14ac:dyDescent="0.2">
      <c r="A3242" s="8">
        <v>2494</v>
      </c>
      <c r="B3242" s="8">
        <f t="shared" si="106"/>
        <v>2024</v>
      </c>
      <c r="C3242" s="8">
        <f t="shared" si="107"/>
        <v>2</v>
      </c>
      <c r="D3242" s="85">
        <v>45345</v>
      </c>
      <c r="E3242" s="31">
        <v>0</v>
      </c>
      <c r="F3242" s="31">
        <v>6000</v>
      </c>
      <c r="G3242" s="31">
        <v>0</v>
      </c>
      <c r="H3242" s="31">
        <v>0</v>
      </c>
      <c r="I3242" s="31" t="s">
        <v>1350</v>
      </c>
      <c r="J3242" s="5" t="s">
        <v>2447</v>
      </c>
      <c r="K3242" s="8"/>
    </row>
    <row r="3243" spans="1:11" x14ac:dyDescent="0.2">
      <c r="A3243" s="8">
        <v>2495</v>
      </c>
      <c r="B3243" s="8">
        <f t="shared" si="106"/>
        <v>2024</v>
      </c>
      <c r="C3243" s="8">
        <f t="shared" si="107"/>
        <v>2</v>
      </c>
      <c r="D3243" s="85">
        <v>45345</v>
      </c>
      <c r="E3243" s="31">
        <v>0</v>
      </c>
      <c r="F3243" s="31">
        <v>13000</v>
      </c>
      <c r="G3243" s="31">
        <v>0</v>
      </c>
      <c r="H3243" s="31">
        <v>0</v>
      </c>
      <c r="I3243" s="31" t="s">
        <v>91</v>
      </c>
      <c r="J3243" s="5" t="s">
        <v>458</v>
      </c>
      <c r="K3243" s="8"/>
    </row>
    <row r="3244" spans="1:11" x14ac:dyDescent="0.2">
      <c r="A3244" s="8">
        <v>2496</v>
      </c>
      <c r="B3244" s="8">
        <f t="shared" si="106"/>
        <v>2024</v>
      </c>
      <c r="C3244" s="8">
        <f t="shared" si="107"/>
        <v>2</v>
      </c>
      <c r="D3244" s="85">
        <v>45345</v>
      </c>
      <c r="E3244" s="31">
        <v>0</v>
      </c>
      <c r="F3244" s="31">
        <v>15000</v>
      </c>
      <c r="G3244" s="31">
        <v>0</v>
      </c>
      <c r="H3244" s="31">
        <v>0</v>
      </c>
      <c r="I3244" s="31" t="s">
        <v>149</v>
      </c>
      <c r="J3244" s="5" t="s">
        <v>96</v>
      </c>
      <c r="K3244" s="8"/>
    </row>
    <row r="3245" spans="1:11" x14ac:dyDescent="0.2">
      <c r="A3245" s="8">
        <v>2497</v>
      </c>
      <c r="B3245" s="8">
        <f t="shared" si="106"/>
        <v>2024</v>
      </c>
      <c r="C3245" s="8">
        <f t="shared" si="107"/>
        <v>2</v>
      </c>
      <c r="D3245" s="85">
        <v>45345</v>
      </c>
      <c r="E3245" s="31">
        <v>0</v>
      </c>
      <c r="F3245" s="31">
        <v>5000</v>
      </c>
      <c r="G3245" s="31">
        <v>0</v>
      </c>
      <c r="H3245" s="31">
        <v>0</v>
      </c>
      <c r="I3245" s="31" t="s">
        <v>91</v>
      </c>
      <c r="J3245" s="5" t="s">
        <v>2452</v>
      </c>
      <c r="K3245" s="8"/>
    </row>
    <row r="3246" spans="1:11" x14ac:dyDescent="0.2">
      <c r="A3246" s="8">
        <v>2498</v>
      </c>
      <c r="B3246" s="8">
        <f t="shared" si="106"/>
        <v>2024</v>
      </c>
      <c r="C3246" s="8">
        <f t="shared" si="107"/>
        <v>2</v>
      </c>
      <c r="D3246" s="85">
        <v>45345</v>
      </c>
      <c r="E3246" s="31">
        <v>0</v>
      </c>
      <c r="F3246" s="31">
        <v>20000</v>
      </c>
      <c r="G3246" s="31">
        <v>0</v>
      </c>
      <c r="H3246" s="31">
        <v>0</v>
      </c>
      <c r="I3246" s="31" t="s">
        <v>91</v>
      </c>
      <c r="J3246" s="5" t="s">
        <v>2453</v>
      </c>
      <c r="K3246" s="8"/>
    </row>
    <row r="3247" spans="1:11" x14ac:dyDescent="0.2">
      <c r="A3247" s="8">
        <v>2499</v>
      </c>
      <c r="B3247" s="8">
        <f t="shared" si="106"/>
        <v>2024</v>
      </c>
      <c r="C3247" s="8">
        <f t="shared" si="107"/>
        <v>2</v>
      </c>
      <c r="D3247" s="85">
        <v>45345</v>
      </c>
      <c r="E3247" s="31">
        <v>0</v>
      </c>
      <c r="F3247" s="31">
        <v>260000</v>
      </c>
      <c r="G3247" s="31">
        <v>0</v>
      </c>
      <c r="H3247" s="31">
        <v>0</v>
      </c>
      <c r="I3247" s="31" t="s">
        <v>1992</v>
      </c>
      <c r="J3247" s="5" t="s">
        <v>2454</v>
      </c>
      <c r="K3247" s="8"/>
    </row>
    <row r="3248" spans="1:11" x14ac:dyDescent="0.2">
      <c r="A3248" s="8">
        <v>2500</v>
      </c>
      <c r="B3248" s="8">
        <f t="shared" si="106"/>
        <v>2024</v>
      </c>
      <c r="C3248" s="8">
        <f t="shared" si="107"/>
        <v>2</v>
      </c>
      <c r="D3248" s="85">
        <v>45346</v>
      </c>
      <c r="E3248" s="31">
        <v>0</v>
      </c>
      <c r="F3248" s="31">
        <v>26000</v>
      </c>
      <c r="G3248" s="31">
        <v>0</v>
      </c>
      <c r="H3248" s="31">
        <v>0</v>
      </c>
      <c r="I3248" s="31" t="s">
        <v>91</v>
      </c>
      <c r="J3248" s="5" t="s">
        <v>729</v>
      </c>
      <c r="K3248" s="8"/>
    </row>
    <row r="3249" spans="1:11" x14ac:dyDescent="0.2">
      <c r="A3249" s="8">
        <v>2501</v>
      </c>
      <c r="B3249" s="8">
        <f t="shared" si="106"/>
        <v>2024</v>
      </c>
      <c r="C3249" s="8">
        <f t="shared" si="107"/>
        <v>2</v>
      </c>
      <c r="D3249" s="85">
        <v>45346</v>
      </c>
      <c r="E3249" s="31">
        <v>0</v>
      </c>
      <c r="F3249" s="31">
        <v>50000</v>
      </c>
      <c r="G3249" s="31">
        <v>0</v>
      </c>
      <c r="H3249" s="31">
        <v>0</v>
      </c>
      <c r="I3249" s="31" t="s">
        <v>1350</v>
      </c>
      <c r="J3249" s="5" t="s">
        <v>2455</v>
      </c>
      <c r="K3249" s="8"/>
    </row>
    <row r="3250" spans="1:11" x14ac:dyDescent="0.2">
      <c r="A3250" s="8">
        <v>2502</v>
      </c>
      <c r="B3250" s="8">
        <f t="shared" si="106"/>
        <v>2024</v>
      </c>
      <c r="C3250" s="8">
        <f t="shared" si="107"/>
        <v>2</v>
      </c>
      <c r="D3250" s="85">
        <v>45346</v>
      </c>
      <c r="E3250" s="31">
        <v>0</v>
      </c>
      <c r="F3250" s="31">
        <v>50000</v>
      </c>
      <c r="G3250" s="31">
        <v>0</v>
      </c>
      <c r="H3250" s="31">
        <v>0</v>
      </c>
      <c r="I3250" s="31" t="s">
        <v>1350</v>
      </c>
      <c r="J3250" s="5" t="s">
        <v>2456</v>
      </c>
      <c r="K3250" s="8"/>
    </row>
    <row r="3251" spans="1:11" x14ac:dyDescent="0.2">
      <c r="A3251" s="8">
        <v>2503</v>
      </c>
      <c r="B3251" s="8">
        <f t="shared" si="106"/>
        <v>2024</v>
      </c>
      <c r="C3251" s="8">
        <f t="shared" si="107"/>
        <v>2</v>
      </c>
      <c r="D3251" s="85">
        <v>45346</v>
      </c>
      <c r="E3251" s="31">
        <v>0</v>
      </c>
      <c r="F3251" s="31">
        <v>10000</v>
      </c>
      <c r="G3251" s="31">
        <v>0</v>
      </c>
      <c r="H3251" s="31">
        <v>0</v>
      </c>
      <c r="I3251" s="31" t="s">
        <v>1350</v>
      </c>
      <c r="J3251" s="5" t="s">
        <v>2457</v>
      </c>
      <c r="K3251" s="8"/>
    </row>
    <row r="3252" spans="1:11" x14ac:dyDescent="0.2">
      <c r="A3252" s="8">
        <v>2504</v>
      </c>
      <c r="B3252" s="8">
        <f t="shared" si="106"/>
        <v>2024</v>
      </c>
      <c r="C3252" s="8">
        <f t="shared" si="107"/>
        <v>2</v>
      </c>
      <c r="D3252" s="85">
        <v>45346</v>
      </c>
      <c r="E3252" s="31">
        <v>0</v>
      </c>
      <c r="F3252" s="31">
        <v>30000</v>
      </c>
      <c r="G3252" s="31">
        <v>0</v>
      </c>
      <c r="H3252" s="31">
        <v>0</v>
      </c>
      <c r="I3252" s="31" t="s">
        <v>91</v>
      </c>
      <c r="J3252" s="5" t="s">
        <v>458</v>
      </c>
      <c r="K3252" s="8"/>
    </row>
    <row r="3253" spans="1:11" x14ac:dyDescent="0.2">
      <c r="A3253" s="8">
        <v>2505</v>
      </c>
      <c r="B3253" s="8">
        <f t="shared" si="106"/>
        <v>2024</v>
      </c>
      <c r="C3253" s="8">
        <f t="shared" si="107"/>
        <v>2</v>
      </c>
      <c r="D3253" s="85">
        <v>45346</v>
      </c>
      <c r="E3253" s="31">
        <v>0</v>
      </c>
      <c r="F3253" s="31">
        <v>3000</v>
      </c>
      <c r="G3253" s="31">
        <v>0</v>
      </c>
      <c r="H3253" s="31">
        <v>0</v>
      </c>
      <c r="I3253" s="31" t="s">
        <v>149</v>
      </c>
      <c r="J3253" s="5" t="s">
        <v>96</v>
      </c>
      <c r="K3253" s="8"/>
    </row>
    <row r="3254" spans="1:11" x14ac:dyDescent="0.2">
      <c r="A3254" s="8">
        <v>2506</v>
      </c>
      <c r="B3254" s="8">
        <f t="shared" si="106"/>
        <v>2024</v>
      </c>
      <c r="C3254" s="8">
        <f t="shared" si="107"/>
        <v>2</v>
      </c>
      <c r="D3254" s="85">
        <v>45346</v>
      </c>
      <c r="E3254" s="31">
        <v>0</v>
      </c>
      <c r="F3254" s="31">
        <v>39000</v>
      </c>
      <c r="G3254" s="31">
        <v>0</v>
      </c>
      <c r="H3254" s="31">
        <v>0</v>
      </c>
      <c r="I3254" s="31" t="s">
        <v>1815</v>
      </c>
      <c r="J3254" s="5" t="s">
        <v>2458</v>
      </c>
      <c r="K3254" s="8"/>
    </row>
    <row r="3255" spans="1:11" x14ac:dyDescent="0.2">
      <c r="A3255" s="8">
        <v>2507</v>
      </c>
      <c r="B3255" s="8">
        <f t="shared" si="106"/>
        <v>2024</v>
      </c>
      <c r="C3255" s="8">
        <f t="shared" si="107"/>
        <v>2</v>
      </c>
      <c r="D3255" s="85">
        <v>45346</v>
      </c>
      <c r="E3255" s="31">
        <v>0</v>
      </c>
      <c r="F3255" s="31">
        <v>55000</v>
      </c>
      <c r="G3255" s="31">
        <v>0</v>
      </c>
      <c r="H3255" s="31">
        <v>0</v>
      </c>
      <c r="I3255" s="31" t="s">
        <v>1815</v>
      </c>
      <c r="J3255" s="5" t="s">
        <v>2458</v>
      </c>
      <c r="K3255" s="8"/>
    </row>
    <row r="3256" spans="1:11" x14ac:dyDescent="0.2">
      <c r="A3256" s="8">
        <v>2508</v>
      </c>
      <c r="B3256" s="8">
        <f t="shared" si="106"/>
        <v>2024</v>
      </c>
      <c r="C3256" s="8">
        <f t="shared" si="107"/>
        <v>2</v>
      </c>
      <c r="D3256" s="85">
        <v>45346</v>
      </c>
      <c r="E3256" s="31">
        <v>0</v>
      </c>
      <c r="F3256" s="31">
        <v>87000</v>
      </c>
      <c r="G3256" s="31">
        <v>0</v>
      </c>
      <c r="H3256" s="31">
        <v>0</v>
      </c>
      <c r="I3256" s="31" t="s">
        <v>1815</v>
      </c>
      <c r="J3256" s="5" t="s">
        <v>2458</v>
      </c>
      <c r="K3256" s="8"/>
    </row>
    <row r="3257" spans="1:11" x14ac:dyDescent="0.2">
      <c r="A3257" s="8">
        <v>2509</v>
      </c>
      <c r="B3257" s="8">
        <f t="shared" si="106"/>
        <v>2024</v>
      </c>
      <c r="C3257" s="8">
        <f t="shared" si="107"/>
        <v>2</v>
      </c>
      <c r="D3257" s="85">
        <v>45347</v>
      </c>
      <c r="E3257" s="31">
        <v>0</v>
      </c>
      <c r="F3257" s="31">
        <v>137000</v>
      </c>
      <c r="G3257" s="31">
        <v>0</v>
      </c>
      <c r="H3257" s="31">
        <v>0</v>
      </c>
      <c r="I3257" s="31" t="s">
        <v>299</v>
      </c>
      <c r="J3257" s="5" t="s">
        <v>2459</v>
      </c>
      <c r="K3257" s="8"/>
    </row>
    <row r="3258" spans="1:11" x14ac:dyDescent="0.2">
      <c r="A3258" s="8">
        <v>2510</v>
      </c>
      <c r="B3258" s="8">
        <f t="shared" si="106"/>
        <v>2024</v>
      </c>
      <c r="C3258" s="8">
        <f t="shared" si="107"/>
        <v>2</v>
      </c>
      <c r="D3258" s="85">
        <v>45347</v>
      </c>
      <c r="E3258" s="31">
        <v>0</v>
      </c>
      <c r="F3258" s="31">
        <v>500000</v>
      </c>
      <c r="G3258" s="31">
        <v>0</v>
      </c>
      <c r="H3258" s="31">
        <v>0</v>
      </c>
      <c r="I3258" s="31" t="s">
        <v>1729</v>
      </c>
      <c r="J3258" s="5" t="s">
        <v>201</v>
      </c>
      <c r="K3258" s="8"/>
    </row>
    <row r="3259" spans="1:11" x14ac:dyDescent="0.2">
      <c r="A3259" s="8">
        <v>2511</v>
      </c>
      <c r="B3259" s="8">
        <f t="shared" si="106"/>
        <v>2024</v>
      </c>
      <c r="C3259" s="8">
        <f t="shared" si="107"/>
        <v>2</v>
      </c>
      <c r="D3259" s="85">
        <v>45347</v>
      </c>
      <c r="E3259" s="31">
        <v>0</v>
      </c>
      <c r="F3259" s="31">
        <v>500000</v>
      </c>
      <c r="G3259" s="31">
        <v>0</v>
      </c>
      <c r="H3259" s="31">
        <v>0</v>
      </c>
      <c r="I3259" s="31" t="s">
        <v>1729</v>
      </c>
      <c r="J3259" s="5" t="s">
        <v>2460</v>
      </c>
      <c r="K3259" s="8"/>
    </row>
    <row r="3260" spans="1:11" x14ac:dyDescent="0.2">
      <c r="A3260" s="8">
        <v>2512</v>
      </c>
      <c r="B3260" s="8">
        <f t="shared" si="106"/>
        <v>2024</v>
      </c>
      <c r="C3260" s="8">
        <f t="shared" si="107"/>
        <v>2</v>
      </c>
      <c r="D3260" s="85">
        <v>45347</v>
      </c>
      <c r="E3260" s="31">
        <v>0</v>
      </c>
      <c r="F3260" s="31">
        <v>11000</v>
      </c>
      <c r="G3260" s="31">
        <v>0</v>
      </c>
      <c r="H3260" s="31">
        <v>0</v>
      </c>
      <c r="I3260" s="31" t="s">
        <v>91</v>
      </c>
      <c r="J3260" s="5" t="s">
        <v>729</v>
      </c>
      <c r="K3260" s="8"/>
    </row>
    <row r="3261" spans="1:11" x14ac:dyDescent="0.2">
      <c r="A3261" s="8">
        <v>2513</v>
      </c>
      <c r="B3261" s="8">
        <f t="shared" si="106"/>
        <v>2024</v>
      </c>
      <c r="C3261" s="8">
        <f t="shared" si="107"/>
        <v>2</v>
      </c>
      <c r="D3261" s="85">
        <v>45347</v>
      </c>
      <c r="E3261" s="31">
        <v>0</v>
      </c>
      <c r="F3261" s="31">
        <v>32000</v>
      </c>
      <c r="G3261" s="31">
        <v>0</v>
      </c>
      <c r="H3261" s="31">
        <v>0</v>
      </c>
      <c r="I3261" s="31" t="s">
        <v>1350</v>
      </c>
      <c r="J3261" s="5" t="s">
        <v>2461</v>
      </c>
      <c r="K3261" s="8"/>
    </row>
    <row r="3262" spans="1:11" x14ac:dyDescent="0.2">
      <c r="A3262" s="8">
        <v>2514</v>
      </c>
      <c r="B3262" s="8">
        <f t="shared" si="106"/>
        <v>2024</v>
      </c>
      <c r="C3262" s="8">
        <f t="shared" si="107"/>
        <v>2</v>
      </c>
      <c r="D3262" s="85">
        <v>45347</v>
      </c>
      <c r="E3262" s="31">
        <v>0</v>
      </c>
      <c r="F3262" s="31">
        <v>50000</v>
      </c>
      <c r="G3262" s="31">
        <v>0</v>
      </c>
      <c r="H3262" s="31">
        <v>0</v>
      </c>
      <c r="I3262" s="31" t="s">
        <v>91</v>
      </c>
      <c r="J3262" s="5" t="s">
        <v>2462</v>
      </c>
      <c r="K3262" s="8"/>
    </row>
    <row r="3263" spans="1:11" x14ac:dyDescent="0.2">
      <c r="A3263" s="8">
        <v>2515</v>
      </c>
      <c r="B3263" s="8">
        <f t="shared" si="106"/>
        <v>2024</v>
      </c>
      <c r="C3263" s="8">
        <f t="shared" si="107"/>
        <v>2</v>
      </c>
      <c r="D3263" s="85">
        <v>45347</v>
      </c>
      <c r="E3263" s="31">
        <v>0</v>
      </c>
      <c r="F3263" s="31">
        <v>50000</v>
      </c>
      <c r="G3263" s="31">
        <v>0</v>
      </c>
      <c r="H3263" s="31">
        <v>0</v>
      </c>
      <c r="I3263" s="31" t="s">
        <v>85</v>
      </c>
      <c r="J3263" s="5" t="s">
        <v>2463</v>
      </c>
      <c r="K3263" s="8"/>
    </row>
    <row r="3264" spans="1:11" x14ac:dyDescent="0.2">
      <c r="A3264" s="8">
        <v>2516</v>
      </c>
      <c r="B3264" s="8">
        <f t="shared" si="106"/>
        <v>2024</v>
      </c>
      <c r="C3264" s="8">
        <f t="shared" si="107"/>
        <v>2</v>
      </c>
      <c r="D3264" s="85">
        <v>45348</v>
      </c>
      <c r="E3264" s="31">
        <v>0</v>
      </c>
      <c r="F3264" s="31">
        <v>30000</v>
      </c>
      <c r="G3264" s="31">
        <v>0</v>
      </c>
      <c r="H3264" s="31">
        <v>0</v>
      </c>
      <c r="I3264" s="31" t="s">
        <v>91</v>
      </c>
      <c r="J3264" s="5" t="s">
        <v>858</v>
      </c>
      <c r="K3264" s="8"/>
    </row>
    <row r="3265" spans="1:11" x14ac:dyDescent="0.2">
      <c r="A3265" s="8">
        <v>2517</v>
      </c>
      <c r="B3265" s="8">
        <f t="shared" si="106"/>
        <v>2024</v>
      </c>
      <c r="C3265" s="8">
        <f t="shared" si="107"/>
        <v>2</v>
      </c>
      <c r="D3265" s="85">
        <v>45348</v>
      </c>
      <c r="E3265" s="31">
        <v>0</v>
      </c>
      <c r="F3265" s="31">
        <v>18000</v>
      </c>
      <c r="G3265" s="31">
        <v>0</v>
      </c>
      <c r="H3265" s="31">
        <v>0</v>
      </c>
      <c r="I3265" s="31" t="s">
        <v>149</v>
      </c>
      <c r="J3265" s="5" t="s">
        <v>96</v>
      </c>
      <c r="K3265" s="8"/>
    </row>
    <row r="3266" spans="1:11" x14ac:dyDescent="0.2">
      <c r="A3266" s="8">
        <v>2558</v>
      </c>
      <c r="B3266" s="8">
        <f t="shared" si="106"/>
        <v>2024</v>
      </c>
      <c r="C3266" s="8">
        <f t="shared" si="107"/>
        <v>3</v>
      </c>
      <c r="D3266" s="85">
        <v>45356</v>
      </c>
      <c r="E3266" s="31">
        <v>0</v>
      </c>
      <c r="F3266" s="31">
        <v>170000</v>
      </c>
      <c r="G3266" s="31">
        <v>0</v>
      </c>
      <c r="H3266" s="31">
        <v>0</v>
      </c>
      <c r="I3266" s="31" t="s">
        <v>335</v>
      </c>
      <c r="J3266" s="5" t="s">
        <v>2464</v>
      </c>
      <c r="K3266" s="8"/>
    </row>
    <row r="3267" spans="1:11" x14ac:dyDescent="0.2">
      <c r="A3267" s="8">
        <v>2559</v>
      </c>
      <c r="B3267" s="8">
        <f t="shared" ref="B3267:B3330" si="108">YEAR(D3267)</f>
        <v>2024</v>
      </c>
      <c r="C3267" s="8">
        <f t="shared" ref="C3267:C3330" si="109">MONTH(D3267)</f>
        <v>3</v>
      </c>
      <c r="D3267" s="85">
        <v>45356</v>
      </c>
      <c r="E3267" s="31">
        <v>0</v>
      </c>
      <c r="F3267" s="31">
        <v>40000</v>
      </c>
      <c r="G3267" s="31">
        <v>0</v>
      </c>
      <c r="H3267" s="31">
        <v>0</v>
      </c>
      <c r="I3267" s="31" t="s">
        <v>1350</v>
      </c>
      <c r="J3267" s="5" t="s">
        <v>2465</v>
      </c>
      <c r="K3267" s="8"/>
    </row>
    <row r="3268" spans="1:11" x14ac:dyDescent="0.2">
      <c r="A3268" s="8">
        <v>2561</v>
      </c>
      <c r="B3268" s="8">
        <f t="shared" si="108"/>
        <v>2024</v>
      </c>
      <c r="C3268" s="8">
        <f t="shared" si="109"/>
        <v>2</v>
      </c>
      <c r="D3268" s="85">
        <v>45349</v>
      </c>
      <c r="E3268" s="31">
        <v>0</v>
      </c>
      <c r="F3268" s="31">
        <v>6000</v>
      </c>
      <c r="G3268" s="31">
        <v>0</v>
      </c>
      <c r="H3268" s="31">
        <v>0</v>
      </c>
      <c r="I3268" s="31" t="s">
        <v>1350</v>
      </c>
      <c r="J3268" s="5" t="s">
        <v>2466</v>
      </c>
      <c r="K3268" s="8"/>
    </row>
    <row r="3269" spans="1:11" x14ac:dyDescent="0.2">
      <c r="A3269" s="8">
        <v>2562</v>
      </c>
      <c r="B3269" s="8">
        <f t="shared" si="108"/>
        <v>2024</v>
      </c>
      <c r="C3269" s="8">
        <f t="shared" si="109"/>
        <v>2</v>
      </c>
      <c r="D3269" s="85">
        <v>45349</v>
      </c>
      <c r="E3269" s="31">
        <v>0</v>
      </c>
      <c r="F3269" s="31">
        <v>30000</v>
      </c>
      <c r="G3269" s="31">
        <v>0</v>
      </c>
      <c r="H3269" s="31">
        <v>0</v>
      </c>
      <c r="I3269" s="31" t="s">
        <v>91</v>
      </c>
      <c r="J3269" s="5" t="s">
        <v>2467</v>
      </c>
      <c r="K3269" s="8"/>
    </row>
    <row r="3270" spans="1:11" x14ac:dyDescent="0.2">
      <c r="A3270" s="8">
        <v>2563</v>
      </c>
      <c r="B3270" s="8">
        <f t="shared" si="108"/>
        <v>2024</v>
      </c>
      <c r="C3270" s="8">
        <f t="shared" si="109"/>
        <v>2</v>
      </c>
      <c r="D3270" s="85">
        <v>45349</v>
      </c>
      <c r="E3270" s="31">
        <v>0</v>
      </c>
      <c r="F3270" s="31">
        <v>18000</v>
      </c>
      <c r="G3270" s="31">
        <v>0</v>
      </c>
      <c r="H3270" s="31">
        <v>0</v>
      </c>
      <c r="I3270" s="31" t="s">
        <v>149</v>
      </c>
      <c r="J3270" s="5" t="s">
        <v>2468</v>
      </c>
      <c r="K3270" s="8"/>
    </row>
    <row r="3271" spans="1:11" x14ac:dyDescent="0.2">
      <c r="A3271" s="8">
        <v>2564</v>
      </c>
      <c r="B3271" s="8">
        <f t="shared" si="108"/>
        <v>2024</v>
      </c>
      <c r="C3271" s="8">
        <f t="shared" si="109"/>
        <v>2</v>
      </c>
      <c r="D3271" s="85">
        <v>45350</v>
      </c>
      <c r="E3271" s="31">
        <v>0</v>
      </c>
      <c r="F3271" s="31">
        <v>6000</v>
      </c>
      <c r="G3271" s="31">
        <v>0</v>
      </c>
      <c r="H3271" s="31">
        <v>0</v>
      </c>
      <c r="I3271" s="31" t="s">
        <v>1350</v>
      </c>
      <c r="J3271" s="5" t="s">
        <v>2466</v>
      </c>
      <c r="K3271" s="8"/>
    </row>
    <row r="3272" spans="1:11" x14ac:dyDescent="0.2">
      <c r="A3272" s="8">
        <v>2565</v>
      </c>
      <c r="B3272" s="8">
        <f t="shared" si="108"/>
        <v>2024</v>
      </c>
      <c r="C3272" s="8">
        <f t="shared" si="109"/>
        <v>2</v>
      </c>
      <c r="D3272" s="85">
        <v>45350</v>
      </c>
      <c r="E3272" s="31">
        <v>0</v>
      </c>
      <c r="F3272" s="31">
        <v>60000</v>
      </c>
      <c r="G3272" s="31">
        <v>0</v>
      </c>
      <c r="H3272" s="31">
        <v>0</v>
      </c>
      <c r="I3272" s="31" t="s">
        <v>1350</v>
      </c>
      <c r="J3272" s="5" t="s">
        <v>2469</v>
      </c>
      <c r="K3272" s="8"/>
    </row>
    <row r="3273" spans="1:11" x14ac:dyDescent="0.2">
      <c r="A3273" s="8">
        <v>2566</v>
      </c>
      <c r="B3273" s="8">
        <f t="shared" si="108"/>
        <v>2024</v>
      </c>
      <c r="C3273" s="8">
        <f t="shared" si="109"/>
        <v>2</v>
      </c>
      <c r="D3273" s="85">
        <v>45350</v>
      </c>
      <c r="E3273" s="31">
        <v>0</v>
      </c>
      <c r="F3273" s="31">
        <v>20000</v>
      </c>
      <c r="G3273" s="31">
        <v>0</v>
      </c>
      <c r="H3273" s="31">
        <v>0</v>
      </c>
      <c r="I3273" s="31" t="s">
        <v>1992</v>
      </c>
      <c r="J3273" s="5" t="s">
        <v>2470</v>
      </c>
      <c r="K3273" s="8"/>
    </row>
    <row r="3274" spans="1:11" x14ac:dyDescent="0.2">
      <c r="A3274" s="8">
        <v>2567</v>
      </c>
      <c r="B3274" s="8">
        <f t="shared" si="108"/>
        <v>2024</v>
      </c>
      <c r="C3274" s="8">
        <f t="shared" si="109"/>
        <v>2</v>
      </c>
      <c r="D3274" s="85">
        <v>45350</v>
      </c>
      <c r="E3274" s="31">
        <v>0</v>
      </c>
      <c r="F3274" s="31">
        <v>6000</v>
      </c>
      <c r="G3274" s="31">
        <v>0</v>
      </c>
      <c r="H3274" s="31">
        <v>0</v>
      </c>
      <c r="I3274" s="31" t="s">
        <v>1992</v>
      </c>
      <c r="J3274" s="5" t="s">
        <v>2471</v>
      </c>
      <c r="K3274" s="8"/>
    </row>
    <row r="3275" spans="1:11" x14ac:dyDescent="0.2">
      <c r="A3275" s="8">
        <v>2568</v>
      </c>
      <c r="B3275" s="8">
        <f t="shared" si="108"/>
        <v>2024</v>
      </c>
      <c r="C3275" s="8">
        <f t="shared" si="109"/>
        <v>2</v>
      </c>
      <c r="D3275" s="85">
        <v>45350</v>
      </c>
      <c r="E3275" s="31">
        <v>0</v>
      </c>
      <c r="F3275" s="31">
        <v>13000</v>
      </c>
      <c r="G3275" s="31">
        <v>0</v>
      </c>
      <c r="H3275" s="31">
        <v>0</v>
      </c>
      <c r="I3275" s="31" t="s">
        <v>1992</v>
      </c>
      <c r="J3275" s="5" t="s">
        <v>2472</v>
      </c>
      <c r="K3275" s="8"/>
    </row>
    <row r="3276" spans="1:11" x14ac:dyDescent="0.2">
      <c r="A3276" s="8">
        <v>2569</v>
      </c>
      <c r="B3276" s="8">
        <f t="shared" si="108"/>
        <v>2024</v>
      </c>
      <c r="C3276" s="8">
        <f t="shared" si="109"/>
        <v>2</v>
      </c>
      <c r="D3276" s="85">
        <v>45351</v>
      </c>
      <c r="E3276" s="31">
        <v>0</v>
      </c>
      <c r="F3276" s="31">
        <v>6000</v>
      </c>
      <c r="G3276" s="31">
        <v>0</v>
      </c>
      <c r="H3276" s="31">
        <v>0</v>
      </c>
      <c r="I3276" s="31" t="s">
        <v>1350</v>
      </c>
      <c r="J3276" s="5" t="s">
        <v>2466</v>
      </c>
      <c r="K3276" s="8"/>
    </row>
    <row r="3277" spans="1:11" x14ac:dyDescent="0.2">
      <c r="A3277" s="8">
        <v>2570</v>
      </c>
      <c r="B3277" s="8">
        <f t="shared" si="108"/>
        <v>2024</v>
      </c>
      <c r="C3277" s="8">
        <f t="shared" si="109"/>
        <v>2</v>
      </c>
      <c r="D3277" s="85">
        <v>45351</v>
      </c>
      <c r="E3277" s="31">
        <v>0</v>
      </c>
      <c r="F3277" s="31">
        <v>30000</v>
      </c>
      <c r="G3277" s="31">
        <v>0</v>
      </c>
      <c r="H3277" s="31">
        <v>0</v>
      </c>
      <c r="I3277" s="31" t="s">
        <v>91</v>
      </c>
      <c r="J3277" s="5" t="s">
        <v>2467</v>
      </c>
      <c r="K3277" s="8"/>
    </row>
    <row r="3278" spans="1:11" x14ac:dyDescent="0.2">
      <c r="A3278" s="8">
        <v>2571</v>
      </c>
      <c r="B3278" s="8">
        <f t="shared" si="108"/>
        <v>2024</v>
      </c>
      <c r="C3278" s="8">
        <f t="shared" si="109"/>
        <v>2</v>
      </c>
      <c r="D3278" s="85">
        <v>45351</v>
      </c>
      <c r="E3278" s="31">
        <v>0</v>
      </c>
      <c r="F3278" s="31">
        <v>18000</v>
      </c>
      <c r="G3278" s="31">
        <v>0</v>
      </c>
      <c r="H3278" s="31">
        <v>0</v>
      </c>
      <c r="I3278" s="31" t="s">
        <v>149</v>
      </c>
      <c r="J3278" s="5" t="s">
        <v>2473</v>
      </c>
      <c r="K3278" s="8"/>
    </row>
    <row r="3279" spans="1:11" x14ac:dyDescent="0.2">
      <c r="A3279" s="8">
        <v>2572</v>
      </c>
      <c r="B3279" s="8">
        <f t="shared" si="108"/>
        <v>2024</v>
      </c>
      <c r="C3279" s="8">
        <f t="shared" si="109"/>
        <v>2</v>
      </c>
      <c r="D3279" s="85">
        <v>45351</v>
      </c>
      <c r="E3279" s="31">
        <v>0</v>
      </c>
      <c r="F3279" s="31">
        <v>77000</v>
      </c>
      <c r="G3279" s="31">
        <v>0</v>
      </c>
      <c r="H3279" s="31">
        <v>0</v>
      </c>
      <c r="I3279" s="31" t="s">
        <v>299</v>
      </c>
      <c r="J3279" s="5" t="s">
        <v>2474</v>
      </c>
      <c r="K3279" s="8"/>
    </row>
    <row r="3280" spans="1:11" x14ac:dyDescent="0.2">
      <c r="A3280" s="8">
        <v>2573</v>
      </c>
      <c r="B3280" s="8">
        <f t="shared" si="108"/>
        <v>2024</v>
      </c>
      <c r="C3280" s="8">
        <f t="shared" si="109"/>
        <v>3</v>
      </c>
      <c r="D3280" s="85">
        <v>45352</v>
      </c>
      <c r="E3280" s="31">
        <v>0</v>
      </c>
      <c r="F3280" s="31">
        <v>6000</v>
      </c>
      <c r="G3280" s="31">
        <v>0</v>
      </c>
      <c r="H3280" s="31">
        <v>0</v>
      </c>
      <c r="I3280" s="31" t="s">
        <v>1350</v>
      </c>
      <c r="J3280" s="5" t="s">
        <v>2466</v>
      </c>
      <c r="K3280" s="8"/>
    </row>
    <row r="3281" spans="1:11" x14ac:dyDescent="0.2">
      <c r="A3281" s="8">
        <v>2574</v>
      </c>
      <c r="B3281" s="8">
        <f t="shared" si="108"/>
        <v>2024</v>
      </c>
      <c r="C3281" s="8">
        <f t="shared" si="109"/>
        <v>3</v>
      </c>
      <c r="D3281" s="85">
        <v>45352</v>
      </c>
      <c r="E3281" s="31">
        <v>0</v>
      </c>
      <c r="F3281" s="31">
        <v>30000</v>
      </c>
      <c r="G3281" s="31">
        <v>0</v>
      </c>
      <c r="H3281" s="31">
        <v>0</v>
      </c>
      <c r="I3281" s="31" t="s">
        <v>91</v>
      </c>
      <c r="J3281" s="5" t="s">
        <v>2382</v>
      </c>
      <c r="K3281" s="8"/>
    </row>
    <row r="3282" spans="1:11" x14ac:dyDescent="0.2">
      <c r="A3282" s="8">
        <v>2575</v>
      </c>
      <c r="B3282" s="8">
        <f t="shared" si="108"/>
        <v>2024</v>
      </c>
      <c r="C3282" s="8">
        <f t="shared" si="109"/>
        <v>3</v>
      </c>
      <c r="D3282" s="85">
        <v>45352</v>
      </c>
      <c r="E3282" s="31">
        <v>0</v>
      </c>
      <c r="F3282" s="31">
        <v>12000</v>
      </c>
      <c r="G3282" s="31">
        <v>0</v>
      </c>
      <c r="H3282" s="31">
        <v>0</v>
      </c>
      <c r="I3282" s="31" t="s">
        <v>149</v>
      </c>
      <c r="J3282" s="5" t="s">
        <v>2411</v>
      </c>
      <c r="K3282" s="8"/>
    </row>
    <row r="3283" spans="1:11" x14ac:dyDescent="0.2">
      <c r="A3283" s="8">
        <v>2576</v>
      </c>
      <c r="B3283" s="8">
        <f t="shared" si="108"/>
        <v>2024</v>
      </c>
      <c r="C3283" s="8">
        <f t="shared" si="109"/>
        <v>3</v>
      </c>
      <c r="D3283" s="85">
        <v>45352</v>
      </c>
      <c r="E3283" s="31">
        <v>0</v>
      </c>
      <c r="F3283" s="31">
        <v>50000</v>
      </c>
      <c r="G3283" s="31">
        <v>0</v>
      </c>
      <c r="H3283" s="31">
        <v>0</v>
      </c>
      <c r="I3283" s="31" t="s">
        <v>1350</v>
      </c>
      <c r="J3283" s="5" t="s">
        <v>2475</v>
      </c>
      <c r="K3283" s="8"/>
    </row>
    <row r="3284" spans="1:11" x14ac:dyDescent="0.2">
      <c r="A3284" s="8">
        <v>2577</v>
      </c>
      <c r="B3284" s="8">
        <f t="shared" si="108"/>
        <v>2024</v>
      </c>
      <c r="C3284" s="8">
        <f t="shared" si="109"/>
        <v>3</v>
      </c>
      <c r="D3284" s="85">
        <v>45352</v>
      </c>
      <c r="E3284" s="31">
        <v>0</v>
      </c>
      <c r="F3284" s="31">
        <v>300000</v>
      </c>
      <c r="G3284" s="31">
        <v>0</v>
      </c>
      <c r="H3284" s="31">
        <v>0</v>
      </c>
      <c r="I3284" s="31" t="s">
        <v>1350</v>
      </c>
      <c r="J3284" s="5" t="s">
        <v>2476</v>
      </c>
      <c r="K3284" s="8"/>
    </row>
    <row r="3285" spans="1:11" x14ac:dyDescent="0.2">
      <c r="A3285" s="8">
        <v>2578</v>
      </c>
      <c r="B3285" s="8">
        <f t="shared" si="108"/>
        <v>2024</v>
      </c>
      <c r="C3285" s="8">
        <f t="shared" si="109"/>
        <v>3</v>
      </c>
      <c r="D3285" s="85">
        <v>45353</v>
      </c>
      <c r="E3285" s="31">
        <v>0</v>
      </c>
      <c r="F3285" s="31">
        <v>16000</v>
      </c>
      <c r="G3285" s="31">
        <v>0</v>
      </c>
      <c r="H3285" s="31">
        <v>0</v>
      </c>
      <c r="I3285" s="31" t="s">
        <v>91</v>
      </c>
      <c r="J3285" s="5" t="s">
        <v>2477</v>
      </c>
      <c r="K3285" s="8"/>
    </row>
    <row r="3286" spans="1:11" x14ac:dyDescent="0.2">
      <c r="A3286" s="8">
        <v>2579</v>
      </c>
      <c r="B3286" s="8">
        <f t="shared" si="108"/>
        <v>2024</v>
      </c>
      <c r="C3286" s="8">
        <f t="shared" si="109"/>
        <v>3</v>
      </c>
      <c r="D3286" s="85">
        <v>45353</v>
      </c>
      <c r="E3286" s="31">
        <v>0</v>
      </c>
      <c r="F3286" s="31">
        <v>107000</v>
      </c>
      <c r="G3286" s="31">
        <v>0</v>
      </c>
      <c r="H3286" s="31">
        <v>0</v>
      </c>
      <c r="I3286" s="31" t="s">
        <v>1815</v>
      </c>
      <c r="J3286" s="5" t="s">
        <v>2478</v>
      </c>
      <c r="K3286" s="8"/>
    </row>
    <row r="3287" spans="1:11" x14ac:dyDescent="0.2">
      <c r="A3287" s="8">
        <v>2580</v>
      </c>
      <c r="B3287" s="8">
        <f t="shared" si="108"/>
        <v>2024</v>
      </c>
      <c r="C3287" s="8">
        <f t="shared" si="109"/>
        <v>3</v>
      </c>
      <c r="D3287" s="85">
        <v>45353</v>
      </c>
      <c r="E3287" s="31">
        <v>0</v>
      </c>
      <c r="F3287" s="31">
        <v>29000</v>
      </c>
      <c r="G3287" s="31">
        <v>0</v>
      </c>
      <c r="H3287" s="31">
        <v>0</v>
      </c>
      <c r="I3287" s="31" t="s">
        <v>1815</v>
      </c>
      <c r="J3287" s="5" t="s">
        <v>2479</v>
      </c>
      <c r="K3287" s="8"/>
    </row>
    <row r="3288" spans="1:11" x14ac:dyDescent="0.2">
      <c r="A3288" s="8">
        <v>2581</v>
      </c>
      <c r="B3288" s="8">
        <f t="shared" si="108"/>
        <v>2024</v>
      </c>
      <c r="C3288" s="8">
        <f t="shared" si="109"/>
        <v>3</v>
      </c>
      <c r="D3288" s="85">
        <v>45354</v>
      </c>
      <c r="E3288" s="31">
        <v>0</v>
      </c>
      <c r="F3288" s="31">
        <v>50000</v>
      </c>
      <c r="G3288" s="31">
        <v>0</v>
      </c>
      <c r="H3288" s="31">
        <v>0</v>
      </c>
      <c r="I3288" s="31" t="s">
        <v>1815</v>
      </c>
      <c r="J3288" s="5" t="s">
        <v>2480</v>
      </c>
      <c r="K3288" s="8"/>
    </row>
    <row r="3289" spans="1:11" x14ac:dyDescent="0.2">
      <c r="A3289" s="8">
        <v>2582</v>
      </c>
      <c r="B3289" s="8">
        <f t="shared" si="108"/>
        <v>2024</v>
      </c>
      <c r="C3289" s="8">
        <f t="shared" si="109"/>
        <v>3</v>
      </c>
      <c r="D3289" s="85">
        <v>45355</v>
      </c>
      <c r="E3289" s="31">
        <v>0</v>
      </c>
      <c r="F3289" s="31">
        <v>60000</v>
      </c>
      <c r="G3289" s="31">
        <v>0</v>
      </c>
      <c r="H3289" s="31">
        <v>0</v>
      </c>
      <c r="I3289" s="31" t="s">
        <v>1350</v>
      </c>
      <c r="J3289" s="5" t="s">
        <v>2466</v>
      </c>
      <c r="K3289" s="8"/>
    </row>
    <row r="3290" spans="1:11" x14ac:dyDescent="0.2">
      <c r="A3290" s="8">
        <v>2564</v>
      </c>
      <c r="B3290" s="8">
        <f t="shared" si="108"/>
        <v>2024</v>
      </c>
      <c r="C3290" s="8">
        <f t="shared" si="109"/>
        <v>3</v>
      </c>
      <c r="D3290" s="85">
        <v>45355</v>
      </c>
      <c r="E3290" s="31">
        <v>0</v>
      </c>
      <c r="F3290" s="31">
        <v>30000</v>
      </c>
      <c r="G3290" s="31">
        <v>0</v>
      </c>
      <c r="H3290" s="31">
        <v>0</v>
      </c>
      <c r="I3290" s="31" t="s">
        <v>91</v>
      </c>
      <c r="J3290" s="5" t="s">
        <v>2424</v>
      </c>
      <c r="K3290" s="8"/>
    </row>
    <row r="3291" spans="1:11" x14ac:dyDescent="0.2">
      <c r="A3291" s="8">
        <v>2565</v>
      </c>
      <c r="B3291" s="8">
        <f t="shared" si="108"/>
        <v>2024</v>
      </c>
      <c r="C3291" s="8">
        <f t="shared" si="109"/>
        <v>3</v>
      </c>
      <c r="D3291" s="85">
        <v>45355</v>
      </c>
      <c r="E3291" s="31">
        <v>0</v>
      </c>
      <c r="F3291" s="31">
        <v>18000</v>
      </c>
      <c r="G3291" s="31">
        <v>0</v>
      </c>
      <c r="H3291" s="31">
        <v>0</v>
      </c>
      <c r="I3291" s="31" t="s">
        <v>149</v>
      </c>
      <c r="J3291" s="5" t="s">
        <v>2473</v>
      </c>
      <c r="K3291" s="8"/>
    </row>
    <row r="3292" spans="1:11" x14ac:dyDescent="0.2">
      <c r="A3292" s="8">
        <v>2566</v>
      </c>
      <c r="B3292" s="8">
        <f t="shared" si="108"/>
        <v>2024</v>
      </c>
      <c r="C3292" s="8">
        <f t="shared" si="109"/>
        <v>3</v>
      </c>
      <c r="D3292" s="85">
        <v>45356</v>
      </c>
      <c r="E3292" s="31">
        <v>0</v>
      </c>
      <c r="F3292" s="31">
        <v>170000</v>
      </c>
      <c r="G3292" s="31">
        <v>0</v>
      </c>
      <c r="H3292" s="31">
        <v>0</v>
      </c>
      <c r="I3292" s="31" t="s">
        <v>1350</v>
      </c>
      <c r="J3292" s="5" t="s">
        <v>2481</v>
      </c>
      <c r="K3292" s="8"/>
    </row>
    <row r="3293" spans="1:11" x14ac:dyDescent="0.2">
      <c r="A3293" s="8">
        <v>2567</v>
      </c>
      <c r="B3293" s="8">
        <f t="shared" si="108"/>
        <v>2024</v>
      </c>
      <c r="C3293" s="8">
        <f t="shared" si="109"/>
        <v>3</v>
      </c>
      <c r="D3293" s="85">
        <v>45356</v>
      </c>
      <c r="E3293" s="31">
        <v>0</v>
      </c>
      <c r="F3293" s="31">
        <v>20000</v>
      </c>
      <c r="G3293" s="31">
        <v>0</v>
      </c>
      <c r="H3293" s="31">
        <v>0</v>
      </c>
      <c r="I3293" s="31" t="s">
        <v>1350</v>
      </c>
      <c r="J3293" s="5" t="s">
        <v>2482</v>
      </c>
      <c r="K3293" s="8"/>
    </row>
    <row r="3294" spans="1:11" x14ac:dyDescent="0.2">
      <c r="A3294" s="8">
        <v>2568</v>
      </c>
      <c r="B3294" s="8">
        <f t="shared" si="108"/>
        <v>2024</v>
      </c>
      <c r="C3294" s="8">
        <f t="shared" si="109"/>
        <v>3</v>
      </c>
      <c r="D3294" s="85">
        <v>45356</v>
      </c>
      <c r="E3294" s="31">
        <v>0</v>
      </c>
      <c r="F3294" s="31">
        <v>20000</v>
      </c>
      <c r="G3294" s="31">
        <v>0</v>
      </c>
      <c r="H3294" s="31">
        <v>0</v>
      </c>
      <c r="I3294" s="31" t="s">
        <v>91</v>
      </c>
      <c r="J3294" s="5" t="s">
        <v>2483</v>
      </c>
      <c r="K3294" s="8"/>
    </row>
    <row r="3295" spans="1:11" x14ac:dyDescent="0.2">
      <c r="A3295" s="8">
        <v>2569</v>
      </c>
      <c r="B3295" s="8">
        <f t="shared" si="108"/>
        <v>2024</v>
      </c>
      <c r="C3295" s="8">
        <f t="shared" si="109"/>
        <v>3</v>
      </c>
      <c r="D3295" s="85">
        <v>45356</v>
      </c>
      <c r="E3295" s="31">
        <v>0</v>
      </c>
      <c r="F3295" s="31">
        <v>15000</v>
      </c>
      <c r="G3295" s="31">
        <v>0</v>
      </c>
      <c r="H3295" s="31">
        <v>0</v>
      </c>
      <c r="I3295" s="31" t="s">
        <v>149</v>
      </c>
      <c r="J3295" s="5" t="s">
        <v>2379</v>
      </c>
      <c r="K3295" s="8"/>
    </row>
    <row r="3296" spans="1:11" x14ac:dyDescent="0.2">
      <c r="A3296" s="8">
        <v>2570</v>
      </c>
      <c r="B3296" s="8">
        <f t="shared" si="108"/>
        <v>2024</v>
      </c>
      <c r="C3296" s="8">
        <f t="shared" si="109"/>
        <v>3</v>
      </c>
      <c r="D3296" s="85">
        <v>45356</v>
      </c>
      <c r="E3296" s="31">
        <v>0</v>
      </c>
      <c r="F3296" s="31">
        <v>7000</v>
      </c>
      <c r="G3296" s="31">
        <v>0</v>
      </c>
      <c r="H3296" s="31">
        <v>0</v>
      </c>
      <c r="I3296" s="31" t="s">
        <v>85</v>
      </c>
      <c r="J3296" s="5" t="s">
        <v>2484</v>
      </c>
      <c r="K3296" s="8"/>
    </row>
    <row r="3297" spans="1:11" x14ac:dyDescent="0.2">
      <c r="A3297" s="8">
        <v>2571</v>
      </c>
      <c r="B3297" s="8">
        <f t="shared" si="108"/>
        <v>2024</v>
      </c>
      <c r="C3297" s="8">
        <f t="shared" si="109"/>
        <v>3</v>
      </c>
      <c r="D3297" s="85">
        <v>45356</v>
      </c>
      <c r="E3297" s="31">
        <v>0</v>
      </c>
      <c r="F3297" s="31">
        <v>6000</v>
      </c>
      <c r="G3297" s="31">
        <v>0</v>
      </c>
      <c r="H3297" s="31">
        <v>0</v>
      </c>
      <c r="I3297" s="31" t="s">
        <v>1350</v>
      </c>
      <c r="J3297" s="5" t="s">
        <v>2466</v>
      </c>
      <c r="K3297" s="8"/>
    </row>
    <row r="3298" spans="1:11" x14ac:dyDescent="0.2">
      <c r="A3298" s="8">
        <v>2572</v>
      </c>
      <c r="B3298" s="8">
        <f t="shared" si="108"/>
        <v>2024</v>
      </c>
      <c r="C3298" s="8">
        <f t="shared" si="109"/>
        <v>3</v>
      </c>
      <c r="D3298" s="85">
        <v>45357</v>
      </c>
      <c r="E3298" s="31">
        <v>0</v>
      </c>
      <c r="F3298" s="31">
        <v>10000</v>
      </c>
      <c r="G3298" s="31">
        <v>0</v>
      </c>
      <c r="H3298" s="31">
        <v>0</v>
      </c>
      <c r="I3298" s="31" t="s">
        <v>1350</v>
      </c>
      <c r="J3298" s="5" t="s">
        <v>2485</v>
      </c>
      <c r="K3298" s="8"/>
    </row>
    <row r="3299" spans="1:11" x14ac:dyDescent="0.2">
      <c r="A3299" s="8">
        <v>2573</v>
      </c>
      <c r="B3299" s="8">
        <f t="shared" si="108"/>
        <v>2024</v>
      </c>
      <c r="C3299" s="8">
        <f t="shared" si="109"/>
        <v>3</v>
      </c>
      <c r="D3299" s="85">
        <v>45357</v>
      </c>
      <c r="E3299" s="31">
        <v>0</v>
      </c>
      <c r="F3299" s="31">
        <v>20000</v>
      </c>
      <c r="G3299" s="31">
        <v>0</v>
      </c>
      <c r="H3299" s="31">
        <v>0</v>
      </c>
      <c r="I3299" s="31" t="s">
        <v>85</v>
      </c>
      <c r="J3299" s="5" t="s">
        <v>2486</v>
      </c>
      <c r="K3299" s="8"/>
    </row>
    <row r="3300" spans="1:11" x14ac:dyDescent="0.2">
      <c r="A3300" s="8">
        <v>2574</v>
      </c>
      <c r="B3300" s="8">
        <f t="shared" si="108"/>
        <v>2024</v>
      </c>
      <c r="C3300" s="8">
        <f t="shared" si="109"/>
        <v>3</v>
      </c>
      <c r="D3300" s="85">
        <v>45357</v>
      </c>
      <c r="E3300" s="31">
        <v>0</v>
      </c>
      <c r="F3300" s="31">
        <v>18000</v>
      </c>
      <c r="G3300" s="31">
        <v>0</v>
      </c>
      <c r="H3300" s="31">
        <v>0</v>
      </c>
      <c r="I3300" s="31" t="s">
        <v>91</v>
      </c>
      <c r="J3300" s="5" t="s">
        <v>2358</v>
      </c>
      <c r="K3300" s="8"/>
    </row>
    <row r="3301" spans="1:11" x14ac:dyDescent="0.2">
      <c r="A3301" s="8">
        <v>2575</v>
      </c>
      <c r="B3301" s="8">
        <f t="shared" si="108"/>
        <v>2024</v>
      </c>
      <c r="C3301" s="8">
        <f t="shared" si="109"/>
        <v>3</v>
      </c>
      <c r="D3301" s="85">
        <v>45357</v>
      </c>
      <c r="E3301" s="31">
        <v>0</v>
      </c>
      <c r="F3301" s="31">
        <v>18000</v>
      </c>
      <c r="G3301" s="31">
        <v>0</v>
      </c>
      <c r="H3301" s="31">
        <v>0</v>
      </c>
      <c r="I3301" s="31" t="s">
        <v>149</v>
      </c>
      <c r="J3301" s="5" t="s">
        <v>2468</v>
      </c>
      <c r="K3301" s="8"/>
    </row>
    <row r="3302" spans="1:11" x14ac:dyDescent="0.2">
      <c r="A3302" s="8">
        <v>2576</v>
      </c>
      <c r="B3302" s="8">
        <f t="shared" si="108"/>
        <v>2024</v>
      </c>
      <c r="C3302" s="8">
        <f t="shared" si="109"/>
        <v>3</v>
      </c>
      <c r="D3302" s="85">
        <v>45357</v>
      </c>
      <c r="E3302" s="31">
        <v>0</v>
      </c>
      <c r="F3302" s="31">
        <v>61000</v>
      </c>
      <c r="G3302" s="31">
        <v>0</v>
      </c>
      <c r="H3302" s="31">
        <v>0</v>
      </c>
      <c r="I3302" s="31" t="s">
        <v>85</v>
      </c>
      <c r="J3302" s="5" t="s">
        <v>2487</v>
      </c>
      <c r="K3302" s="8"/>
    </row>
    <row r="3303" spans="1:11" x14ac:dyDescent="0.2">
      <c r="A3303" s="8">
        <v>2577</v>
      </c>
      <c r="B3303" s="8">
        <f t="shared" si="108"/>
        <v>2024</v>
      </c>
      <c r="C3303" s="8">
        <f t="shared" si="109"/>
        <v>3</v>
      </c>
      <c r="D3303" s="85">
        <v>45357</v>
      </c>
      <c r="E3303" s="31">
        <v>0</v>
      </c>
      <c r="F3303" s="31">
        <v>20000</v>
      </c>
      <c r="G3303" s="31">
        <v>0</v>
      </c>
      <c r="H3303" s="31">
        <v>0</v>
      </c>
      <c r="I3303" s="31" t="s">
        <v>1350</v>
      </c>
      <c r="J3303" s="5" t="s">
        <v>2488</v>
      </c>
      <c r="K3303" s="8"/>
    </row>
    <row r="3304" spans="1:11" x14ac:dyDescent="0.2">
      <c r="A3304" s="8">
        <v>2578</v>
      </c>
      <c r="B3304" s="8">
        <f t="shared" si="108"/>
        <v>2024</v>
      </c>
      <c r="C3304" s="8">
        <f t="shared" si="109"/>
        <v>3</v>
      </c>
      <c r="D3304" s="85">
        <v>45358</v>
      </c>
      <c r="E3304" s="31">
        <v>0</v>
      </c>
      <c r="F3304" s="31">
        <v>6000</v>
      </c>
      <c r="G3304" s="31">
        <v>0</v>
      </c>
      <c r="H3304" s="31">
        <v>0</v>
      </c>
      <c r="I3304" s="31" t="s">
        <v>1350</v>
      </c>
      <c r="J3304" s="5" t="s">
        <v>2417</v>
      </c>
      <c r="K3304" s="8"/>
    </row>
    <row r="3305" spans="1:11" x14ac:dyDescent="0.2">
      <c r="A3305" s="8">
        <v>2579</v>
      </c>
      <c r="B3305" s="8">
        <f t="shared" si="108"/>
        <v>2024</v>
      </c>
      <c r="C3305" s="8">
        <f t="shared" si="109"/>
        <v>3</v>
      </c>
      <c r="D3305" s="85">
        <v>45358</v>
      </c>
      <c r="E3305" s="31">
        <v>0</v>
      </c>
      <c r="F3305" s="31">
        <v>14000</v>
      </c>
      <c r="G3305" s="31">
        <v>0</v>
      </c>
      <c r="H3305" s="31">
        <v>0</v>
      </c>
      <c r="I3305" s="31" t="s">
        <v>91</v>
      </c>
      <c r="J3305" s="5" t="s">
        <v>2489</v>
      </c>
      <c r="K3305" s="8"/>
    </row>
    <row r="3306" spans="1:11" x14ac:dyDescent="0.2">
      <c r="A3306" s="8">
        <v>2580</v>
      </c>
      <c r="B3306" s="8">
        <f t="shared" si="108"/>
        <v>2024</v>
      </c>
      <c r="C3306" s="8">
        <f t="shared" si="109"/>
        <v>3</v>
      </c>
      <c r="D3306" s="85">
        <v>45358</v>
      </c>
      <c r="E3306" s="31">
        <v>0</v>
      </c>
      <c r="F3306" s="31">
        <v>15000</v>
      </c>
      <c r="G3306" s="31">
        <v>0</v>
      </c>
      <c r="H3306" s="31">
        <v>0</v>
      </c>
      <c r="I3306" s="31" t="s">
        <v>149</v>
      </c>
      <c r="J3306" s="5" t="s">
        <v>2357</v>
      </c>
      <c r="K3306" s="8"/>
    </row>
    <row r="3307" spans="1:11" x14ac:dyDescent="0.2">
      <c r="A3307" s="8">
        <v>2581</v>
      </c>
      <c r="B3307" s="8">
        <f t="shared" si="108"/>
        <v>2024</v>
      </c>
      <c r="C3307" s="8">
        <f t="shared" si="109"/>
        <v>3</v>
      </c>
      <c r="D3307" s="85">
        <v>45358</v>
      </c>
      <c r="E3307" s="31">
        <v>0</v>
      </c>
      <c r="F3307" s="31">
        <v>17000</v>
      </c>
      <c r="G3307" s="31">
        <v>0</v>
      </c>
      <c r="H3307" s="31">
        <v>0</v>
      </c>
      <c r="I3307" s="31" t="s">
        <v>85</v>
      </c>
      <c r="J3307" s="5" t="s">
        <v>2490</v>
      </c>
      <c r="K3307" s="8"/>
    </row>
    <row r="3308" spans="1:11" x14ac:dyDescent="0.2">
      <c r="A3308" s="8">
        <v>2582</v>
      </c>
      <c r="B3308" s="8">
        <f t="shared" si="108"/>
        <v>2024</v>
      </c>
      <c r="C3308" s="8">
        <f t="shared" si="109"/>
        <v>3</v>
      </c>
      <c r="D3308" s="85">
        <v>45358</v>
      </c>
      <c r="E3308" s="31">
        <v>0</v>
      </c>
      <c r="F3308" s="31">
        <v>22000</v>
      </c>
      <c r="G3308" s="31">
        <v>0</v>
      </c>
      <c r="H3308" s="31">
        <v>0</v>
      </c>
      <c r="I3308" s="31" t="s">
        <v>91</v>
      </c>
      <c r="J3308" s="5" t="s">
        <v>2491</v>
      </c>
      <c r="K3308" s="8"/>
    </row>
    <row r="3309" spans="1:11" x14ac:dyDescent="0.2">
      <c r="A3309" s="8">
        <v>2583</v>
      </c>
      <c r="B3309" s="8">
        <f t="shared" si="108"/>
        <v>2024</v>
      </c>
      <c r="C3309" s="8">
        <f t="shared" si="109"/>
        <v>3</v>
      </c>
      <c r="D3309" s="85">
        <v>45359</v>
      </c>
      <c r="E3309" s="31">
        <v>0</v>
      </c>
      <c r="F3309" s="31">
        <v>13000</v>
      </c>
      <c r="G3309" s="31">
        <v>0</v>
      </c>
      <c r="H3309" s="31">
        <v>0</v>
      </c>
      <c r="I3309" s="31" t="s">
        <v>1350</v>
      </c>
      <c r="J3309" s="5" t="s">
        <v>2492</v>
      </c>
      <c r="K3309" s="8"/>
    </row>
    <row r="3310" spans="1:11" x14ac:dyDescent="0.2">
      <c r="A3310" s="8">
        <v>2584</v>
      </c>
      <c r="B3310" s="8">
        <f t="shared" si="108"/>
        <v>2024</v>
      </c>
      <c r="C3310" s="8">
        <f t="shared" si="109"/>
        <v>3</v>
      </c>
      <c r="D3310" s="85">
        <v>45359</v>
      </c>
      <c r="E3310" s="31">
        <v>0</v>
      </c>
      <c r="F3310" s="31">
        <v>13000</v>
      </c>
      <c r="G3310" s="31">
        <v>0</v>
      </c>
      <c r="H3310" s="31">
        <v>0</v>
      </c>
      <c r="I3310" s="31" t="s">
        <v>91</v>
      </c>
      <c r="J3310" s="5" t="s">
        <v>2493</v>
      </c>
      <c r="K3310" s="8"/>
    </row>
    <row r="3311" spans="1:11" x14ac:dyDescent="0.2">
      <c r="A3311" s="8">
        <v>2585</v>
      </c>
      <c r="B3311" s="8">
        <f t="shared" si="108"/>
        <v>2024</v>
      </c>
      <c r="C3311" s="8">
        <f t="shared" si="109"/>
        <v>3</v>
      </c>
      <c r="D3311" s="85">
        <v>45359</v>
      </c>
      <c r="E3311" s="31">
        <v>0</v>
      </c>
      <c r="F3311" s="31">
        <v>7000</v>
      </c>
      <c r="G3311" s="31">
        <v>0</v>
      </c>
      <c r="H3311" s="31">
        <v>0</v>
      </c>
      <c r="I3311" s="31" t="s">
        <v>1350</v>
      </c>
      <c r="J3311" s="5" t="s">
        <v>2494</v>
      </c>
      <c r="K3311" s="8"/>
    </row>
    <row r="3312" spans="1:11" x14ac:dyDescent="0.2">
      <c r="A3312" s="8">
        <v>2586</v>
      </c>
      <c r="B3312" s="8">
        <f t="shared" si="108"/>
        <v>2024</v>
      </c>
      <c r="C3312" s="8">
        <f t="shared" si="109"/>
        <v>3</v>
      </c>
      <c r="D3312" s="85">
        <v>45359</v>
      </c>
      <c r="E3312" s="31">
        <v>0</v>
      </c>
      <c r="F3312" s="31">
        <v>21000</v>
      </c>
      <c r="G3312" s="31">
        <v>0</v>
      </c>
      <c r="H3312" s="31">
        <v>0</v>
      </c>
      <c r="I3312" s="31" t="s">
        <v>149</v>
      </c>
      <c r="J3312" s="5" t="s">
        <v>2495</v>
      </c>
      <c r="K3312" s="8"/>
    </row>
    <row r="3313" spans="1:11" x14ac:dyDescent="0.2">
      <c r="A3313" s="8">
        <v>2587</v>
      </c>
      <c r="B3313" s="8">
        <f t="shared" si="108"/>
        <v>2024</v>
      </c>
      <c r="C3313" s="8">
        <f t="shared" si="109"/>
        <v>3</v>
      </c>
      <c r="D3313" s="85">
        <v>45359</v>
      </c>
      <c r="E3313" s="31">
        <v>0</v>
      </c>
      <c r="F3313" s="31">
        <v>20000</v>
      </c>
      <c r="G3313" s="31">
        <v>0</v>
      </c>
      <c r="H3313" s="31">
        <v>0</v>
      </c>
      <c r="I3313" s="31" t="s">
        <v>149</v>
      </c>
      <c r="J3313" s="5" t="s">
        <v>2496</v>
      </c>
      <c r="K3313" s="8"/>
    </row>
    <row r="3314" spans="1:11" x14ac:dyDescent="0.2">
      <c r="A3314" s="8">
        <v>2588</v>
      </c>
      <c r="B3314" s="8">
        <f t="shared" si="108"/>
        <v>2024</v>
      </c>
      <c r="C3314" s="8">
        <f t="shared" si="109"/>
        <v>3</v>
      </c>
      <c r="D3314" s="85">
        <v>45359</v>
      </c>
      <c r="E3314" s="31">
        <v>0</v>
      </c>
      <c r="F3314" s="31">
        <v>50000</v>
      </c>
      <c r="G3314" s="31">
        <v>0</v>
      </c>
      <c r="H3314" s="31">
        <v>0</v>
      </c>
      <c r="I3314" s="31" t="s">
        <v>1815</v>
      </c>
      <c r="J3314" s="5" t="s">
        <v>2497</v>
      </c>
      <c r="K3314" s="8"/>
    </row>
    <row r="3315" spans="1:11" x14ac:dyDescent="0.2">
      <c r="A3315" s="8">
        <v>2589</v>
      </c>
      <c r="B3315" s="8">
        <f t="shared" si="108"/>
        <v>2024</v>
      </c>
      <c r="C3315" s="8">
        <f t="shared" si="109"/>
        <v>3</v>
      </c>
      <c r="D3315" s="85">
        <v>45359</v>
      </c>
      <c r="E3315" s="31">
        <v>0</v>
      </c>
      <c r="F3315" s="31">
        <v>15000</v>
      </c>
      <c r="G3315" s="31">
        <v>0</v>
      </c>
      <c r="H3315" s="31">
        <v>0</v>
      </c>
      <c r="I3315" s="31" t="s">
        <v>85</v>
      </c>
      <c r="J3315" s="5" t="s">
        <v>2498</v>
      </c>
      <c r="K3315" s="8"/>
    </row>
    <row r="3316" spans="1:11" x14ac:dyDescent="0.2">
      <c r="A3316" s="8">
        <v>2423</v>
      </c>
      <c r="B3316" s="8">
        <f t="shared" si="108"/>
        <v>2024</v>
      </c>
      <c r="C3316" s="8">
        <f t="shared" si="109"/>
        <v>3</v>
      </c>
      <c r="D3316" s="85">
        <v>45360</v>
      </c>
      <c r="E3316" s="31">
        <v>0</v>
      </c>
      <c r="F3316" s="31">
        <v>5000</v>
      </c>
      <c r="G3316" s="31">
        <v>0</v>
      </c>
      <c r="H3316" s="31">
        <v>0</v>
      </c>
      <c r="I3316" s="31" t="s">
        <v>1999</v>
      </c>
      <c r="J3316" s="5" t="s">
        <v>2499</v>
      </c>
      <c r="K3316" s="8"/>
    </row>
    <row r="3317" spans="1:11" x14ac:dyDescent="0.2">
      <c r="A3317" s="8">
        <v>2406</v>
      </c>
      <c r="B3317" s="8">
        <f t="shared" si="108"/>
        <v>2024</v>
      </c>
      <c r="C3317" s="8">
        <f t="shared" si="109"/>
        <v>3</v>
      </c>
      <c r="D3317" s="85">
        <v>45360</v>
      </c>
      <c r="E3317" s="31">
        <v>0</v>
      </c>
      <c r="F3317" s="31">
        <v>40000</v>
      </c>
      <c r="G3317" s="31">
        <v>0</v>
      </c>
      <c r="H3317" s="31">
        <v>0</v>
      </c>
      <c r="I3317" s="31" t="s">
        <v>1350</v>
      </c>
      <c r="J3317" s="5" t="s">
        <v>2500</v>
      </c>
      <c r="K3317" s="8"/>
    </row>
    <row r="3318" spans="1:11" x14ac:dyDescent="0.2">
      <c r="A3318" s="8">
        <v>2407</v>
      </c>
      <c r="B3318" s="8">
        <f t="shared" si="108"/>
        <v>2024</v>
      </c>
      <c r="C3318" s="8">
        <f t="shared" si="109"/>
        <v>3</v>
      </c>
      <c r="D3318" s="85">
        <v>45360</v>
      </c>
      <c r="E3318" s="31">
        <v>0</v>
      </c>
      <c r="F3318" s="31">
        <v>35000</v>
      </c>
      <c r="G3318" s="31">
        <v>0</v>
      </c>
      <c r="H3318" s="31">
        <v>0</v>
      </c>
      <c r="I3318" s="31" t="s">
        <v>85</v>
      </c>
      <c r="J3318" s="5" t="s">
        <v>2501</v>
      </c>
      <c r="K3318" s="8"/>
    </row>
    <row r="3319" spans="1:11" x14ac:dyDescent="0.2">
      <c r="A3319" s="8">
        <v>2408</v>
      </c>
      <c r="B3319" s="8">
        <f t="shared" si="108"/>
        <v>2024</v>
      </c>
      <c r="C3319" s="8">
        <f t="shared" si="109"/>
        <v>3</v>
      </c>
      <c r="D3319" s="85">
        <v>45360</v>
      </c>
      <c r="E3319" s="31">
        <v>0</v>
      </c>
      <c r="F3319" s="31">
        <v>300000</v>
      </c>
      <c r="G3319" s="31">
        <v>0</v>
      </c>
      <c r="H3319" s="31">
        <v>0</v>
      </c>
      <c r="I3319" s="31" t="s">
        <v>1999</v>
      </c>
      <c r="J3319" s="5" t="s">
        <v>2502</v>
      </c>
      <c r="K3319" s="8"/>
    </row>
    <row r="3320" spans="1:11" x14ac:dyDescent="0.2">
      <c r="A3320" s="8">
        <v>2409</v>
      </c>
      <c r="B3320" s="8">
        <f t="shared" si="108"/>
        <v>2024</v>
      </c>
      <c r="C3320" s="8">
        <f t="shared" si="109"/>
        <v>3</v>
      </c>
      <c r="D3320" s="85">
        <v>45360</v>
      </c>
      <c r="E3320" s="31">
        <v>0</v>
      </c>
      <c r="F3320" s="31">
        <v>20000</v>
      </c>
      <c r="G3320" s="31">
        <v>0</v>
      </c>
      <c r="H3320" s="31">
        <v>0</v>
      </c>
      <c r="I3320" s="31" t="s">
        <v>1815</v>
      </c>
      <c r="J3320" s="5" t="s">
        <v>2408</v>
      </c>
      <c r="K3320" s="8"/>
    </row>
    <row r="3321" spans="1:11" x14ac:dyDescent="0.2">
      <c r="A3321" s="8">
        <v>2410</v>
      </c>
      <c r="B3321" s="8">
        <f t="shared" si="108"/>
        <v>2024</v>
      </c>
      <c r="C3321" s="8">
        <f t="shared" si="109"/>
        <v>3</v>
      </c>
      <c r="D3321" s="85">
        <v>45360</v>
      </c>
      <c r="E3321" s="31">
        <v>0</v>
      </c>
      <c r="F3321" s="31">
        <v>140000</v>
      </c>
      <c r="G3321" s="31">
        <v>0</v>
      </c>
      <c r="H3321" s="31">
        <v>0</v>
      </c>
      <c r="I3321" s="31" t="s">
        <v>299</v>
      </c>
      <c r="J3321" s="5" t="s">
        <v>2503</v>
      </c>
      <c r="K3321" s="8"/>
    </row>
    <row r="3322" spans="1:11" x14ac:dyDescent="0.2">
      <c r="A3322" s="8">
        <v>2411</v>
      </c>
      <c r="B3322" s="8">
        <f t="shared" si="108"/>
        <v>2024</v>
      </c>
      <c r="C3322" s="8">
        <f t="shared" si="109"/>
        <v>3</v>
      </c>
      <c r="D3322" s="85">
        <v>45361</v>
      </c>
      <c r="E3322" s="31">
        <v>0</v>
      </c>
      <c r="F3322" s="31">
        <v>10000</v>
      </c>
      <c r="G3322" s="31">
        <v>0</v>
      </c>
      <c r="H3322" s="31">
        <v>0</v>
      </c>
      <c r="I3322" s="31" t="s">
        <v>91</v>
      </c>
      <c r="J3322" s="5" t="s">
        <v>2504</v>
      </c>
      <c r="K3322" s="8"/>
    </row>
    <row r="3323" spans="1:11" x14ac:dyDescent="0.2">
      <c r="A3323" s="8">
        <v>2412</v>
      </c>
      <c r="B3323" s="8">
        <f t="shared" si="108"/>
        <v>2024</v>
      </c>
      <c r="C3323" s="8">
        <f t="shared" si="109"/>
        <v>3</v>
      </c>
      <c r="D3323" s="85">
        <v>45361</v>
      </c>
      <c r="E3323" s="31">
        <v>0</v>
      </c>
      <c r="F3323" s="31">
        <v>95000</v>
      </c>
      <c r="G3323" s="31">
        <v>0</v>
      </c>
      <c r="H3323" s="31">
        <v>0</v>
      </c>
      <c r="I3323" s="31" t="s">
        <v>1815</v>
      </c>
      <c r="J3323" s="5" t="s">
        <v>2505</v>
      </c>
      <c r="K3323" s="8"/>
    </row>
    <row r="3324" spans="1:11" x14ac:dyDescent="0.2">
      <c r="A3324" s="8">
        <v>2413</v>
      </c>
      <c r="B3324" s="8">
        <f t="shared" si="108"/>
        <v>2024</v>
      </c>
      <c r="C3324" s="8">
        <f t="shared" si="109"/>
        <v>3</v>
      </c>
      <c r="D3324" s="85">
        <v>45361</v>
      </c>
      <c r="E3324" s="31">
        <v>0</v>
      </c>
      <c r="F3324" s="31">
        <v>85000</v>
      </c>
      <c r="G3324" s="31">
        <v>0</v>
      </c>
      <c r="H3324" s="31">
        <v>0</v>
      </c>
      <c r="I3324" s="31" t="s">
        <v>1815</v>
      </c>
      <c r="J3324" s="5" t="s">
        <v>2506</v>
      </c>
      <c r="K3324" s="8"/>
    </row>
    <row r="3325" spans="1:11" x14ac:dyDescent="0.2">
      <c r="A3325" s="8">
        <v>2414</v>
      </c>
      <c r="B3325" s="8">
        <f t="shared" si="108"/>
        <v>2024</v>
      </c>
      <c r="C3325" s="8">
        <f t="shared" si="109"/>
        <v>3</v>
      </c>
      <c r="D3325" s="85">
        <v>45362</v>
      </c>
      <c r="E3325" s="31">
        <v>0</v>
      </c>
      <c r="F3325" s="31">
        <v>6000</v>
      </c>
      <c r="G3325" s="31">
        <v>0</v>
      </c>
      <c r="H3325" s="31">
        <v>0</v>
      </c>
      <c r="I3325" s="31" t="s">
        <v>1350</v>
      </c>
      <c r="J3325" s="5" t="s">
        <v>2466</v>
      </c>
      <c r="K3325" s="8"/>
    </row>
    <row r="3326" spans="1:11" x14ac:dyDescent="0.2">
      <c r="A3326" s="8">
        <v>2415</v>
      </c>
      <c r="B3326" s="8">
        <f t="shared" si="108"/>
        <v>2024</v>
      </c>
      <c r="C3326" s="8">
        <f t="shared" si="109"/>
        <v>3</v>
      </c>
      <c r="D3326" s="85">
        <v>45362</v>
      </c>
      <c r="E3326" s="31">
        <v>0</v>
      </c>
      <c r="F3326" s="31">
        <v>13000</v>
      </c>
      <c r="G3326" s="31">
        <v>0</v>
      </c>
      <c r="H3326" s="31">
        <v>0</v>
      </c>
      <c r="I3326" s="31" t="s">
        <v>91</v>
      </c>
      <c r="J3326" s="5" t="s">
        <v>2493</v>
      </c>
      <c r="K3326" s="8"/>
    </row>
    <row r="3327" spans="1:11" x14ac:dyDescent="0.2">
      <c r="A3327" s="8">
        <v>2416</v>
      </c>
      <c r="B3327" s="8">
        <f t="shared" si="108"/>
        <v>2024</v>
      </c>
      <c r="C3327" s="8">
        <f t="shared" si="109"/>
        <v>3</v>
      </c>
      <c r="D3327" s="85">
        <v>45362</v>
      </c>
      <c r="E3327" s="31">
        <v>0</v>
      </c>
      <c r="F3327" s="31">
        <v>21000</v>
      </c>
      <c r="G3327" s="31">
        <v>0</v>
      </c>
      <c r="H3327" s="31">
        <v>0</v>
      </c>
      <c r="I3327" s="31" t="s">
        <v>149</v>
      </c>
      <c r="J3327" s="5" t="s">
        <v>2507</v>
      </c>
      <c r="K3327" s="8"/>
    </row>
    <row r="3328" spans="1:11" x14ac:dyDescent="0.2">
      <c r="A3328" s="8">
        <v>2417</v>
      </c>
      <c r="B3328" s="8">
        <f t="shared" si="108"/>
        <v>2024</v>
      </c>
      <c r="C3328" s="8">
        <f t="shared" si="109"/>
        <v>3</v>
      </c>
      <c r="D3328" s="85">
        <v>45363</v>
      </c>
      <c r="E3328" s="31">
        <v>0</v>
      </c>
      <c r="F3328" s="31">
        <v>6000</v>
      </c>
      <c r="G3328" s="31">
        <v>0</v>
      </c>
      <c r="H3328" s="31">
        <v>0</v>
      </c>
      <c r="I3328" s="31" t="s">
        <v>1350</v>
      </c>
      <c r="J3328" s="5" t="s">
        <v>2466</v>
      </c>
      <c r="K3328" s="8"/>
    </row>
    <row r="3329" spans="1:11" x14ac:dyDescent="0.2">
      <c r="A3329" s="8">
        <v>2418</v>
      </c>
      <c r="B3329" s="8">
        <f t="shared" si="108"/>
        <v>2024</v>
      </c>
      <c r="C3329" s="8">
        <f t="shared" si="109"/>
        <v>3</v>
      </c>
      <c r="D3329" s="85">
        <v>45363</v>
      </c>
      <c r="E3329" s="31">
        <v>0</v>
      </c>
      <c r="F3329" s="31">
        <v>15000</v>
      </c>
      <c r="G3329" s="31">
        <v>0</v>
      </c>
      <c r="H3329" s="31">
        <v>0</v>
      </c>
      <c r="I3329" s="31" t="s">
        <v>149</v>
      </c>
      <c r="J3329" s="5" t="s">
        <v>2357</v>
      </c>
      <c r="K3329" s="8"/>
    </row>
    <row r="3330" spans="1:11" x14ac:dyDescent="0.2">
      <c r="A3330" s="8">
        <v>2419</v>
      </c>
      <c r="B3330" s="8">
        <f t="shared" si="108"/>
        <v>2024</v>
      </c>
      <c r="C3330" s="8">
        <f t="shared" si="109"/>
        <v>3</v>
      </c>
      <c r="D3330" s="85">
        <v>45363</v>
      </c>
      <c r="E3330" s="31">
        <v>0</v>
      </c>
      <c r="F3330" s="31">
        <v>13000</v>
      </c>
      <c r="G3330" s="31">
        <v>0</v>
      </c>
      <c r="H3330" s="31">
        <v>0</v>
      </c>
      <c r="I3330" s="31" t="s">
        <v>91</v>
      </c>
      <c r="J3330" s="5" t="s">
        <v>2493</v>
      </c>
      <c r="K3330" s="8"/>
    </row>
    <row r="3331" spans="1:11" x14ac:dyDescent="0.2">
      <c r="A3331" s="8">
        <v>2420</v>
      </c>
      <c r="B3331" s="8">
        <f t="shared" ref="B3331:B3394" si="110">YEAR(D3331)</f>
        <v>2024</v>
      </c>
      <c r="C3331" s="8">
        <f t="shared" ref="C3331:C3394" si="111">MONTH(D3331)</f>
        <v>3</v>
      </c>
      <c r="D3331" s="85">
        <v>45364</v>
      </c>
      <c r="E3331" s="31">
        <v>0</v>
      </c>
      <c r="F3331" s="31">
        <v>6000</v>
      </c>
      <c r="G3331" s="31">
        <v>0</v>
      </c>
      <c r="H3331" s="31">
        <v>0</v>
      </c>
      <c r="I3331" s="31" t="s">
        <v>1350</v>
      </c>
      <c r="J3331" s="5" t="s">
        <v>2508</v>
      </c>
      <c r="K3331" s="8"/>
    </row>
    <row r="3332" spans="1:11" x14ac:dyDescent="0.2">
      <c r="A3332" s="8">
        <v>2421</v>
      </c>
      <c r="B3332" s="8">
        <f t="shared" si="110"/>
        <v>2024</v>
      </c>
      <c r="C3332" s="8">
        <f t="shared" si="111"/>
        <v>3</v>
      </c>
      <c r="D3332" s="85">
        <v>45364</v>
      </c>
      <c r="E3332" s="31">
        <v>0</v>
      </c>
      <c r="F3332" s="31">
        <v>21000</v>
      </c>
      <c r="G3332" s="31">
        <v>0</v>
      </c>
      <c r="H3332" s="31">
        <v>0</v>
      </c>
      <c r="I3332" s="31" t="s">
        <v>149</v>
      </c>
      <c r="J3332" s="5" t="s">
        <v>2507</v>
      </c>
      <c r="K3332" s="8"/>
    </row>
    <row r="3333" spans="1:11" x14ac:dyDescent="0.2">
      <c r="A3333" s="8">
        <v>2422</v>
      </c>
      <c r="B3333" s="8">
        <f t="shared" si="110"/>
        <v>2024</v>
      </c>
      <c r="C3333" s="8">
        <f t="shared" si="111"/>
        <v>3</v>
      </c>
      <c r="D3333" s="85">
        <v>45364</v>
      </c>
      <c r="E3333" s="31">
        <v>0</v>
      </c>
      <c r="F3333" s="31">
        <v>13000</v>
      </c>
      <c r="G3333" s="31">
        <v>0</v>
      </c>
      <c r="H3333" s="31">
        <v>0</v>
      </c>
      <c r="I3333" s="31" t="s">
        <v>91</v>
      </c>
      <c r="J3333" s="5" t="s">
        <v>2493</v>
      </c>
      <c r="K3333" s="8"/>
    </row>
    <row r="3334" spans="1:11" x14ac:dyDescent="0.2">
      <c r="A3334" s="8">
        <v>2423</v>
      </c>
      <c r="B3334" s="8">
        <f t="shared" si="110"/>
        <v>2024</v>
      </c>
      <c r="C3334" s="8">
        <f t="shared" si="111"/>
        <v>3</v>
      </c>
      <c r="D3334" s="85">
        <v>45365</v>
      </c>
      <c r="E3334" s="31">
        <v>0</v>
      </c>
      <c r="F3334" s="31">
        <v>6000</v>
      </c>
      <c r="G3334" s="31">
        <v>0</v>
      </c>
      <c r="H3334" s="31">
        <v>0</v>
      </c>
      <c r="I3334" s="31" t="s">
        <v>1350</v>
      </c>
      <c r="J3334" s="5" t="s">
        <v>2466</v>
      </c>
      <c r="K3334" s="8"/>
    </row>
    <row r="3335" spans="1:11" x14ac:dyDescent="0.2">
      <c r="A3335" s="8">
        <v>2424</v>
      </c>
      <c r="B3335" s="8">
        <f t="shared" si="110"/>
        <v>2024</v>
      </c>
      <c r="C3335" s="8">
        <f t="shared" si="111"/>
        <v>3</v>
      </c>
      <c r="D3335" s="85">
        <v>45365</v>
      </c>
      <c r="E3335" s="31">
        <v>0</v>
      </c>
      <c r="F3335" s="31">
        <v>15000</v>
      </c>
      <c r="G3335" s="31">
        <v>0</v>
      </c>
      <c r="H3335" s="31">
        <v>0</v>
      </c>
      <c r="I3335" s="31" t="s">
        <v>149</v>
      </c>
      <c r="J3335" s="5" t="s">
        <v>2357</v>
      </c>
      <c r="K3335" s="8"/>
    </row>
    <row r="3336" spans="1:11" x14ac:dyDescent="0.2">
      <c r="A3336" s="8">
        <v>2425</v>
      </c>
      <c r="B3336" s="8">
        <f t="shared" si="110"/>
        <v>2024</v>
      </c>
      <c r="C3336" s="8">
        <f t="shared" si="111"/>
        <v>3</v>
      </c>
      <c r="D3336" s="85">
        <v>45365</v>
      </c>
      <c r="E3336" s="31">
        <v>0</v>
      </c>
      <c r="F3336" s="31">
        <v>15000</v>
      </c>
      <c r="G3336" s="31">
        <v>0</v>
      </c>
      <c r="H3336" s="31">
        <v>0</v>
      </c>
      <c r="I3336" s="31" t="s">
        <v>91</v>
      </c>
      <c r="J3336" s="5" t="s">
        <v>2418</v>
      </c>
      <c r="K3336" s="8"/>
    </row>
    <row r="3337" spans="1:11" x14ac:dyDescent="0.2">
      <c r="A3337" s="8">
        <v>2426</v>
      </c>
      <c r="B3337" s="8">
        <f t="shared" si="110"/>
        <v>2024</v>
      </c>
      <c r="C3337" s="8">
        <f t="shared" si="111"/>
        <v>3</v>
      </c>
      <c r="D3337" s="85">
        <v>45365</v>
      </c>
      <c r="E3337" s="31">
        <v>0</v>
      </c>
      <c r="F3337" s="31">
        <v>15000</v>
      </c>
      <c r="G3337" s="31">
        <v>0</v>
      </c>
      <c r="H3337" s="31">
        <v>0</v>
      </c>
      <c r="I3337" s="31" t="s">
        <v>85</v>
      </c>
      <c r="J3337" s="5" t="s">
        <v>2509</v>
      </c>
      <c r="K3337" s="8"/>
    </row>
    <row r="3338" spans="1:11" x14ac:dyDescent="0.2">
      <c r="A3338" s="8">
        <v>2427</v>
      </c>
      <c r="B3338" s="8">
        <f t="shared" si="110"/>
        <v>2024</v>
      </c>
      <c r="C3338" s="8">
        <f t="shared" si="111"/>
        <v>3</v>
      </c>
      <c r="D3338" s="85">
        <v>45366</v>
      </c>
      <c r="E3338" s="31">
        <v>0</v>
      </c>
      <c r="F3338" s="31">
        <v>25000</v>
      </c>
      <c r="G3338" s="31">
        <v>0</v>
      </c>
      <c r="H3338" s="31">
        <v>0</v>
      </c>
      <c r="I3338" s="31" t="s">
        <v>91</v>
      </c>
      <c r="J3338" s="5" t="s">
        <v>2363</v>
      </c>
      <c r="K3338" s="8"/>
    </row>
    <row r="3339" spans="1:11" x14ac:dyDescent="0.2">
      <c r="A3339" s="8">
        <v>2428</v>
      </c>
      <c r="B3339" s="8">
        <f t="shared" si="110"/>
        <v>2024</v>
      </c>
      <c r="C3339" s="8">
        <f t="shared" si="111"/>
        <v>3</v>
      </c>
      <c r="D3339" s="85">
        <v>45366</v>
      </c>
      <c r="E3339" s="31">
        <v>0</v>
      </c>
      <c r="F3339" s="31">
        <v>18000</v>
      </c>
      <c r="G3339" s="31">
        <v>0</v>
      </c>
      <c r="H3339" s="31">
        <v>0</v>
      </c>
      <c r="I3339" s="31" t="s">
        <v>149</v>
      </c>
      <c r="J3339" s="5" t="s">
        <v>2473</v>
      </c>
      <c r="K3339" s="8"/>
    </row>
    <row r="3340" spans="1:11" x14ac:dyDescent="0.2">
      <c r="A3340" s="8">
        <v>2429</v>
      </c>
      <c r="B3340" s="8">
        <f t="shared" si="110"/>
        <v>2024</v>
      </c>
      <c r="C3340" s="8">
        <f t="shared" si="111"/>
        <v>3</v>
      </c>
      <c r="D3340" s="85">
        <v>45367</v>
      </c>
      <c r="E3340" s="31">
        <v>0</v>
      </c>
      <c r="F3340" s="31">
        <v>134000</v>
      </c>
      <c r="G3340" s="31">
        <v>0</v>
      </c>
      <c r="H3340" s="31">
        <v>0</v>
      </c>
      <c r="I3340" s="31" t="s">
        <v>335</v>
      </c>
      <c r="J3340" s="5" t="s">
        <v>2510</v>
      </c>
      <c r="K3340" s="8"/>
    </row>
    <row r="3341" spans="1:11" x14ac:dyDescent="0.2">
      <c r="A3341" s="8">
        <v>2430</v>
      </c>
      <c r="B3341" s="8">
        <f t="shared" si="110"/>
        <v>2024</v>
      </c>
      <c r="C3341" s="8">
        <f t="shared" si="111"/>
        <v>3</v>
      </c>
      <c r="D3341" s="85">
        <v>45367</v>
      </c>
      <c r="E3341" s="31">
        <v>0</v>
      </c>
      <c r="F3341" s="31">
        <v>9000</v>
      </c>
      <c r="G3341" s="31">
        <v>0</v>
      </c>
      <c r="H3341" s="31">
        <v>0</v>
      </c>
      <c r="I3341" s="31" t="s">
        <v>149</v>
      </c>
      <c r="J3341" s="5" t="s">
        <v>2420</v>
      </c>
      <c r="K3341" s="8"/>
    </row>
    <row r="3342" spans="1:11" x14ac:dyDescent="0.2">
      <c r="A3342" s="8">
        <v>2431</v>
      </c>
      <c r="B3342" s="8">
        <f t="shared" si="110"/>
        <v>2024</v>
      </c>
      <c r="C3342" s="8">
        <f t="shared" si="111"/>
        <v>3</v>
      </c>
      <c r="D3342" s="85">
        <v>45367</v>
      </c>
      <c r="E3342" s="31">
        <v>0</v>
      </c>
      <c r="F3342" s="31">
        <v>8000</v>
      </c>
      <c r="G3342" s="31">
        <v>0</v>
      </c>
      <c r="H3342" s="31">
        <v>0</v>
      </c>
      <c r="I3342" s="31" t="s">
        <v>91</v>
      </c>
      <c r="J3342" s="5" t="s">
        <v>2511</v>
      </c>
      <c r="K3342" s="8"/>
    </row>
    <row r="3343" spans="1:11" x14ac:dyDescent="0.2">
      <c r="A3343" s="8">
        <v>2432</v>
      </c>
      <c r="B3343" s="8">
        <f t="shared" si="110"/>
        <v>2024</v>
      </c>
      <c r="C3343" s="8">
        <f t="shared" si="111"/>
        <v>3</v>
      </c>
      <c r="D3343" s="85">
        <v>45367</v>
      </c>
      <c r="E3343" s="31">
        <v>0</v>
      </c>
      <c r="F3343" s="31">
        <v>10000</v>
      </c>
      <c r="G3343" s="31">
        <v>0</v>
      </c>
      <c r="H3343" s="31">
        <v>0</v>
      </c>
      <c r="I3343" s="31" t="s">
        <v>85</v>
      </c>
      <c r="J3343" s="5" t="s">
        <v>2512</v>
      </c>
      <c r="K3343" s="8"/>
    </row>
    <row r="3344" spans="1:11" x14ac:dyDescent="0.2">
      <c r="A3344" s="8">
        <v>2433</v>
      </c>
      <c r="B3344" s="8">
        <f t="shared" si="110"/>
        <v>2024</v>
      </c>
      <c r="C3344" s="8">
        <f t="shared" si="111"/>
        <v>3</v>
      </c>
      <c r="D3344" s="85">
        <v>45367</v>
      </c>
      <c r="E3344" s="31">
        <v>0</v>
      </c>
      <c r="F3344" s="31">
        <v>80000</v>
      </c>
      <c r="G3344" s="31">
        <v>0</v>
      </c>
      <c r="H3344" s="31">
        <v>0</v>
      </c>
      <c r="I3344" s="31" t="s">
        <v>1815</v>
      </c>
      <c r="J3344" s="5" t="s">
        <v>2513</v>
      </c>
      <c r="K3344" s="8"/>
    </row>
    <row r="3345" spans="1:11" x14ac:dyDescent="0.2">
      <c r="A3345" s="8">
        <v>2434</v>
      </c>
      <c r="B3345" s="8">
        <f t="shared" si="110"/>
        <v>2024</v>
      </c>
      <c r="C3345" s="8">
        <f t="shared" si="111"/>
        <v>3</v>
      </c>
      <c r="D3345" s="85">
        <v>45367</v>
      </c>
      <c r="E3345" s="31">
        <v>0</v>
      </c>
      <c r="F3345" s="31">
        <v>60000</v>
      </c>
      <c r="G3345" s="31">
        <v>0</v>
      </c>
      <c r="H3345" s="31">
        <v>0</v>
      </c>
      <c r="I3345" s="31" t="s">
        <v>1815</v>
      </c>
      <c r="J3345" s="5" t="s">
        <v>2514</v>
      </c>
      <c r="K3345" s="8"/>
    </row>
    <row r="3346" spans="1:11" x14ac:dyDescent="0.2">
      <c r="A3346" s="8">
        <v>2435</v>
      </c>
      <c r="B3346" s="8">
        <f t="shared" si="110"/>
        <v>2024</v>
      </c>
      <c r="C3346" s="8">
        <f t="shared" si="111"/>
        <v>3</v>
      </c>
      <c r="D3346" s="85">
        <v>45368</v>
      </c>
      <c r="E3346" s="31">
        <v>0</v>
      </c>
      <c r="F3346" s="31">
        <v>0</v>
      </c>
      <c r="G3346" s="31">
        <v>0</v>
      </c>
      <c r="H3346" s="31">
        <v>0</v>
      </c>
      <c r="I3346" s="31" t="s">
        <v>85</v>
      </c>
      <c r="J3346" s="5" t="s">
        <v>2515</v>
      </c>
      <c r="K3346" s="8"/>
    </row>
    <row r="3347" spans="1:11" x14ac:dyDescent="0.2">
      <c r="A3347" s="8">
        <v>2436</v>
      </c>
      <c r="B3347" s="8">
        <f t="shared" si="110"/>
        <v>2024</v>
      </c>
      <c r="C3347" s="8">
        <f t="shared" si="111"/>
        <v>3</v>
      </c>
      <c r="D3347" s="85">
        <v>45369</v>
      </c>
      <c r="E3347" s="31">
        <v>0</v>
      </c>
      <c r="F3347" s="31">
        <v>15000</v>
      </c>
      <c r="G3347" s="31">
        <v>0</v>
      </c>
      <c r="H3347" s="31">
        <v>0</v>
      </c>
      <c r="I3347" s="31" t="s">
        <v>91</v>
      </c>
      <c r="J3347" s="5" t="s">
        <v>2418</v>
      </c>
      <c r="K3347" s="8"/>
    </row>
    <row r="3348" spans="1:11" x14ac:dyDescent="0.2">
      <c r="A3348" s="8">
        <v>2437</v>
      </c>
      <c r="B3348" s="8">
        <f t="shared" si="110"/>
        <v>2024</v>
      </c>
      <c r="C3348" s="8">
        <f t="shared" si="111"/>
        <v>3</v>
      </c>
      <c r="D3348" s="85">
        <v>45369</v>
      </c>
      <c r="E3348" s="31">
        <v>0</v>
      </c>
      <c r="F3348" s="31">
        <v>18000</v>
      </c>
      <c r="G3348" s="31">
        <v>0</v>
      </c>
      <c r="H3348" s="31">
        <v>0</v>
      </c>
      <c r="I3348" s="31" t="s">
        <v>149</v>
      </c>
      <c r="J3348" s="5" t="s">
        <v>2473</v>
      </c>
      <c r="K3348" s="8"/>
    </row>
    <row r="3349" spans="1:11" x14ac:dyDescent="0.2">
      <c r="A3349" s="8">
        <v>2438</v>
      </c>
      <c r="B3349" s="8">
        <f t="shared" si="110"/>
        <v>2024</v>
      </c>
      <c r="C3349" s="8">
        <f t="shared" si="111"/>
        <v>3</v>
      </c>
      <c r="D3349" s="85">
        <v>45370</v>
      </c>
      <c r="E3349" s="31">
        <v>0</v>
      </c>
      <c r="F3349" s="31">
        <v>26000</v>
      </c>
      <c r="G3349" s="31">
        <v>0</v>
      </c>
      <c r="H3349" s="31">
        <v>0</v>
      </c>
      <c r="I3349" s="31" t="s">
        <v>91</v>
      </c>
      <c r="J3349" s="5" t="s">
        <v>2516</v>
      </c>
      <c r="K3349" s="8"/>
    </row>
    <row r="3350" spans="1:11" x14ac:dyDescent="0.2">
      <c r="A3350" s="8">
        <v>2439</v>
      </c>
      <c r="B3350" s="8">
        <f t="shared" si="110"/>
        <v>2024</v>
      </c>
      <c r="C3350" s="8">
        <f t="shared" si="111"/>
        <v>3</v>
      </c>
      <c r="D3350" s="85">
        <v>45370</v>
      </c>
      <c r="E3350" s="31">
        <v>0</v>
      </c>
      <c r="F3350" s="31">
        <v>16000</v>
      </c>
      <c r="G3350" s="31">
        <v>0</v>
      </c>
      <c r="H3350" s="31">
        <v>0</v>
      </c>
      <c r="I3350" s="31" t="s">
        <v>1350</v>
      </c>
      <c r="J3350" s="5" t="s">
        <v>2517</v>
      </c>
      <c r="K3350" s="8"/>
    </row>
    <row r="3351" spans="1:11" x14ac:dyDescent="0.2">
      <c r="A3351" s="8">
        <v>2440</v>
      </c>
      <c r="B3351" s="8">
        <f t="shared" si="110"/>
        <v>2024</v>
      </c>
      <c r="C3351" s="8">
        <f t="shared" si="111"/>
        <v>3</v>
      </c>
      <c r="D3351" s="85">
        <v>45370</v>
      </c>
      <c r="E3351" s="31">
        <v>0</v>
      </c>
      <c r="F3351" s="31">
        <v>90000</v>
      </c>
      <c r="G3351" s="31">
        <v>0</v>
      </c>
      <c r="H3351" s="31">
        <v>0</v>
      </c>
      <c r="I3351" s="31" t="s">
        <v>85</v>
      </c>
      <c r="J3351" s="5" t="s">
        <v>2518</v>
      </c>
      <c r="K3351" s="8"/>
    </row>
    <row r="3352" spans="1:11" x14ac:dyDescent="0.2">
      <c r="A3352" s="8">
        <v>2442</v>
      </c>
      <c r="B3352" s="8">
        <f t="shared" si="110"/>
        <v>2024</v>
      </c>
      <c r="C3352" s="8">
        <f t="shared" si="111"/>
        <v>3</v>
      </c>
      <c r="D3352" s="85">
        <v>45370</v>
      </c>
      <c r="E3352" s="31">
        <v>0</v>
      </c>
      <c r="F3352" s="31">
        <v>30000</v>
      </c>
      <c r="G3352" s="31">
        <v>0</v>
      </c>
      <c r="H3352" s="31">
        <v>0</v>
      </c>
      <c r="I3352" s="31" t="s">
        <v>91</v>
      </c>
      <c r="J3352" s="5" t="s">
        <v>2382</v>
      </c>
      <c r="K3352" s="8"/>
    </row>
    <row r="3353" spans="1:11" x14ac:dyDescent="0.2">
      <c r="A3353" s="8">
        <v>2443</v>
      </c>
      <c r="B3353" s="8">
        <f t="shared" si="110"/>
        <v>2024</v>
      </c>
      <c r="C3353" s="8">
        <f t="shared" si="111"/>
        <v>3</v>
      </c>
      <c r="D3353" s="85">
        <v>45370</v>
      </c>
      <c r="E3353" s="31">
        <v>0</v>
      </c>
      <c r="F3353" s="31">
        <v>18000</v>
      </c>
      <c r="G3353" s="31">
        <v>0</v>
      </c>
      <c r="H3353" s="31">
        <v>0</v>
      </c>
      <c r="I3353" s="31" t="s">
        <v>149</v>
      </c>
      <c r="J3353" s="5" t="s">
        <v>2473</v>
      </c>
      <c r="K3353" s="8"/>
    </row>
    <row r="3354" spans="1:11" x14ac:dyDescent="0.2">
      <c r="A3354" s="8">
        <v>2444</v>
      </c>
      <c r="B3354" s="8">
        <f t="shared" si="110"/>
        <v>2024</v>
      </c>
      <c r="C3354" s="8">
        <f t="shared" si="111"/>
        <v>3</v>
      </c>
      <c r="D3354" s="85">
        <v>45371</v>
      </c>
      <c r="E3354" s="31">
        <v>0</v>
      </c>
      <c r="F3354" s="31">
        <v>13000</v>
      </c>
      <c r="G3354" s="31">
        <v>0</v>
      </c>
      <c r="H3354" s="31">
        <v>0</v>
      </c>
      <c r="I3354" s="31" t="s">
        <v>91</v>
      </c>
      <c r="J3354" s="5" t="s">
        <v>2493</v>
      </c>
      <c r="K3354" s="8"/>
    </row>
    <row r="3355" spans="1:11" x14ac:dyDescent="0.2">
      <c r="A3355" s="8">
        <v>2445</v>
      </c>
      <c r="B3355" s="8">
        <f t="shared" si="110"/>
        <v>2024</v>
      </c>
      <c r="C3355" s="8">
        <f t="shared" si="111"/>
        <v>3</v>
      </c>
      <c r="D3355" s="85">
        <v>45371</v>
      </c>
      <c r="E3355" s="31">
        <v>0</v>
      </c>
      <c r="F3355" s="31">
        <v>12000</v>
      </c>
      <c r="G3355" s="31">
        <v>0</v>
      </c>
      <c r="H3355" s="31">
        <v>0</v>
      </c>
      <c r="I3355" s="31" t="s">
        <v>149</v>
      </c>
      <c r="J3355" s="5" t="s">
        <v>2411</v>
      </c>
      <c r="K3355" s="8"/>
    </row>
    <row r="3356" spans="1:11" x14ac:dyDescent="0.2">
      <c r="A3356" s="8">
        <v>2446</v>
      </c>
      <c r="B3356" s="8">
        <f t="shared" si="110"/>
        <v>2024</v>
      </c>
      <c r="C3356" s="8">
        <f t="shared" si="111"/>
        <v>3</v>
      </c>
      <c r="D3356" s="85">
        <v>45372</v>
      </c>
      <c r="E3356" s="31">
        <v>0</v>
      </c>
      <c r="F3356" s="31">
        <v>670000</v>
      </c>
      <c r="G3356" s="31">
        <v>0</v>
      </c>
      <c r="H3356" s="31">
        <v>0</v>
      </c>
      <c r="I3356" s="31" t="s">
        <v>85</v>
      </c>
      <c r="J3356" s="5" t="s">
        <v>2519</v>
      </c>
      <c r="K3356" s="8"/>
    </row>
    <row r="3357" spans="1:11" x14ac:dyDescent="0.2">
      <c r="A3357" s="8">
        <v>2447</v>
      </c>
      <c r="B3357" s="8">
        <f t="shared" si="110"/>
        <v>2024</v>
      </c>
      <c r="C3357" s="8">
        <f t="shared" si="111"/>
        <v>3</v>
      </c>
      <c r="D3357" s="85">
        <v>45372</v>
      </c>
      <c r="E3357" s="31">
        <v>0</v>
      </c>
      <c r="F3357" s="31">
        <v>200000</v>
      </c>
      <c r="G3357" s="31">
        <v>0</v>
      </c>
      <c r="H3357" s="31">
        <v>0</v>
      </c>
      <c r="I3357" s="31" t="s">
        <v>299</v>
      </c>
      <c r="J3357" s="5" t="s">
        <v>2520</v>
      </c>
      <c r="K3357" s="8"/>
    </row>
    <row r="3358" spans="1:11" x14ac:dyDescent="0.2">
      <c r="A3358" s="8">
        <v>2448</v>
      </c>
      <c r="B3358" s="8">
        <f t="shared" si="110"/>
        <v>2024</v>
      </c>
      <c r="C3358" s="8">
        <f t="shared" si="111"/>
        <v>3</v>
      </c>
      <c r="D3358" s="85">
        <v>45372</v>
      </c>
      <c r="E3358" s="31">
        <v>0</v>
      </c>
      <c r="F3358" s="31">
        <v>15000</v>
      </c>
      <c r="G3358" s="31">
        <v>0</v>
      </c>
      <c r="H3358" s="31">
        <v>0</v>
      </c>
      <c r="I3358" s="31" t="s">
        <v>91</v>
      </c>
      <c r="J3358" s="5" t="s">
        <v>2418</v>
      </c>
      <c r="K3358" s="8"/>
    </row>
    <row r="3359" spans="1:11" x14ac:dyDescent="0.2">
      <c r="A3359" s="8">
        <v>2449</v>
      </c>
      <c r="B3359" s="8">
        <f t="shared" si="110"/>
        <v>2024</v>
      </c>
      <c r="C3359" s="8">
        <f t="shared" si="111"/>
        <v>3</v>
      </c>
      <c r="D3359" s="85">
        <v>45372</v>
      </c>
      <c r="E3359" s="31">
        <v>0</v>
      </c>
      <c r="F3359" s="31">
        <v>15000</v>
      </c>
      <c r="G3359" s="31">
        <v>0</v>
      </c>
      <c r="H3359" s="31">
        <v>0</v>
      </c>
      <c r="I3359" s="31" t="s">
        <v>149</v>
      </c>
      <c r="J3359" s="5" t="s">
        <v>2357</v>
      </c>
      <c r="K3359" s="8"/>
    </row>
    <row r="3360" spans="1:11" x14ac:dyDescent="0.2">
      <c r="A3360" s="8">
        <v>2450</v>
      </c>
      <c r="B3360" s="8">
        <f t="shared" si="110"/>
        <v>2024</v>
      </c>
      <c r="C3360" s="8">
        <f t="shared" si="111"/>
        <v>3</v>
      </c>
      <c r="D3360" s="85">
        <v>45373</v>
      </c>
      <c r="E3360" s="31">
        <v>0</v>
      </c>
      <c r="F3360" s="31">
        <v>15000</v>
      </c>
      <c r="G3360" s="31">
        <v>0</v>
      </c>
      <c r="H3360" s="31">
        <v>0</v>
      </c>
      <c r="I3360" s="31" t="s">
        <v>91</v>
      </c>
      <c r="J3360" s="5" t="s">
        <v>2418</v>
      </c>
      <c r="K3360" s="8"/>
    </row>
    <row r="3361" spans="1:11" x14ac:dyDescent="0.2">
      <c r="A3361" s="8">
        <v>2451</v>
      </c>
      <c r="B3361" s="8">
        <f t="shared" si="110"/>
        <v>2024</v>
      </c>
      <c r="C3361" s="8">
        <f t="shared" si="111"/>
        <v>3</v>
      </c>
      <c r="D3361" s="85">
        <v>45373</v>
      </c>
      <c r="E3361" s="31">
        <v>0</v>
      </c>
      <c r="F3361" s="31">
        <v>15000</v>
      </c>
      <c r="G3361" s="31">
        <v>0</v>
      </c>
      <c r="H3361" s="31">
        <v>0</v>
      </c>
      <c r="I3361" s="31" t="s">
        <v>149</v>
      </c>
      <c r="J3361" s="5" t="s">
        <v>2379</v>
      </c>
      <c r="K3361" s="8"/>
    </row>
    <row r="3362" spans="1:11" x14ac:dyDescent="0.2">
      <c r="A3362" s="8">
        <v>2452</v>
      </c>
      <c r="B3362" s="8">
        <f t="shared" si="110"/>
        <v>2024</v>
      </c>
      <c r="C3362" s="8">
        <f t="shared" si="111"/>
        <v>3</v>
      </c>
      <c r="D3362" s="85">
        <v>45373</v>
      </c>
      <c r="E3362" s="31">
        <v>0</v>
      </c>
      <c r="F3362" s="31">
        <v>50000</v>
      </c>
      <c r="G3362" s="31">
        <v>0</v>
      </c>
      <c r="H3362" s="31">
        <v>0</v>
      </c>
      <c r="I3362" s="31" t="s">
        <v>1350</v>
      </c>
      <c r="J3362" s="5" t="s">
        <v>2521</v>
      </c>
      <c r="K3362" s="8"/>
    </row>
    <row r="3363" spans="1:11" x14ac:dyDescent="0.2">
      <c r="A3363" s="8">
        <v>2453</v>
      </c>
      <c r="B3363" s="8">
        <f t="shared" si="110"/>
        <v>2024</v>
      </c>
      <c r="C3363" s="8">
        <f t="shared" si="111"/>
        <v>3</v>
      </c>
      <c r="D3363" s="85">
        <v>45374</v>
      </c>
      <c r="E3363" s="31">
        <v>0</v>
      </c>
      <c r="F3363" s="31">
        <v>20000</v>
      </c>
      <c r="G3363" s="31">
        <v>0</v>
      </c>
      <c r="H3363" s="31">
        <v>0</v>
      </c>
      <c r="I3363" s="31" t="s">
        <v>91</v>
      </c>
      <c r="J3363" s="5" t="s">
        <v>2522</v>
      </c>
      <c r="K3363" s="8"/>
    </row>
    <row r="3364" spans="1:11" x14ac:dyDescent="0.2">
      <c r="A3364" s="8">
        <v>2454</v>
      </c>
      <c r="B3364" s="8">
        <f t="shared" si="110"/>
        <v>2024</v>
      </c>
      <c r="C3364" s="8">
        <f t="shared" si="111"/>
        <v>3</v>
      </c>
      <c r="D3364" s="85">
        <v>45374</v>
      </c>
      <c r="E3364" s="31">
        <v>0</v>
      </c>
      <c r="F3364" s="31">
        <v>10000</v>
      </c>
      <c r="G3364" s="31">
        <v>0</v>
      </c>
      <c r="H3364" s="31">
        <v>0</v>
      </c>
      <c r="I3364" s="31" t="s">
        <v>1350</v>
      </c>
      <c r="J3364" s="5" t="s">
        <v>2523</v>
      </c>
      <c r="K3364" s="8"/>
    </row>
    <row r="3365" spans="1:11" x14ac:dyDescent="0.2">
      <c r="A3365" s="8">
        <v>2455</v>
      </c>
      <c r="B3365" s="8">
        <f t="shared" si="110"/>
        <v>2024</v>
      </c>
      <c r="C3365" s="8">
        <f t="shared" si="111"/>
        <v>3</v>
      </c>
      <c r="D3365" s="85">
        <v>45375</v>
      </c>
      <c r="E3365" s="31">
        <v>0</v>
      </c>
      <c r="F3365" s="31">
        <v>700000</v>
      </c>
      <c r="G3365" s="31">
        <v>0</v>
      </c>
      <c r="H3365" s="31">
        <v>0</v>
      </c>
      <c r="I3365" s="31" t="s">
        <v>1729</v>
      </c>
      <c r="J3365" s="5" t="s">
        <v>2524</v>
      </c>
      <c r="K3365" s="8"/>
    </row>
    <row r="3366" spans="1:11" x14ac:dyDescent="0.2">
      <c r="A3366" s="8">
        <v>2456</v>
      </c>
      <c r="B3366" s="8">
        <f t="shared" si="110"/>
        <v>2024</v>
      </c>
      <c r="C3366" s="8">
        <f t="shared" si="111"/>
        <v>3</v>
      </c>
      <c r="D3366" s="85">
        <v>45375</v>
      </c>
      <c r="E3366" s="31">
        <v>0</v>
      </c>
      <c r="F3366" s="31">
        <v>55000</v>
      </c>
      <c r="G3366" s="31">
        <v>0</v>
      </c>
      <c r="H3366" s="31">
        <v>0</v>
      </c>
      <c r="I3366" s="31" t="s">
        <v>91</v>
      </c>
      <c r="J3366" s="5" t="s">
        <v>2525</v>
      </c>
      <c r="K3366" s="8"/>
    </row>
    <row r="3367" spans="1:11" x14ac:dyDescent="0.2">
      <c r="A3367" s="8">
        <v>2457</v>
      </c>
      <c r="B3367" s="8">
        <f t="shared" si="110"/>
        <v>2024</v>
      </c>
      <c r="C3367" s="8">
        <f t="shared" si="111"/>
        <v>3</v>
      </c>
      <c r="D3367" s="85">
        <v>45375</v>
      </c>
      <c r="E3367" s="31">
        <v>0</v>
      </c>
      <c r="F3367" s="31">
        <v>130000</v>
      </c>
      <c r="G3367" s="31">
        <v>0</v>
      </c>
      <c r="H3367" s="31">
        <v>0</v>
      </c>
      <c r="I3367" s="31" t="s">
        <v>1815</v>
      </c>
      <c r="J3367" s="5" t="s">
        <v>2526</v>
      </c>
      <c r="K3367" s="8"/>
    </row>
    <row r="3368" spans="1:11" x14ac:dyDescent="0.2">
      <c r="A3368" s="8">
        <v>2458</v>
      </c>
      <c r="B3368" s="8">
        <f t="shared" si="110"/>
        <v>2024</v>
      </c>
      <c r="C3368" s="8">
        <f t="shared" si="111"/>
        <v>3</v>
      </c>
      <c r="D3368" s="85">
        <v>45375</v>
      </c>
      <c r="E3368" s="31">
        <v>0</v>
      </c>
      <c r="F3368" s="31">
        <v>300000</v>
      </c>
      <c r="G3368" s="31">
        <v>0</v>
      </c>
      <c r="H3368" s="31">
        <v>0</v>
      </c>
      <c r="I3368" s="31" t="s">
        <v>85</v>
      </c>
      <c r="J3368" s="5" t="s">
        <v>2527</v>
      </c>
      <c r="K3368" s="8"/>
    </row>
    <row r="3369" spans="1:11" x14ac:dyDescent="0.2">
      <c r="A3369" s="8">
        <v>2459</v>
      </c>
      <c r="B3369" s="8">
        <f t="shared" si="110"/>
        <v>2024</v>
      </c>
      <c r="C3369" s="8">
        <f t="shared" si="111"/>
        <v>3</v>
      </c>
      <c r="D3369" s="85">
        <v>45375</v>
      </c>
      <c r="E3369" s="31">
        <v>0</v>
      </c>
      <c r="F3369" s="31">
        <v>400000</v>
      </c>
      <c r="G3369" s="31">
        <v>0</v>
      </c>
      <c r="H3369" s="31">
        <v>0</v>
      </c>
      <c r="I3369" s="31" t="s">
        <v>1350</v>
      </c>
      <c r="J3369" s="5" t="s">
        <v>2528</v>
      </c>
      <c r="K3369" s="8"/>
    </row>
    <row r="3370" spans="1:11" x14ac:dyDescent="0.2">
      <c r="A3370" s="8">
        <v>2460</v>
      </c>
      <c r="B3370" s="8">
        <f t="shared" si="110"/>
        <v>2024</v>
      </c>
      <c r="C3370" s="8">
        <f t="shared" si="111"/>
        <v>3</v>
      </c>
      <c r="D3370" s="85">
        <v>45376</v>
      </c>
      <c r="E3370" s="31">
        <v>0</v>
      </c>
      <c r="F3370" s="31">
        <v>50000</v>
      </c>
      <c r="G3370" s="31">
        <v>0</v>
      </c>
      <c r="H3370" s="31">
        <v>0</v>
      </c>
      <c r="I3370" s="31" t="s">
        <v>91</v>
      </c>
      <c r="J3370" s="5" t="s">
        <v>2529</v>
      </c>
      <c r="K3370" s="8"/>
    </row>
    <row r="3371" spans="1:11" x14ac:dyDescent="0.2">
      <c r="A3371" s="8">
        <v>2461</v>
      </c>
      <c r="B3371" s="8">
        <f t="shared" si="110"/>
        <v>2024</v>
      </c>
      <c r="C3371" s="8">
        <f t="shared" si="111"/>
        <v>3</v>
      </c>
      <c r="D3371" s="85">
        <v>45376</v>
      </c>
      <c r="E3371" s="31">
        <v>0</v>
      </c>
      <c r="F3371" s="31">
        <v>112000</v>
      </c>
      <c r="G3371" s="31">
        <v>0</v>
      </c>
      <c r="H3371" s="31">
        <v>0</v>
      </c>
      <c r="I3371" s="31" t="s">
        <v>1992</v>
      </c>
      <c r="J3371" s="5" t="s">
        <v>2530</v>
      </c>
      <c r="K3371" s="8"/>
    </row>
    <row r="3372" spans="1:11" x14ac:dyDescent="0.2">
      <c r="A3372" s="8">
        <v>2462</v>
      </c>
      <c r="B3372" s="8">
        <f t="shared" si="110"/>
        <v>2024</v>
      </c>
      <c r="C3372" s="8">
        <f t="shared" si="111"/>
        <v>3</v>
      </c>
      <c r="D3372" s="85">
        <v>45377</v>
      </c>
      <c r="E3372" s="31">
        <v>0</v>
      </c>
      <c r="F3372" s="31">
        <v>172000</v>
      </c>
      <c r="G3372" s="31">
        <v>0</v>
      </c>
      <c r="H3372" s="31">
        <v>0</v>
      </c>
      <c r="I3372" s="31" t="s">
        <v>1992</v>
      </c>
      <c r="J3372" s="5" t="s">
        <v>2531</v>
      </c>
      <c r="K3372" s="8"/>
    </row>
    <row r="3373" spans="1:11" x14ac:dyDescent="0.2">
      <c r="A3373" s="8">
        <v>2463</v>
      </c>
      <c r="B3373" s="8">
        <f t="shared" si="110"/>
        <v>2024</v>
      </c>
      <c r="C3373" s="8">
        <f t="shared" si="111"/>
        <v>3</v>
      </c>
      <c r="D3373" s="85">
        <v>45377</v>
      </c>
      <c r="E3373" s="31">
        <v>0</v>
      </c>
      <c r="F3373" s="31">
        <v>13000</v>
      </c>
      <c r="G3373" s="31">
        <v>0</v>
      </c>
      <c r="H3373" s="31">
        <v>0</v>
      </c>
      <c r="I3373" s="31" t="s">
        <v>1992</v>
      </c>
      <c r="J3373" s="5" t="s">
        <v>2532</v>
      </c>
      <c r="K3373" s="8"/>
    </row>
    <row r="3374" spans="1:11" x14ac:dyDescent="0.2">
      <c r="A3374" s="8">
        <v>2464</v>
      </c>
      <c r="B3374" s="8">
        <f t="shared" si="110"/>
        <v>2024</v>
      </c>
      <c r="C3374" s="8">
        <f t="shared" si="111"/>
        <v>3</v>
      </c>
      <c r="D3374" s="85">
        <v>45377</v>
      </c>
      <c r="E3374" s="31">
        <v>0</v>
      </c>
      <c r="F3374" s="31">
        <v>63000</v>
      </c>
      <c r="G3374" s="31">
        <v>0</v>
      </c>
      <c r="H3374" s="31">
        <v>0</v>
      </c>
      <c r="I3374" s="31" t="s">
        <v>1992</v>
      </c>
      <c r="J3374" s="5" t="s">
        <v>2533</v>
      </c>
      <c r="K3374" s="8"/>
    </row>
    <row r="3375" spans="1:11" x14ac:dyDescent="0.2">
      <c r="A3375" s="8">
        <v>2465</v>
      </c>
      <c r="B3375" s="8">
        <f t="shared" si="110"/>
        <v>2024</v>
      </c>
      <c r="C3375" s="8">
        <f t="shared" si="111"/>
        <v>3</v>
      </c>
      <c r="D3375" s="85">
        <v>45377</v>
      </c>
      <c r="E3375" s="31">
        <v>0</v>
      </c>
      <c r="F3375" s="31">
        <v>23000</v>
      </c>
      <c r="G3375" s="31">
        <v>0</v>
      </c>
      <c r="H3375" s="31">
        <v>0</v>
      </c>
      <c r="I3375" s="31" t="s">
        <v>1999</v>
      </c>
      <c r="J3375" s="5" t="s">
        <v>2534</v>
      </c>
      <c r="K3375" s="8"/>
    </row>
    <row r="3376" spans="1:11" x14ac:dyDescent="0.2">
      <c r="A3376" s="8">
        <v>2466</v>
      </c>
      <c r="B3376" s="8">
        <f t="shared" si="110"/>
        <v>2024</v>
      </c>
      <c r="C3376" s="8">
        <f t="shared" si="111"/>
        <v>3</v>
      </c>
      <c r="D3376" s="85">
        <v>45377</v>
      </c>
      <c r="E3376" s="31">
        <v>0</v>
      </c>
      <c r="F3376" s="31">
        <v>23000</v>
      </c>
      <c r="G3376" s="31">
        <v>0</v>
      </c>
      <c r="H3376" s="31">
        <v>0</v>
      </c>
      <c r="I3376" s="31" t="s">
        <v>1815</v>
      </c>
      <c r="J3376" s="5" t="s">
        <v>2535</v>
      </c>
      <c r="K3376" s="8"/>
    </row>
    <row r="3377" spans="1:11" x14ac:dyDescent="0.2">
      <c r="A3377" s="8">
        <v>2467</v>
      </c>
      <c r="B3377" s="8">
        <f t="shared" si="110"/>
        <v>2024</v>
      </c>
      <c r="C3377" s="8">
        <f t="shared" si="111"/>
        <v>3</v>
      </c>
      <c r="D3377" s="85">
        <v>45377</v>
      </c>
      <c r="E3377" s="31">
        <v>0</v>
      </c>
      <c r="F3377" s="31">
        <v>15000</v>
      </c>
      <c r="G3377" s="31">
        <v>0</v>
      </c>
      <c r="H3377" s="31">
        <v>0</v>
      </c>
      <c r="I3377" s="31" t="s">
        <v>91</v>
      </c>
      <c r="J3377" s="5" t="s">
        <v>2536</v>
      </c>
      <c r="K3377" s="8"/>
    </row>
    <row r="3378" spans="1:11" x14ac:dyDescent="0.2">
      <c r="A3378" s="8">
        <v>2468</v>
      </c>
      <c r="B3378" s="8">
        <f t="shared" si="110"/>
        <v>2024</v>
      </c>
      <c r="C3378" s="8">
        <f t="shared" si="111"/>
        <v>3</v>
      </c>
      <c r="D3378" s="85">
        <v>45377</v>
      </c>
      <c r="E3378" s="31">
        <v>0</v>
      </c>
      <c r="F3378" s="31">
        <v>14000</v>
      </c>
      <c r="G3378" s="31">
        <v>0</v>
      </c>
      <c r="H3378" s="31">
        <v>0</v>
      </c>
      <c r="I3378" s="31" t="s">
        <v>149</v>
      </c>
      <c r="J3378" s="5" t="s">
        <v>2537</v>
      </c>
      <c r="K3378" s="8"/>
    </row>
    <row r="3379" spans="1:11" x14ac:dyDescent="0.2">
      <c r="A3379" s="8">
        <v>2469</v>
      </c>
      <c r="B3379" s="8">
        <f t="shared" si="110"/>
        <v>2024</v>
      </c>
      <c r="C3379" s="8">
        <f t="shared" si="111"/>
        <v>3</v>
      </c>
      <c r="D3379" s="85">
        <v>45381</v>
      </c>
      <c r="E3379" s="31">
        <v>0</v>
      </c>
      <c r="F3379" s="31">
        <v>58000</v>
      </c>
      <c r="G3379" s="31">
        <v>0</v>
      </c>
      <c r="H3379" s="31">
        <v>0</v>
      </c>
      <c r="I3379" s="31" t="s">
        <v>1992</v>
      </c>
      <c r="J3379" s="5" t="s">
        <v>2538</v>
      </c>
      <c r="K3379" s="8"/>
    </row>
    <row r="3380" spans="1:11" x14ac:dyDescent="0.2">
      <c r="A3380" s="8">
        <v>2470</v>
      </c>
      <c r="B3380" s="8">
        <f t="shared" si="110"/>
        <v>2024</v>
      </c>
      <c r="C3380" s="8">
        <f t="shared" si="111"/>
        <v>3</v>
      </c>
      <c r="D3380" s="85">
        <v>45381</v>
      </c>
      <c r="E3380" s="31">
        <v>0</v>
      </c>
      <c r="F3380" s="31">
        <v>30000</v>
      </c>
      <c r="G3380" s="31">
        <v>0</v>
      </c>
      <c r="H3380" s="31">
        <v>0</v>
      </c>
      <c r="I3380" s="31" t="s">
        <v>1992</v>
      </c>
      <c r="J3380" s="5" t="s">
        <v>2539</v>
      </c>
      <c r="K3380" s="8"/>
    </row>
    <row r="3381" spans="1:11" x14ac:dyDescent="0.2">
      <c r="A3381" s="8">
        <v>2471</v>
      </c>
      <c r="B3381" s="8">
        <f t="shared" si="110"/>
        <v>2024</v>
      </c>
      <c r="C3381" s="8">
        <f t="shared" si="111"/>
        <v>3</v>
      </c>
      <c r="D3381" s="85">
        <v>45381</v>
      </c>
      <c r="E3381" s="31">
        <v>0</v>
      </c>
      <c r="F3381" s="31">
        <v>8000</v>
      </c>
      <c r="G3381" s="31">
        <v>0</v>
      </c>
      <c r="H3381" s="31">
        <v>0</v>
      </c>
      <c r="I3381" s="31" t="s">
        <v>1992</v>
      </c>
      <c r="J3381" s="5" t="s">
        <v>1771</v>
      </c>
      <c r="K3381" s="8"/>
    </row>
    <row r="3382" spans="1:11" x14ac:dyDescent="0.2">
      <c r="A3382" s="8">
        <v>2472</v>
      </c>
      <c r="B3382" s="8">
        <f t="shared" si="110"/>
        <v>2024</v>
      </c>
      <c r="C3382" s="8">
        <f t="shared" si="111"/>
        <v>3</v>
      </c>
      <c r="D3382" s="85">
        <v>45381</v>
      </c>
      <c r="E3382" s="31">
        <v>0</v>
      </c>
      <c r="F3382" s="31">
        <v>0</v>
      </c>
      <c r="G3382" s="31">
        <v>0</v>
      </c>
      <c r="H3382" s="31">
        <v>181000</v>
      </c>
      <c r="I3382" s="31" t="s">
        <v>1992</v>
      </c>
      <c r="J3382" s="5" t="s">
        <v>2540</v>
      </c>
      <c r="K3382" s="8"/>
    </row>
    <row r="3383" spans="1:11" x14ac:dyDescent="0.2">
      <c r="A3383" s="8">
        <v>2473</v>
      </c>
      <c r="B3383" s="8">
        <f t="shared" si="110"/>
        <v>2024</v>
      </c>
      <c r="C3383" s="8">
        <f t="shared" si="111"/>
        <v>3</v>
      </c>
      <c r="D3383" s="85">
        <v>45381</v>
      </c>
      <c r="E3383" s="31">
        <v>0</v>
      </c>
      <c r="F3383" s="31">
        <v>150000</v>
      </c>
      <c r="G3383" s="31">
        <v>0</v>
      </c>
      <c r="H3383" s="31">
        <v>0</v>
      </c>
      <c r="I3383" s="31" t="s">
        <v>85</v>
      </c>
      <c r="J3383" s="5" t="s">
        <v>290</v>
      </c>
      <c r="K3383" s="8"/>
    </row>
    <row r="3384" spans="1:11" x14ac:dyDescent="0.2">
      <c r="A3384" s="8">
        <v>2474</v>
      </c>
      <c r="B3384" s="8">
        <f t="shared" si="110"/>
        <v>2024</v>
      </c>
      <c r="C3384" s="8">
        <f t="shared" si="111"/>
        <v>3</v>
      </c>
      <c r="D3384" s="85">
        <v>45365</v>
      </c>
      <c r="E3384" s="31">
        <v>0</v>
      </c>
      <c r="F3384" s="31">
        <v>110000</v>
      </c>
      <c r="G3384" s="31">
        <v>0</v>
      </c>
      <c r="H3384" s="31">
        <v>0</v>
      </c>
      <c r="I3384" s="31" t="s">
        <v>85</v>
      </c>
      <c r="J3384" s="5" t="s">
        <v>2541</v>
      </c>
      <c r="K3384" s="8"/>
    </row>
    <row r="3385" spans="1:11" x14ac:dyDescent="0.2">
      <c r="A3385" s="8">
        <v>2475</v>
      </c>
      <c r="B3385" s="8">
        <f t="shared" si="110"/>
        <v>2024</v>
      </c>
      <c r="C3385" s="8">
        <f t="shared" si="111"/>
        <v>3</v>
      </c>
      <c r="D3385" s="85">
        <v>45367</v>
      </c>
      <c r="E3385" s="31">
        <v>0</v>
      </c>
      <c r="F3385" s="31">
        <v>250000</v>
      </c>
      <c r="G3385" s="31">
        <v>0</v>
      </c>
      <c r="H3385" s="31">
        <v>0</v>
      </c>
      <c r="I3385" s="31" t="s">
        <v>1894</v>
      </c>
      <c r="J3385" s="5" t="s">
        <v>2542</v>
      </c>
      <c r="K3385" s="8"/>
    </row>
    <row r="3386" spans="1:11" x14ac:dyDescent="0.2">
      <c r="A3386" s="8">
        <v>2476</v>
      </c>
      <c r="B3386" s="8">
        <f t="shared" si="110"/>
        <v>2024</v>
      </c>
      <c r="C3386" s="8">
        <f t="shared" si="111"/>
        <v>3</v>
      </c>
      <c r="D3386" s="85">
        <v>45367</v>
      </c>
      <c r="E3386" s="31">
        <v>0</v>
      </c>
      <c r="F3386" s="31">
        <v>82500</v>
      </c>
      <c r="G3386" s="31">
        <v>0</v>
      </c>
      <c r="H3386" s="31">
        <v>0</v>
      </c>
      <c r="I3386" s="31" t="s">
        <v>573</v>
      </c>
      <c r="J3386" s="5" t="s">
        <v>2543</v>
      </c>
      <c r="K3386" s="8"/>
    </row>
    <row r="3387" spans="1:11" x14ac:dyDescent="0.2">
      <c r="A3387" s="8">
        <v>2478</v>
      </c>
      <c r="B3387" s="8">
        <f t="shared" si="110"/>
        <v>2024</v>
      </c>
      <c r="C3387" s="8">
        <f t="shared" si="111"/>
        <v>3</v>
      </c>
      <c r="D3387" s="85">
        <v>45375</v>
      </c>
      <c r="E3387" s="31">
        <v>0</v>
      </c>
      <c r="F3387" s="31">
        <v>130000</v>
      </c>
      <c r="G3387" s="31">
        <v>0</v>
      </c>
      <c r="H3387" s="31">
        <v>0</v>
      </c>
      <c r="I3387" s="31" t="s">
        <v>335</v>
      </c>
      <c r="J3387" s="5" t="s">
        <v>2544</v>
      </c>
      <c r="K3387" s="8"/>
    </row>
    <row r="3388" spans="1:11" x14ac:dyDescent="0.2">
      <c r="A3388" s="8">
        <v>2481</v>
      </c>
      <c r="B3388" s="8">
        <f t="shared" si="110"/>
        <v>2024</v>
      </c>
      <c r="C3388" s="8">
        <f t="shared" si="111"/>
        <v>3</v>
      </c>
      <c r="D3388" s="85">
        <v>45378</v>
      </c>
      <c r="E3388" s="31">
        <v>0</v>
      </c>
      <c r="F3388" s="31">
        <v>188000</v>
      </c>
      <c r="G3388" s="31">
        <v>0</v>
      </c>
      <c r="H3388" s="31">
        <v>0</v>
      </c>
      <c r="I3388" s="31" t="s">
        <v>391</v>
      </c>
      <c r="J3388" s="5" t="s">
        <v>2545</v>
      </c>
      <c r="K3388" s="8"/>
    </row>
    <row r="3389" spans="1:11" x14ac:dyDescent="0.2">
      <c r="A3389" s="8">
        <v>2482</v>
      </c>
      <c r="B3389" s="8">
        <f t="shared" si="110"/>
        <v>2024</v>
      </c>
      <c r="C3389" s="8">
        <f t="shared" si="111"/>
        <v>3</v>
      </c>
      <c r="D3389" s="85">
        <v>45378</v>
      </c>
      <c r="E3389" s="31">
        <v>0</v>
      </c>
      <c r="F3389" s="31">
        <v>11000</v>
      </c>
      <c r="G3389" s="31">
        <v>0</v>
      </c>
      <c r="H3389" s="31">
        <v>0</v>
      </c>
      <c r="I3389" s="31" t="s">
        <v>391</v>
      </c>
      <c r="J3389" s="5" t="s">
        <v>2546</v>
      </c>
      <c r="K3389" s="8"/>
    </row>
    <row r="3390" spans="1:11" x14ac:dyDescent="0.2">
      <c r="A3390" s="8">
        <v>2483</v>
      </c>
      <c r="B3390" s="8">
        <f t="shared" si="110"/>
        <v>2024</v>
      </c>
      <c r="C3390" s="8">
        <f t="shared" si="111"/>
        <v>3</v>
      </c>
      <c r="D3390" s="85">
        <v>45381</v>
      </c>
      <c r="E3390" s="31">
        <v>0</v>
      </c>
      <c r="F3390" s="31">
        <v>165000</v>
      </c>
      <c r="G3390" s="31">
        <v>0</v>
      </c>
      <c r="H3390" s="31">
        <v>0</v>
      </c>
      <c r="I3390" s="31" t="s">
        <v>573</v>
      </c>
      <c r="J3390" s="5" t="s">
        <v>2547</v>
      </c>
      <c r="K3390" s="8"/>
    </row>
    <row r="3391" spans="1:11" x14ac:dyDescent="0.2">
      <c r="A3391" s="8">
        <v>2484</v>
      </c>
      <c r="B3391" s="8">
        <f t="shared" si="110"/>
        <v>2024</v>
      </c>
      <c r="C3391" s="8">
        <f t="shared" si="111"/>
        <v>3</v>
      </c>
      <c r="D3391" s="85">
        <v>45381</v>
      </c>
      <c r="E3391" s="31">
        <v>0</v>
      </c>
      <c r="F3391" s="31">
        <v>85000</v>
      </c>
      <c r="G3391" s="31">
        <v>0</v>
      </c>
      <c r="H3391" s="31">
        <v>0</v>
      </c>
      <c r="I3391" s="31" t="s">
        <v>335</v>
      </c>
      <c r="J3391" s="5" t="s">
        <v>2548</v>
      </c>
      <c r="K3391" s="8"/>
    </row>
    <row r="3392" spans="1:11" x14ac:dyDescent="0.2">
      <c r="A3392" s="8">
        <v>2486</v>
      </c>
      <c r="B3392" s="8">
        <f t="shared" si="110"/>
        <v>2024</v>
      </c>
      <c r="C3392" s="8">
        <f t="shared" si="111"/>
        <v>3</v>
      </c>
      <c r="D3392" s="85">
        <v>45381</v>
      </c>
      <c r="E3392" s="31">
        <v>0</v>
      </c>
      <c r="F3392" s="31">
        <v>19000</v>
      </c>
      <c r="G3392" s="31">
        <v>0</v>
      </c>
      <c r="H3392" s="31">
        <v>0</v>
      </c>
      <c r="I3392" s="31" t="s">
        <v>85</v>
      </c>
      <c r="J3392" s="5" t="s">
        <v>2549</v>
      </c>
      <c r="K3392" s="8"/>
    </row>
    <row r="3393" spans="1:11" x14ac:dyDescent="0.2">
      <c r="A3393" s="8">
        <v>2489</v>
      </c>
      <c r="B3393" s="8">
        <f t="shared" si="110"/>
        <v>2024</v>
      </c>
      <c r="C3393" s="8">
        <f t="shared" si="111"/>
        <v>3</v>
      </c>
      <c r="D3393" s="85">
        <v>45379</v>
      </c>
      <c r="E3393" s="31">
        <v>0</v>
      </c>
      <c r="F3393" s="31">
        <v>30000</v>
      </c>
      <c r="G3393" s="31">
        <v>0</v>
      </c>
      <c r="H3393" s="31">
        <v>0</v>
      </c>
      <c r="I3393" s="31" t="s">
        <v>91</v>
      </c>
      <c r="J3393" s="5" t="s">
        <v>2550</v>
      </c>
      <c r="K3393" s="8"/>
    </row>
    <row r="3394" spans="1:11" x14ac:dyDescent="0.2">
      <c r="A3394" s="8">
        <v>2490</v>
      </c>
      <c r="B3394" s="8">
        <f t="shared" si="110"/>
        <v>2024</v>
      </c>
      <c r="C3394" s="8">
        <f t="shared" si="111"/>
        <v>3</v>
      </c>
      <c r="D3394" s="85">
        <v>45380</v>
      </c>
      <c r="E3394" s="31">
        <v>0</v>
      </c>
      <c r="F3394" s="31">
        <v>30000</v>
      </c>
      <c r="G3394" s="31">
        <v>0</v>
      </c>
      <c r="H3394" s="31">
        <v>0</v>
      </c>
      <c r="I3394" s="31" t="s">
        <v>91</v>
      </c>
      <c r="J3394" s="5" t="s">
        <v>2424</v>
      </c>
      <c r="K3394" s="8"/>
    </row>
    <row r="3395" spans="1:11" x14ac:dyDescent="0.2">
      <c r="A3395" s="8">
        <v>2491</v>
      </c>
      <c r="B3395" s="8">
        <f t="shared" ref="B3395:B3458" si="112">YEAR(D3395)</f>
        <v>2024</v>
      </c>
      <c r="C3395" s="8">
        <f t="shared" ref="C3395:C3458" si="113">MONTH(D3395)</f>
        <v>3</v>
      </c>
      <c r="D3395" s="85">
        <v>45380</v>
      </c>
      <c r="E3395" s="31">
        <v>0</v>
      </c>
      <c r="F3395" s="31">
        <v>10000</v>
      </c>
      <c r="G3395" s="31">
        <v>0</v>
      </c>
      <c r="H3395" s="31">
        <v>0</v>
      </c>
      <c r="I3395" s="31" t="s">
        <v>91</v>
      </c>
      <c r="J3395" s="5" t="s">
        <v>2371</v>
      </c>
      <c r="K3395" s="8"/>
    </row>
    <row r="3396" spans="1:11" x14ac:dyDescent="0.2">
      <c r="A3396" s="8">
        <v>2492</v>
      </c>
      <c r="B3396" s="8">
        <f t="shared" si="112"/>
        <v>2024</v>
      </c>
      <c r="C3396" s="8">
        <f t="shared" si="113"/>
        <v>3</v>
      </c>
      <c r="D3396" s="85">
        <v>45381</v>
      </c>
      <c r="E3396" s="31">
        <v>0</v>
      </c>
      <c r="F3396" s="31">
        <v>30000</v>
      </c>
      <c r="G3396" s="31">
        <v>0</v>
      </c>
      <c r="H3396" s="31">
        <v>0</v>
      </c>
      <c r="I3396" s="31" t="s">
        <v>85</v>
      </c>
      <c r="J3396" s="5" t="s">
        <v>2442</v>
      </c>
      <c r="K3396" s="8"/>
    </row>
    <row r="3397" spans="1:11" x14ac:dyDescent="0.2">
      <c r="A3397" s="8">
        <v>2493</v>
      </c>
      <c r="B3397" s="8">
        <f t="shared" si="112"/>
        <v>2024</v>
      </c>
      <c r="C3397" s="8">
        <f t="shared" si="113"/>
        <v>3</v>
      </c>
      <c r="D3397" s="85">
        <v>45381</v>
      </c>
      <c r="E3397" s="31">
        <v>0</v>
      </c>
      <c r="F3397" s="31">
        <v>17000</v>
      </c>
      <c r="G3397" s="31">
        <v>0</v>
      </c>
      <c r="H3397" s="31">
        <v>0</v>
      </c>
      <c r="I3397" s="31" t="s">
        <v>85</v>
      </c>
      <c r="J3397" s="5" t="s">
        <v>2490</v>
      </c>
      <c r="K3397" s="8"/>
    </row>
    <row r="3398" spans="1:11" x14ac:dyDescent="0.2">
      <c r="A3398" s="8">
        <v>2494</v>
      </c>
      <c r="B3398" s="8">
        <f t="shared" si="112"/>
        <v>2024</v>
      </c>
      <c r="C3398" s="8">
        <f t="shared" si="113"/>
        <v>3</v>
      </c>
      <c r="D3398" s="85">
        <v>45381</v>
      </c>
      <c r="E3398" s="31">
        <v>0</v>
      </c>
      <c r="F3398" s="31">
        <v>30000</v>
      </c>
      <c r="G3398" s="31">
        <v>0</v>
      </c>
      <c r="H3398" s="31">
        <v>0</v>
      </c>
      <c r="I3398" s="31" t="s">
        <v>91</v>
      </c>
      <c r="J3398" s="5" t="s">
        <v>2551</v>
      </c>
      <c r="K3398" s="8"/>
    </row>
    <row r="3399" spans="1:11" x14ac:dyDescent="0.2">
      <c r="A3399" s="8">
        <v>2495</v>
      </c>
      <c r="B3399" s="8">
        <f t="shared" si="112"/>
        <v>2024</v>
      </c>
      <c r="C3399" s="8">
        <f t="shared" si="113"/>
        <v>4</v>
      </c>
      <c r="D3399" s="85">
        <v>45383</v>
      </c>
      <c r="E3399" s="31">
        <v>0</v>
      </c>
      <c r="F3399" s="31">
        <v>12000</v>
      </c>
      <c r="G3399" s="31">
        <v>0</v>
      </c>
      <c r="H3399" s="31">
        <v>0</v>
      </c>
      <c r="I3399" s="31" t="s">
        <v>1992</v>
      </c>
      <c r="J3399" s="5" t="s">
        <v>2552</v>
      </c>
      <c r="K3399" s="8"/>
    </row>
    <row r="3400" spans="1:11" x14ac:dyDescent="0.2">
      <c r="A3400" s="8">
        <v>2496</v>
      </c>
      <c r="B3400" s="8">
        <f t="shared" si="112"/>
        <v>2024</v>
      </c>
      <c r="C3400" s="8">
        <f t="shared" si="113"/>
        <v>4</v>
      </c>
      <c r="D3400" s="85">
        <v>45383</v>
      </c>
      <c r="E3400" s="31">
        <v>0</v>
      </c>
      <c r="F3400" s="31">
        <v>5000</v>
      </c>
      <c r="G3400" s="31">
        <v>0</v>
      </c>
      <c r="H3400" s="31">
        <v>0</v>
      </c>
      <c r="I3400" s="31" t="s">
        <v>1350</v>
      </c>
      <c r="J3400" s="5" t="s">
        <v>2553</v>
      </c>
      <c r="K3400" s="8"/>
    </row>
    <row r="3401" spans="1:11" x14ac:dyDescent="0.2">
      <c r="A3401" s="8">
        <v>2435</v>
      </c>
      <c r="B3401" s="8">
        <f t="shared" si="112"/>
        <v>2024</v>
      </c>
      <c r="C3401" s="8">
        <f t="shared" si="113"/>
        <v>4</v>
      </c>
      <c r="D3401" s="85">
        <v>45384</v>
      </c>
      <c r="E3401" s="31">
        <v>0</v>
      </c>
      <c r="F3401" s="31">
        <v>30000</v>
      </c>
      <c r="G3401" s="31">
        <v>0</v>
      </c>
      <c r="H3401" s="31">
        <v>0</v>
      </c>
      <c r="I3401" s="31" t="s">
        <v>91</v>
      </c>
      <c r="J3401" s="5" t="s">
        <v>2554</v>
      </c>
      <c r="K3401" s="8"/>
    </row>
    <row r="3402" spans="1:11" x14ac:dyDescent="0.2">
      <c r="A3402" s="8">
        <v>2437</v>
      </c>
      <c r="B3402" s="8">
        <f t="shared" si="112"/>
        <v>2024</v>
      </c>
      <c r="C3402" s="8">
        <f t="shared" si="113"/>
        <v>4</v>
      </c>
      <c r="D3402" s="85">
        <v>45384</v>
      </c>
      <c r="E3402" s="31">
        <v>0</v>
      </c>
      <c r="F3402" s="31">
        <v>130000</v>
      </c>
      <c r="G3402" s="31">
        <v>0</v>
      </c>
      <c r="H3402" s="31">
        <v>0</v>
      </c>
      <c r="I3402" s="31" t="s">
        <v>299</v>
      </c>
      <c r="J3402" s="5" t="s">
        <v>2555</v>
      </c>
      <c r="K3402" s="8"/>
    </row>
    <row r="3403" spans="1:11" x14ac:dyDescent="0.2">
      <c r="A3403" s="8">
        <v>2438</v>
      </c>
      <c r="B3403" s="8">
        <f t="shared" si="112"/>
        <v>2024</v>
      </c>
      <c r="C3403" s="8">
        <f t="shared" si="113"/>
        <v>4</v>
      </c>
      <c r="D3403" s="85">
        <v>45384</v>
      </c>
      <c r="E3403" s="31">
        <v>0</v>
      </c>
      <c r="F3403" s="31">
        <v>95000</v>
      </c>
      <c r="G3403" s="31">
        <v>0</v>
      </c>
      <c r="H3403" s="31">
        <v>0</v>
      </c>
      <c r="I3403" s="31" t="s">
        <v>1815</v>
      </c>
      <c r="J3403" s="5" t="s">
        <v>2556</v>
      </c>
      <c r="K3403" s="8"/>
    </row>
    <row r="3404" spans="1:11" x14ac:dyDescent="0.2">
      <c r="A3404" s="8">
        <v>2439</v>
      </c>
      <c r="B3404" s="8">
        <f t="shared" si="112"/>
        <v>2024</v>
      </c>
      <c r="C3404" s="8">
        <f t="shared" si="113"/>
        <v>4</v>
      </c>
      <c r="D3404" s="85">
        <v>45384</v>
      </c>
      <c r="E3404" s="31">
        <v>0</v>
      </c>
      <c r="F3404" s="31">
        <v>60000</v>
      </c>
      <c r="G3404" s="31">
        <v>0</v>
      </c>
      <c r="H3404" s="31">
        <v>0</v>
      </c>
      <c r="I3404" s="31" t="s">
        <v>1815</v>
      </c>
      <c r="J3404" s="5" t="s">
        <v>2557</v>
      </c>
      <c r="K3404" s="8"/>
    </row>
    <row r="3405" spans="1:11" x14ac:dyDescent="0.2">
      <c r="A3405" s="8">
        <v>2440</v>
      </c>
      <c r="B3405" s="8">
        <f t="shared" si="112"/>
        <v>2024</v>
      </c>
      <c r="C3405" s="8">
        <f t="shared" si="113"/>
        <v>4</v>
      </c>
      <c r="D3405" s="85">
        <v>45385</v>
      </c>
      <c r="E3405" s="31">
        <v>0</v>
      </c>
      <c r="F3405" s="31">
        <v>13000</v>
      </c>
      <c r="G3405" s="31">
        <v>0</v>
      </c>
      <c r="H3405" s="31">
        <v>0</v>
      </c>
      <c r="I3405" s="31" t="s">
        <v>91</v>
      </c>
      <c r="J3405" s="5" t="s">
        <v>2493</v>
      </c>
      <c r="K3405" s="8"/>
    </row>
    <row r="3406" spans="1:11" x14ac:dyDescent="0.2">
      <c r="A3406" s="8">
        <v>2441</v>
      </c>
      <c r="B3406" s="8">
        <f t="shared" si="112"/>
        <v>2024</v>
      </c>
      <c r="C3406" s="8">
        <f t="shared" si="113"/>
        <v>4</v>
      </c>
      <c r="D3406" s="85">
        <v>45385</v>
      </c>
      <c r="E3406" s="31">
        <v>0</v>
      </c>
      <c r="F3406" s="31">
        <v>18000</v>
      </c>
      <c r="G3406" s="31">
        <v>0</v>
      </c>
      <c r="H3406" s="31">
        <v>0</v>
      </c>
      <c r="I3406" s="31" t="s">
        <v>149</v>
      </c>
      <c r="J3406" s="5" t="s">
        <v>2473</v>
      </c>
      <c r="K3406" s="8"/>
    </row>
    <row r="3407" spans="1:11" x14ac:dyDescent="0.2">
      <c r="A3407" s="8">
        <v>2443</v>
      </c>
      <c r="B3407" s="8">
        <f t="shared" si="112"/>
        <v>2024</v>
      </c>
      <c r="C3407" s="8">
        <f t="shared" si="113"/>
        <v>4</v>
      </c>
      <c r="D3407" s="85">
        <v>45386</v>
      </c>
      <c r="E3407" s="31">
        <v>0</v>
      </c>
      <c r="F3407" s="31">
        <v>5000</v>
      </c>
      <c r="G3407" s="31">
        <v>0</v>
      </c>
      <c r="H3407" s="31">
        <v>0</v>
      </c>
      <c r="I3407" s="31" t="s">
        <v>1350</v>
      </c>
      <c r="J3407" s="5" t="s">
        <v>2558</v>
      </c>
      <c r="K3407" s="8"/>
    </row>
    <row r="3408" spans="1:11" x14ac:dyDescent="0.2">
      <c r="A3408" s="8">
        <v>2444</v>
      </c>
      <c r="B3408" s="8">
        <f t="shared" si="112"/>
        <v>2024</v>
      </c>
      <c r="C3408" s="8">
        <f t="shared" si="113"/>
        <v>4</v>
      </c>
      <c r="D3408" s="85">
        <v>45386</v>
      </c>
      <c r="E3408" s="31">
        <v>0</v>
      </c>
      <c r="F3408" s="31">
        <v>350000</v>
      </c>
      <c r="G3408" s="31">
        <v>0</v>
      </c>
      <c r="H3408" s="31">
        <v>0</v>
      </c>
      <c r="I3408" s="31" t="s">
        <v>1350</v>
      </c>
      <c r="J3408" s="5" t="s">
        <v>2559</v>
      </c>
      <c r="K3408" s="8"/>
    </row>
    <row r="3409" spans="1:11" x14ac:dyDescent="0.2">
      <c r="A3409" s="8">
        <v>2445</v>
      </c>
      <c r="B3409" s="8">
        <f t="shared" si="112"/>
        <v>2024</v>
      </c>
      <c r="C3409" s="8">
        <f t="shared" si="113"/>
        <v>4</v>
      </c>
      <c r="D3409" s="85">
        <v>45386</v>
      </c>
      <c r="E3409" s="31">
        <v>0</v>
      </c>
      <c r="F3409" s="31">
        <v>170000</v>
      </c>
      <c r="G3409" s="31">
        <v>0</v>
      </c>
      <c r="H3409" s="31">
        <v>0</v>
      </c>
      <c r="I3409" s="31" t="s">
        <v>1350</v>
      </c>
      <c r="J3409" s="5" t="s">
        <v>2560</v>
      </c>
      <c r="K3409" s="8"/>
    </row>
    <row r="3410" spans="1:11" x14ac:dyDescent="0.2">
      <c r="A3410" s="8">
        <v>2446</v>
      </c>
      <c r="B3410" s="8">
        <f t="shared" si="112"/>
        <v>2024</v>
      </c>
      <c r="C3410" s="8">
        <f t="shared" si="113"/>
        <v>4</v>
      </c>
      <c r="D3410" s="85">
        <v>45386</v>
      </c>
      <c r="E3410" s="31">
        <v>0</v>
      </c>
      <c r="F3410" s="31">
        <v>14000</v>
      </c>
      <c r="G3410" s="31">
        <v>0</v>
      </c>
      <c r="H3410" s="31">
        <v>0</v>
      </c>
      <c r="I3410" s="31" t="s">
        <v>149</v>
      </c>
      <c r="J3410" s="5" t="s">
        <v>2561</v>
      </c>
      <c r="K3410" s="8"/>
    </row>
    <row r="3411" spans="1:11" x14ac:dyDescent="0.2">
      <c r="A3411" s="8">
        <v>2447</v>
      </c>
      <c r="B3411" s="8">
        <f t="shared" si="112"/>
        <v>2024</v>
      </c>
      <c r="C3411" s="8">
        <f t="shared" si="113"/>
        <v>4</v>
      </c>
      <c r="D3411" s="85">
        <v>45387</v>
      </c>
      <c r="E3411" s="31">
        <v>0</v>
      </c>
      <c r="F3411" s="31">
        <v>13000</v>
      </c>
      <c r="G3411" s="31">
        <v>0</v>
      </c>
      <c r="H3411" s="31">
        <v>0</v>
      </c>
      <c r="I3411" s="31" t="s">
        <v>91</v>
      </c>
      <c r="J3411" s="5" t="s">
        <v>2493</v>
      </c>
      <c r="K3411" s="8"/>
    </row>
    <row r="3412" spans="1:11" x14ac:dyDescent="0.2">
      <c r="A3412" s="8">
        <v>2448</v>
      </c>
      <c r="B3412" s="8">
        <f t="shared" si="112"/>
        <v>2024</v>
      </c>
      <c r="C3412" s="8">
        <f t="shared" si="113"/>
        <v>4</v>
      </c>
      <c r="D3412" s="85">
        <v>45387</v>
      </c>
      <c r="E3412" s="31">
        <v>0</v>
      </c>
      <c r="F3412" s="31">
        <v>21000</v>
      </c>
      <c r="G3412" s="31">
        <v>0</v>
      </c>
      <c r="H3412" s="31">
        <v>0</v>
      </c>
      <c r="I3412" s="31" t="s">
        <v>149</v>
      </c>
      <c r="J3412" s="5" t="s">
        <v>2507</v>
      </c>
      <c r="K3412" s="8"/>
    </row>
    <row r="3413" spans="1:11" x14ac:dyDescent="0.2">
      <c r="A3413" s="8">
        <v>2449</v>
      </c>
      <c r="B3413" s="8">
        <f t="shared" si="112"/>
        <v>2024</v>
      </c>
      <c r="C3413" s="8">
        <f t="shared" si="113"/>
        <v>4</v>
      </c>
      <c r="D3413" s="85">
        <v>45388</v>
      </c>
      <c r="E3413" s="31">
        <v>0</v>
      </c>
      <c r="F3413" s="31">
        <v>100000</v>
      </c>
      <c r="G3413" s="31">
        <v>0</v>
      </c>
      <c r="H3413" s="31">
        <v>0</v>
      </c>
      <c r="I3413" s="31" t="s">
        <v>1999</v>
      </c>
      <c r="J3413" s="5" t="s">
        <v>2562</v>
      </c>
      <c r="K3413" s="8"/>
    </row>
    <row r="3414" spans="1:11" x14ac:dyDescent="0.2">
      <c r="A3414" s="8">
        <v>2450</v>
      </c>
      <c r="B3414" s="8">
        <f t="shared" si="112"/>
        <v>2024</v>
      </c>
      <c r="C3414" s="8">
        <f t="shared" si="113"/>
        <v>4</v>
      </c>
      <c r="D3414" s="85">
        <v>45388</v>
      </c>
      <c r="E3414" s="31">
        <v>0</v>
      </c>
      <c r="F3414" s="31">
        <v>21000</v>
      </c>
      <c r="G3414" s="31">
        <v>0</v>
      </c>
      <c r="H3414" s="31">
        <v>0</v>
      </c>
      <c r="I3414" s="31" t="s">
        <v>1815</v>
      </c>
      <c r="J3414" s="5" t="s">
        <v>2563</v>
      </c>
      <c r="K3414" s="8"/>
    </row>
    <row r="3415" spans="1:11" x14ac:dyDescent="0.2">
      <c r="A3415" s="8">
        <v>2451</v>
      </c>
      <c r="B3415" s="8">
        <f t="shared" si="112"/>
        <v>2024</v>
      </c>
      <c r="C3415" s="8">
        <f t="shared" si="113"/>
        <v>4</v>
      </c>
      <c r="D3415" s="85">
        <v>45388</v>
      </c>
      <c r="E3415" s="31">
        <v>0</v>
      </c>
      <c r="F3415" s="31">
        <v>17000</v>
      </c>
      <c r="G3415" s="31">
        <v>0</v>
      </c>
      <c r="H3415" s="31">
        <v>0</v>
      </c>
      <c r="I3415" s="31" t="s">
        <v>1815</v>
      </c>
      <c r="J3415" s="5" t="s">
        <v>2564</v>
      </c>
      <c r="K3415" s="8"/>
    </row>
    <row r="3416" spans="1:11" x14ac:dyDescent="0.2">
      <c r="A3416" s="8">
        <v>2452</v>
      </c>
      <c r="B3416" s="8">
        <f t="shared" si="112"/>
        <v>2024</v>
      </c>
      <c r="C3416" s="8">
        <f t="shared" si="113"/>
        <v>4</v>
      </c>
      <c r="D3416" s="85">
        <v>45388</v>
      </c>
      <c r="E3416" s="31">
        <v>0</v>
      </c>
      <c r="F3416" s="31">
        <v>39000</v>
      </c>
      <c r="G3416" s="31">
        <v>0</v>
      </c>
      <c r="H3416" s="31">
        <v>0</v>
      </c>
      <c r="I3416" s="31" t="s">
        <v>85</v>
      </c>
      <c r="J3416" s="5" t="s">
        <v>2565</v>
      </c>
      <c r="K3416" s="8"/>
    </row>
    <row r="3417" spans="1:11" x14ac:dyDescent="0.2">
      <c r="A3417" s="8">
        <v>2453</v>
      </c>
      <c r="B3417" s="8">
        <f t="shared" si="112"/>
        <v>2024</v>
      </c>
      <c r="C3417" s="8">
        <f t="shared" si="113"/>
        <v>4</v>
      </c>
      <c r="D3417" s="85">
        <v>45388</v>
      </c>
      <c r="E3417" s="31">
        <v>0</v>
      </c>
      <c r="F3417" s="31">
        <v>110000</v>
      </c>
      <c r="G3417" s="31">
        <v>0</v>
      </c>
      <c r="H3417" s="31">
        <v>0</v>
      </c>
      <c r="I3417" s="31" t="s">
        <v>1815</v>
      </c>
      <c r="J3417" s="5" t="s">
        <v>2566</v>
      </c>
      <c r="K3417" s="8"/>
    </row>
    <row r="3418" spans="1:11" x14ac:dyDescent="0.2">
      <c r="A3418" s="8">
        <v>2454</v>
      </c>
      <c r="B3418" s="8">
        <f t="shared" si="112"/>
        <v>2024</v>
      </c>
      <c r="C3418" s="8">
        <f t="shared" si="113"/>
        <v>4</v>
      </c>
      <c r="D3418" s="85">
        <v>45389</v>
      </c>
      <c r="E3418" s="31">
        <v>0</v>
      </c>
      <c r="F3418" s="31">
        <v>20000</v>
      </c>
      <c r="G3418" s="31">
        <v>0</v>
      </c>
      <c r="H3418" s="31">
        <v>0</v>
      </c>
      <c r="I3418" s="31" t="s">
        <v>1999</v>
      </c>
      <c r="J3418" s="5" t="s">
        <v>2567</v>
      </c>
      <c r="K3418" s="8"/>
    </row>
    <row r="3419" spans="1:11" x14ac:dyDescent="0.2">
      <c r="A3419" s="8">
        <v>2455</v>
      </c>
      <c r="B3419" s="8">
        <f t="shared" si="112"/>
        <v>2024</v>
      </c>
      <c r="C3419" s="8">
        <f t="shared" si="113"/>
        <v>4</v>
      </c>
      <c r="D3419" s="85">
        <v>45389</v>
      </c>
      <c r="E3419" s="31">
        <v>0</v>
      </c>
      <c r="F3419" s="31">
        <v>30000</v>
      </c>
      <c r="G3419" s="31">
        <v>0</v>
      </c>
      <c r="H3419" s="31">
        <v>0</v>
      </c>
      <c r="I3419" s="31" t="s">
        <v>1999</v>
      </c>
      <c r="J3419" s="5" t="s">
        <v>2568</v>
      </c>
      <c r="K3419" s="8"/>
    </row>
    <row r="3420" spans="1:11" x14ac:dyDescent="0.2">
      <c r="A3420" s="8">
        <v>2456</v>
      </c>
      <c r="B3420" s="8">
        <f t="shared" si="112"/>
        <v>2024</v>
      </c>
      <c r="C3420" s="8">
        <f t="shared" si="113"/>
        <v>4</v>
      </c>
      <c r="D3420" s="85">
        <v>45389</v>
      </c>
      <c r="E3420" s="31">
        <v>0</v>
      </c>
      <c r="F3420" s="31">
        <v>89000</v>
      </c>
      <c r="G3420" s="31">
        <v>0</v>
      </c>
      <c r="H3420" s="31">
        <v>0</v>
      </c>
      <c r="I3420" s="31" t="s">
        <v>1815</v>
      </c>
      <c r="J3420" s="5" t="s">
        <v>2569</v>
      </c>
      <c r="K3420" s="8"/>
    </row>
    <row r="3421" spans="1:11" x14ac:dyDescent="0.2">
      <c r="A3421" s="8">
        <v>2457</v>
      </c>
      <c r="B3421" s="8">
        <f t="shared" si="112"/>
        <v>2024</v>
      </c>
      <c r="C3421" s="8">
        <f t="shared" si="113"/>
        <v>4</v>
      </c>
      <c r="D3421" s="85">
        <v>45390</v>
      </c>
      <c r="E3421" s="31">
        <v>0</v>
      </c>
      <c r="F3421" s="31">
        <v>13000</v>
      </c>
      <c r="G3421" s="31">
        <v>0</v>
      </c>
      <c r="H3421" s="31">
        <v>0</v>
      </c>
      <c r="I3421" s="31" t="s">
        <v>91</v>
      </c>
      <c r="J3421" s="5" t="s">
        <v>2412</v>
      </c>
      <c r="K3421" s="8"/>
    </row>
    <row r="3422" spans="1:11" x14ac:dyDescent="0.2">
      <c r="A3422" s="8">
        <v>2458</v>
      </c>
      <c r="B3422" s="8">
        <f t="shared" si="112"/>
        <v>2024</v>
      </c>
      <c r="C3422" s="8">
        <f t="shared" si="113"/>
        <v>4</v>
      </c>
      <c r="D3422" s="85">
        <v>45390</v>
      </c>
      <c r="E3422" s="31">
        <v>0</v>
      </c>
      <c r="F3422" s="31">
        <v>21000</v>
      </c>
      <c r="G3422" s="31">
        <v>0</v>
      </c>
      <c r="H3422" s="31">
        <v>0</v>
      </c>
      <c r="I3422" s="31" t="s">
        <v>149</v>
      </c>
      <c r="J3422" s="5" t="s">
        <v>2507</v>
      </c>
      <c r="K3422" s="8"/>
    </row>
    <row r="3423" spans="1:11" x14ac:dyDescent="0.2">
      <c r="A3423" s="8">
        <v>2459</v>
      </c>
      <c r="B3423" s="8">
        <f t="shared" si="112"/>
        <v>2024</v>
      </c>
      <c r="C3423" s="8">
        <f t="shared" si="113"/>
        <v>4</v>
      </c>
      <c r="D3423" s="85">
        <v>45391</v>
      </c>
      <c r="E3423" s="31">
        <v>0</v>
      </c>
      <c r="F3423" s="31">
        <v>13000</v>
      </c>
      <c r="G3423" s="31">
        <v>0</v>
      </c>
      <c r="H3423" s="31">
        <v>0</v>
      </c>
      <c r="I3423" s="31" t="s">
        <v>91</v>
      </c>
      <c r="J3423" s="5" t="s">
        <v>2412</v>
      </c>
      <c r="K3423" s="8"/>
    </row>
    <row r="3424" spans="1:11" x14ac:dyDescent="0.2">
      <c r="A3424" s="8">
        <v>2460</v>
      </c>
      <c r="B3424" s="8">
        <f t="shared" si="112"/>
        <v>2024</v>
      </c>
      <c r="C3424" s="8">
        <f t="shared" si="113"/>
        <v>4</v>
      </c>
      <c r="D3424" s="85">
        <v>45391</v>
      </c>
      <c r="E3424" s="31">
        <v>0</v>
      </c>
      <c r="F3424" s="31">
        <v>21000</v>
      </c>
      <c r="G3424" s="31">
        <v>0</v>
      </c>
      <c r="H3424" s="31">
        <v>0</v>
      </c>
      <c r="I3424" s="31" t="s">
        <v>149</v>
      </c>
      <c r="J3424" s="5" t="s">
        <v>2507</v>
      </c>
      <c r="K3424" s="8"/>
    </row>
    <row r="3425" spans="1:11" x14ac:dyDescent="0.2">
      <c r="A3425" s="8">
        <v>2461</v>
      </c>
      <c r="B3425" s="8">
        <f t="shared" si="112"/>
        <v>2024</v>
      </c>
      <c r="C3425" s="8">
        <f t="shared" si="113"/>
        <v>4</v>
      </c>
      <c r="D3425" s="85">
        <v>45392</v>
      </c>
      <c r="E3425" s="31">
        <v>0</v>
      </c>
      <c r="F3425" s="31">
        <v>20000</v>
      </c>
      <c r="G3425" s="31">
        <v>0</v>
      </c>
      <c r="H3425" s="31">
        <v>0</v>
      </c>
      <c r="I3425" s="31" t="s">
        <v>1350</v>
      </c>
      <c r="J3425" s="5" t="s">
        <v>2570</v>
      </c>
      <c r="K3425" s="8"/>
    </row>
    <row r="3426" spans="1:11" x14ac:dyDescent="0.2">
      <c r="A3426" s="8">
        <v>2462</v>
      </c>
      <c r="B3426" s="8">
        <f t="shared" si="112"/>
        <v>2024</v>
      </c>
      <c r="C3426" s="8">
        <f t="shared" si="113"/>
        <v>4</v>
      </c>
      <c r="D3426" s="85">
        <v>45392</v>
      </c>
      <c r="E3426" s="31">
        <v>0</v>
      </c>
      <c r="F3426" s="31">
        <v>26000</v>
      </c>
      <c r="G3426" s="31">
        <v>0</v>
      </c>
      <c r="H3426" s="31">
        <v>0</v>
      </c>
      <c r="I3426" s="31" t="s">
        <v>1350</v>
      </c>
      <c r="J3426" s="5" t="s">
        <v>2571</v>
      </c>
      <c r="K3426" s="8"/>
    </row>
    <row r="3427" spans="1:11" x14ac:dyDescent="0.2">
      <c r="A3427" s="8">
        <v>2463</v>
      </c>
      <c r="B3427" s="8">
        <f t="shared" si="112"/>
        <v>2024</v>
      </c>
      <c r="C3427" s="8">
        <f t="shared" si="113"/>
        <v>4</v>
      </c>
      <c r="D3427" s="85">
        <v>45392</v>
      </c>
      <c r="E3427" s="31">
        <v>0</v>
      </c>
      <c r="F3427" s="31">
        <v>15000</v>
      </c>
      <c r="G3427" s="31">
        <v>0</v>
      </c>
      <c r="H3427" s="31">
        <v>0</v>
      </c>
      <c r="I3427" s="31" t="s">
        <v>149</v>
      </c>
      <c r="J3427" s="5" t="s">
        <v>2379</v>
      </c>
      <c r="K3427" s="8"/>
    </row>
    <row r="3428" spans="1:11" x14ac:dyDescent="0.2">
      <c r="A3428" s="8">
        <v>2464</v>
      </c>
      <c r="B3428" s="8">
        <f t="shared" si="112"/>
        <v>2024</v>
      </c>
      <c r="C3428" s="8">
        <f t="shared" si="113"/>
        <v>4</v>
      </c>
      <c r="D3428" s="85">
        <v>45392</v>
      </c>
      <c r="E3428" s="31">
        <v>0</v>
      </c>
      <c r="F3428" s="31">
        <v>7000</v>
      </c>
      <c r="G3428" s="31">
        <v>0</v>
      </c>
      <c r="H3428" s="31">
        <v>0</v>
      </c>
      <c r="I3428" s="31" t="s">
        <v>85</v>
      </c>
      <c r="J3428" s="5" t="s">
        <v>2572</v>
      </c>
      <c r="K3428" s="8"/>
    </row>
    <row r="3429" spans="1:11" x14ac:dyDescent="0.2">
      <c r="A3429" s="8">
        <v>2465</v>
      </c>
      <c r="B3429" s="8">
        <f t="shared" si="112"/>
        <v>2024</v>
      </c>
      <c r="C3429" s="8">
        <f t="shared" si="113"/>
        <v>4</v>
      </c>
      <c r="D3429" s="85">
        <v>45393</v>
      </c>
      <c r="E3429" s="31">
        <v>0</v>
      </c>
      <c r="F3429" s="31">
        <v>360000</v>
      </c>
      <c r="G3429" s="31">
        <v>0</v>
      </c>
      <c r="H3429" s="31">
        <v>0</v>
      </c>
      <c r="I3429" s="31" t="s">
        <v>85</v>
      </c>
      <c r="J3429" s="5" t="s">
        <v>2573</v>
      </c>
      <c r="K3429" s="8"/>
    </row>
    <row r="3430" spans="1:11" x14ac:dyDescent="0.2">
      <c r="A3430" s="8">
        <v>2466</v>
      </c>
      <c r="B3430" s="8">
        <f t="shared" si="112"/>
        <v>2024</v>
      </c>
      <c r="C3430" s="8">
        <f t="shared" si="113"/>
        <v>4</v>
      </c>
      <c r="D3430" s="85">
        <v>45393</v>
      </c>
      <c r="E3430" s="31">
        <v>0</v>
      </c>
      <c r="F3430" s="31">
        <v>15000</v>
      </c>
      <c r="G3430" s="31">
        <v>0</v>
      </c>
      <c r="H3430" s="31">
        <v>0</v>
      </c>
      <c r="I3430" s="31" t="s">
        <v>91</v>
      </c>
      <c r="J3430" s="5" t="s">
        <v>2418</v>
      </c>
      <c r="K3430" s="8"/>
    </row>
    <row r="3431" spans="1:11" x14ac:dyDescent="0.2">
      <c r="A3431" s="8">
        <v>2467</v>
      </c>
      <c r="B3431" s="8">
        <f t="shared" si="112"/>
        <v>2024</v>
      </c>
      <c r="C3431" s="8">
        <f t="shared" si="113"/>
        <v>4</v>
      </c>
      <c r="D3431" s="85">
        <v>45393</v>
      </c>
      <c r="E3431" s="31">
        <v>0</v>
      </c>
      <c r="F3431" s="31">
        <v>21000</v>
      </c>
      <c r="G3431" s="31">
        <v>0</v>
      </c>
      <c r="H3431" s="31">
        <v>0</v>
      </c>
      <c r="I3431" s="31" t="s">
        <v>149</v>
      </c>
      <c r="J3431" s="5" t="s">
        <v>2495</v>
      </c>
      <c r="K3431" s="8"/>
    </row>
    <row r="3432" spans="1:11" x14ac:dyDescent="0.2">
      <c r="A3432" s="8">
        <v>2468</v>
      </c>
      <c r="B3432" s="8">
        <f t="shared" si="112"/>
        <v>2024</v>
      </c>
      <c r="C3432" s="8">
        <f t="shared" si="113"/>
        <v>4</v>
      </c>
      <c r="D3432" s="85">
        <v>45393</v>
      </c>
      <c r="E3432" s="31">
        <v>0</v>
      </c>
      <c r="F3432" s="31">
        <v>12000</v>
      </c>
      <c r="G3432" s="31">
        <v>0</v>
      </c>
      <c r="H3432" s="31">
        <v>0</v>
      </c>
      <c r="I3432" s="31" t="s">
        <v>91</v>
      </c>
      <c r="J3432" s="5" t="s">
        <v>2574</v>
      </c>
      <c r="K3432" s="8"/>
    </row>
    <row r="3433" spans="1:11" x14ac:dyDescent="0.2">
      <c r="A3433" s="8">
        <v>2469</v>
      </c>
      <c r="B3433" s="8">
        <f t="shared" si="112"/>
        <v>2024</v>
      </c>
      <c r="C3433" s="8">
        <f t="shared" si="113"/>
        <v>4</v>
      </c>
      <c r="D3433" s="85">
        <v>45394</v>
      </c>
      <c r="E3433" s="31">
        <v>0</v>
      </c>
      <c r="F3433" s="31">
        <v>30000</v>
      </c>
      <c r="G3433" s="31">
        <v>0</v>
      </c>
      <c r="H3433" s="31">
        <v>0</v>
      </c>
      <c r="I3433" s="31" t="s">
        <v>91</v>
      </c>
      <c r="J3433" s="5" t="s">
        <v>2424</v>
      </c>
      <c r="K3433" s="8"/>
    </row>
    <row r="3434" spans="1:11" x14ac:dyDescent="0.2">
      <c r="A3434" s="8">
        <v>2470</v>
      </c>
      <c r="B3434" s="8">
        <f t="shared" si="112"/>
        <v>2024</v>
      </c>
      <c r="C3434" s="8">
        <f t="shared" si="113"/>
        <v>4</v>
      </c>
      <c r="D3434" s="85">
        <v>45394</v>
      </c>
      <c r="E3434" s="31">
        <v>0</v>
      </c>
      <c r="F3434" s="31">
        <v>21000</v>
      </c>
      <c r="G3434" s="31">
        <v>0</v>
      </c>
      <c r="H3434" s="31">
        <v>0</v>
      </c>
      <c r="I3434" s="31" t="s">
        <v>149</v>
      </c>
      <c r="J3434" s="5" t="s">
        <v>2495</v>
      </c>
      <c r="K3434" s="8"/>
    </row>
    <row r="3435" spans="1:11" x14ac:dyDescent="0.2">
      <c r="A3435" s="8">
        <v>2471</v>
      </c>
      <c r="B3435" s="8">
        <f t="shared" si="112"/>
        <v>2024</v>
      </c>
      <c r="C3435" s="8">
        <f t="shared" si="113"/>
        <v>4</v>
      </c>
      <c r="D3435" s="85">
        <v>45394</v>
      </c>
      <c r="E3435" s="31">
        <v>0</v>
      </c>
      <c r="F3435" s="31">
        <v>85000</v>
      </c>
      <c r="G3435" s="31">
        <v>0</v>
      </c>
      <c r="H3435" s="31">
        <v>0</v>
      </c>
      <c r="I3435" s="31" t="s">
        <v>1992</v>
      </c>
      <c r="J3435" s="5" t="s">
        <v>2575</v>
      </c>
      <c r="K3435" s="8"/>
    </row>
    <row r="3436" spans="1:11" x14ac:dyDescent="0.2">
      <c r="A3436" s="8">
        <v>2472</v>
      </c>
      <c r="B3436" s="8">
        <f t="shared" si="112"/>
        <v>2024</v>
      </c>
      <c r="C3436" s="8">
        <f t="shared" si="113"/>
        <v>4</v>
      </c>
      <c r="D3436" s="85">
        <v>45394</v>
      </c>
      <c r="E3436" s="31">
        <v>0</v>
      </c>
      <c r="F3436" s="31">
        <v>100000</v>
      </c>
      <c r="G3436" s="31">
        <v>0</v>
      </c>
      <c r="H3436" s="31">
        <v>0</v>
      </c>
      <c r="I3436" s="31" t="s">
        <v>1992</v>
      </c>
      <c r="J3436" s="5" t="s">
        <v>2576</v>
      </c>
      <c r="K3436" s="8"/>
    </row>
    <row r="3437" spans="1:11" x14ac:dyDescent="0.2">
      <c r="A3437" s="8">
        <v>2473</v>
      </c>
      <c r="B3437" s="8">
        <f t="shared" si="112"/>
        <v>2024</v>
      </c>
      <c r="C3437" s="8">
        <f t="shared" si="113"/>
        <v>4</v>
      </c>
      <c r="D3437" s="85">
        <v>45394</v>
      </c>
      <c r="E3437" s="31">
        <v>0</v>
      </c>
      <c r="F3437" s="31">
        <v>170000</v>
      </c>
      <c r="G3437" s="31">
        <v>0</v>
      </c>
      <c r="H3437" s="31">
        <v>0</v>
      </c>
      <c r="I3437" s="31" t="s">
        <v>299</v>
      </c>
      <c r="J3437" s="5" t="s">
        <v>2577</v>
      </c>
      <c r="K3437" s="8"/>
    </row>
    <row r="3438" spans="1:11" x14ac:dyDescent="0.2">
      <c r="A3438" s="8">
        <v>2474</v>
      </c>
      <c r="B3438" s="8">
        <f t="shared" si="112"/>
        <v>2024</v>
      </c>
      <c r="C3438" s="8">
        <f t="shared" si="113"/>
        <v>4</v>
      </c>
      <c r="D3438" s="85">
        <v>45394</v>
      </c>
      <c r="E3438" s="31">
        <v>0</v>
      </c>
      <c r="F3438" s="31">
        <v>40000</v>
      </c>
      <c r="G3438" s="31">
        <v>0</v>
      </c>
      <c r="H3438" s="31">
        <v>0</v>
      </c>
      <c r="I3438" s="31" t="s">
        <v>1815</v>
      </c>
      <c r="J3438" s="5" t="s">
        <v>2578</v>
      </c>
      <c r="K3438" s="8"/>
    </row>
    <row r="3439" spans="1:11" x14ac:dyDescent="0.2">
      <c r="A3439" s="8">
        <v>2475</v>
      </c>
      <c r="B3439" s="8">
        <f t="shared" si="112"/>
        <v>2024</v>
      </c>
      <c r="C3439" s="8">
        <f t="shared" si="113"/>
        <v>4</v>
      </c>
      <c r="D3439" s="85">
        <v>45394</v>
      </c>
      <c r="E3439" s="31">
        <v>0</v>
      </c>
      <c r="F3439" s="31">
        <v>32000</v>
      </c>
      <c r="G3439" s="31">
        <v>0</v>
      </c>
      <c r="H3439" s="31">
        <v>0</v>
      </c>
      <c r="I3439" s="31" t="s">
        <v>1815</v>
      </c>
      <c r="J3439" s="5" t="s">
        <v>2579</v>
      </c>
      <c r="K3439" s="8"/>
    </row>
    <row r="3440" spans="1:11" x14ac:dyDescent="0.2">
      <c r="A3440" s="8">
        <v>2477</v>
      </c>
      <c r="B3440" s="8">
        <f t="shared" si="112"/>
        <v>2024</v>
      </c>
      <c r="C3440" s="8">
        <f t="shared" si="113"/>
        <v>4</v>
      </c>
      <c r="D3440" s="85">
        <v>45394</v>
      </c>
      <c r="E3440" s="31">
        <v>0</v>
      </c>
      <c r="F3440" s="31">
        <v>20000</v>
      </c>
      <c r="G3440" s="31">
        <v>0</v>
      </c>
      <c r="H3440" s="31">
        <v>0</v>
      </c>
      <c r="I3440" s="31" t="s">
        <v>1350</v>
      </c>
      <c r="J3440" s="5" t="s">
        <v>2580</v>
      </c>
      <c r="K3440" s="8"/>
    </row>
    <row r="3441" spans="1:11" x14ac:dyDescent="0.2">
      <c r="A3441" s="8">
        <v>2478</v>
      </c>
      <c r="B3441" s="8">
        <f t="shared" si="112"/>
        <v>2024</v>
      </c>
      <c r="C3441" s="8">
        <f t="shared" si="113"/>
        <v>4</v>
      </c>
      <c r="D3441" s="85">
        <v>45395</v>
      </c>
      <c r="E3441" s="31">
        <v>0</v>
      </c>
      <c r="F3441" s="31">
        <v>60000</v>
      </c>
      <c r="G3441" s="31">
        <v>0</v>
      </c>
      <c r="H3441" s="31">
        <v>0</v>
      </c>
      <c r="I3441" s="31" t="s">
        <v>299</v>
      </c>
      <c r="J3441" s="5" t="s">
        <v>2581</v>
      </c>
      <c r="K3441" s="8"/>
    </row>
    <row r="3442" spans="1:11" x14ac:dyDescent="0.2">
      <c r="A3442" s="8">
        <v>2479</v>
      </c>
      <c r="B3442" s="8">
        <f t="shared" si="112"/>
        <v>2024</v>
      </c>
      <c r="C3442" s="8">
        <f t="shared" si="113"/>
        <v>4</v>
      </c>
      <c r="D3442" s="85">
        <v>45395</v>
      </c>
      <c r="E3442" s="31">
        <v>0</v>
      </c>
      <c r="F3442" s="31">
        <v>30000</v>
      </c>
      <c r="G3442" s="31">
        <v>0</v>
      </c>
      <c r="H3442" s="31">
        <v>0</v>
      </c>
      <c r="I3442" s="31" t="s">
        <v>91</v>
      </c>
      <c r="J3442" s="5" t="s">
        <v>2582</v>
      </c>
      <c r="K3442" s="8"/>
    </row>
    <row r="3443" spans="1:11" x14ac:dyDescent="0.2">
      <c r="A3443" s="8">
        <v>2480</v>
      </c>
      <c r="B3443" s="8">
        <f t="shared" si="112"/>
        <v>2024</v>
      </c>
      <c r="C3443" s="8">
        <f t="shared" si="113"/>
        <v>4</v>
      </c>
      <c r="D3443" s="85">
        <v>45395</v>
      </c>
      <c r="E3443" s="31">
        <v>0</v>
      </c>
      <c r="F3443" s="31">
        <v>30000</v>
      </c>
      <c r="G3443" s="31">
        <v>0</v>
      </c>
      <c r="H3443" s="31">
        <v>0</v>
      </c>
      <c r="I3443" s="31" t="s">
        <v>91</v>
      </c>
      <c r="J3443" s="5" t="s">
        <v>2583</v>
      </c>
      <c r="K3443" s="8"/>
    </row>
    <row r="3444" spans="1:11" x14ac:dyDescent="0.2">
      <c r="A3444" s="8">
        <v>2481</v>
      </c>
      <c r="B3444" s="8">
        <f t="shared" si="112"/>
        <v>2024</v>
      </c>
      <c r="C3444" s="8">
        <f t="shared" si="113"/>
        <v>4</v>
      </c>
      <c r="D3444" s="85">
        <v>45395</v>
      </c>
      <c r="E3444" s="31">
        <v>0</v>
      </c>
      <c r="F3444" s="31">
        <v>20000</v>
      </c>
      <c r="G3444" s="31">
        <v>0</v>
      </c>
      <c r="H3444" s="31">
        <v>0</v>
      </c>
      <c r="I3444" s="31" t="s">
        <v>91</v>
      </c>
      <c r="J3444" s="5" t="s">
        <v>2416</v>
      </c>
      <c r="K3444" s="8"/>
    </row>
    <row r="3445" spans="1:11" x14ac:dyDescent="0.2">
      <c r="A3445" s="8">
        <v>2482</v>
      </c>
      <c r="B3445" s="8">
        <f t="shared" si="112"/>
        <v>2024</v>
      </c>
      <c r="C3445" s="8">
        <f t="shared" si="113"/>
        <v>4</v>
      </c>
      <c r="D3445" s="85">
        <v>45395</v>
      </c>
      <c r="E3445" s="31">
        <v>0</v>
      </c>
      <c r="F3445" s="31">
        <v>25000</v>
      </c>
      <c r="G3445" s="31">
        <v>0</v>
      </c>
      <c r="H3445" s="31">
        <v>0</v>
      </c>
      <c r="I3445" s="31" t="s">
        <v>85</v>
      </c>
      <c r="J3445" s="5" t="s">
        <v>2584</v>
      </c>
      <c r="K3445" s="8"/>
    </row>
    <row r="3446" spans="1:11" x14ac:dyDescent="0.2">
      <c r="A3446" s="8">
        <v>2483</v>
      </c>
      <c r="B3446" s="8">
        <f t="shared" si="112"/>
        <v>2024</v>
      </c>
      <c r="C3446" s="8">
        <f t="shared" si="113"/>
        <v>4</v>
      </c>
      <c r="D3446" s="85">
        <v>45396</v>
      </c>
      <c r="E3446" s="31">
        <v>0</v>
      </c>
      <c r="F3446" s="31">
        <v>40000</v>
      </c>
      <c r="G3446" s="31">
        <v>0</v>
      </c>
      <c r="H3446" s="31">
        <v>0</v>
      </c>
      <c r="I3446" s="31" t="s">
        <v>91</v>
      </c>
      <c r="J3446" s="5" t="s">
        <v>2585</v>
      </c>
      <c r="K3446" s="8"/>
    </row>
    <row r="3447" spans="1:11" x14ac:dyDescent="0.2">
      <c r="A3447" s="8">
        <v>2484</v>
      </c>
      <c r="B3447" s="8">
        <f t="shared" si="112"/>
        <v>2024</v>
      </c>
      <c r="C3447" s="8">
        <f t="shared" si="113"/>
        <v>4</v>
      </c>
      <c r="D3447" s="85">
        <v>45396</v>
      </c>
      <c r="E3447" s="31">
        <v>0</v>
      </c>
      <c r="F3447" s="31">
        <v>27000</v>
      </c>
      <c r="G3447" s="31">
        <v>0</v>
      </c>
      <c r="H3447" s="31">
        <v>0</v>
      </c>
      <c r="I3447" s="31" t="s">
        <v>1815</v>
      </c>
      <c r="J3447" s="5" t="s">
        <v>2586</v>
      </c>
      <c r="K3447" s="8"/>
    </row>
    <row r="3448" spans="1:11" x14ac:dyDescent="0.2">
      <c r="A3448" s="8">
        <v>2485</v>
      </c>
      <c r="B3448" s="8">
        <f t="shared" si="112"/>
        <v>2024</v>
      </c>
      <c r="C3448" s="8">
        <f t="shared" si="113"/>
        <v>4</v>
      </c>
      <c r="D3448" s="85">
        <v>45397</v>
      </c>
      <c r="E3448" s="31">
        <v>0</v>
      </c>
      <c r="F3448" s="31">
        <v>10000</v>
      </c>
      <c r="G3448" s="31">
        <v>0</v>
      </c>
      <c r="H3448" s="31">
        <v>0</v>
      </c>
      <c r="I3448" s="31" t="s">
        <v>1350</v>
      </c>
      <c r="J3448" s="5" t="s">
        <v>2587</v>
      </c>
      <c r="K3448" s="8"/>
    </row>
    <row r="3449" spans="1:11" x14ac:dyDescent="0.2">
      <c r="A3449" s="8">
        <v>2486</v>
      </c>
      <c r="B3449" s="8">
        <f t="shared" si="112"/>
        <v>2024</v>
      </c>
      <c r="C3449" s="8">
        <f t="shared" si="113"/>
        <v>4</v>
      </c>
      <c r="D3449" s="85">
        <v>45397</v>
      </c>
      <c r="E3449" s="31">
        <v>0</v>
      </c>
      <c r="F3449" s="31">
        <v>5000</v>
      </c>
      <c r="G3449" s="31">
        <v>0</v>
      </c>
      <c r="H3449" s="31">
        <v>0</v>
      </c>
      <c r="I3449" s="31" t="s">
        <v>1350</v>
      </c>
      <c r="J3449" s="5" t="s">
        <v>2588</v>
      </c>
      <c r="K3449" s="8"/>
    </row>
    <row r="3450" spans="1:11" x14ac:dyDescent="0.2">
      <c r="A3450" s="8">
        <v>2487</v>
      </c>
      <c r="B3450" s="8">
        <f t="shared" si="112"/>
        <v>2024</v>
      </c>
      <c r="C3450" s="8">
        <f t="shared" si="113"/>
        <v>4</v>
      </c>
      <c r="D3450" s="85">
        <v>45397</v>
      </c>
      <c r="E3450" s="31">
        <v>0</v>
      </c>
      <c r="F3450" s="31">
        <v>28000</v>
      </c>
      <c r="G3450" s="31">
        <v>0</v>
      </c>
      <c r="H3450" s="31">
        <v>0</v>
      </c>
      <c r="I3450" s="31" t="s">
        <v>91</v>
      </c>
      <c r="J3450" s="5" t="s">
        <v>2589</v>
      </c>
      <c r="K3450" s="8"/>
    </row>
    <row r="3451" spans="1:11" x14ac:dyDescent="0.2">
      <c r="A3451" s="8">
        <v>2488</v>
      </c>
      <c r="B3451" s="8">
        <f t="shared" si="112"/>
        <v>2024</v>
      </c>
      <c r="C3451" s="8">
        <f t="shared" si="113"/>
        <v>4</v>
      </c>
      <c r="D3451" s="85">
        <v>45397</v>
      </c>
      <c r="E3451" s="31">
        <v>0</v>
      </c>
      <c r="F3451" s="31">
        <v>4000</v>
      </c>
      <c r="G3451" s="31">
        <v>0</v>
      </c>
      <c r="H3451" s="31">
        <v>0</v>
      </c>
      <c r="I3451" s="31" t="s">
        <v>149</v>
      </c>
      <c r="J3451" s="5" t="s">
        <v>2590</v>
      </c>
      <c r="K3451" s="8"/>
    </row>
    <row r="3452" spans="1:11" x14ac:dyDescent="0.2">
      <c r="A3452" s="8">
        <v>2489</v>
      </c>
      <c r="B3452" s="8">
        <f t="shared" si="112"/>
        <v>2024</v>
      </c>
      <c r="C3452" s="8">
        <f t="shared" si="113"/>
        <v>4</v>
      </c>
      <c r="D3452" s="85">
        <v>45397</v>
      </c>
      <c r="E3452" s="31">
        <v>0</v>
      </c>
      <c r="F3452" s="31">
        <v>18000</v>
      </c>
      <c r="G3452" s="31">
        <v>0</v>
      </c>
      <c r="H3452" s="31">
        <v>0</v>
      </c>
      <c r="I3452" s="31" t="s">
        <v>85</v>
      </c>
      <c r="J3452" s="5" t="s">
        <v>2591</v>
      </c>
      <c r="K3452" s="8"/>
    </row>
    <row r="3453" spans="1:11" x14ac:dyDescent="0.2">
      <c r="A3453" s="8">
        <v>2490</v>
      </c>
      <c r="B3453" s="8">
        <f t="shared" si="112"/>
        <v>2024</v>
      </c>
      <c r="C3453" s="8">
        <f t="shared" si="113"/>
        <v>4</v>
      </c>
      <c r="D3453" s="85">
        <v>45398</v>
      </c>
      <c r="E3453" s="31">
        <v>0</v>
      </c>
      <c r="F3453" s="31">
        <v>13000</v>
      </c>
      <c r="G3453" s="31">
        <v>0</v>
      </c>
      <c r="H3453" s="31">
        <v>0</v>
      </c>
      <c r="I3453" s="31" t="s">
        <v>91</v>
      </c>
      <c r="J3453" s="5" t="s">
        <v>2493</v>
      </c>
      <c r="K3453" s="8"/>
    </row>
    <row r="3454" spans="1:11" x14ac:dyDescent="0.2">
      <c r="A3454" s="8">
        <v>2491</v>
      </c>
      <c r="B3454" s="8">
        <f t="shared" si="112"/>
        <v>2024</v>
      </c>
      <c r="C3454" s="8">
        <f t="shared" si="113"/>
        <v>4</v>
      </c>
      <c r="D3454" s="85">
        <v>45398</v>
      </c>
      <c r="E3454" s="31">
        <v>0</v>
      </c>
      <c r="F3454" s="31">
        <v>28000</v>
      </c>
      <c r="G3454" s="31">
        <v>0</v>
      </c>
      <c r="H3454" s="31">
        <v>0</v>
      </c>
      <c r="I3454" s="31" t="s">
        <v>149</v>
      </c>
      <c r="J3454" s="5" t="s">
        <v>2468</v>
      </c>
      <c r="K3454" s="8"/>
    </row>
    <row r="3455" spans="1:11" x14ac:dyDescent="0.2">
      <c r="A3455" s="8">
        <v>2492</v>
      </c>
      <c r="B3455" s="8">
        <f t="shared" si="112"/>
        <v>2024</v>
      </c>
      <c r="C3455" s="8">
        <f t="shared" si="113"/>
        <v>4</v>
      </c>
      <c r="D3455" s="85">
        <v>45398</v>
      </c>
      <c r="E3455" s="31">
        <v>0</v>
      </c>
      <c r="F3455" s="31">
        <v>14000</v>
      </c>
      <c r="G3455" s="31">
        <v>0</v>
      </c>
      <c r="H3455" s="31">
        <v>0</v>
      </c>
      <c r="I3455" s="31" t="s">
        <v>85</v>
      </c>
      <c r="J3455" s="5" t="s">
        <v>2592</v>
      </c>
      <c r="K3455" s="8"/>
    </row>
    <row r="3456" spans="1:11" x14ac:dyDescent="0.2">
      <c r="A3456" s="8">
        <v>2493</v>
      </c>
      <c r="B3456" s="8">
        <f t="shared" si="112"/>
        <v>2024</v>
      </c>
      <c r="C3456" s="8">
        <f t="shared" si="113"/>
        <v>4</v>
      </c>
      <c r="D3456" s="85">
        <v>45392</v>
      </c>
      <c r="E3456" s="31">
        <v>0</v>
      </c>
      <c r="F3456" s="31">
        <v>50000</v>
      </c>
      <c r="G3456" s="31">
        <v>0</v>
      </c>
      <c r="H3456" s="31">
        <v>0</v>
      </c>
      <c r="I3456" s="31" t="s">
        <v>335</v>
      </c>
      <c r="J3456" s="5" t="s">
        <v>1072</v>
      </c>
      <c r="K3456" s="8"/>
    </row>
    <row r="3457" spans="1:11" x14ac:dyDescent="0.2">
      <c r="A3457" s="8">
        <v>2494</v>
      </c>
      <c r="B3457" s="8">
        <f t="shared" si="112"/>
        <v>2024</v>
      </c>
      <c r="C3457" s="8">
        <f t="shared" si="113"/>
        <v>4</v>
      </c>
      <c r="D3457" s="85">
        <v>45399</v>
      </c>
      <c r="E3457" s="31">
        <v>0</v>
      </c>
      <c r="F3457" s="31">
        <v>36000</v>
      </c>
      <c r="G3457" s="31">
        <v>0</v>
      </c>
      <c r="H3457" s="31">
        <v>0</v>
      </c>
      <c r="I3457" s="31" t="s">
        <v>85</v>
      </c>
      <c r="J3457" s="5" t="s">
        <v>2593</v>
      </c>
      <c r="K3457" s="8"/>
    </row>
    <row r="3458" spans="1:11" x14ac:dyDescent="0.2">
      <c r="A3458" s="8">
        <v>2496</v>
      </c>
      <c r="B3458" s="8">
        <f t="shared" si="112"/>
        <v>2024</v>
      </c>
      <c r="C3458" s="8">
        <f t="shared" si="113"/>
        <v>4</v>
      </c>
      <c r="D3458" s="85">
        <v>45400</v>
      </c>
      <c r="E3458" s="31">
        <v>0</v>
      </c>
      <c r="F3458" s="31">
        <v>16000</v>
      </c>
      <c r="G3458" s="31">
        <v>0</v>
      </c>
      <c r="H3458" s="31">
        <v>0</v>
      </c>
      <c r="I3458" s="31" t="s">
        <v>91</v>
      </c>
      <c r="J3458" s="5" t="s">
        <v>2594</v>
      </c>
      <c r="K3458" s="8"/>
    </row>
    <row r="3459" spans="1:11" x14ac:dyDescent="0.2">
      <c r="A3459" s="8">
        <v>2497</v>
      </c>
      <c r="B3459" s="8">
        <f t="shared" ref="B3459:B3522" si="114">YEAR(D3459)</f>
        <v>2024</v>
      </c>
      <c r="C3459" s="8">
        <f t="shared" ref="C3459:C3522" si="115">MONTH(D3459)</f>
        <v>4</v>
      </c>
      <c r="D3459" s="85">
        <v>45400</v>
      </c>
      <c r="E3459" s="31">
        <v>0</v>
      </c>
      <c r="F3459" s="31">
        <v>14000</v>
      </c>
      <c r="G3459" s="31">
        <v>0</v>
      </c>
      <c r="H3459" s="31">
        <v>0</v>
      </c>
      <c r="I3459" s="31" t="s">
        <v>149</v>
      </c>
      <c r="J3459" s="5" t="s">
        <v>2595</v>
      </c>
      <c r="K3459" s="8"/>
    </row>
    <row r="3460" spans="1:11" x14ac:dyDescent="0.2">
      <c r="A3460" s="8">
        <v>2498</v>
      </c>
      <c r="B3460" s="8">
        <f t="shared" si="114"/>
        <v>2024</v>
      </c>
      <c r="C3460" s="8">
        <f t="shared" si="115"/>
        <v>4</v>
      </c>
      <c r="D3460" s="85">
        <v>45401</v>
      </c>
      <c r="E3460" s="31">
        <v>0</v>
      </c>
      <c r="F3460" s="31">
        <v>14000</v>
      </c>
      <c r="G3460" s="31">
        <v>0</v>
      </c>
      <c r="H3460" s="31">
        <v>0</v>
      </c>
      <c r="I3460" s="31" t="s">
        <v>91</v>
      </c>
      <c r="J3460" s="5" t="s">
        <v>2489</v>
      </c>
      <c r="K3460" s="8"/>
    </row>
    <row r="3461" spans="1:11" x14ac:dyDescent="0.2">
      <c r="A3461" s="8">
        <v>2499</v>
      </c>
      <c r="B3461" s="8">
        <f t="shared" si="114"/>
        <v>2024</v>
      </c>
      <c r="C3461" s="8">
        <f t="shared" si="115"/>
        <v>4</v>
      </c>
      <c r="D3461" s="85">
        <v>45401</v>
      </c>
      <c r="E3461" s="31">
        <v>0</v>
      </c>
      <c r="F3461" s="31">
        <v>15000</v>
      </c>
      <c r="G3461" s="31">
        <v>0</v>
      </c>
      <c r="H3461" s="31">
        <v>0</v>
      </c>
      <c r="I3461" s="31" t="s">
        <v>149</v>
      </c>
      <c r="J3461" s="5" t="s">
        <v>2357</v>
      </c>
      <c r="K3461" s="8"/>
    </row>
    <row r="3462" spans="1:11" x14ac:dyDescent="0.2">
      <c r="A3462" s="8">
        <v>2500</v>
      </c>
      <c r="B3462" s="8">
        <f t="shared" si="114"/>
        <v>2024</v>
      </c>
      <c r="C3462" s="8">
        <f t="shared" si="115"/>
        <v>4</v>
      </c>
      <c r="D3462" s="85">
        <v>45401</v>
      </c>
      <c r="E3462" s="31">
        <v>0</v>
      </c>
      <c r="F3462" s="31">
        <v>160000</v>
      </c>
      <c r="G3462" s="31">
        <v>0</v>
      </c>
      <c r="H3462" s="31">
        <v>0</v>
      </c>
      <c r="I3462" s="31" t="s">
        <v>1815</v>
      </c>
      <c r="J3462" s="5" t="s">
        <v>2596</v>
      </c>
      <c r="K3462" s="8"/>
    </row>
    <row r="3463" spans="1:11" x14ac:dyDescent="0.2">
      <c r="A3463" s="8">
        <v>2501</v>
      </c>
      <c r="B3463" s="8">
        <f t="shared" si="114"/>
        <v>2024</v>
      </c>
      <c r="C3463" s="8">
        <f t="shared" si="115"/>
        <v>4</v>
      </c>
      <c r="D3463" s="85">
        <v>45402</v>
      </c>
      <c r="E3463" s="31">
        <v>0</v>
      </c>
      <c r="F3463" s="31">
        <v>20000</v>
      </c>
      <c r="G3463" s="31">
        <v>0</v>
      </c>
      <c r="H3463" s="31">
        <v>0</v>
      </c>
      <c r="I3463" s="31" t="s">
        <v>1350</v>
      </c>
      <c r="J3463" s="5" t="s">
        <v>2597</v>
      </c>
      <c r="K3463" s="8"/>
    </row>
    <row r="3464" spans="1:11" x14ac:dyDescent="0.2">
      <c r="A3464" s="8">
        <v>2502</v>
      </c>
      <c r="B3464" s="8">
        <f t="shared" si="114"/>
        <v>2024</v>
      </c>
      <c r="C3464" s="8">
        <f t="shared" si="115"/>
        <v>4</v>
      </c>
      <c r="D3464" s="85">
        <v>45402</v>
      </c>
      <c r="E3464" s="31">
        <v>0</v>
      </c>
      <c r="F3464" s="31">
        <v>80000</v>
      </c>
      <c r="G3464" s="31">
        <v>0</v>
      </c>
      <c r="H3464" s="31">
        <v>0</v>
      </c>
      <c r="I3464" s="31" t="s">
        <v>1350</v>
      </c>
      <c r="J3464" s="5" t="s">
        <v>2598</v>
      </c>
      <c r="K3464" s="8"/>
    </row>
    <row r="3465" spans="1:11" x14ac:dyDescent="0.2">
      <c r="A3465" s="8">
        <v>2503</v>
      </c>
      <c r="B3465" s="8">
        <f t="shared" si="114"/>
        <v>2024</v>
      </c>
      <c r="C3465" s="8">
        <f t="shared" si="115"/>
        <v>4</v>
      </c>
      <c r="D3465" s="85">
        <v>45402</v>
      </c>
      <c r="E3465" s="31">
        <v>0</v>
      </c>
      <c r="F3465" s="31">
        <v>100000</v>
      </c>
      <c r="G3465" s="31">
        <v>0</v>
      </c>
      <c r="H3465" s="31">
        <v>0</v>
      </c>
      <c r="I3465" s="31" t="s">
        <v>1815</v>
      </c>
      <c r="J3465" s="5" t="s">
        <v>2599</v>
      </c>
      <c r="K3465" s="8"/>
    </row>
    <row r="3466" spans="1:11" x14ac:dyDescent="0.2">
      <c r="A3466" s="8">
        <v>2504</v>
      </c>
      <c r="B3466" s="8">
        <f t="shared" si="114"/>
        <v>2024</v>
      </c>
      <c r="C3466" s="8">
        <f t="shared" si="115"/>
        <v>4</v>
      </c>
      <c r="D3466" s="85">
        <v>45403</v>
      </c>
      <c r="E3466" s="31">
        <v>0</v>
      </c>
      <c r="F3466" s="31">
        <v>25000</v>
      </c>
      <c r="G3466" s="31">
        <v>0</v>
      </c>
      <c r="H3466" s="31">
        <v>0</v>
      </c>
      <c r="I3466" s="31" t="s">
        <v>1815</v>
      </c>
      <c r="J3466" s="5" t="s">
        <v>2600</v>
      </c>
      <c r="K3466" s="8"/>
    </row>
    <row r="3467" spans="1:11" x14ac:dyDescent="0.2">
      <c r="A3467" s="8">
        <v>2505</v>
      </c>
      <c r="B3467" s="8">
        <f t="shared" si="114"/>
        <v>2024</v>
      </c>
      <c r="C3467" s="8">
        <f t="shared" si="115"/>
        <v>4</v>
      </c>
      <c r="D3467" s="85">
        <v>45403</v>
      </c>
      <c r="E3467" s="31">
        <v>0</v>
      </c>
      <c r="F3467" s="31">
        <v>130000</v>
      </c>
      <c r="G3467" s="31">
        <v>0</v>
      </c>
      <c r="H3467" s="31">
        <v>0</v>
      </c>
      <c r="I3467" s="31" t="s">
        <v>1815</v>
      </c>
      <c r="J3467" s="5" t="s">
        <v>2601</v>
      </c>
      <c r="K3467" s="8"/>
    </row>
    <row r="3468" spans="1:11" x14ac:dyDescent="0.2">
      <c r="A3468" s="8">
        <v>2506</v>
      </c>
      <c r="B3468" s="8">
        <f t="shared" si="114"/>
        <v>2024</v>
      </c>
      <c r="C3468" s="8">
        <f t="shared" si="115"/>
        <v>4</v>
      </c>
      <c r="D3468" s="85">
        <v>45404</v>
      </c>
      <c r="E3468" s="31">
        <v>0</v>
      </c>
      <c r="F3468" s="31">
        <v>50000</v>
      </c>
      <c r="G3468" s="31">
        <v>0</v>
      </c>
      <c r="H3468" s="31">
        <v>0</v>
      </c>
      <c r="I3468" s="31" t="s">
        <v>91</v>
      </c>
      <c r="J3468" s="5" t="s">
        <v>2602</v>
      </c>
      <c r="K3468" s="8"/>
    </row>
    <row r="3469" spans="1:11" x14ac:dyDescent="0.2">
      <c r="A3469" s="8">
        <v>2507</v>
      </c>
      <c r="B3469" s="8">
        <f t="shared" si="114"/>
        <v>2024</v>
      </c>
      <c r="C3469" s="8">
        <f t="shared" si="115"/>
        <v>4</v>
      </c>
      <c r="D3469" s="85">
        <v>45405</v>
      </c>
      <c r="E3469" s="31">
        <v>0</v>
      </c>
      <c r="F3469" s="31">
        <v>50000</v>
      </c>
      <c r="G3469" s="31">
        <v>0</v>
      </c>
      <c r="H3469" s="31">
        <v>0</v>
      </c>
      <c r="I3469" s="31" t="s">
        <v>85</v>
      </c>
      <c r="J3469" s="5" t="s">
        <v>2602</v>
      </c>
      <c r="K3469" s="8"/>
    </row>
    <row r="3470" spans="1:11" x14ac:dyDescent="0.2">
      <c r="A3470" s="8">
        <v>2508</v>
      </c>
      <c r="B3470" s="8">
        <f t="shared" si="114"/>
        <v>2024</v>
      </c>
      <c r="C3470" s="8">
        <f t="shared" si="115"/>
        <v>4</v>
      </c>
      <c r="D3470" s="85">
        <v>45406</v>
      </c>
      <c r="E3470" s="31">
        <v>0</v>
      </c>
      <c r="F3470" s="31">
        <v>50000</v>
      </c>
      <c r="G3470" s="31">
        <v>0</v>
      </c>
      <c r="H3470" s="31">
        <v>0</v>
      </c>
      <c r="I3470" s="31" t="s">
        <v>85</v>
      </c>
      <c r="J3470" s="5" t="s">
        <v>2602</v>
      </c>
      <c r="K3470" s="8"/>
    </row>
    <row r="3471" spans="1:11" x14ac:dyDescent="0.2">
      <c r="A3471" s="8">
        <v>2509</v>
      </c>
      <c r="B3471" s="8">
        <f t="shared" si="114"/>
        <v>2024</v>
      </c>
      <c r="C3471" s="8">
        <f t="shared" si="115"/>
        <v>4</v>
      </c>
      <c r="D3471" s="85">
        <v>45407</v>
      </c>
      <c r="E3471" s="31">
        <v>0</v>
      </c>
      <c r="F3471" s="31">
        <v>25000</v>
      </c>
      <c r="G3471" s="31">
        <v>0</v>
      </c>
      <c r="H3471" s="31">
        <v>0</v>
      </c>
      <c r="I3471" s="31" t="s">
        <v>91</v>
      </c>
      <c r="J3471" s="5" t="s">
        <v>2363</v>
      </c>
      <c r="K3471" s="8"/>
    </row>
    <row r="3472" spans="1:11" x14ac:dyDescent="0.2">
      <c r="A3472" s="8">
        <v>2510</v>
      </c>
      <c r="B3472" s="8">
        <f t="shared" si="114"/>
        <v>2024</v>
      </c>
      <c r="C3472" s="8">
        <f t="shared" si="115"/>
        <v>4</v>
      </c>
      <c r="D3472" s="85">
        <v>45407</v>
      </c>
      <c r="E3472" s="31">
        <v>0</v>
      </c>
      <c r="F3472" s="31">
        <v>170000</v>
      </c>
      <c r="G3472" s="31">
        <v>0</v>
      </c>
      <c r="H3472" s="31">
        <v>0</v>
      </c>
      <c r="I3472" s="31" t="s">
        <v>299</v>
      </c>
      <c r="J3472" s="5" t="s">
        <v>2603</v>
      </c>
      <c r="K3472" s="8"/>
    </row>
    <row r="3473" spans="1:11" x14ac:dyDescent="0.2">
      <c r="A3473" s="8">
        <v>2511</v>
      </c>
      <c r="B3473" s="8">
        <f t="shared" si="114"/>
        <v>2024</v>
      </c>
      <c r="C3473" s="8">
        <f t="shared" si="115"/>
        <v>4</v>
      </c>
      <c r="D3473" s="85">
        <v>45408</v>
      </c>
      <c r="E3473" s="31">
        <v>0</v>
      </c>
      <c r="F3473" s="31">
        <v>50000</v>
      </c>
      <c r="G3473" s="31">
        <v>0</v>
      </c>
      <c r="H3473" s="31">
        <v>0</v>
      </c>
      <c r="I3473" s="31" t="s">
        <v>149</v>
      </c>
      <c r="J3473" s="5" t="s">
        <v>2602</v>
      </c>
      <c r="K3473" s="8"/>
    </row>
    <row r="3474" spans="1:11" x14ac:dyDescent="0.2">
      <c r="A3474" s="8">
        <v>2512</v>
      </c>
      <c r="B3474" s="8">
        <f t="shared" si="114"/>
        <v>2024</v>
      </c>
      <c r="C3474" s="8">
        <f t="shared" si="115"/>
        <v>4</v>
      </c>
      <c r="D3474" s="85">
        <v>45409</v>
      </c>
      <c r="E3474" s="31">
        <v>0</v>
      </c>
      <c r="F3474" s="31">
        <v>200000</v>
      </c>
      <c r="G3474" s="31">
        <v>0</v>
      </c>
      <c r="H3474" s="31">
        <v>0</v>
      </c>
      <c r="I3474" s="31" t="s">
        <v>1815</v>
      </c>
      <c r="J3474" s="5" t="s">
        <v>2604</v>
      </c>
      <c r="K3474" s="8"/>
    </row>
    <row r="3475" spans="1:11" x14ac:dyDescent="0.2">
      <c r="A3475" s="8">
        <v>2513</v>
      </c>
      <c r="B3475" s="8">
        <f t="shared" si="114"/>
        <v>2024</v>
      </c>
      <c r="C3475" s="8">
        <f t="shared" si="115"/>
        <v>4</v>
      </c>
      <c r="D3475" s="85">
        <v>45410</v>
      </c>
      <c r="E3475" s="31">
        <v>0</v>
      </c>
      <c r="F3475" s="31">
        <v>50000</v>
      </c>
      <c r="G3475" s="31">
        <v>0</v>
      </c>
      <c r="H3475" s="31">
        <v>0</v>
      </c>
      <c r="I3475" s="31" t="s">
        <v>85</v>
      </c>
      <c r="J3475" s="5" t="s">
        <v>2605</v>
      </c>
      <c r="K3475" s="8"/>
    </row>
    <row r="3476" spans="1:11" x14ac:dyDescent="0.2">
      <c r="A3476" s="8">
        <v>2514</v>
      </c>
      <c r="B3476" s="8">
        <f t="shared" si="114"/>
        <v>2024</v>
      </c>
      <c r="C3476" s="8">
        <f t="shared" si="115"/>
        <v>4</v>
      </c>
      <c r="D3476" s="85">
        <v>45411</v>
      </c>
      <c r="E3476" s="31">
        <v>0</v>
      </c>
      <c r="F3476" s="31">
        <v>160000</v>
      </c>
      <c r="G3476" s="31">
        <v>0</v>
      </c>
      <c r="H3476" s="31">
        <v>0</v>
      </c>
      <c r="I3476" s="31" t="s">
        <v>1815</v>
      </c>
      <c r="J3476" s="5" t="s">
        <v>2606</v>
      </c>
      <c r="K3476" s="8"/>
    </row>
    <row r="3477" spans="1:11" x14ac:dyDescent="0.2">
      <c r="A3477" s="8">
        <v>2515</v>
      </c>
      <c r="B3477" s="8">
        <f t="shared" si="114"/>
        <v>2024</v>
      </c>
      <c r="C3477" s="8">
        <f t="shared" si="115"/>
        <v>4</v>
      </c>
      <c r="D3477" s="85">
        <v>45412</v>
      </c>
      <c r="E3477" s="31">
        <v>0</v>
      </c>
      <c r="F3477" s="31">
        <v>30000</v>
      </c>
      <c r="G3477" s="31">
        <v>0</v>
      </c>
      <c r="H3477" s="31">
        <v>0</v>
      </c>
      <c r="I3477" s="31" t="s">
        <v>91</v>
      </c>
      <c r="J3477" s="5" t="s">
        <v>2382</v>
      </c>
      <c r="K3477" s="8"/>
    </row>
    <row r="3478" spans="1:11" x14ac:dyDescent="0.2">
      <c r="A3478" s="8">
        <v>2516</v>
      </c>
      <c r="B3478" s="8">
        <f t="shared" si="114"/>
        <v>2024</v>
      </c>
      <c r="C3478" s="8">
        <f t="shared" si="115"/>
        <v>4</v>
      </c>
      <c r="D3478" s="85">
        <v>45412</v>
      </c>
      <c r="E3478" s="31">
        <v>0</v>
      </c>
      <c r="F3478" s="31">
        <v>11000</v>
      </c>
      <c r="G3478" s="31">
        <v>0</v>
      </c>
      <c r="H3478" s="31">
        <v>0</v>
      </c>
      <c r="I3478" s="31" t="s">
        <v>149</v>
      </c>
      <c r="J3478" s="5" t="s">
        <v>2607</v>
      </c>
      <c r="K3478" s="8"/>
    </row>
    <row r="3479" spans="1:11" x14ac:dyDescent="0.2">
      <c r="A3479" s="8">
        <v>2517</v>
      </c>
      <c r="B3479" s="8">
        <f t="shared" si="114"/>
        <v>2024</v>
      </c>
      <c r="C3479" s="8">
        <f t="shared" si="115"/>
        <v>5</v>
      </c>
      <c r="D3479" s="85">
        <v>45413</v>
      </c>
      <c r="E3479" s="31">
        <v>0</v>
      </c>
      <c r="F3479" s="31">
        <v>126000</v>
      </c>
      <c r="G3479" s="31">
        <v>0</v>
      </c>
      <c r="H3479" s="31">
        <v>0</v>
      </c>
      <c r="I3479" s="31" t="s">
        <v>335</v>
      </c>
      <c r="J3479" s="5" t="s">
        <v>2608</v>
      </c>
      <c r="K3479" s="8"/>
    </row>
    <row r="3480" spans="1:11" x14ac:dyDescent="0.2">
      <c r="A3480" s="8">
        <v>2518</v>
      </c>
      <c r="B3480" s="8">
        <f t="shared" si="114"/>
        <v>2024</v>
      </c>
      <c r="C3480" s="8">
        <f t="shared" si="115"/>
        <v>5</v>
      </c>
      <c r="D3480" s="85">
        <v>45413</v>
      </c>
      <c r="E3480" s="31">
        <v>0</v>
      </c>
      <c r="F3480" s="31">
        <v>26000</v>
      </c>
      <c r="G3480" s="31">
        <v>0</v>
      </c>
      <c r="H3480" s="31">
        <v>0</v>
      </c>
      <c r="I3480" s="31" t="s">
        <v>91</v>
      </c>
      <c r="J3480" s="5" t="s">
        <v>2609</v>
      </c>
      <c r="K3480" s="8"/>
    </row>
    <row r="3481" spans="1:11" x14ac:dyDescent="0.2">
      <c r="A3481" s="8">
        <v>2519</v>
      </c>
      <c r="B3481" s="8">
        <f t="shared" si="114"/>
        <v>2024</v>
      </c>
      <c r="C3481" s="8">
        <f t="shared" si="115"/>
        <v>5</v>
      </c>
      <c r="D3481" s="85">
        <v>45413</v>
      </c>
      <c r="E3481" s="31">
        <v>0</v>
      </c>
      <c r="F3481" s="31">
        <v>179000</v>
      </c>
      <c r="G3481" s="31">
        <v>0</v>
      </c>
      <c r="H3481" s="31">
        <v>0</v>
      </c>
      <c r="I3481" s="31" t="s">
        <v>85</v>
      </c>
      <c r="J3481" s="5" t="s">
        <v>2610</v>
      </c>
      <c r="K3481" s="8"/>
    </row>
    <row r="3482" spans="1:11" x14ac:dyDescent="0.2">
      <c r="A3482" s="8">
        <v>2520</v>
      </c>
      <c r="B3482" s="8">
        <f t="shared" si="114"/>
        <v>2024</v>
      </c>
      <c r="C3482" s="8">
        <f t="shared" si="115"/>
        <v>5</v>
      </c>
      <c r="D3482" s="85">
        <v>45413</v>
      </c>
      <c r="E3482" s="31">
        <v>0</v>
      </c>
      <c r="F3482" s="31">
        <v>82000</v>
      </c>
      <c r="G3482" s="31">
        <v>0</v>
      </c>
      <c r="H3482" s="31">
        <v>0</v>
      </c>
      <c r="I3482" s="31" t="s">
        <v>91</v>
      </c>
      <c r="J3482" s="5" t="s">
        <v>2611</v>
      </c>
      <c r="K3482" s="8"/>
    </row>
    <row r="3483" spans="1:11" x14ac:dyDescent="0.2">
      <c r="A3483" s="8">
        <v>2521</v>
      </c>
      <c r="B3483" s="8">
        <f t="shared" si="114"/>
        <v>2024</v>
      </c>
      <c r="C3483" s="8">
        <f t="shared" si="115"/>
        <v>5</v>
      </c>
      <c r="D3483" s="85">
        <v>45413</v>
      </c>
      <c r="E3483" s="31">
        <v>0</v>
      </c>
      <c r="F3483" s="31">
        <v>20000</v>
      </c>
      <c r="G3483" s="31">
        <v>0</v>
      </c>
      <c r="H3483" s="31">
        <v>0</v>
      </c>
      <c r="I3483" s="31" t="s">
        <v>1350</v>
      </c>
      <c r="J3483" s="5" t="s">
        <v>2612</v>
      </c>
      <c r="K3483" s="8"/>
    </row>
    <row r="3484" spans="1:11" x14ac:dyDescent="0.2">
      <c r="A3484" s="8">
        <v>2522</v>
      </c>
      <c r="B3484" s="8">
        <f t="shared" si="114"/>
        <v>2024</v>
      </c>
      <c r="C3484" s="8">
        <f t="shared" si="115"/>
        <v>5</v>
      </c>
      <c r="D3484" s="85">
        <v>45414</v>
      </c>
      <c r="E3484" s="31">
        <v>0</v>
      </c>
      <c r="F3484" s="31">
        <v>10000</v>
      </c>
      <c r="G3484" s="31">
        <v>0</v>
      </c>
      <c r="H3484" s="31">
        <v>0</v>
      </c>
      <c r="I3484" s="31" t="s">
        <v>149</v>
      </c>
      <c r="J3484" s="5" t="s">
        <v>2613</v>
      </c>
      <c r="K3484" s="8"/>
    </row>
    <row r="3485" spans="1:11" x14ac:dyDescent="0.2">
      <c r="A3485" s="8">
        <v>2523</v>
      </c>
      <c r="B3485" s="8">
        <f t="shared" si="114"/>
        <v>2024</v>
      </c>
      <c r="C3485" s="8">
        <f t="shared" si="115"/>
        <v>5</v>
      </c>
      <c r="D3485" s="85">
        <v>45414</v>
      </c>
      <c r="E3485" s="31">
        <v>0</v>
      </c>
      <c r="F3485" s="31">
        <v>10000</v>
      </c>
      <c r="G3485" s="31">
        <v>0</v>
      </c>
      <c r="H3485" s="31">
        <v>0</v>
      </c>
      <c r="I3485" s="31" t="s">
        <v>91</v>
      </c>
      <c r="J3485" s="5" t="s">
        <v>2614</v>
      </c>
      <c r="K3485" s="8"/>
    </row>
    <row r="3486" spans="1:11" x14ac:dyDescent="0.2">
      <c r="A3486" s="8">
        <v>2524</v>
      </c>
      <c r="B3486" s="8">
        <f t="shared" si="114"/>
        <v>2024</v>
      </c>
      <c r="C3486" s="8">
        <f t="shared" si="115"/>
        <v>5</v>
      </c>
      <c r="D3486" s="85">
        <v>45414</v>
      </c>
      <c r="E3486" s="31">
        <v>0</v>
      </c>
      <c r="F3486" s="31">
        <v>233000</v>
      </c>
      <c r="G3486" s="31">
        <v>0</v>
      </c>
      <c r="H3486" s="31">
        <v>0</v>
      </c>
      <c r="I3486" s="31" t="s">
        <v>85</v>
      </c>
      <c r="J3486" s="5" t="s">
        <v>2615</v>
      </c>
      <c r="K3486" s="8"/>
    </row>
    <row r="3487" spans="1:11" x14ac:dyDescent="0.2">
      <c r="A3487" s="8">
        <v>2525</v>
      </c>
      <c r="B3487" s="8">
        <f t="shared" si="114"/>
        <v>2024</v>
      </c>
      <c r="C3487" s="8">
        <f t="shared" si="115"/>
        <v>5</v>
      </c>
      <c r="D3487" s="85">
        <v>45415</v>
      </c>
      <c r="E3487" s="31">
        <v>0</v>
      </c>
      <c r="F3487" s="31">
        <v>50000</v>
      </c>
      <c r="G3487" s="31">
        <v>0</v>
      </c>
      <c r="H3487" s="31">
        <v>0</v>
      </c>
      <c r="I3487" s="31" t="s">
        <v>85</v>
      </c>
      <c r="J3487" s="5" t="s">
        <v>287</v>
      </c>
      <c r="K3487" s="8"/>
    </row>
    <row r="3488" spans="1:11" x14ac:dyDescent="0.2">
      <c r="A3488" s="8">
        <v>2526</v>
      </c>
      <c r="B3488" s="8">
        <f t="shared" si="114"/>
        <v>2024</v>
      </c>
      <c r="C3488" s="8">
        <f t="shared" si="115"/>
        <v>5</v>
      </c>
      <c r="D3488" s="85">
        <v>45416</v>
      </c>
      <c r="E3488" s="31">
        <v>0</v>
      </c>
      <c r="F3488" s="31">
        <v>50000</v>
      </c>
      <c r="G3488" s="31">
        <v>0</v>
      </c>
      <c r="H3488" s="31">
        <v>0</v>
      </c>
      <c r="I3488" s="31" t="s">
        <v>85</v>
      </c>
      <c r="J3488" s="5" t="s">
        <v>287</v>
      </c>
      <c r="K3488" s="8"/>
    </row>
    <row r="3489" spans="1:11" x14ac:dyDescent="0.2">
      <c r="A3489" s="8">
        <v>2527</v>
      </c>
      <c r="B3489" s="8">
        <f t="shared" si="114"/>
        <v>2024</v>
      </c>
      <c r="C3489" s="8">
        <f t="shared" si="115"/>
        <v>5</v>
      </c>
      <c r="D3489" s="85">
        <v>45417</v>
      </c>
      <c r="E3489" s="31">
        <v>0</v>
      </c>
      <c r="F3489" s="31">
        <v>10000</v>
      </c>
      <c r="G3489" s="31">
        <v>0</v>
      </c>
      <c r="H3489" s="31">
        <v>0</v>
      </c>
      <c r="I3489" s="31" t="s">
        <v>91</v>
      </c>
      <c r="J3489" s="5" t="s">
        <v>2616</v>
      </c>
      <c r="K3489" s="8"/>
    </row>
    <row r="3490" spans="1:11" x14ac:dyDescent="0.2">
      <c r="A3490" s="8">
        <v>2528</v>
      </c>
      <c r="B3490" s="8">
        <f t="shared" si="114"/>
        <v>2024</v>
      </c>
      <c r="C3490" s="8">
        <f t="shared" si="115"/>
        <v>5</v>
      </c>
      <c r="D3490" s="85">
        <v>45417</v>
      </c>
      <c r="E3490" s="31">
        <v>0</v>
      </c>
      <c r="F3490" s="31">
        <v>700000</v>
      </c>
      <c r="G3490" s="31">
        <v>0</v>
      </c>
      <c r="H3490" s="31">
        <v>0</v>
      </c>
      <c r="I3490" s="31" t="s">
        <v>1729</v>
      </c>
      <c r="J3490" s="5" t="s">
        <v>2524</v>
      </c>
      <c r="K3490" s="8"/>
    </row>
    <row r="3491" spans="1:11" x14ac:dyDescent="0.2">
      <c r="A3491" s="8">
        <v>2529</v>
      </c>
      <c r="B3491" s="8">
        <f t="shared" si="114"/>
        <v>2024</v>
      </c>
      <c r="C3491" s="8">
        <f t="shared" si="115"/>
        <v>5</v>
      </c>
      <c r="D3491" s="85">
        <v>45417</v>
      </c>
      <c r="E3491" s="31">
        <v>0</v>
      </c>
      <c r="F3491" s="31">
        <v>90000</v>
      </c>
      <c r="G3491" s="31">
        <v>0</v>
      </c>
      <c r="H3491" s="31">
        <v>0</v>
      </c>
      <c r="I3491" s="31" t="s">
        <v>85</v>
      </c>
      <c r="J3491" s="5" t="s">
        <v>2617</v>
      </c>
      <c r="K3491" s="8"/>
    </row>
    <row r="3492" spans="1:11" x14ac:dyDescent="0.2">
      <c r="A3492" s="8">
        <v>2530</v>
      </c>
      <c r="B3492" s="8">
        <f t="shared" si="114"/>
        <v>2024</v>
      </c>
      <c r="C3492" s="8">
        <f t="shared" si="115"/>
        <v>5</v>
      </c>
      <c r="D3492" s="85">
        <v>45418</v>
      </c>
      <c r="E3492" s="31">
        <v>0</v>
      </c>
      <c r="F3492" s="31">
        <v>7000</v>
      </c>
      <c r="G3492" s="31">
        <v>0</v>
      </c>
      <c r="H3492" s="31">
        <v>0</v>
      </c>
      <c r="I3492" s="31" t="s">
        <v>149</v>
      </c>
      <c r="J3492" s="5" t="s">
        <v>2618</v>
      </c>
      <c r="K3492" s="8"/>
    </row>
    <row r="3493" spans="1:11" x14ac:dyDescent="0.2">
      <c r="A3493" s="8">
        <v>2531</v>
      </c>
      <c r="B3493" s="8">
        <f t="shared" si="114"/>
        <v>2024</v>
      </c>
      <c r="C3493" s="8">
        <f t="shared" si="115"/>
        <v>5</v>
      </c>
      <c r="D3493" s="85">
        <v>45419</v>
      </c>
      <c r="E3493" s="31">
        <v>0</v>
      </c>
      <c r="F3493" s="31">
        <v>165000</v>
      </c>
      <c r="G3493" s="31">
        <v>0</v>
      </c>
      <c r="H3493" s="31">
        <v>0</v>
      </c>
      <c r="I3493" s="31" t="s">
        <v>299</v>
      </c>
      <c r="J3493" s="5" t="s">
        <v>2619</v>
      </c>
      <c r="K3493" s="8"/>
    </row>
    <row r="3494" spans="1:11" x14ac:dyDescent="0.2">
      <c r="A3494" s="8">
        <v>2532</v>
      </c>
      <c r="B3494" s="8">
        <f t="shared" si="114"/>
        <v>2024</v>
      </c>
      <c r="C3494" s="8">
        <f t="shared" si="115"/>
        <v>5</v>
      </c>
      <c r="D3494" s="85">
        <v>45419</v>
      </c>
      <c r="E3494" s="31">
        <v>0</v>
      </c>
      <c r="F3494" s="31">
        <v>15000</v>
      </c>
      <c r="G3494" s="31">
        <v>0</v>
      </c>
      <c r="H3494" s="31">
        <v>0</v>
      </c>
      <c r="I3494" s="31" t="s">
        <v>91</v>
      </c>
      <c r="J3494" s="5" t="s">
        <v>2536</v>
      </c>
      <c r="K3494" s="8"/>
    </row>
    <row r="3495" spans="1:11" x14ac:dyDescent="0.2">
      <c r="A3495" s="8">
        <v>2533</v>
      </c>
      <c r="B3495" s="8">
        <f t="shared" si="114"/>
        <v>2024</v>
      </c>
      <c r="C3495" s="8">
        <f t="shared" si="115"/>
        <v>5</v>
      </c>
      <c r="D3495" s="85">
        <v>45419</v>
      </c>
      <c r="E3495" s="31">
        <v>0</v>
      </c>
      <c r="F3495" s="31">
        <v>14000</v>
      </c>
      <c r="G3495" s="31">
        <v>0</v>
      </c>
      <c r="H3495" s="31">
        <v>0</v>
      </c>
      <c r="I3495" s="31" t="s">
        <v>149</v>
      </c>
      <c r="J3495" s="5" t="s">
        <v>2537</v>
      </c>
      <c r="K3495" s="8"/>
    </row>
    <row r="3496" spans="1:11" x14ac:dyDescent="0.2">
      <c r="A3496" s="8">
        <v>2534</v>
      </c>
      <c r="B3496" s="8">
        <f t="shared" si="114"/>
        <v>2024</v>
      </c>
      <c r="C3496" s="8">
        <f t="shared" si="115"/>
        <v>5</v>
      </c>
      <c r="D3496" s="85">
        <v>45420</v>
      </c>
      <c r="E3496" s="31">
        <v>0</v>
      </c>
      <c r="F3496" s="31">
        <v>12000</v>
      </c>
      <c r="G3496" s="31">
        <v>0</v>
      </c>
      <c r="H3496" s="31">
        <v>0</v>
      </c>
      <c r="I3496" s="31" t="s">
        <v>1350</v>
      </c>
      <c r="J3496" s="5" t="s">
        <v>2092</v>
      </c>
      <c r="K3496" s="8"/>
    </row>
    <row r="3497" spans="1:11" x14ac:dyDescent="0.2">
      <c r="A3497" s="8">
        <v>2535</v>
      </c>
      <c r="B3497" s="8">
        <f t="shared" si="114"/>
        <v>2024</v>
      </c>
      <c r="C3497" s="8">
        <f t="shared" si="115"/>
        <v>5</v>
      </c>
      <c r="D3497" s="85">
        <v>45420</v>
      </c>
      <c r="E3497" s="31">
        <v>0</v>
      </c>
      <c r="F3497" s="31">
        <v>170000</v>
      </c>
      <c r="G3497" s="31">
        <v>0</v>
      </c>
      <c r="H3497" s="31">
        <v>0</v>
      </c>
      <c r="I3497" s="31" t="s">
        <v>1350</v>
      </c>
      <c r="J3497" s="5" t="s">
        <v>2620</v>
      </c>
      <c r="K3497" s="8"/>
    </row>
    <row r="3498" spans="1:11" ht="15.25" customHeight="1" x14ac:dyDescent="0.2">
      <c r="A3498" s="8">
        <v>2536</v>
      </c>
      <c r="B3498" s="8">
        <f t="shared" si="114"/>
        <v>2024</v>
      </c>
      <c r="C3498" s="8">
        <f t="shared" si="115"/>
        <v>5</v>
      </c>
      <c r="D3498" s="85">
        <v>45420</v>
      </c>
      <c r="E3498" s="31">
        <v>0</v>
      </c>
      <c r="F3498" s="31">
        <v>350000</v>
      </c>
      <c r="G3498" s="31">
        <v>0</v>
      </c>
      <c r="H3498" s="31">
        <v>0</v>
      </c>
      <c r="I3498" s="31" t="s">
        <v>1350</v>
      </c>
      <c r="J3498" s="5" t="s">
        <v>2621</v>
      </c>
      <c r="K3498" s="8"/>
    </row>
    <row r="3499" spans="1:11" x14ac:dyDescent="0.2">
      <c r="A3499" s="8">
        <v>2537</v>
      </c>
      <c r="B3499" s="8">
        <f t="shared" si="114"/>
        <v>2024</v>
      </c>
      <c r="C3499" s="8">
        <f t="shared" si="115"/>
        <v>4</v>
      </c>
      <c r="D3499" s="85">
        <v>45404</v>
      </c>
      <c r="E3499" s="31">
        <v>0</v>
      </c>
      <c r="F3499" s="31">
        <v>70000</v>
      </c>
      <c r="G3499" s="31">
        <v>0</v>
      </c>
      <c r="H3499" s="31">
        <v>0</v>
      </c>
      <c r="I3499" s="31" t="s">
        <v>1992</v>
      </c>
      <c r="J3499" s="5" t="s">
        <v>2622</v>
      </c>
      <c r="K3499" s="8"/>
    </row>
    <row r="3500" spans="1:11" x14ac:dyDescent="0.2">
      <c r="A3500" s="8">
        <v>2538</v>
      </c>
      <c r="B3500" s="8">
        <f t="shared" si="114"/>
        <v>2024</v>
      </c>
      <c r="C3500" s="8">
        <f t="shared" si="115"/>
        <v>4</v>
      </c>
      <c r="D3500" s="85">
        <v>45397</v>
      </c>
      <c r="E3500" s="31">
        <v>0</v>
      </c>
      <c r="F3500" s="31">
        <v>100000</v>
      </c>
      <c r="G3500" s="31">
        <v>0</v>
      </c>
      <c r="H3500" s="31">
        <v>0</v>
      </c>
      <c r="I3500" s="31" t="s">
        <v>85</v>
      </c>
      <c r="J3500" s="5" t="s">
        <v>290</v>
      </c>
      <c r="K3500" s="8"/>
    </row>
    <row r="3501" spans="1:11" x14ac:dyDescent="0.2">
      <c r="A3501" s="8">
        <v>2539</v>
      </c>
      <c r="B3501" s="8">
        <f t="shared" si="114"/>
        <v>2024</v>
      </c>
      <c r="C3501" s="8">
        <f t="shared" si="115"/>
        <v>4</v>
      </c>
      <c r="D3501" s="85">
        <v>45406</v>
      </c>
      <c r="E3501" s="31">
        <v>0</v>
      </c>
      <c r="F3501" s="31">
        <v>100000</v>
      </c>
      <c r="G3501" s="31">
        <v>0</v>
      </c>
      <c r="H3501" s="31">
        <v>0</v>
      </c>
      <c r="I3501" s="31" t="s">
        <v>85</v>
      </c>
      <c r="J3501" s="5" t="s">
        <v>290</v>
      </c>
      <c r="K3501" s="8"/>
    </row>
    <row r="3502" spans="1:11" x14ac:dyDescent="0.2">
      <c r="A3502" s="8">
        <v>2540</v>
      </c>
      <c r="B3502" s="8">
        <f t="shared" si="114"/>
        <v>2024</v>
      </c>
      <c r="C3502" s="8">
        <f t="shared" si="115"/>
        <v>4</v>
      </c>
      <c r="D3502" s="85">
        <v>45406</v>
      </c>
      <c r="E3502" s="31">
        <v>0</v>
      </c>
      <c r="F3502" s="31">
        <v>18000</v>
      </c>
      <c r="G3502" s="31">
        <v>0</v>
      </c>
      <c r="H3502" s="31">
        <v>0</v>
      </c>
      <c r="I3502" s="31" t="s">
        <v>1992</v>
      </c>
      <c r="J3502" s="5" t="s">
        <v>1992</v>
      </c>
      <c r="K3502" s="8"/>
    </row>
    <row r="3503" spans="1:11" x14ac:dyDescent="0.2">
      <c r="A3503" s="8">
        <v>2541</v>
      </c>
      <c r="B3503" s="8">
        <f t="shared" si="114"/>
        <v>2024</v>
      </c>
      <c r="C3503" s="8">
        <f t="shared" si="115"/>
        <v>5</v>
      </c>
      <c r="D3503" s="85">
        <v>45420</v>
      </c>
      <c r="E3503" s="31">
        <v>0</v>
      </c>
      <c r="F3503" s="31">
        <v>14000</v>
      </c>
      <c r="G3503" s="31">
        <v>0</v>
      </c>
      <c r="H3503" s="31">
        <v>0</v>
      </c>
      <c r="I3503" s="31" t="s">
        <v>149</v>
      </c>
      <c r="J3503" s="5" t="s">
        <v>2561</v>
      </c>
      <c r="K3503" s="8"/>
    </row>
    <row r="3504" spans="1:11" x14ac:dyDescent="0.2">
      <c r="A3504" s="8">
        <v>2542</v>
      </c>
      <c r="B3504" s="8">
        <f t="shared" si="114"/>
        <v>2024</v>
      </c>
      <c r="C3504" s="8">
        <f t="shared" si="115"/>
        <v>5</v>
      </c>
      <c r="D3504" s="85">
        <v>45420</v>
      </c>
      <c r="E3504" s="31">
        <v>0</v>
      </c>
      <c r="F3504" s="31">
        <v>50000</v>
      </c>
      <c r="G3504" s="31">
        <v>0</v>
      </c>
      <c r="H3504" s="31">
        <v>0</v>
      </c>
      <c r="I3504" s="31" t="s">
        <v>1992</v>
      </c>
      <c r="J3504" s="5" t="s">
        <v>2623</v>
      </c>
      <c r="K3504" s="8"/>
    </row>
    <row r="3505" spans="1:11" x14ac:dyDescent="0.2">
      <c r="A3505" s="8">
        <v>2543</v>
      </c>
      <c r="B3505" s="8">
        <f t="shared" si="114"/>
        <v>2024</v>
      </c>
      <c r="C3505" s="8">
        <f t="shared" si="115"/>
        <v>5</v>
      </c>
      <c r="D3505" s="85">
        <v>45421</v>
      </c>
      <c r="E3505" s="31">
        <v>0</v>
      </c>
      <c r="F3505" s="31">
        <v>15000</v>
      </c>
      <c r="G3505" s="31">
        <v>0</v>
      </c>
      <c r="H3505" s="31">
        <v>0</v>
      </c>
      <c r="I3505" s="31" t="s">
        <v>149</v>
      </c>
      <c r="J3505" s="5" t="s">
        <v>2624</v>
      </c>
      <c r="K3505" s="8"/>
    </row>
    <row r="3506" spans="1:11" x14ac:dyDescent="0.2">
      <c r="A3506" s="8">
        <v>2545</v>
      </c>
      <c r="B3506" s="8">
        <f t="shared" si="114"/>
        <v>2024</v>
      </c>
      <c r="C3506" s="8">
        <f t="shared" si="115"/>
        <v>5</v>
      </c>
      <c r="D3506" s="85">
        <v>45422</v>
      </c>
      <c r="E3506" s="31">
        <v>0</v>
      </c>
      <c r="F3506" s="31">
        <v>50000</v>
      </c>
      <c r="G3506" s="31">
        <v>0</v>
      </c>
      <c r="H3506" s="31">
        <v>0</v>
      </c>
      <c r="I3506" s="31" t="s">
        <v>85</v>
      </c>
      <c r="J3506" s="5" t="s">
        <v>2605</v>
      </c>
      <c r="K3506" s="8"/>
    </row>
    <row r="3507" spans="1:11" x14ac:dyDescent="0.2">
      <c r="A3507" s="8">
        <v>2546</v>
      </c>
      <c r="B3507" s="8">
        <f t="shared" si="114"/>
        <v>2024</v>
      </c>
      <c r="C3507" s="8">
        <f t="shared" si="115"/>
        <v>5</v>
      </c>
      <c r="D3507" s="85">
        <v>45423</v>
      </c>
      <c r="E3507" s="31">
        <v>0</v>
      </c>
      <c r="F3507" s="31">
        <v>45000</v>
      </c>
      <c r="G3507" s="31">
        <v>0</v>
      </c>
      <c r="H3507" s="31">
        <v>0</v>
      </c>
      <c r="I3507" s="31" t="s">
        <v>91</v>
      </c>
      <c r="J3507" s="5" t="s">
        <v>2625</v>
      </c>
      <c r="K3507" s="8"/>
    </row>
    <row r="3508" spans="1:11" x14ac:dyDescent="0.2">
      <c r="A3508" s="8">
        <v>2513</v>
      </c>
      <c r="B3508" s="8">
        <f t="shared" si="114"/>
        <v>2024</v>
      </c>
      <c r="C3508" s="8">
        <f t="shared" si="115"/>
        <v>5</v>
      </c>
      <c r="D3508" s="85">
        <v>45423</v>
      </c>
      <c r="E3508" s="31">
        <v>0</v>
      </c>
      <c r="F3508" s="31">
        <v>30000</v>
      </c>
      <c r="G3508" s="31">
        <v>0</v>
      </c>
      <c r="H3508" s="31">
        <v>0</v>
      </c>
      <c r="I3508" s="31" t="s">
        <v>91</v>
      </c>
      <c r="J3508" s="5" t="s">
        <v>2626</v>
      </c>
      <c r="K3508" s="8"/>
    </row>
    <row r="3509" spans="1:11" x14ac:dyDescent="0.2">
      <c r="A3509" s="8">
        <v>2514</v>
      </c>
      <c r="B3509" s="8">
        <f t="shared" si="114"/>
        <v>2024</v>
      </c>
      <c r="C3509" s="8">
        <f t="shared" si="115"/>
        <v>5</v>
      </c>
      <c r="D3509" s="85">
        <v>45423</v>
      </c>
      <c r="E3509" s="31">
        <v>0</v>
      </c>
      <c r="F3509" s="31">
        <v>20000</v>
      </c>
      <c r="G3509" s="31">
        <v>0</v>
      </c>
      <c r="H3509" s="31">
        <v>0</v>
      </c>
      <c r="I3509" s="31" t="s">
        <v>573</v>
      </c>
      <c r="J3509" s="5" t="s">
        <v>2627</v>
      </c>
      <c r="K3509" s="8"/>
    </row>
    <row r="3510" spans="1:11" x14ac:dyDescent="0.2">
      <c r="A3510" s="8">
        <v>2515</v>
      </c>
      <c r="B3510" s="8">
        <f t="shared" si="114"/>
        <v>2024</v>
      </c>
      <c r="C3510" s="8">
        <f t="shared" si="115"/>
        <v>5</v>
      </c>
      <c r="D3510" s="85">
        <v>45423</v>
      </c>
      <c r="E3510" s="31">
        <v>0</v>
      </c>
      <c r="F3510" s="31">
        <v>90000</v>
      </c>
      <c r="G3510" s="31">
        <v>0</v>
      </c>
      <c r="H3510" s="31">
        <v>0</v>
      </c>
      <c r="I3510" s="31" t="s">
        <v>1815</v>
      </c>
      <c r="J3510" s="5" t="s">
        <v>2628</v>
      </c>
      <c r="K3510" s="8"/>
    </row>
    <row r="3511" spans="1:11" x14ac:dyDescent="0.2">
      <c r="A3511" s="8">
        <v>2516</v>
      </c>
      <c r="B3511" s="8">
        <f t="shared" si="114"/>
        <v>2024</v>
      </c>
      <c r="C3511" s="8">
        <f t="shared" si="115"/>
        <v>5</v>
      </c>
      <c r="D3511" s="85">
        <v>45424</v>
      </c>
      <c r="E3511" s="31">
        <v>0</v>
      </c>
      <c r="F3511" s="31">
        <v>58000</v>
      </c>
      <c r="G3511" s="31">
        <v>0</v>
      </c>
      <c r="H3511" s="31">
        <v>0</v>
      </c>
      <c r="I3511" s="31" t="s">
        <v>91</v>
      </c>
      <c r="J3511" s="5" t="s">
        <v>2629</v>
      </c>
      <c r="K3511" s="8"/>
    </row>
    <row r="3512" spans="1:11" x14ac:dyDescent="0.2">
      <c r="A3512" s="8">
        <v>2517</v>
      </c>
      <c r="B3512" s="8">
        <f t="shared" si="114"/>
        <v>2024</v>
      </c>
      <c r="C3512" s="8">
        <f t="shared" si="115"/>
        <v>5</v>
      </c>
      <c r="D3512" s="85">
        <v>45424</v>
      </c>
      <c r="E3512" s="31">
        <v>0</v>
      </c>
      <c r="F3512" s="31">
        <v>75000</v>
      </c>
      <c r="G3512" s="31">
        <v>0</v>
      </c>
      <c r="H3512" s="31">
        <v>0</v>
      </c>
      <c r="I3512" s="31" t="s">
        <v>91</v>
      </c>
      <c r="J3512" s="5" t="s">
        <v>2630</v>
      </c>
      <c r="K3512" s="8"/>
    </row>
    <row r="3513" spans="1:11" x14ac:dyDescent="0.2">
      <c r="A3513" s="8">
        <v>2518</v>
      </c>
      <c r="B3513" s="8">
        <f t="shared" si="114"/>
        <v>2024</v>
      </c>
      <c r="C3513" s="8">
        <f t="shared" si="115"/>
        <v>5</v>
      </c>
      <c r="D3513" s="85">
        <v>45424</v>
      </c>
      <c r="E3513" s="31">
        <v>0</v>
      </c>
      <c r="F3513" s="31">
        <v>200000</v>
      </c>
      <c r="G3513" s="31">
        <v>0</v>
      </c>
      <c r="H3513" s="31">
        <v>0</v>
      </c>
      <c r="I3513" s="31" t="s">
        <v>85</v>
      </c>
      <c r="J3513" s="5" t="s">
        <v>2631</v>
      </c>
      <c r="K3513" s="8"/>
    </row>
    <row r="3514" spans="1:11" x14ac:dyDescent="0.2">
      <c r="A3514" s="8">
        <v>2519</v>
      </c>
      <c r="B3514" s="8">
        <f t="shared" si="114"/>
        <v>2024</v>
      </c>
      <c r="C3514" s="8">
        <f t="shared" si="115"/>
        <v>5</v>
      </c>
      <c r="D3514" s="85">
        <v>45424</v>
      </c>
      <c r="E3514" s="31">
        <v>0</v>
      </c>
      <c r="F3514" s="31">
        <v>60000</v>
      </c>
      <c r="G3514" s="31">
        <v>0</v>
      </c>
      <c r="H3514" s="31">
        <v>0</v>
      </c>
      <c r="I3514" s="31" t="s">
        <v>85</v>
      </c>
      <c r="J3514" s="5" t="s">
        <v>2632</v>
      </c>
      <c r="K3514" s="8"/>
    </row>
    <row r="3515" spans="1:11" x14ac:dyDescent="0.2">
      <c r="A3515" s="8">
        <v>2520</v>
      </c>
      <c r="B3515" s="8">
        <f t="shared" si="114"/>
        <v>2024</v>
      </c>
      <c r="C3515" s="8">
        <f t="shared" si="115"/>
        <v>5</v>
      </c>
      <c r="D3515" s="85">
        <v>45424</v>
      </c>
      <c r="E3515" s="31">
        <v>0</v>
      </c>
      <c r="F3515" s="31">
        <v>80000</v>
      </c>
      <c r="G3515" s="31">
        <v>0</v>
      </c>
      <c r="H3515" s="31">
        <v>0</v>
      </c>
      <c r="I3515" s="31" t="s">
        <v>85</v>
      </c>
      <c r="J3515" s="5" t="s">
        <v>2633</v>
      </c>
      <c r="K3515" s="8"/>
    </row>
    <row r="3516" spans="1:11" x14ac:dyDescent="0.2">
      <c r="A3516" s="8">
        <v>2521</v>
      </c>
      <c r="B3516" s="8">
        <f t="shared" si="114"/>
        <v>2024</v>
      </c>
      <c r="C3516" s="8">
        <f t="shared" si="115"/>
        <v>5</v>
      </c>
      <c r="D3516" s="85">
        <v>45424</v>
      </c>
      <c r="E3516" s="31">
        <v>0</v>
      </c>
      <c r="F3516" s="31">
        <v>30000</v>
      </c>
      <c r="G3516" s="31">
        <v>0</v>
      </c>
      <c r="H3516" s="31">
        <v>0</v>
      </c>
      <c r="I3516" s="31" t="s">
        <v>91</v>
      </c>
      <c r="J3516" s="5" t="s">
        <v>2634</v>
      </c>
      <c r="K3516" s="8"/>
    </row>
    <row r="3517" spans="1:11" x14ac:dyDescent="0.2">
      <c r="A3517" s="8">
        <v>2522</v>
      </c>
      <c r="B3517" s="8">
        <f t="shared" si="114"/>
        <v>2024</v>
      </c>
      <c r="C3517" s="8">
        <f t="shared" si="115"/>
        <v>5</v>
      </c>
      <c r="D3517" s="85">
        <v>45424</v>
      </c>
      <c r="E3517" s="31">
        <v>0</v>
      </c>
      <c r="F3517" s="31">
        <v>190000</v>
      </c>
      <c r="G3517" s="31">
        <v>0</v>
      </c>
      <c r="H3517" s="31">
        <v>0</v>
      </c>
      <c r="I3517" s="31" t="s">
        <v>1815</v>
      </c>
      <c r="J3517" s="5" t="s">
        <v>2635</v>
      </c>
      <c r="K3517" s="8"/>
    </row>
    <row r="3518" spans="1:11" x14ac:dyDescent="0.2">
      <c r="A3518" s="8">
        <v>2523</v>
      </c>
      <c r="B3518" s="8">
        <f t="shared" si="114"/>
        <v>2024</v>
      </c>
      <c r="C3518" s="8">
        <f t="shared" si="115"/>
        <v>5</v>
      </c>
      <c r="D3518" s="85">
        <v>45424</v>
      </c>
      <c r="E3518" s="31">
        <v>0</v>
      </c>
      <c r="F3518" s="31">
        <v>60000</v>
      </c>
      <c r="G3518" s="31">
        <v>0</v>
      </c>
      <c r="H3518" s="31">
        <v>0</v>
      </c>
      <c r="I3518" s="31" t="s">
        <v>1815</v>
      </c>
      <c r="J3518" s="5" t="s">
        <v>2636</v>
      </c>
      <c r="K3518" s="8"/>
    </row>
    <row r="3519" spans="1:11" x14ac:dyDescent="0.2">
      <c r="A3519" s="8">
        <v>2521</v>
      </c>
      <c r="B3519" s="8">
        <f t="shared" si="114"/>
        <v>2024</v>
      </c>
      <c r="C3519" s="8">
        <f t="shared" si="115"/>
        <v>4</v>
      </c>
      <c r="D3519" s="85">
        <v>45389</v>
      </c>
      <c r="E3519" s="31">
        <v>0</v>
      </c>
      <c r="F3519" s="176">
        <v>80000</v>
      </c>
      <c r="G3519" s="31">
        <v>0</v>
      </c>
      <c r="H3519" s="31">
        <v>0</v>
      </c>
      <c r="I3519" s="31" t="s">
        <v>85</v>
      </c>
      <c r="J3519" s="5" t="s">
        <v>2637</v>
      </c>
      <c r="K3519" s="8"/>
    </row>
    <row r="3520" spans="1:11" x14ac:dyDescent="0.2">
      <c r="A3520" s="8">
        <v>2522</v>
      </c>
      <c r="B3520" s="8">
        <f t="shared" si="114"/>
        <v>2024</v>
      </c>
      <c r="C3520" s="8">
        <f t="shared" si="115"/>
        <v>4</v>
      </c>
      <c r="D3520" s="85">
        <v>45386</v>
      </c>
      <c r="E3520" s="31">
        <v>0</v>
      </c>
      <c r="F3520" s="176">
        <v>50000</v>
      </c>
      <c r="G3520" s="31">
        <v>0</v>
      </c>
      <c r="H3520" s="31">
        <v>0</v>
      </c>
      <c r="I3520" s="31" t="s">
        <v>335</v>
      </c>
      <c r="J3520" s="5" t="s">
        <v>2548</v>
      </c>
      <c r="K3520" s="8"/>
    </row>
    <row r="3521" spans="1:11" x14ac:dyDescent="0.2">
      <c r="A3521" s="8">
        <v>2523</v>
      </c>
      <c r="B3521" s="8">
        <f t="shared" si="114"/>
        <v>2024</v>
      </c>
      <c r="C3521" s="8">
        <f t="shared" si="115"/>
        <v>4</v>
      </c>
      <c r="D3521" s="85">
        <v>45396</v>
      </c>
      <c r="E3521" s="31">
        <v>0</v>
      </c>
      <c r="F3521" s="176">
        <v>110000</v>
      </c>
      <c r="G3521" s="31">
        <v>0</v>
      </c>
      <c r="H3521" s="31">
        <v>0</v>
      </c>
      <c r="I3521" s="31" t="s">
        <v>1350</v>
      </c>
      <c r="J3521" s="5" t="s">
        <v>2638</v>
      </c>
      <c r="K3521" s="8"/>
    </row>
    <row r="3522" spans="1:11" x14ac:dyDescent="0.2">
      <c r="A3522" s="8">
        <v>2525</v>
      </c>
      <c r="B3522" s="8">
        <f t="shared" si="114"/>
        <v>2024</v>
      </c>
      <c r="C3522" s="8">
        <f t="shared" si="115"/>
        <v>4</v>
      </c>
      <c r="D3522" s="85">
        <v>45397</v>
      </c>
      <c r="E3522" s="31">
        <v>0</v>
      </c>
      <c r="F3522" s="176">
        <v>165000</v>
      </c>
      <c r="G3522" s="31">
        <v>0</v>
      </c>
      <c r="H3522" s="31">
        <v>0</v>
      </c>
      <c r="I3522" s="31" t="s">
        <v>573</v>
      </c>
      <c r="J3522" s="5" t="s">
        <v>2639</v>
      </c>
      <c r="K3522" s="8"/>
    </row>
    <row r="3523" spans="1:11" x14ac:dyDescent="0.2">
      <c r="A3523" s="8">
        <v>2526</v>
      </c>
      <c r="B3523" s="8">
        <f t="shared" ref="B3523:B3586" si="116">YEAR(D3523)</f>
        <v>2024</v>
      </c>
      <c r="C3523" s="8">
        <f t="shared" ref="C3523:C3586" si="117">MONTH(D3523)</f>
        <v>4</v>
      </c>
      <c r="D3523" s="85">
        <v>45397</v>
      </c>
      <c r="E3523" s="31">
        <v>0</v>
      </c>
      <c r="F3523" s="176">
        <v>250000</v>
      </c>
      <c r="G3523" s="31">
        <v>0</v>
      </c>
      <c r="H3523" s="31">
        <v>0</v>
      </c>
      <c r="I3523" s="31" t="s">
        <v>1894</v>
      </c>
      <c r="J3523" s="5" t="s">
        <v>2640</v>
      </c>
      <c r="K3523" s="8"/>
    </row>
    <row r="3524" spans="1:11" x14ac:dyDescent="0.2">
      <c r="A3524" s="8">
        <v>2527</v>
      </c>
      <c r="B3524" s="8">
        <f t="shared" si="116"/>
        <v>2024</v>
      </c>
      <c r="C3524" s="8">
        <f t="shared" si="117"/>
        <v>4</v>
      </c>
      <c r="D3524" s="85">
        <v>45401</v>
      </c>
      <c r="E3524" s="31">
        <v>0</v>
      </c>
      <c r="F3524" s="176">
        <v>245000</v>
      </c>
      <c r="G3524" s="31">
        <v>0</v>
      </c>
      <c r="H3524" s="31">
        <v>0</v>
      </c>
      <c r="I3524" s="31" t="s">
        <v>1973</v>
      </c>
      <c r="J3524" s="5" t="s">
        <v>2641</v>
      </c>
      <c r="K3524" s="8"/>
    </row>
    <row r="3525" spans="1:11" x14ac:dyDescent="0.2">
      <c r="A3525" s="8">
        <v>2528</v>
      </c>
      <c r="B3525" s="8">
        <f t="shared" si="116"/>
        <v>2024</v>
      </c>
      <c r="C3525" s="8">
        <f t="shared" si="117"/>
        <v>4</v>
      </c>
      <c r="D3525" s="85">
        <v>45403</v>
      </c>
      <c r="E3525" s="31">
        <v>0</v>
      </c>
      <c r="F3525" s="176">
        <v>90000</v>
      </c>
      <c r="G3525" s="31">
        <v>0</v>
      </c>
      <c r="H3525" s="31">
        <v>0</v>
      </c>
      <c r="I3525" s="31" t="s">
        <v>335</v>
      </c>
      <c r="J3525" s="5" t="s">
        <v>2548</v>
      </c>
      <c r="K3525" s="8"/>
    </row>
    <row r="3526" spans="1:11" x14ac:dyDescent="0.2">
      <c r="A3526" s="8">
        <v>2529</v>
      </c>
      <c r="B3526" s="8">
        <f t="shared" si="116"/>
        <v>2024</v>
      </c>
      <c r="C3526" s="8">
        <f t="shared" si="117"/>
        <v>4</v>
      </c>
      <c r="D3526" s="85">
        <v>45408</v>
      </c>
      <c r="E3526" s="31">
        <v>0</v>
      </c>
      <c r="F3526" s="176">
        <v>223000</v>
      </c>
      <c r="G3526" s="31">
        <v>0</v>
      </c>
      <c r="H3526" s="31">
        <v>0</v>
      </c>
      <c r="I3526" s="31" t="s">
        <v>391</v>
      </c>
      <c r="J3526" s="5" t="s">
        <v>2642</v>
      </c>
      <c r="K3526" s="8"/>
    </row>
    <row r="3527" spans="1:11" x14ac:dyDescent="0.2">
      <c r="A3527" s="8">
        <v>2530</v>
      </c>
      <c r="B3527" s="8">
        <f t="shared" si="116"/>
        <v>2024</v>
      </c>
      <c r="C3527" s="8">
        <f t="shared" si="117"/>
        <v>4</v>
      </c>
      <c r="D3527" s="85">
        <v>45412</v>
      </c>
      <c r="E3527" s="31">
        <v>0</v>
      </c>
      <c r="F3527" s="176">
        <v>55000</v>
      </c>
      <c r="G3527" s="31">
        <v>0</v>
      </c>
      <c r="H3527" s="31">
        <v>0</v>
      </c>
      <c r="I3527" s="31" t="s">
        <v>573</v>
      </c>
      <c r="J3527" s="5" t="s">
        <v>2643</v>
      </c>
      <c r="K3527" s="8"/>
    </row>
    <row r="3528" spans="1:11" x14ac:dyDescent="0.2">
      <c r="A3528" s="8">
        <v>2531</v>
      </c>
      <c r="B3528" s="8">
        <f t="shared" si="116"/>
        <v>2024</v>
      </c>
      <c r="C3528" s="8">
        <f t="shared" si="117"/>
        <v>5</v>
      </c>
      <c r="D3528" s="85">
        <v>45423</v>
      </c>
      <c r="E3528" s="31">
        <v>0</v>
      </c>
      <c r="F3528" s="176">
        <v>60000</v>
      </c>
      <c r="G3528" s="31">
        <v>0</v>
      </c>
      <c r="H3528" s="31">
        <v>0</v>
      </c>
      <c r="I3528" s="31" t="s">
        <v>335</v>
      </c>
      <c r="J3528" s="5" t="s">
        <v>2548</v>
      </c>
      <c r="K3528" s="8"/>
    </row>
    <row r="3529" spans="1:11" x14ac:dyDescent="0.2">
      <c r="A3529" s="8">
        <v>2532</v>
      </c>
      <c r="B3529" s="8">
        <f t="shared" si="116"/>
        <v>2024</v>
      </c>
      <c r="C3529" s="8">
        <f t="shared" si="117"/>
        <v>5</v>
      </c>
      <c r="D3529" s="85">
        <v>45423</v>
      </c>
      <c r="E3529" s="31">
        <v>0</v>
      </c>
      <c r="F3529" s="176">
        <v>60000</v>
      </c>
      <c r="G3529" s="31">
        <v>0</v>
      </c>
      <c r="H3529" s="31">
        <v>0</v>
      </c>
      <c r="I3529" s="31" t="s">
        <v>573</v>
      </c>
      <c r="J3529" s="5" t="s">
        <v>2644</v>
      </c>
      <c r="K3529" s="8"/>
    </row>
    <row r="3530" spans="1:11" x14ac:dyDescent="0.2">
      <c r="A3530" s="8">
        <v>2533</v>
      </c>
      <c r="B3530" s="8">
        <f t="shared" si="116"/>
        <v>2024</v>
      </c>
      <c r="C3530" s="8">
        <f t="shared" si="117"/>
        <v>5</v>
      </c>
      <c r="D3530" s="85">
        <v>45427</v>
      </c>
      <c r="E3530" s="31">
        <v>0</v>
      </c>
      <c r="F3530" s="176">
        <v>250000</v>
      </c>
      <c r="G3530" s="31">
        <v>0</v>
      </c>
      <c r="H3530" s="31">
        <v>0</v>
      </c>
      <c r="I3530" s="31" t="s">
        <v>1894</v>
      </c>
      <c r="J3530" s="5" t="s">
        <v>2645</v>
      </c>
      <c r="K3530" s="8"/>
    </row>
    <row r="3531" spans="1:11" x14ac:dyDescent="0.2">
      <c r="A3531" s="8">
        <v>2534</v>
      </c>
      <c r="B3531" s="8">
        <f t="shared" si="116"/>
        <v>2024</v>
      </c>
      <c r="C3531" s="8">
        <f t="shared" si="117"/>
        <v>5</v>
      </c>
      <c r="D3531" s="85">
        <v>45430</v>
      </c>
      <c r="E3531" s="31">
        <v>0</v>
      </c>
      <c r="F3531" s="176">
        <v>70000</v>
      </c>
      <c r="G3531" s="31">
        <v>0</v>
      </c>
      <c r="H3531" s="31">
        <v>0</v>
      </c>
      <c r="I3531" s="31" t="s">
        <v>85</v>
      </c>
      <c r="J3531" s="5" t="s">
        <v>2646</v>
      </c>
      <c r="K3531" s="8"/>
    </row>
    <row r="3532" spans="1:11" x14ac:dyDescent="0.2">
      <c r="A3532" s="8">
        <v>2524</v>
      </c>
      <c r="B3532" s="8">
        <f t="shared" si="116"/>
        <v>2024</v>
      </c>
      <c r="C3532" s="8">
        <f t="shared" si="117"/>
        <v>5</v>
      </c>
      <c r="D3532" s="85">
        <v>45425</v>
      </c>
      <c r="E3532" s="31">
        <v>0</v>
      </c>
      <c r="F3532" s="31">
        <v>30000</v>
      </c>
      <c r="G3532" s="31">
        <v>0</v>
      </c>
      <c r="H3532" s="31">
        <v>0</v>
      </c>
      <c r="I3532" s="31" t="s">
        <v>91</v>
      </c>
      <c r="J3532" s="5" t="s">
        <v>2382</v>
      </c>
      <c r="K3532" s="8"/>
    </row>
    <row r="3533" spans="1:11" x14ac:dyDescent="0.2">
      <c r="A3533" s="8">
        <v>2525</v>
      </c>
      <c r="B3533" s="8">
        <f t="shared" si="116"/>
        <v>2024</v>
      </c>
      <c r="C3533" s="8">
        <f t="shared" si="117"/>
        <v>5</v>
      </c>
      <c r="D3533" s="85">
        <v>45425</v>
      </c>
      <c r="E3533" s="31">
        <v>0</v>
      </c>
      <c r="F3533" s="31">
        <v>129000</v>
      </c>
      <c r="G3533" s="31">
        <v>0</v>
      </c>
      <c r="H3533" s="31">
        <v>0</v>
      </c>
      <c r="I3533" s="31" t="s">
        <v>1350</v>
      </c>
      <c r="J3533" s="5" t="s">
        <v>2647</v>
      </c>
      <c r="K3533" s="8"/>
    </row>
    <row r="3534" spans="1:11" x14ac:dyDescent="0.2">
      <c r="A3534" s="8">
        <v>2526</v>
      </c>
      <c r="B3534" s="8">
        <f t="shared" si="116"/>
        <v>2024</v>
      </c>
      <c r="C3534" s="8">
        <f t="shared" si="117"/>
        <v>5</v>
      </c>
      <c r="D3534" s="85">
        <v>45426</v>
      </c>
      <c r="E3534" s="31">
        <v>0</v>
      </c>
      <c r="F3534" s="31">
        <v>14000</v>
      </c>
      <c r="G3534" s="31">
        <v>0</v>
      </c>
      <c r="H3534" s="31">
        <v>0</v>
      </c>
      <c r="I3534" s="31" t="s">
        <v>149</v>
      </c>
      <c r="J3534" s="5" t="s">
        <v>2561</v>
      </c>
      <c r="K3534" s="8"/>
    </row>
    <row r="3535" spans="1:11" x14ac:dyDescent="0.2">
      <c r="A3535" s="8">
        <v>2527</v>
      </c>
      <c r="B3535" s="8">
        <f t="shared" si="116"/>
        <v>2024</v>
      </c>
      <c r="C3535" s="8">
        <f t="shared" si="117"/>
        <v>5</v>
      </c>
      <c r="D3535" s="85">
        <v>45426</v>
      </c>
      <c r="E3535" s="31">
        <v>0</v>
      </c>
      <c r="F3535" s="31">
        <v>15000</v>
      </c>
      <c r="G3535" s="31">
        <v>0</v>
      </c>
      <c r="H3535" s="31">
        <v>0</v>
      </c>
      <c r="I3535" s="31" t="s">
        <v>91</v>
      </c>
      <c r="J3535" s="5" t="s">
        <v>2648</v>
      </c>
      <c r="K3535" s="8"/>
    </row>
    <row r="3536" spans="1:11" x14ac:dyDescent="0.2">
      <c r="A3536" s="8">
        <v>2528</v>
      </c>
      <c r="B3536" s="8">
        <f t="shared" si="116"/>
        <v>2024</v>
      </c>
      <c r="C3536" s="8">
        <f t="shared" si="117"/>
        <v>5</v>
      </c>
      <c r="D3536" s="85">
        <v>45427</v>
      </c>
      <c r="E3536" s="31">
        <v>0</v>
      </c>
      <c r="F3536" s="31">
        <v>50000</v>
      </c>
      <c r="G3536" s="31">
        <v>0</v>
      </c>
      <c r="H3536" s="31">
        <v>0</v>
      </c>
      <c r="I3536" s="31" t="s">
        <v>91</v>
      </c>
      <c r="J3536" s="5" t="s">
        <v>2602</v>
      </c>
      <c r="K3536" s="8"/>
    </row>
    <row r="3537" spans="1:11" x14ac:dyDescent="0.2">
      <c r="A3537" s="8">
        <v>2533</v>
      </c>
      <c r="B3537" s="8">
        <f t="shared" si="116"/>
        <v>2024</v>
      </c>
      <c r="C3537" s="8">
        <f t="shared" si="117"/>
        <v>5</v>
      </c>
      <c r="D3537" s="85">
        <v>45428</v>
      </c>
      <c r="E3537" s="31">
        <v>0</v>
      </c>
      <c r="F3537" s="31">
        <v>50000</v>
      </c>
      <c r="G3537" s="31">
        <v>0</v>
      </c>
      <c r="H3537" s="31">
        <v>0</v>
      </c>
      <c r="I3537" s="31" t="s">
        <v>149</v>
      </c>
      <c r="J3537" s="5" t="s">
        <v>2602</v>
      </c>
      <c r="K3537" s="8"/>
    </row>
    <row r="3538" spans="1:11" x14ac:dyDescent="0.2">
      <c r="A3538" s="8">
        <v>2534</v>
      </c>
      <c r="B3538" s="8">
        <f t="shared" si="116"/>
        <v>2024</v>
      </c>
      <c r="C3538" s="8">
        <f t="shared" si="117"/>
        <v>5</v>
      </c>
      <c r="D3538" s="85">
        <v>45429</v>
      </c>
      <c r="E3538" s="31">
        <v>0</v>
      </c>
      <c r="F3538" s="31">
        <v>27000</v>
      </c>
      <c r="G3538" s="31">
        <v>0</v>
      </c>
      <c r="H3538" s="31">
        <v>0</v>
      </c>
      <c r="I3538" s="31" t="s">
        <v>1815</v>
      </c>
      <c r="J3538" s="5" t="s">
        <v>2649</v>
      </c>
      <c r="K3538" s="8"/>
    </row>
    <row r="3539" spans="1:11" x14ac:dyDescent="0.2">
      <c r="A3539" s="8">
        <v>2535</v>
      </c>
      <c r="B3539" s="8">
        <f t="shared" si="116"/>
        <v>2024</v>
      </c>
      <c r="C3539" s="8">
        <f t="shared" si="117"/>
        <v>5</v>
      </c>
      <c r="D3539" s="85">
        <v>45429</v>
      </c>
      <c r="E3539" s="31">
        <v>0</v>
      </c>
      <c r="F3539" s="31">
        <v>132000</v>
      </c>
      <c r="G3539" s="31">
        <v>0</v>
      </c>
      <c r="H3539" s="31">
        <v>0</v>
      </c>
      <c r="I3539" s="31" t="s">
        <v>1815</v>
      </c>
      <c r="J3539" s="5" t="s">
        <v>2650</v>
      </c>
      <c r="K3539" s="8"/>
    </row>
    <row r="3540" spans="1:11" x14ac:dyDescent="0.2">
      <c r="A3540" s="8">
        <v>2536</v>
      </c>
      <c r="B3540" s="8">
        <f t="shared" si="116"/>
        <v>2024</v>
      </c>
      <c r="C3540" s="8">
        <f t="shared" si="117"/>
        <v>5</v>
      </c>
      <c r="D3540" s="85">
        <v>45429</v>
      </c>
      <c r="E3540" s="31">
        <v>0</v>
      </c>
      <c r="F3540" s="31">
        <v>20000</v>
      </c>
      <c r="G3540" s="31">
        <v>0</v>
      </c>
      <c r="H3540" s="31">
        <v>0</v>
      </c>
      <c r="I3540" s="31" t="s">
        <v>85</v>
      </c>
      <c r="J3540" s="5" t="s">
        <v>2651</v>
      </c>
      <c r="K3540" s="8"/>
    </row>
    <row r="3541" spans="1:11" x14ac:dyDescent="0.2">
      <c r="A3541" s="8">
        <v>2537</v>
      </c>
      <c r="B3541" s="8">
        <f t="shared" si="116"/>
        <v>2024</v>
      </c>
      <c r="C3541" s="8">
        <f t="shared" si="117"/>
        <v>5</v>
      </c>
      <c r="D3541" s="85">
        <v>45429</v>
      </c>
      <c r="E3541" s="31">
        <v>0</v>
      </c>
      <c r="F3541" s="31">
        <v>500000</v>
      </c>
      <c r="G3541" s="31">
        <v>0</v>
      </c>
      <c r="H3541" s="31">
        <v>0</v>
      </c>
      <c r="I3541" s="31" t="s">
        <v>85</v>
      </c>
      <c r="J3541" s="5" t="s">
        <v>2652</v>
      </c>
      <c r="K3541" s="8"/>
    </row>
    <row r="3542" spans="1:11" x14ac:dyDescent="0.2">
      <c r="A3542" s="8">
        <v>2538</v>
      </c>
      <c r="B3542" s="8">
        <f t="shared" si="116"/>
        <v>2024</v>
      </c>
      <c r="C3542" s="8">
        <f t="shared" si="117"/>
        <v>5</v>
      </c>
      <c r="D3542" s="85">
        <v>45430</v>
      </c>
      <c r="E3542" s="31">
        <v>0</v>
      </c>
      <c r="F3542" s="31">
        <v>135000</v>
      </c>
      <c r="G3542" s="31">
        <v>0</v>
      </c>
      <c r="H3542" s="31">
        <v>0</v>
      </c>
      <c r="I3542" s="31" t="s">
        <v>1815</v>
      </c>
      <c r="J3542" s="5" t="s">
        <v>2653</v>
      </c>
      <c r="K3542" s="8"/>
    </row>
    <row r="3543" spans="1:11" x14ac:dyDescent="0.2">
      <c r="A3543" s="8">
        <v>2539</v>
      </c>
      <c r="B3543" s="8">
        <f t="shared" si="116"/>
        <v>2024</v>
      </c>
      <c r="C3543" s="8">
        <f t="shared" si="117"/>
        <v>5</v>
      </c>
      <c r="D3543" s="85">
        <v>45431</v>
      </c>
      <c r="E3543" s="31">
        <v>0</v>
      </c>
      <c r="F3543" s="31">
        <v>250000</v>
      </c>
      <c r="G3543" s="31">
        <v>0</v>
      </c>
      <c r="H3543" s="31">
        <v>0</v>
      </c>
      <c r="I3543" s="31" t="s">
        <v>335</v>
      </c>
      <c r="J3543" s="5" t="s">
        <v>2654</v>
      </c>
      <c r="K3543" s="8"/>
    </row>
    <row r="3544" spans="1:11" x14ac:dyDescent="0.2">
      <c r="A3544" s="8">
        <v>2540</v>
      </c>
      <c r="B3544" s="8">
        <f t="shared" si="116"/>
        <v>2024</v>
      </c>
      <c r="C3544" s="8">
        <f t="shared" si="117"/>
        <v>5</v>
      </c>
      <c r="D3544" s="85">
        <v>45432</v>
      </c>
      <c r="E3544" s="31">
        <v>0</v>
      </c>
      <c r="F3544" s="31">
        <v>30000</v>
      </c>
      <c r="G3544" s="31">
        <v>0</v>
      </c>
      <c r="H3544" s="31">
        <v>0</v>
      </c>
      <c r="I3544" s="31" t="s">
        <v>85</v>
      </c>
      <c r="J3544" s="5" t="s">
        <v>2655</v>
      </c>
      <c r="K3544" s="8"/>
    </row>
    <row r="3545" spans="1:11" x14ac:dyDescent="0.2">
      <c r="A3545" s="8">
        <v>2541</v>
      </c>
      <c r="B3545" s="8">
        <f t="shared" si="116"/>
        <v>2024</v>
      </c>
      <c r="C3545" s="8">
        <f t="shared" si="117"/>
        <v>5</v>
      </c>
      <c r="D3545" s="85">
        <v>45432</v>
      </c>
      <c r="E3545" s="31">
        <v>0</v>
      </c>
      <c r="F3545" s="31">
        <v>25000</v>
      </c>
      <c r="G3545" s="31">
        <v>0</v>
      </c>
      <c r="H3545" s="31">
        <v>0</v>
      </c>
      <c r="I3545" s="31" t="s">
        <v>1350</v>
      </c>
      <c r="J3545" s="5" t="s">
        <v>2656</v>
      </c>
      <c r="K3545" s="8"/>
    </row>
    <row r="3546" spans="1:11" x14ac:dyDescent="0.2">
      <c r="A3546" s="8">
        <v>2542</v>
      </c>
      <c r="B3546" s="8">
        <f t="shared" si="116"/>
        <v>2024</v>
      </c>
      <c r="C3546" s="8">
        <f t="shared" si="117"/>
        <v>5</v>
      </c>
      <c r="D3546" s="85">
        <v>45433</v>
      </c>
      <c r="E3546" s="31">
        <v>0</v>
      </c>
      <c r="F3546" s="31">
        <v>10000</v>
      </c>
      <c r="G3546" s="31">
        <v>0</v>
      </c>
      <c r="H3546" s="31">
        <v>0</v>
      </c>
      <c r="I3546" s="31" t="s">
        <v>149</v>
      </c>
      <c r="J3546" s="5" t="s">
        <v>2403</v>
      </c>
      <c r="K3546" s="8"/>
    </row>
    <row r="3547" spans="1:11" x14ac:dyDescent="0.2">
      <c r="A3547" s="8">
        <v>2544</v>
      </c>
      <c r="B3547" s="8">
        <f t="shared" si="116"/>
        <v>2024</v>
      </c>
      <c r="C3547" s="8">
        <f t="shared" si="117"/>
        <v>5</v>
      </c>
      <c r="D3547" s="85">
        <v>45433</v>
      </c>
      <c r="E3547" s="31">
        <v>0</v>
      </c>
      <c r="F3547" s="31">
        <v>200000</v>
      </c>
      <c r="G3547" s="31">
        <v>0</v>
      </c>
      <c r="H3547" s="31">
        <v>0</v>
      </c>
      <c r="I3547" s="31" t="s">
        <v>299</v>
      </c>
      <c r="J3547" s="5" t="s">
        <v>2657</v>
      </c>
      <c r="K3547" s="8"/>
    </row>
    <row r="3548" spans="1:11" x14ac:dyDescent="0.2">
      <c r="A3548" s="8">
        <v>2545</v>
      </c>
      <c r="B3548" s="8">
        <f t="shared" si="116"/>
        <v>2024</v>
      </c>
      <c r="C3548" s="8">
        <f t="shared" si="117"/>
        <v>5</v>
      </c>
      <c r="D3548" s="85">
        <v>45433</v>
      </c>
      <c r="E3548" s="31">
        <v>0</v>
      </c>
      <c r="F3548" s="31">
        <v>30000</v>
      </c>
      <c r="G3548" s="31">
        <v>0</v>
      </c>
      <c r="H3548" s="31">
        <v>0</v>
      </c>
      <c r="I3548" s="31" t="s">
        <v>85</v>
      </c>
      <c r="J3548" s="5" t="s">
        <v>2658</v>
      </c>
      <c r="K3548" s="8"/>
    </row>
    <row r="3549" spans="1:11" x14ac:dyDescent="0.2">
      <c r="A3549" s="8">
        <v>2546</v>
      </c>
      <c r="B3549" s="8">
        <f t="shared" si="116"/>
        <v>2024</v>
      </c>
      <c r="C3549" s="8">
        <f t="shared" si="117"/>
        <v>5</v>
      </c>
      <c r="D3549" s="85">
        <v>45433</v>
      </c>
      <c r="E3549" s="31">
        <v>0</v>
      </c>
      <c r="F3549" s="31">
        <v>23000</v>
      </c>
      <c r="G3549" s="31">
        <v>0</v>
      </c>
      <c r="H3549" s="31">
        <v>0</v>
      </c>
      <c r="I3549" s="31" t="s">
        <v>91</v>
      </c>
      <c r="J3549" s="5" t="s">
        <v>2659</v>
      </c>
      <c r="K3549" s="8"/>
    </row>
    <row r="3550" spans="1:11" x14ac:dyDescent="0.2">
      <c r="A3550" s="8">
        <v>2547</v>
      </c>
      <c r="B3550" s="8">
        <f t="shared" si="116"/>
        <v>2024</v>
      </c>
      <c r="C3550" s="8">
        <f t="shared" si="117"/>
        <v>5</v>
      </c>
      <c r="D3550" s="85">
        <v>45434</v>
      </c>
      <c r="E3550" s="31">
        <v>0</v>
      </c>
      <c r="F3550" s="31">
        <v>7000</v>
      </c>
      <c r="G3550" s="31">
        <v>0</v>
      </c>
      <c r="H3550" s="31">
        <v>0</v>
      </c>
      <c r="I3550" s="31" t="s">
        <v>149</v>
      </c>
      <c r="J3550" s="5" t="s">
        <v>2660</v>
      </c>
      <c r="K3550" s="8"/>
    </row>
    <row r="3551" spans="1:11" x14ac:dyDescent="0.2">
      <c r="A3551" s="8">
        <v>2549</v>
      </c>
      <c r="B3551" s="8">
        <f t="shared" si="116"/>
        <v>2024</v>
      </c>
      <c r="C3551" s="8">
        <f t="shared" si="117"/>
        <v>5</v>
      </c>
      <c r="D3551" s="85">
        <v>45434</v>
      </c>
      <c r="E3551" s="31">
        <v>0</v>
      </c>
      <c r="F3551" s="31">
        <v>150000</v>
      </c>
      <c r="G3551" s="31">
        <v>0</v>
      </c>
      <c r="H3551" s="31">
        <v>0</v>
      </c>
      <c r="I3551" s="31" t="s">
        <v>85</v>
      </c>
      <c r="J3551" s="5" t="s">
        <v>2661</v>
      </c>
      <c r="K3551" s="8"/>
    </row>
    <row r="3552" spans="1:11" x14ac:dyDescent="0.2">
      <c r="A3552" s="8">
        <v>2550</v>
      </c>
      <c r="B3552" s="8">
        <f t="shared" si="116"/>
        <v>2024</v>
      </c>
      <c r="C3552" s="8">
        <f t="shared" si="117"/>
        <v>5</v>
      </c>
      <c r="D3552" s="85">
        <v>45434</v>
      </c>
      <c r="E3552" s="31">
        <v>0</v>
      </c>
      <c r="F3552" s="31">
        <v>15000</v>
      </c>
      <c r="G3552" s="31">
        <v>0</v>
      </c>
      <c r="H3552" s="31">
        <v>0</v>
      </c>
      <c r="I3552" s="31" t="s">
        <v>85</v>
      </c>
      <c r="J3552" s="5" t="s">
        <v>2662</v>
      </c>
      <c r="K3552" s="8"/>
    </row>
    <row r="3553" spans="1:11" x14ac:dyDescent="0.2">
      <c r="A3553" s="8">
        <v>2552</v>
      </c>
      <c r="B3553" s="8">
        <f t="shared" si="116"/>
        <v>2024</v>
      </c>
      <c r="C3553" s="8">
        <f t="shared" si="117"/>
        <v>5</v>
      </c>
      <c r="D3553" s="85">
        <v>45435</v>
      </c>
      <c r="E3553" s="31">
        <v>0</v>
      </c>
      <c r="F3553" s="31">
        <v>14000</v>
      </c>
      <c r="G3553" s="31">
        <v>0</v>
      </c>
      <c r="H3553" s="31">
        <v>0</v>
      </c>
      <c r="I3553" s="31" t="s">
        <v>149</v>
      </c>
      <c r="J3553" s="5" t="s">
        <v>2561</v>
      </c>
      <c r="K3553" s="8"/>
    </row>
    <row r="3554" spans="1:11" x14ac:dyDescent="0.2">
      <c r="A3554" s="8">
        <v>2553</v>
      </c>
      <c r="B3554" s="8">
        <f t="shared" si="116"/>
        <v>2024</v>
      </c>
      <c r="C3554" s="8">
        <f t="shared" si="117"/>
        <v>5</v>
      </c>
      <c r="D3554" s="85">
        <v>45435</v>
      </c>
      <c r="E3554" s="31">
        <v>0</v>
      </c>
      <c r="F3554" s="31">
        <v>13000</v>
      </c>
      <c r="G3554" s="31">
        <v>0</v>
      </c>
      <c r="H3554" s="31">
        <v>0</v>
      </c>
      <c r="I3554" s="31" t="s">
        <v>91</v>
      </c>
      <c r="J3554" s="5" t="s">
        <v>2493</v>
      </c>
      <c r="K3554" s="8"/>
    </row>
    <row r="3555" spans="1:11" x14ac:dyDescent="0.2">
      <c r="A3555" s="8">
        <v>2554</v>
      </c>
      <c r="B3555" s="8">
        <f t="shared" si="116"/>
        <v>2024</v>
      </c>
      <c r="C3555" s="8">
        <f t="shared" si="117"/>
        <v>5</v>
      </c>
      <c r="D3555" s="85">
        <v>45435</v>
      </c>
      <c r="E3555" s="31">
        <v>0</v>
      </c>
      <c r="F3555" s="31">
        <v>10000</v>
      </c>
      <c r="G3555" s="31">
        <v>0</v>
      </c>
      <c r="H3555" s="31">
        <v>0</v>
      </c>
      <c r="I3555" s="31" t="s">
        <v>1350</v>
      </c>
      <c r="J3555" s="5" t="s">
        <v>2663</v>
      </c>
      <c r="K3555" s="8"/>
    </row>
    <row r="3556" spans="1:11" x14ac:dyDescent="0.2">
      <c r="A3556" s="8">
        <v>2555</v>
      </c>
      <c r="B3556" s="8">
        <f t="shared" si="116"/>
        <v>2024</v>
      </c>
      <c r="C3556" s="8">
        <f t="shared" si="117"/>
        <v>5</v>
      </c>
      <c r="D3556" s="85">
        <v>45435</v>
      </c>
      <c r="E3556" s="31">
        <v>0</v>
      </c>
      <c r="F3556" s="31">
        <v>50000</v>
      </c>
      <c r="G3556" s="31">
        <v>0</v>
      </c>
      <c r="H3556" s="31">
        <v>0</v>
      </c>
      <c r="I3556" s="31" t="s">
        <v>85</v>
      </c>
      <c r="J3556" s="5" t="s">
        <v>2664</v>
      </c>
      <c r="K3556" s="8"/>
    </row>
    <row r="3557" spans="1:11" x14ac:dyDescent="0.2">
      <c r="A3557" s="8">
        <v>2536</v>
      </c>
      <c r="B3557" s="8">
        <f t="shared" si="116"/>
        <v>2024</v>
      </c>
      <c r="C3557" s="8">
        <f t="shared" si="117"/>
        <v>5</v>
      </c>
      <c r="D3557" s="85">
        <v>45422</v>
      </c>
      <c r="E3557" s="31">
        <v>0</v>
      </c>
      <c r="F3557" s="31">
        <v>100000</v>
      </c>
      <c r="G3557" s="31">
        <v>0</v>
      </c>
      <c r="H3557" s="31">
        <v>0</v>
      </c>
      <c r="I3557" s="31" t="s">
        <v>85</v>
      </c>
      <c r="J3557" s="5" t="s">
        <v>290</v>
      </c>
      <c r="K3557" s="8"/>
    </row>
    <row r="3558" spans="1:11" x14ac:dyDescent="0.2">
      <c r="A3558" s="8">
        <v>2537</v>
      </c>
      <c r="B3558" s="8">
        <f t="shared" si="116"/>
        <v>2024</v>
      </c>
      <c r="C3558" s="8">
        <f t="shared" si="117"/>
        <v>5</v>
      </c>
      <c r="D3558" s="85">
        <v>45422</v>
      </c>
      <c r="E3558" s="31">
        <v>0</v>
      </c>
      <c r="F3558" s="31">
        <v>130000</v>
      </c>
      <c r="G3558" s="31">
        <v>0</v>
      </c>
      <c r="H3558" s="31">
        <v>0</v>
      </c>
      <c r="I3558" s="31" t="s">
        <v>1992</v>
      </c>
      <c r="J3558" s="5" t="s">
        <v>2665</v>
      </c>
      <c r="K3558" s="8"/>
    </row>
    <row r="3559" spans="1:11" x14ac:dyDescent="0.2">
      <c r="A3559" s="8">
        <v>2538</v>
      </c>
      <c r="B3559" s="8">
        <f t="shared" si="116"/>
        <v>2024</v>
      </c>
      <c r="C3559" s="8">
        <f t="shared" si="117"/>
        <v>5</v>
      </c>
      <c r="D3559" s="85">
        <v>45427</v>
      </c>
      <c r="E3559" s="31">
        <v>0</v>
      </c>
      <c r="F3559" s="31">
        <v>100000</v>
      </c>
      <c r="G3559" s="31">
        <v>0</v>
      </c>
      <c r="H3559" s="31">
        <v>0</v>
      </c>
      <c r="I3559" s="31" t="s">
        <v>85</v>
      </c>
      <c r="J3559" s="5" t="s">
        <v>290</v>
      </c>
      <c r="K3559" s="8"/>
    </row>
    <row r="3560" spans="1:11" x14ac:dyDescent="0.2">
      <c r="A3560" s="8">
        <v>2539</v>
      </c>
      <c r="B3560" s="8">
        <f t="shared" si="116"/>
        <v>2024</v>
      </c>
      <c r="C3560" s="8">
        <f t="shared" si="117"/>
        <v>5</v>
      </c>
      <c r="D3560" s="85">
        <v>45429</v>
      </c>
      <c r="E3560" s="31">
        <v>0</v>
      </c>
      <c r="F3560" s="31">
        <v>40000</v>
      </c>
      <c r="G3560" s="31">
        <v>0</v>
      </c>
      <c r="H3560" s="31">
        <v>0</v>
      </c>
      <c r="I3560" s="31" t="s">
        <v>1992</v>
      </c>
      <c r="J3560" s="5" t="s">
        <v>2666</v>
      </c>
      <c r="K3560" s="8"/>
    </row>
    <row r="3561" spans="1:11" x14ac:dyDescent="0.2">
      <c r="A3561" s="8">
        <v>2540</v>
      </c>
      <c r="B3561" s="8">
        <f t="shared" si="116"/>
        <v>2024</v>
      </c>
      <c r="C3561" s="8">
        <f t="shared" si="117"/>
        <v>5</v>
      </c>
      <c r="D3561" s="85">
        <v>45430</v>
      </c>
      <c r="E3561" s="31">
        <v>0</v>
      </c>
      <c r="F3561" s="31">
        <v>8000</v>
      </c>
      <c r="G3561" s="31">
        <v>0</v>
      </c>
      <c r="H3561" s="31">
        <v>0</v>
      </c>
      <c r="I3561" s="31" t="s">
        <v>1992</v>
      </c>
      <c r="J3561" s="5" t="s">
        <v>2667</v>
      </c>
      <c r="K3561" s="8"/>
    </row>
    <row r="3562" spans="1:11" x14ac:dyDescent="0.2">
      <c r="A3562" s="8">
        <v>2541</v>
      </c>
      <c r="B3562" s="8">
        <f t="shared" si="116"/>
        <v>2024</v>
      </c>
      <c r="C3562" s="8">
        <f t="shared" si="117"/>
        <v>5</v>
      </c>
      <c r="D3562" s="85">
        <v>45432</v>
      </c>
      <c r="E3562" s="31">
        <v>0</v>
      </c>
      <c r="F3562" s="31">
        <v>32000</v>
      </c>
      <c r="G3562" s="31">
        <v>0</v>
      </c>
      <c r="H3562" s="31">
        <v>0</v>
      </c>
      <c r="I3562" s="31" t="s">
        <v>1999</v>
      </c>
      <c r="J3562" s="5" t="s">
        <v>2668</v>
      </c>
      <c r="K3562" s="8"/>
    </row>
    <row r="3563" spans="1:11" x14ac:dyDescent="0.2">
      <c r="A3563" s="8">
        <v>2542</v>
      </c>
      <c r="B3563" s="8">
        <f t="shared" si="116"/>
        <v>2024</v>
      </c>
      <c r="C3563" s="8">
        <f t="shared" si="117"/>
        <v>5</v>
      </c>
      <c r="D3563" s="85">
        <v>45434</v>
      </c>
      <c r="E3563" s="31">
        <v>0</v>
      </c>
      <c r="F3563" s="31">
        <v>60000</v>
      </c>
      <c r="G3563" s="31">
        <v>0</v>
      </c>
      <c r="H3563" s="31">
        <v>0</v>
      </c>
      <c r="I3563" s="31" t="s">
        <v>1992</v>
      </c>
      <c r="J3563" s="5" t="s">
        <v>2669</v>
      </c>
      <c r="K3563" s="8"/>
    </row>
    <row r="3564" spans="1:11" x14ac:dyDescent="0.2">
      <c r="A3564" s="8">
        <v>2543</v>
      </c>
      <c r="B3564" s="8">
        <f t="shared" si="116"/>
        <v>2024</v>
      </c>
      <c r="C3564" s="8">
        <f t="shared" si="117"/>
        <v>5</v>
      </c>
      <c r="D3564" s="85">
        <v>45434</v>
      </c>
      <c r="E3564" s="31">
        <v>0</v>
      </c>
      <c r="F3564" s="31">
        <v>150000</v>
      </c>
      <c r="G3564" s="31">
        <v>0</v>
      </c>
      <c r="H3564" s="31">
        <v>0</v>
      </c>
      <c r="I3564" s="31" t="s">
        <v>1992</v>
      </c>
      <c r="J3564" s="5" t="s">
        <v>2670</v>
      </c>
      <c r="K3564" s="8"/>
    </row>
    <row r="3565" spans="1:11" x14ac:dyDescent="0.2">
      <c r="A3565" s="8">
        <v>2525</v>
      </c>
      <c r="B3565" s="8">
        <f t="shared" si="116"/>
        <v>2024</v>
      </c>
      <c r="C3565" s="8">
        <f t="shared" si="117"/>
        <v>5</v>
      </c>
      <c r="D3565" s="85">
        <v>45436</v>
      </c>
      <c r="E3565" s="31">
        <v>0</v>
      </c>
      <c r="F3565" s="31">
        <v>530000</v>
      </c>
      <c r="G3565" s="31">
        <v>0</v>
      </c>
      <c r="H3565" s="31">
        <v>0</v>
      </c>
      <c r="I3565" s="31" t="s">
        <v>1992</v>
      </c>
      <c r="J3565" s="5" t="s">
        <v>2671</v>
      </c>
      <c r="K3565" s="8"/>
    </row>
    <row r="3566" spans="1:11" x14ac:dyDescent="0.2">
      <c r="A3566" s="8">
        <v>2528</v>
      </c>
      <c r="B3566" s="8">
        <f t="shared" si="116"/>
        <v>2024</v>
      </c>
      <c r="C3566" s="8">
        <f t="shared" si="117"/>
        <v>5</v>
      </c>
      <c r="D3566" s="85">
        <v>45442</v>
      </c>
      <c r="E3566" s="31">
        <v>0</v>
      </c>
      <c r="F3566" s="31">
        <v>50000</v>
      </c>
      <c r="G3566" s="31">
        <v>0</v>
      </c>
      <c r="H3566" s="31">
        <v>0</v>
      </c>
      <c r="I3566" s="31" t="s">
        <v>85</v>
      </c>
      <c r="J3566" s="5" t="s">
        <v>2672</v>
      </c>
      <c r="K3566" s="8"/>
    </row>
    <row r="3567" spans="1:11" x14ac:dyDescent="0.2">
      <c r="A3567" s="8">
        <v>2532</v>
      </c>
      <c r="B3567" s="8">
        <f t="shared" si="116"/>
        <v>2024</v>
      </c>
      <c r="C3567" s="8">
        <f t="shared" si="117"/>
        <v>6</v>
      </c>
      <c r="D3567" s="85">
        <v>45444</v>
      </c>
      <c r="E3567" s="31">
        <v>0</v>
      </c>
      <c r="F3567" s="31">
        <v>125000</v>
      </c>
      <c r="G3567" s="31">
        <v>0</v>
      </c>
      <c r="H3567" s="31">
        <v>0</v>
      </c>
      <c r="I3567" s="31" t="s">
        <v>85</v>
      </c>
      <c r="J3567" s="5" t="s">
        <v>2673</v>
      </c>
      <c r="K3567" s="8"/>
    </row>
    <row r="3568" spans="1:11" x14ac:dyDescent="0.2">
      <c r="A3568" s="8">
        <v>2533</v>
      </c>
      <c r="B3568" s="8">
        <f t="shared" si="116"/>
        <v>2024</v>
      </c>
      <c r="C3568" s="8">
        <f t="shared" si="117"/>
        <v>6</v>
      </c>
      <c r="D3568" s="85">
        <v>45447</v>
      </c>
      <c r="E3568" s="31">
        <v>0</v>
      </c>
      <c r="F3568" s="31">
        <v>315000</v>
      </c>
      <c r="G3568" s="31">
        <v>0</v>
      </c>
      <c r="H3568" s="31">
        <v>0</v>
      </c>
      <c r="I3568" s="31" t="s">
        <v>335</v>
      </c>
      <c r="J3568" s="5" t="s">
        <v>2674</v>
      </c>
      <c r="K3568" s="8"/>
    </row>
    <row r="3569" spans="1:11" x14ac:dyDescent="0.2">
      <c r="A3569" s="8">
        <v>2536</v>
      </c>
      <c r="B3569" s="8">
        <f t="shared" si="116"/>
        <v>2024</v>
      </c>
      <c r="C3569" s="8">
        <f t="shared" si="117"/>
        <v>6</v>
      </c>
      <c r="D3569" s="85">
        <v>45448</v>
      </c>
      <c r="E3569" s="31">
        <v>1780000</v>
      </c>
      <c r="F3569" s="31">
        <v>0</v>
      </c>
      <c r="G3569" s="31">
        <v>0</v>
      </c>
      <c r="H3569" s="31">
        <v>0</v>
      </c>
      <c r="I3569" s="31" t="s">
        <v>85</v>
      </c>
      <c r="J3569" s="5" t="s">
        <v>2675</v>
      </c>
      <c r="K3569" s="8"/>
    </row>
    <row r="3570" spans="1:11" x14ac:dyDescent="0.2">
      <c r="A3570" s="8">
        <v>2537</v>
      </c>
      <c r="B3570" s="8">
        <f t="shared" si="116"/>
        <v>2024</v>
      </c>
      <c r="C3570" s="8">
        <f t="shared" si="117"/>
        <v>6</v>
      </c>
      <c r="D3570" s="85">
        <v>45448</v>
      </c>
      <c r="E3570" s="31">
        <v>300000</v>
      </c>
      <c r="F3570" s="31">
        <v>0</v>
      </c>
      <c r="G3570" s="31">
        <v>0</v>
      </c>
      <c r="H3570" s="31">
        <v>0</v>
      </c>
      <c r="I3570" s="31" t="s">
        <v>85</v>
      </c>
      <c r="J3570" s="5" t="s">
        <v>2676</v>
      </c>
      <c r="K3570" s="8"/>
    </row>
    <row r="3571" spans="1:11" x14ac:dyDescent="0.2">
      <c r="A3571" s="8">
        <v>2538</v>
      </c>
      <c r="B3571" s="8">
        <f t="shared" si="116"/>
        <v>2024</v>
      </c>
      <c r="C3571" s="8">
        <f t="shared" si="117"/>
        <v>6</v>
      </c>
      <c r="D3571" s="85">
        <v>45448</v>
      </c>
      <c r="E3571" s="31">
        <v>950000</v>
      </c>
      <c r="F3571" s="31">
        <v>0</v>
      </c>
      <c r="G3571" s="31">
        <v>0</v>
      </c>
      <c r="H3571" s="31">
        <v>0</v>
      </c>
      <c r="I3571" s="31" t="s">
        <v>85</v>
      </c>
      <c r="J3571" s="5" t="s">
        <v>2677</v>
      </c>
      <c r="K3571" s="8"/>
    </row>
    <row r="3572" spans="1:11" x14ac:dyDescent="0.2">
      <c r="A3572" s="8">
        <v>2539</v>
      </c>
      <c r="B3572" s="8">
        <f t="shared" si="116"/>
        <v>2024</v>
      </c>
      <c r="C3572" s="8">
        <f t="shared" si="117"/>
        <v>6</v>
      </c>
      <c r="D3572" s="85">
        <v>45448</v>
      </c>
      <c r="E3572" s="31">
        <v>965000</v>
      </c>
      <c r="F3572" s="31">
        <v>0</v>
      </c>
      <c r="G3572" s="31">
        <v>0</v>
      </c>
      <c r="H3572" s="31">
        <v>0</v>
      </c>
      <c r="I3572" s="31" t="s">
        <v>85</v>
      </c>
      <c r="J3572" s="5" t="s">
        <v>2678</v>
      </c>
      <c r="K3572" s="8"/>
    </row>
    <row r="3573" spans="1:11" x14ac:dyDescent="0.2">
      <c r="A3573" s="8">
        <v>2540</v>
      </c>
      <c r="B3573" s="8">
        <f t="shared" si="116"/>
        <v>2024</v>
      </c>
      <c r="C3573" s="8">
        <f t="shared" si="117"/>
        <v>5</v>
      </c>
      <c r="D3573" s="85">
        <v>45436</v>
      </c>
      <c r="E3573" s="31">
        <v>0</v>
      </c>
      <c r="F3573" s="31">
        <v>16000</v>
      </c>
      <c r="G3573" s="31">
        <v>0</v>
      </c>
      <c r="H3573" s="31">
        <v>0</v>
      </c>
      <c r="I3573" s="31" t="s">
        <v>91</v>
      </c>
      <c r="J3573" s="5" t="s">
        <v>2679</v>
      </c>
      <c r="K3573" s="8"/>
    </row>
    <row r="3574" spans="1:11" x14ac:dyDescent="0.2">
      <c r="A3574" s="8">
        <v>2541</v>
      </c>
      <c r="B3574" s="8">
        <f t="shared" si="116"/>
        <v>2024</v>
      </c>
      <c r="C3574" s="8">
        <f t="shared" si="117"/>
        <v>5</v>
      </c>
      <c r="D3574" s="85">
        <v>45436</v>
      </c>
      <c r="E3574" s="31">
        <v>0</v>
      </c>
      <c r="F3574" s="31">
        <v>21000</v>
      </c>
      <c r="G3574" s="31">
        <v>0</v>
      </c>
      <c r="H3574" s="31">
        <v>0</v>
      </c>
      <c r="I3574" s="31" t="s">
        <v>149</v>
      </c>
      <c r="J3574" s="5" t="s">
        <v>2495</v>
      </c>
      <c r="K3574" s="8"/>
    </row>
    <row r="3575" spans="1:11" x14ac:dyDescent="0.2">
      <c r="A3575" s="8">
        <v>2542</v>
      </c>
      <c r="B3575" s="8">
        <f t="shared" si="116"/>
        <v>2024</v>
      </c>
      <c r="C3575" s="8">
        <f t="shared" si="117"/>
        <v>5</v>
      </c>
      <c r="D3575" s="85">
        <v>45436</v>
      </c>
      <c r="E3575" s="31">
        <v>0</v>
      </c>
      <c r="F3575" s="31">
        <v>240000</v>
      </c>
      <c r="G3575" s="31">
        <v>0</v>
      </c>
      <c r="H3575" s="31">
        <v>0</v>
      </c>
      <c r="I3575" s="31" t="s">
        <v>85</v>
      </c>
      <c r="J3575" s="5" t="s">
        <v>2680</v>
      </c>
      <c r="K3575" s="8"/>
    </row>
    <row r="3576" spans="1:11" x14ac:dyDescent="0.2">
      <c r="A3576" s="8">
        <v>2544</v>
      </c>
      <c r="B3576" s="8">
        <f t="shared" si="116"/>
        <v>2024</v>
      </c>
      <c r="C3576" s="8">
        <f t="shared" si="117"/>
        <v>5</v>
      </c>
      <c r="D3576" s="85">
        <v>45437</v>
      </c>
      <c r="E3576" s="31">
        <v>0</v>
      </c>
      <c r="F3576" s="31">
        <v>30000</v>
      </c>
      <c r="G3576" s="31">
        <v>0</v>
      </c>
      <c r="H3576" s="31">
        <v>0</v>
      </c>
      <c r="I3576" s="31" t="s">
        <v>1815</v>
      </c>
      <c r="J3576" s="5" t="s">
        <v>2681</v>
      </c>
      <c r="K3576" s="8"/>
    </row>
    <row r="3577" spans="1:11" x14ac:dyDescent="0.2">
      <c r="A3577" s="8">
        <v>2545</v>
      </c>
      <c r="B3577" s="8">
        <f t="shared" si="116"/>
        <v>2024</v>
      </c>
      <c r="C3577" s="8">
        <f t="shared" si="117"/>
        <v>5</v>
      </c>
      <c r="D3577" s="85">
        <v>45437</v>
      </c>
      <c r="E3577" s="31">
        <v>0</v>
      </c>
      <c r="F3577" s="31">
        <v>95000</v>
      </c>
      <c r="G3577" s="31">
        <v>0</v>
      </c>
      <c r="H3577" s="31">
        <v>0</v>
      </c>
      <c r="I3577" s="31" t="s">
        <v>1815</v>
      </c>
      <c r="J3577" s="5" t="s">
        <v>2505</v>
      </c>
      <c r="K3577" s="8"/>
    </row>
    <row r="3578" spans="1:11" x14ac:dyDescent="0.2">
      <c r="A3578" s="8">
        <v>2546</v>
      </c>
      <c r="B3578" s="8">
        <f t="shared" si="116"/>
        <v>2024</v>
      </c>
      <c r="C3578" s="8">
        <f t="shared" si="117"/>
        <v>5</v>
      </c>
      <c r="D3578" s="85">
        <v>45437</v>
      </c>
      <c r="E3578" s="31">
        <v>0</v>
      </c>
      <c r="F3578" s="31">
        <v>87000</v>
      </c>
      <c r="G3578" s="31">
        <v>0</v>
      </c>
      <c r="H3578" s="31">
        <v>0</v>
      </c>
      <c r="I3578" s="31" t="s">
        <v>1815</v>
      </c>
      <c r="J3578" s="5" t="s">
        <v>2682</v>
      </c>
      <c r="K3578" s="8"/>
    </row>
    <row r="3579" spans="1:11" x14ac:dyDescent="0.2">
      <c r="A3579" s="8">
        <v>2547</v>
      </c>
      <c r="B3579" s="8">
        <f t="shared" si="116"/>
        <v>2024</v>
      </c>
      <c r="C3579" s="8">
        <f t="shared" si="117"/>
        <v>5</v>
      </c>
      <c r="D3579" s="85">
        <v>45438</v>
      </c>
      <c r="E3579" s="31">
        <v>0</v>
      </c>
      <c r="F3579" s="31">
        <v>64000</v>
      </c>
      <c r="G3579" s="31">
        <v>0</v>
      </c>
      <c r="H3579" s="31">
        <v>0</v>
      </c>
      <c r="I3579" s="31" t="s">
        <v>85</v>
      </c>
      <c r="J3579" s="5" t="s">
        <v>2683</v>
      </c>
      <c r="K3579" s="8"/>
    </row>
    <row r="3580" spans="1:11" x14ac:dyDescent="0.2">
      <c r="A3580" s="8">
        <v>2548</v>
      </c>
      <c r="B3580" s="8">
        <f t="shared" si="116"/>
        <v>2024</v>
      </c>
      <c r="C3580" s="8">
        <f t="shared" si="117"/>
        <v>5</v>
      </c>
      <c r="D3580" s="85">
        <v>45438</v>
      </c>
      <c r="E3580" s="31">
        <v>0</v>
      </c>
      <c r="F3580" s="31">
        <v>50000</v>
      </c>
      <c r="G3580" s="31">
        <v>0</v>
      </c>
      <c r="H3580" s="31">
        <v>0</v>
      </c>
      <c r="I3580" s="31" t="s">
        <v>85</v>
      </c>
      <c r="J3580" s="5" t="s">
        <v>2684</v>
      </c>
      <c r="K3580" s="8"/>
    </row>
    <row r="3581" spans="1:11" x14ac:dyDescent="0.2">
      <c r="A3581" s="8">
        <v>2549</v>
      </c>
      <c r="B3581" s="8">
        <f t="shared" si="116"/>
        <v>2024</v>
      </c>
      <c r="C3581" s="8">
        <f t="shared" si="117"/>
        <v>5</v>
      </c>
      <c r="D3581" s="85">
        <v>45438</v>
      </c>
      <c r="E3581" s="31">
        <v>0</v>
      </c>
      <c r="F3581" s="31">
        <v>230000</v>
      </c>
      <c r="G3581" s="31">
        <v>0</v>
      </c>
      <c r="H3581" s="31">
        <v>0</v>
      </c>
      <c r="I3581" s="31" t="s">
        <v>391</v>
      </c>
      <c r="J3581" s="5" t="s">
        <v>2685</v>
      </c>
      <c r="K3581" s="8"/>
    </row>
    <row r="3582" spans="1:11" x14ac:dyDescent="0.2">
      <c r="A3582" s="8">
        <v>2550</v>
      </c>
      <c r="B3582" s="8">
        <f t="shared" si="116"/>
        <v>2024</v>
      </c>
      <c r="C3582" s="8">
        <f t="shared" si="117"/>
        <v>5</v>
      </c>
      <c r="D3582" s="85">
        <v>45439</v>
      </c>
      <c r="E3582" s="31">
        <v>0</v>
      </c>
      <c r="F3582" s="31">
        <v>14000</v>
      </c>
      <c r="G3582" s="31">
        <v>0</v>
      </c>
      <c r="H3582" s="31">
        <v>0</v>
      </c>
      <c r="I3582" s="31" t="s">
        <v>149</v>
      </c>
      <c r="J3582" s="5" t="s">
        <v>2595</v>
      </c>
      <c r="K3582" s="8"/>
    </row>
    <row r="3583" spans="1:11" x14ac:dyDescent="0.2">
      <c r="A3583" s="8">
        <v>2551</v>
      </c>
      <c r="B3583" s="8">
        <f t="shared" si="116"/>
        <v>2024</v>
      </c>
      <c r="C3583" s="8">
        <f t="shared" si="117"/>
        <v>5</v>
      </c>
      <c r="D3583" s="85">
        <v>45439</v>
      </c>
      <c r="E3583" s="31">
        <v>0</v>
      </c>
      <c r="F3583" s="31">
        <v>13000</v>
      </c>
      <c r="G3583" s="31">
        <v>0</v>
      </c>
      <c r="H3583" s="31">
        <v>0</v>
      </c>
      <c r="I3583" s="31" t="s">
        <v>91</v>
      </c>
      <c r="J3583" s="5" t="s">
        <v>2412</v>
      </c>
      <c r="K3583" s="8"/>
    </row>
    <row r="3584" spans="1:11" x14ac:dyDescent="0.2">
      <c r="A3584" s="8">
        <v>2552</v>
      </c>
      <c r="B3584" s="8">
        <f t="shared" si="116"/>
        <v>2024</v>
      </c>
      <c r="C3584" s="8">
        <f t="shared" si="117"/>
        <v>5</v>
      </c>
      <c r="D3584" s="85">
        <v>45440</v>
      </c>
      <c r="E3584" s="31">
        <v>0</v>
      </c>
      <c r="F3584" s="31">
        <v>20000</v>
      </c>
      <c r="G3584" s="31">
        <v>0</v>
      </c>
      <c r="H3584" s="31">
        <v>0</v>
      </c>
      <c r="I3584" s="31" t="s">
        <v>1350</v>
      </c>
      <c r="J3584" s="5" t="s">
        <v>2686</v>
      </c>
      <c r="K3584" s="8"/>
    </row>
    <row r="3585" spans="1:11" x14ac:dyDescent="0.2">
      <c r="A3585" s="8">
        <v>2553</v>
      </c>
      <c r="B3585" s="8">
        <f t="shared" si="116"/>
        <v>2024</v>
      </c>
      <c r="C3585" s="8">
        <f t="shared" si="117"/>
        <v>5</v>
      </c>
      <c r="D3585" s="85">
        <v>45440</v>
      </c>
      <c r="E3585" s="31">
        <v>0</v>
      </c>
      <c r="F3585" s="31">
        <v>14000</v>
      </c>
      <c r="G3585" s="31">
        <v>0</v>
      </c>
      <c r="H3585" s="31">
        <v>0</v>
      </c>
      <c r="I3585" s="31" t="s">
        <v>1350</v>
      </c>
      <c r="J3585" s="5" t="s">
        <v>2687</v>
      </c>
      <c r="K3585" s="8"/>
    </row>
    <row r="3586" spans="1:11" x14ac:dyDescent="0.2">
      <c r="A3586" s="8">
        <v>2554</v>
      </c>
      <c r="B3586" s="8">
        <f t="shared" si="116"/>
        <v>2024</v>
      </c>
      <c r="C3586" s="8">
        <f t="shared" si="117"/>
        <v>5</v>
      </c>
      <c r="D3586" s="85">
        <v>45440</v>
      </c>
      <c r="E3586" s="31">
        <v>0</v>
      </c>
      <c r="F3586" s="31">
        <v>68000</v>
      </c>
      <c r="G3586" s="31">
        <v>0</v>
      </c>
      <c r="H3586" s="31">
        <v>0</v>
      </c>
      <c r="I3586" s="31" t="s">
        <v>85</v>
      </c>
      <c r="J3586" s="5" t="s">
        <v>2688</v>
      </c>
      <c r="K3586" s="8"/>
    </row>
    <row r="3587" spans="1:11" x14ac:dyDescent="0.2">
      <c r="A3587" s="8">
        <v>2555</v>
      </c>
      <c r="B3587" s="8">
        <f t="shared" ref="B3587:B3650" si="118">YEAR(D3587)</f>
        <v>2024</v>
      </c>
      <c r="C3587" s="8">
        <f t="shared" ref="C3587:C3650" si="119">MONTH(D3587)</f>
        <v>5</v>
      </c>
      <c r="D3587" s="85">
        <v>45441</v>
      </c>
      <c r="E3587" s="31">
        <v>0</v>
      </c>
      <c r="F3587" s="31">
        <v>60000</v>
      </c>
      <c r="G3587" s="31">
        <v>0</v>
      </c>
      <c r="H3587" s="31">
        <v>0</v>
      </c>
      <c r="I3587" s="31" t="s">
        <v>85</v>
      </c>
      <c r="J3587" s="5" t="s">
        <v>2689</v>
      </c>
      <c r="K3587" s="8"/>
    </row>
    <row r="3588" spans="1:11" x14ac:dyDescent="0.2">
      <c r="A3588" s="8">
        <v>2556</v>
      </c>
      <c r="B3588" s="8">
        <f t="shared" si="118"/>
        <v>2024</v>
      </c>
      <c r="C3588" s="8">
        <f t="shared" si="119"/>
        <v>5</v>
      </c>
      <c r="D3588" s="85">
        <v>45441</v>
      </c>
      <c r="E3588" s="31">
        <v>0</v>
      </c>
      <c r="F3588" s="31">
        <v>90000</v>
      </c>
      <c r="G3588" s="31">
        <v>0</v>
      </c>
      <c r="H3588" s="31">
        <v>0</v>
      </c>
      <c r="I3588" s="31" t="s">
        <v>335</v>
      </c>
      <c r="J3588" s="5" t="s">
        <v>2690</v>
      </c>
      <c r="K3588" s="8"/>
    </row>
    <row r="3589" spans="1:11" x14ac:dyDescent="0.2">
      <c r="A3589" s="8">
        <v>2557</v>
      </c>
      <c r="B3589" s="8">
        <f t="shared" si="118"/>
        <v>2024</v>
      </c>
      <c r="C3589" s="8">
        <f t="shared" si="119"/>
        <v>5</v>
      </c>
      <c r="D3589" s="85">
        <v>45442</v>
      </c>
      <c r="E3589" s="31">
        <v>0</v>
      </c>
      <c r="F3589" s="31">
        <v>14000</v>
      </c>
      <c r="G3589" s="31">
        <v>0</v>
      </c>
      <c r="H3589" s="31">
        <v>0</v>
      </c>
      <c r="I3589" s="31" t="s">
        <v>149</v>
      </c>
      <c r="J3589" s="5" t="s">
        <v>2595</v>
      </c>
      <c r="K3589" s="8"/>
    </row>
    <row r="3590" spans="1:11" x14ac:dyDescent="0.2">
      <c r="A3590" s="8">
        <v>2558</v>
      </c>
      <c r="B3590" s="8">
        <f t="shared" si="118"/>
        <v>2024</v>
      </c>
      <c r="C3590" s="8">
        <f t="shared" si="119"/>
        <v>5</v>
      </c>
      <c r="D3590" s="85">
        <v>45442</v>
      </c>
      <c r="E3590" s="31">
        <v>0</v>
      </c>
      <c r="F3590" s="31">
        <v>13000</v>
      </c>
      <c r="G3590" s="31">
        <v>0</v>
      </c>
      <c r="H3590" s="31">
        <v>0</v>
      </c>
      <c r="I3590" s="31" t="s">
        <v>91</v>
      </c>
      <c r="J3590" s="5" t="s">
        <v>2493</v>
      </c>
      <c r="K3590" s="8"/>
    </row>
    <row r="3591" spans="1:11" x14ac:dyDescent="0.2">
      <c r="A3591" s="8">
        <v>2559</v>
      </c>
      <c r="B3591" s="8">
        <f t="shared" si="118"/>
        <v>2024</v>
      </c>
      <c r="C3591" s="8">
        <f t="shared" si="119"/>
        <v>5</v>
      </c>
      <c r="D3591" s="85">
        <v>45442</v>
      </c>
      <c r="E3591" s="31">
        <v>0</v>
      </c>
      <c r="F3591" s="31">
        <v>150000</v>
      </c>
      <c r="G3591" s="31">
        <v>0</v>
      </c>
      <c r="H3591" s="31">
        <v>0</v>
      </c>
      <c r="I3591" s="31" t="s">
        <v>1815</v>
      </c>
      <c r="J3591" s="5" t="s">
        <v>2691</v>
      </c>
      <c r="K3591" s="8"/>
    </row>
    <row r="3592" spans="1:11" x14ac:dyDescent="0.2">
      <c r="A3592" s="8">
        <v>2560</v>
      </c>
      <c r="B3592" s="8">
        <f t="shared" si="118"/>
        <v>2024</v>
      </c>
      <c r="C3592" s="8">
        <f t="shared" si="119"/>
        <v>5</v>
      </c>
      <c r="D3592" s="85">
        <v>45443</v>
      </c>
      <c r="E3592" s="31">
        <v>0</v>
      </c>
      <c r="F3592" s="31">
        <v>26000</v>
      </c>
      <c r="G3592" s="31">
        <v>0</v>
      </c>
      <c r="H3592" s="31">
        <v>0</v>
      </c>
      <c r="I3592" s="31" t="s">
        <v>91</v>
      </c>
      <c r="J3592" s="5" t="s">
        <v>2692</v>
      </c>
      <c r="K3592" s="8"/>
    </row>
    <row r="3593" spans="1:11" x14ac:dyDescent="0.2">
      <c r="A3593" s="8">
        <v>2561</v>
      </c>
      <c r="B3593" s="8">
        <f t="shared" si="118"/>
        <v>2024</v>
      </c>
      <c r="C3593" s="8">
        <f t="shared" si="119"/>
        <v>5</v>
      </c>
      <c r="D3593" s="85">
        <v>45443</v>
      </c>
      <c r="E3593" s="31">
        <v>0</v>
      </c>
      <c r="F3593" s="31">
        <v>21000</v>
      </c>
      <c r="G3593" s="31">
        <v>0</v>
      </c>
      <c r="H3593" s="31">
        <v>0</v>
      </c>
      <c r="I3593" s="31" t="s">
        <v>149</v>
      </c>
      <c r="J3593" s="5" t="s">
        <v>2495</v>
      </c>
      <c r="K3593" s="8"/>
    </row>
    <row r="3594" spans="1:11" x14ac:dyDescent="0.2">
      <c r="A3594" s="8">
        <v>2562</v>
      </c>
      <c r="B3594" s="8">
        <f t="shared" si="118"/>
        <v>2024</v>
      </c>
      <c r="C3594" s="8">
        <f t="shared" si="119"/>
        <v>6</v>
      </c>
      <c r="D3594" s="85">
        <v>45444</v>
      </c>
      <c r="E3594" s="31">
        <v>0</v>
      </c>
      <c r="F3594" s="31">
        <v>150000</v>
      </c>
      <c r="G3594" s="31">
        <v>0</v>
      </c>
      <c r="H3594" s="31">
        <v>0</v>
      </c>
      <c r="I3594" s="31" t="s">
        <v>1815</v>
      </c>
      <c r="J3594" s="5" t="s">
        <v>2693</v>
      </c>
      <c r="K3594" s="8"/>
    </row>
    <row r="3595" spans="1:11" x14ac:dyDescent="0.2">
      <c r="A3595" s="8">
        <v>2563</v>
      </c>
      <c r="B3595" s="8">
        <f t="shared" si="118"/>
        <v>2024</v>
      </c>
      <c r="C3595" s="8">
        <f t="shared" si="119"/>
        <v>6</v>
      </c>
      <c r="D3595" s="85">
        <v>45444</v>
      </c>
      <c r="E3595" s="31">
        <v>0</v>
      </c>
      <c r="F3595" s="31">
        <v>30000</v>
      </c>
      <c r="G3595" s="31">
        <v>0</v>
      </c>
      <c r="H3595" s="31">
        <v>0</v>
      </c>
      <c r="I3595" s="31" t="s">
        <v>85</v>
      </c>
      <c r="J3595" s="5" t="s">
        <v>2694</v>
      </c>
      <c r="K3595" s="8"/>
    </row>
    <row r="3596" spans="1:11" x14ac:dyDescent="0.2">
      <c r="A3596" s="8">
        <v>2564</v>
      </c>
      <c r="B3596" s="8">
        <f t="shared" si="118"/>
        <v>2024</v>
      </c>
      <c r="C3596" s="8">
        <f t="shared" si="119"/>
        <v>6</v>
      </c>
      <c r="D3596" s="85">
        <v>45444</v>
      </c>
      <c r="E3596" s="31">
        <v>0</v>
      </c>
      <c r="F3596" s="31">
        <v>13000</v>
      </c>
      <c r="G3596" s="31">
        <v>0</v>
      </c>
      <c r="H3596" s="31">
        <v>0</v>
      </c>
      <c r="I3596" s="31" t="s">
        <v>91</v>
      </c>
      <c r="J3596" s="5" t="s">
        <v>2493</v>
      </c>
      <c r="K3596" s="8"/>
    </row>
    <row r="3597" spans="1:11" x14ac:dyDescent="0.2">
      <c r="A3597" s="8">
        <v>2565</v>
      </c>
      <c r="B3597" s="8">
        <f t="shared" si="118"/>
        <v>2024</v>
      </c>
      <c r="C3597" s="8">
        <f t="shared" si="119"/>
        <v>6</v>
      </c>
      <c r="D3597" s="85">
        <v>45445</v>
      </c>
      <c r="E3597" s="31">
        <v>0</v>
      </c>
      <c r="F3597" s="31">
        <v>202000</v>
      </c>
      <c r="G3597" s="31">
        <v>0</v>
      </c>
      <c r="H3597" s="31">
        <v>0</v>
      </c>
      <c r="I3597" s="31" t="s">
        <v>299</v>
      </c>
      <c r="J3597" s="5" t="s">
        <v>2695</v>
      </c>
      <c r="K3597" s="8"/>
    </row>
    <row r="3598" spans="1:11" x14ac:dyDescent="0.2">
      <c r="A3598" s="8">
        <v>2566</v>
      </c>
      <c r="B3598" s="8">
        <f t="shared" si="118"/>
        <v>2024</v>
      </c>
      <c r="C3598" s="8">
        <f t="shared" si="119"/>
        <v>6</v>
      </c>
      <c r="D3598" s="85">
        <v>45445</v>
      </c>
      <c r="E3598" s="31">
        <v>0</v>
      </c>
      <c r="F3598" s="31">
        <v>20000</v>
      </c>
      <c r="G3598" s="31">
        <v>0</v>
      </c>
      <c r="H3598" s="31">
        <v>0</v>
      </c>
      <c r="I3598" s="31" t="s">
        <v>91</v>
      </c>
      <c r="J3598" s="5" t="s">
        <v>2522</v>
      </c>
      <c r="K3598" s="8"/>
    </row>
    <row r="3599" spans="1:11" x14ac:dyDescent="0.2">
      <c r="A3599" s="8">
        <v>2567</v>
      </c>
      <c r="B3599" s="8">
        <f t="shared" si="118"/>
        <v>2024</v>
      </c>
      <c r="C3599" s="8">
        <f t="shared" si="119"/>
        <v>6</v>
      </c>
      <c r="D3599" s="85">
        <v>45446</v>
      </c>
      <c r="E3599" s="31">
        <v>0</v>
      </c>
      <c r="F3599" s="31">
        <v>50000</v>
      </c>
      <c r="G3599" s="31">
        <v>0</v>
      </c>
      <c r="H3599" s="31">
        <v>0</v>
      </c>
      <c r="I3599" s="31" t="s">
        <v>1815</v>
      </c>
      <c r="J3599" s="5" t="s">
        <v>2696</v>
      </c>
      <c r="K3599" s="8"/>
    </row>
    <row r="3600" spans="1:11" x14ac:dyDescent="0.2">
      <c r="A3600" s="8">
        <v>2568</v>
      </c>
      <c r="B3600" s="8">
        <f t="shared" si="118"/>
        <v>2024</v>
      </c>
      <c r="C3600" s="8">
        <f t="shared" si="119"/>
        <v>6</v>
      </c>
      <c r="D3600" s="85">
        <v>45447</v>
      </c>
      <c r="E3600" s="31">
        <v>0</v>
      </c>
      <c r="F3600" s="31">
        <v>5000</v>
      </c>
      <c r="G3600" s="31">
        <v>0</v>
      </c>
      <c r="H3600" s="31">
        <v>0</v>
      </c>
      <c r="I3600" s="31" t="s">
        <v>1815</v>
      </c>
      <c r="J3600" s="5" t="s">
        <v>2697</v>
      </c>
      <c r="K3600" s="8"/>
    </row>
    <row r="3601" spans="1:11" x14ac:dyDescent="0.2">
      <c r="A3601" s="8">
        <v>2569</v>
      </c>
      <c r="B3601" s="8">
        <f t="shared" si="118"/>
        <v>2024</v>
      </c>
      <c r="C3601" s="8">
        <f t="shared" si="119"/>
        <v>6</v>
      </c>
      <c r="D3601" s="85">
        <v>45447</v>
      </c>
      <c r="E3601" s="31">
        <v>0</v>
      </c>
      <c r="F3601" s="31">
        <v>14000</v>
      </c>
      <c r="G3601" s="31">
        <v>0</v>
      </c>
      <c r="H3601" s="31">
        <v>0</v>
      </c>
      <c r="I3601" s="31" t="s">
        <v>149</v>
      </c>
      <c r="J3601" s="5" t="s">
        <v>2561</v>
      </c>
      <c r="K3601" s="8"/>
    </row>
    <row r="3602" spans="1:11" x14ac:dyDescent="0.2">
      <c r="A3602" s="8">
        <v>2570</v>
      </c>
      <c r="B3602" s="8">
        <f t="shared" si="118"/>
        <v>2024</v>
      </c>
      <c r="C3602" s="8">
        <f t="shared" si="119"/>
        <v>6</v>
      </c>
      <c r="D3602" s="85">
        <v>45447</v>
      </c>
      <c r="E3602" s="31">
        <v>0</v>
      </c>
      <c r="F3602" s="31">
        <v>350000</v>
      </c>
      <c r="G3602" s="31">
        <v>0</v>
      </c>
      <c r="H3602" s="31">
        <v>0</v>
      </c>
      <c r="I3602" s="31" t="s">
        <v>1350</v>
      </c>
      <c r="J3602" s="5" t="s">
        <v>2698</v>
      </c>
      <c r="K3602" s="8"/>
    </row>
    <row r="3603" spans="1:11" x14ac:dyDescent="0.2">
      <c r="A3603" s="8">
        <v>2571</v>
      </c>
      <c r="B3603" s="8">
        <f t="shared" si="118"/>
        <v>2024</v>
      </c>
      <c r="C3603" s="8">
        <f t="shared" si="119"/>
        <v>6</v>
      </c>
      <c r="D3603" s="85">
        <v>45448</v>
      </c>
      <c r="E3603" s="31">
        <v>0</v>
      </c>
      <c r="F3603" s="31">
        <v>13000</v>
      </c>
      <c r="G3603" s="31">
        <v>0</v>
      </c>
      <c r="H3603" s="31">
        <v>0</v>
      </c>
      <c r="I3603" s="31" t="s">
        <v>91</v>
      </c>
      <c r="J3603" s="5" t="s">
        <v>2493</v>
      </c>
      <c r="K3603" s="8"/>
    </row>
    <row r="3604" spans="1:11" x14ac:dyDescent="0.2">
      <c r="A3604" s="8">
        <v>2572</v>
      </c>
      <c r="B3604" s="8">
        <f t="shared" si="118"/>
        <v>2024</v>
      </c>
      <c r="C3604" s="8">
        <f t="shared" si="119"/>
        <v>6</v>
      </c>
      <c r="D3604" s="85">
        <v>45448</v>
      </c>
      <c r="E3604" s="31">
        <v>0</v>
      </c>
      <c r="F3604" s="31">
        <v>21000</v>
      </c>
      <c r="G3604" s="31">
        <v>0</v>
      </c>
      <c r="H3604" s="31">
        <v>0</v>
      </c>
      <c r="I3604" s="31" t="s">
        <v>149</v>
      </c>
      <c r="J3604" s="5" t="s">
        <v>2495</v>
      </c>
      <c r="K3604" s="8"/>
    </row>
    <row r="3605" spans="1:11" x14ac:dyDescent="0.2">
      <c r="A3605" s="8">
        <v>2573</v>
      </c>
      <c r="B3605" s="8">
        <f t="shared" si="118"/>
        <v>2024</v>
      </c>
      <c r="C3605" s="8">
        <f t="shared" si="119"/>
        <v>6</v>
      </c>
      <c r="D3605" s="85">
        <v>45448</v>
      </c>
      <c r="E3605" s="31">
        <v>0</v>
      </c>
      <c r="F3605" s="31">
        <v>200000</v>
      </c>
      <c r="G3605" s="31">
        <v>0</v>
      </c>
      <c r="H3605" s="31">
        <v>0</v>
      </c>
      <c r="I3605" s="31" t="s">
        <v>85</v>
      </c>
      <c r="J3605" s="5" t="s">
        <v>2699</v>
      </c>
      <c r="K3605" s="8"/>
    </row>
    <row r="3606" spans="1:11" x14ac:dyDescent="0.2">
      <c r="A3606" s="8">
        <v>2574</v>
      </c>
      <c r="B3606" s="8">
        <f t="shared" si="118"/>
        <v>2024</v>
      </c>
      <c r="C3606" s="8">
        <f t="shared" si="119"/>
        <v>6</v>
      </c>
      <c r="D3606" s="85">
        <v>45448</v>
      </c>
      <c r="E3606" s="31">
        <v>0</v>
      </c>
      <c r="F3606" s="31">
        <v>250000</v>
      </c>
      <c r="G3606" s="31">
        <v>0</v>
      </c>
      <c r="H3606" s="31">
        <v>0</v>
      </c>
      <c r="I3606" s="31" t="s">
        <v>85</v>
      </c>
      <c r="J3606" s="5" t="s">
        <v>2700</v>
      </c>
      <c r="K3606" s="8"/>
    </row>
    <row r="3607" spans="1:11" x14ac:dyDescent="0.2">
      <c r="A3607" s="8">
        <v>2575</v>
      </c>
      <c r="B3607" s="8">
        <f t="shared" si="118"/>
        <v>2024</v>
      </c>
      <c r="C3607" s="8">
        <f t="shared" si="119"/>
        <v>6</v>
      </c>
      <c r="D3607" s="85">
        <v>45448</v>
      </c>
      <c r="E3607" s="31">
        <v>0</v>
      </c>
      <c r="F3607" s="31">
        <v>76000</v>
      </c>
      <c r="G3607" s="31">
        <v>0</v>
      </c>
      <c r="H3607" s="31">
        <v>0</v>
      </c>
      <c r="I3607" s="31" t="s">
        <v>1815</v>
      </c>
      <c r="J3607" s="5" t="s">
        <v>2701</v>
      </c>
      <c r="K3607" s="8"/>
    </row>
    <row r="3608" spans="1:11" x14ac:dyDescent="0.2">
      <c r="A3608" s="8">
        <v>2576</v>
      </c>
      <c r="B3608" s="8">
        <f t="shared" si="118"/>
        <v>2024</v>
      </c>
      <c r="C3608" s="8">
        <f t="shared" si="119"/>
        <v>6</v>
      </c>
      <c r="D3608" s="85">
        <v>45449</v>
      </c>
      <c r="E3608" s="31">
        <v>0</v>
      </c>
      <c r="F3608" s="31">
        <v>27000</v>
      </c>
      <c r="G3608" s="31">
        <v>0</v>
      </c>
      <c r="H3608" s="31">
        <v>0</v>
      </c>
      <c r="I3608" s="31" t="s">
        <v>85</v>
      </c>
      <c r="J3608" s="5" t="s">
        <v>2702</v>
      </c>
      <c r="K3608" s="8"/>
    </row>
    <row r="3609" spans="1:11" x14ac:dyDescent="0.2">
      <c r="A3609" s="8">
        <v>2577</v>
      </c>
      <c r="B3609" s="8">
        <f t="shared" si="118"/>
        <v>2024</v>
      </c>
      <c r="C3609" s="8">
        <f t="shared" si="119"/>
        <v>6</v>
      </c>
      <c r="D3609" s="85">
        <v>45449</v>
      </c>
      <c r="E3609" s="31">
        <v>0</v>
      </c>
      <c r="F3609" s="31">
        <v>33000</v>
      </c>
      <c r="G3609" s="31">
        <v>0</v>
      </c>
      <c r="H3609" s="31">
        <v>0</v>
      </c>
      <c r="I3609" s="31" t="s">
        <v>391</v>
      </c>
      <c r="J3609" s="5" t="s">
        <v>2703</v>
      </c>
      <c r="K3609" s="8"/>
    </row>
    <row r="3610" spans="1:11" x14ac:dyDescent="0.2">
      <c r="A3610" s="8">
        <v>2578</v>
      </c>
      <c r="B3610" s="8">
        <f t="shared" si="118"/>
        <v>2024</v>
      </c>
      <c r="C3610" s="8">
        <f t="shared" si="119"/>
        <v>6</v>
      </c>
      <c r="D3610" s="85">
        <v>45449</v>
      </c>
      <c r="E3610" s="31">
        <v>0</v>
      </c>
      <c r="F3610" s="31">
        <v>20000</v>
      </c>
      <c r="G3610" s="31">
        <v>0</v>
      </c>
      <c r="H3610" s="31">
        <v>0</v>
      </c>
      <c r="I3610" s="31" t="s">
        <v>91</v>
      </c>
      <c r="J3610" s="5" t="s">
        <v>2416</v>
      </c>
      <c r="K3610" s="8"/>
    </row>
    <row r="3611" spans="1:11" x14ac:dyDescent="0.2">
      <c r="A3611" s="8">
        <v>2579</v>
      </c>
      <c r="B3611" s="8">
        <f t="shared" si="118"/>
        <v>2024</v>
      </c>
      <c r="C3611" s="8">
        <f t="shared" si="119"/>
        <v>6</v>
      </c>
      <c r="D3611" s="85">
        <v>45449</v>
      </c>
      <c r="E3611" s="31">
        <v>0</v>
      </c>
      <c r="F3611" s="31">
        <v>24000</v>
      </c>
      <c r="G3611" s="31">
        <v>0</v>
      </c>
      <c r="H3611" s="31">
        <v>0</v>
      </c>
      <c r="I3611" s="31" t="s">
        <v>1999</v>
      </c>
      <c r="J3611" s="5" t="s">
        <v>2704</v>
      </c>
      <c r="K3611" s="8"/>
    </row>
    <row r="3612" spans="1:11" x14ac:dyDescent="0.2">
      <c r="A3612" s="8">
        <v>2580</v>
      </c>
      <c r="B3612" s="8">
        <f t="shared" si="118"/>
        <v>2024</v>
      </c>
      <c r="C3612" s="8">
        <f t="shared" si="119"/>
        <v>6</v>
      </c>
      <c r="D3612" s="85">
        <v>45450</v>
      </c>
      <c r="E3612" s="31">
        <v>0</v>
      </c>
      <c r="F3612" s="31">
        <v>17000</v>
      </c>
      <c r="G3612" s="31">
        <v>0</v>
      </c>
      <c r="H3612" s="31">
        <v>0</v>
      </c>
      <c r="I3612" s="31" t="s">
        <v>85</v>
      </c>
      <c r="J3612" s="5" t="s">
        <v>2705</v>
      </c>
      <c r="K3612" s="8"/>
    </row>
    <row r="3613" spans="1:11" x14ac:dyDescent="0.2">
      <c r="A3613" s="8">
        <v>2581</v>
      </c>
      <c r="B3613" s="8">
        <f t="shared" si="118"/>
        <v>2024</v>
      </c>
      <c r="C3613" s="8">
        <f t="shared" si="119"/>
        <v>6</v>
      </c>
      <c r="D3613" s="85">
        <v>45450</v>
      </c>
      <c r="E3613" s="31">
        <v>0</v>
      </c>
      <c r="F3613" s="31">
        <v>14000</v>
      </c>
      <c r="G3613" s="31">
        <v>0</v>
      </c>
      <c r="H3613" s="31">
        <v>0</v>
      </c>
      <c r="I3613" s="31" t="s">
        <v>149</v>
      </c>
      <c r="J3613" s="5" t="s">
        <v>2561</v>
      </c>
      <c r="K3613" s="8"/>
    </row>
    <row r="3614" spans="1:11" x14ac:dyDescent="0.2">
      <c r="A3614" s="8">
        <v>2582</v>
      </c>
      <c r="B3614" s="8">
        <f t="shared" si="118"/>
        <v>2024</v>
      </c>
      <c r="C3614" s="8">
        <f t="shared" si="119"/>
        <v>6</v>
      </c>
      <c r="D3614" s="85">
        <v>45450</v>
      </c>
      <c r="E3614" s="31">
        <v>0</v>
      </c>
      <c r="F3614" s="31">
        <v>170000</v>
      </c>
      <c r="G3614" s="31">
        <v>0</v>
      </c>
      <c r="H3614" s="31">
        <v>0</v>
      </c>
      <c r="I3614" s="31" t="s">
        <v>1350</v>
      </c>
      <c r="J3614" s="5" t="s">
        <v>2706</v>
      </c>
      <c r="K3614" s="8"/>
    </row>
    <row r="3615" spans="1:11" x14ac:dyDescent="0.2">
      <c r="A3615" s="8">
        <v>2583</v>
      </c>
      <c r="B3615" s="8">
        <f t="shared" si="118"/>
        <v>2024</v>
      </c>
      <c r="C3615" s="8">
        <f t="shared" si="119"/>
        <v>6</v>
      </c>
      <c r="D3615" s="85">
        <v>45450</v>
      </c>
      <c r="E3615" s="31">
        <v>0</v>
      </c>
      <c r="F3615" s="31">
        <v>100000</v>
      </c>
      <c r="G3615" s="31">
        <v>0</v>
      </c>
      <c r="H3615" s="31">
        <v>0</v>
      </c>
      <c r="I3615" s="31" t="s">
        <v>85</v>
      </c>
      <c r="J3615" s="5" t="s">
        <v>2707</v>
      </c>
      <c r="K3615" s="8"/>
    </row>
    <row r="3616" spans="1:11" x14ac:dyDescent="0.2">
      <c r="A3616" s="8">
        <v>2584</v>
      </c>
      <c r="B3616" s="8">
        <f t="shared" si="118"/>
        <v>2024</v>
      </c>
      <c r="C3616" s="8">
        <f t="shared" si="119"/>
        <v>6</v>
      </c>
      <c r="D3616" s="85">
        <v>45450</v>
      </c>
      <c r="E3616" s="31">
        <v>0</v>
      </c>
      <c r="F3616" s="31">
        <v>164000</v>
      </c>
      <c r="G3616" s="31">
        <v>0</v>
      </c>
      <c r="H3616" s="31">
        <v>0</v>
      </c>
      <c r="I3616" s="31" t="s">
        <v>85</v>
      </c>
      <c r="J3616" s="5" t="s">
        <v>2708</v>
      </c>
      <c r="K3616" s="8"/>
    </row>
    <row r="3617" spans="1:11" x14ac:dyDescent="0.2">
      <c r="A3617" s="8">
        <v>2585</v>
      </c>
      <c r="B3617" s="8">
        <f t="shared" si="118"/>
        <v>2024</v>
      </c>
      <c r="C3617" s="8">
        <f t="shared" si="119"/>
        <v>6</v>
      </c>
      <c r="D3617" s="85">
        <v>45450</v>
      </c>
      <c r="E3617" s="31">
        <v>0</v>
      </c>
      <c r="F3617" s="31">
        <v>45000</v>
      </c>
      <c r="G3617" s="31">
        <v>0</v>
      </c>
      <c r="H3617" s="31">
        <v>0</v>
      </c>
      <c r="I3617" s="31" t="s">
        <v>85</v>
      </c>
      <c r="J3617" s="5" t="s">
        <v>2709</v>
      </c>
      <c r="K3617" s="8"/>
    </row>
    <row r="3618" spans="1:11" x14ac:dyDescent="0.2">
      <c r="A3618" s="8">
        <v>2586</v>
      </c>
      <c r="B3618" s="8">
        <f t="shared" si="118"/>
        <v>2024</v>
      </c>
      <c r="C3618" s="8">
        <f t="shared" si="119"/>
        <v>6</v>
      </c>
      <c r="D3618" s="85">
        <v>45451</v>
      </c>
      <c r="E3618" s="31">
        <v>0</v>
      </c>
      <c r="F3618" s="31">
        <v>20000</v>
      </c>
      <c r="G3618" s="31">
        <v>0</v>
      </c>
      <c r="H3618" s="31">
        <v>0</v>
      </c>
      <c r="I3618" s="31" t="s">
        <v>91</v>
      </c>
      <c r="J3618" s="5" t="s">
        <v>2710</v>
      </c>
      <c r="K3618" s="8"/>
    </row>
    <row r="3619" spans="1:11" x14ac:dyDescent="0.2">
      <c r="A3619" s="8">
        <v>2587</v>
      </c>
      <c r="B3619" s="8">
        <f t="shared" si="118"/>
        <v>2024</v>
      </c>
      <c r="C3619" s="8">
        <f t="shared" si="119"/>
        <v>6</v>
      </c>
      <c r="D3619" s="85">
        <v>45451</v>
      </c>
      <c r="E3619" s="31">
        <v>0</v>
      </c>
      <c r="F3619" s="31">
        <v>23000</v>
      </c>
      <c r="G3619" s="31">
        <v>0</v>
      </c>
      <c r="H3619" s="31">
        <v>0</v>
      </c>
      <c r="I3619" s="31" t="s">
        <v>91</v>
      </c>
      <c r="J3619" s="5" t="s">
        <v>2711</v>
      </c>
      <c r="K3619" s="8"/>
    </row>
    <row r="3620" spans="1:11" x14ac:dyDescent="0.2">
      <c r="A3620" s="8">
        <v>2588</v>
      </c>
      <c r="B3620" s="8">
        <f t="shared" si="118"/>
        <v>2024</v>
      </c>
      <c r="C3620" s="8">
        <f t="shared" si="119"/>
        <v>6</v>
      </c>
      <c r="D3620" s="85">
        <v>45452</v>
      </c>
      <c r="E3620" s="31">
        <v>0</v>
      </c>
      <c r="F3620" s="31">
        <v>14000</v>
      </c>
      <c r="G3620" s="31">
        <v>0</v>
      </c>
      <c r="H3620" s="31">
        <v>0</v>
      </c>
      <c r="I3620" s="31" t="s">
        <v>91</v>
      </c>
      <c r="J3620" s="5" t="s">
        <v>2712</v>
      </c>
      <c r="K3620" s="8"/>
    </row>
    <row r="3621" spans="1:11" x14ac:dyDescent="0.2">
      <c r="A3621" s="8">
        <v>2589</v>
      </c>
      <c r="B3621" s="8">
        <f t="shared" si="118"/>
        <v>2024</v>
      </c>
      <c r="C3621" s="8">
        <f t="shared" si="119"/>
        <v>6</v>
      </c>
      <c r="D3621" s="85">
        <v>45452</v>
      </c>
      <c r="E3621" s="31">
        <v>0</v>
      </c>
      <c r="F3621" s="31">
        <v>37000</v>
      </c>
      <c r="G3621" s="31">
        <v>0</v>
      </c>
      <c r="H3621" s="31">
        <v>0</v>
      </c>
      <c r="I3621" s="31" t="s">
        <v>1815</v>
      </c>
      <c r="J3621" s="5" t="s">
        <v>2713</v>
      </c>
      <c r="K3621" s="8"/>
    </row>
    <row r="3622" spans="1:11" x14ac:dyDescent="0.2">
      <c r="A3622" s="8">
        <v>2590</v>
      </c>
      <c r="B3622" s="8">
        <f t="shared" si="118"/>
        <v>2024</v>
      </c>
      <c r="C3622" s="8">
        <f t="shared" si="119"/>
        <v>6</v>
      </c>
      <c r="D3622" s="85">
        <v>45452</v>
      </c>
      <c r="E3622" s="31">
        <v>0</v>
      </c>
      <c r="F3622" s="31">
        <v>30000</v>
      </c>
      <c r="G3622" s="31">
        <v>0</v>
      </c>
      <c r="H3622" s="31">
        <v>0</v>
      </c>
      <c r="I3622" s="31" t="s">
        <v>91</v>
      </c>
      <c r="J3622" s="5" t="s">
        <v>2550</v>
      </c>
      <c r="K3622" s="8"/>
    </row>
    <row r="3623" spans="1:11" x14ac:dyDescent="0.2">
      <c r="A3623" s="8">
        <v>2591</v>
      </c>
      <c r="B3623" s="8">
        <f t="shared" si="118"/>
        <v>2024</v>
      </c>
      <c r="C3623" s="8">
        <f t="shared" si="119"/>
        <v>6</v>
      </c>
      <c r="D3623" s="85">
        <v>45453</v>
      </c>
      <c r="E3623" s="31">
        <v>0</v>
      </c>
      <c r="F3623" s="31">
        <v>20000</v>
      </c>
      <c r="G3623" s="31">
        <v>0</v>
      </c>
      <c r="H3623" s="31">
        <v>0</v>
      </c>
      <c r="I3623" s="31" t="s">
        <v>85</v>
      </c>
      <c r="J3623" s="5" t="s">
        <v>2714</v>
      </c>
      <c r="K3623" s="8"/>
    </row>
    <row r="3624" spans="1:11" x14ac:dyDescent="0.2">
      <c r="A3624" s="8">
        <v>2592</v>
      </c>
      <c r="B3624" s="8">
        <f t="shared" si="118"/>
        <v>2024</v>
      </c>
      <c r="C3624" s="8">
        <f t="shared" si="119"/>
        <v>6</v>
      </c>
      <c r="D3624" s="85">
        <v>45453</v>
      </c>
      <c r="E3624" s="31">
        <v>0</v>
      </c>
      <c r="F3624" s="31">
        <v>27000</v>
      </c>
      <c r="G3624" s="31">
        <v>0</v>
      </c>
      <c r="H3624" s="31">
        <v>0</v>
      </c>
      <c r="I3624" s="31" t="s">
        <v>91</v>
      </c>
      <c r="J3624" s="5" t="s">
        <v>2715</v>
      </c>
      <c r="K3624" s="8"/>
    </row>
    <row r="3625" spans="1:11" x14ac:dyDescent="0.2">
      <c r="A3625" s="8">
        <v>2593</v>
      </c>
      <c r="B3625" s="8">
        <f t="shared" si="118"/>
        <v>2024</v>
      </c>
      <c r="C3625" s="8">
        <f t="shared" si="119"/>
        <v>6</v>
      </c>
      <c r="D3625" s="85">
        <v>45453</v>
      </c>
      <c r="E3625" s="31">
        <v>0</v>
      </c>
      <c r="F3625" s="31">
        <v>30000</v>
      </c>
      <c r="G3625" s="31">
        <v>0</v>
      </c>
      <c r="H3625" s="31">
        <v>0</v>
      </c>
      <c r="I3625" s="31" t="s">
        <v>1815</v>
      </c>
      <c r="J3625" s="5" t="s">
        <v>2716</v>
      </c>
      <c r="K3625" s="8"/>
    </row>
    <row r="3626" spans="1:11" x14ac:dyDescent="0.2">
      <c r="A3626" s="8">
        <v>2595</v>
      </c>
      <c r="B3626" s="8">
        <f t="shared" si="118"/>
        <v>2024</v>
      </c>
      <c r="C3626" s="8">
        <f t="shared" si="119"/>
        <v>6</v>
      </c>
      <c r="D3626" s="85">
        <v>45454</v>
      </c>
      <c r="E3626" s="31">
        <v>0</v>
      </c>
      <c r="F3626" s="31">
        <v>200000</v>
      </c>
      <c r="G3626" s="31">
        <v>0</v>
      </c>
      <c r="H3626" s="31">
        <v>0</v>
      </c>
      <c r="I3626" s="31" t="s">
        <v>85</v>
      </c>
      <c r="J3626" s="5" t="s">
        <v>2717</v>
      </c>
      <c r="K3626" s="8"/>
    </row>
    <row r="3627" spans="1:11" x14ac:dyDescent="0.2">
      <c r="A3627" s="8">
        <v>2596</v>
      </c>
      <c r="B3627" s="8">
        <f t="shared" si="118"/>
        <v>2024</v>
      </c>
      <c r="C3627" s="8">
        <f t="shared" si="119"/>
        <v>6</v>
      </c>
      <c r="D3627" s="85">
        <v>45454</v>
      </c>
      <c r="E3627" s="31">
        <v>0</v>
      </c>
      <c r="F3627" s="31">
        <v>14000</v>
      </c>
      <c r="G3627" s="31">
        <v>0</v>
      </c>
      <c r="H3627" s="31">
        <v>0</v>
      </c>
      <c r="I3627" s="31" t="s">
        <v>149</v>
      </c>
      <c r="J3627" s="5" t="s">
        <v>2561</v>
      </c>
      <c r="K3627" s="8"/>
    </row>
    <row r="3628" spans="1:11" x14ac:dyDescent="0.2">
      <c r="A3628" s="8">
        <v>2597</v>
      </c>
      <c r="B3628" s="8">
        <f t="shared" si="118"/>
        <v>2024</v>
      </c>
      <c r="C3628" s="8">
        <f t="shared" si="119"/>
        <v>6</v>
      </c>
      <c r="D3628" s="85">
        <v>45454</v>
      </c>
      <c r="E3628" s="31">
        <v>0</v>
      </c>
      <c r="F3628" s="31">
        <v>16000</v>
      </c>
      <c r="G3628" s="31">
        <v>0</v>
      </c>
      <c r="H3628" s="31">
        <v>0</v>
      </c>
      <c r="I3628" s="31" t="s">
        <v>91</v>
      </c>
      <c r="J3628" s="5" t="s">
        <v>2594</v>
      </c>
      <c r="K3628" s="8"/>
    </row>
    <row r="3629" spans="1:11" x14ac:dyDescent="0.2">
      <c r="A3629" s="8">
        <v>2598</v>
      </c>
      <c r="B3629" s="8">
        <f t="shared" si="118"/>
        <v>2024</v>
      </c>
      <c r="C3629" s="8">
        <f t="shared" si="119"/>
        <v>6</v>
      </c>
      <c r="D3629" s="85">
        <v>45455</v>
      </c>
      <c r="E3629" s="31">
        <v>0</v>
      </c>
      <c r="F3629" s="31">
        <v>82000</v>
      </c>
      <c r="G3629" s="31">
        <v>0</v>
      </c>
      <c r="H3629" s="31">
        <v>0</v>
      </c>
      <c r="I3629" s="31" t="s">
        <v>85</v>
      </c>
      <c r="J3629" s="5" t="s">
        <v>2718</v>
      </c>
      <c r="K3629" s="8"/>
    </row>
    <row r="3630" spans="1:11" x14ac:dyDescent="0.2">
      <c r="A3630" s="8">
        <v>2599</v>
      </c>
      <c r="B3630" s="8">
        <f t="shared" si="118"/>
        <v>2024</v>
      </c>
      <c r="C3630" s="8">
        <f t="shared" si="119"/>
        <v>6</v>
      </c>
      <c r="D3630" s="85">
        <v>45455</v>
      </c>
      <c r="E3630" s="31">
        <v>0</v>
      </c>
      <c r="F3630" s="31">
        <v>29000</v>
      </c>
      <c r="G3630" s="31">
        <v>0</v>
      </c>
      <c r="H3630" s="31">
        <v>0</v>
      </c>
      <c r="I3630" s="31" t="s">
        <v>91</v>
      </c>
      <c r="J3630" s="5" t="s">
        <v>2719</v>
      </c>
      <c r="K3630" s="8"/>
    </row>
    <row r="3631" spans="1:11" x14ac:dyDescent="0.2">
      <c r="A3631" s="8">
        <v>2600</v>
      </c>
      <c r="B3631" s="8">
        <f t="shared" si="118"/>
        <v>2024</v>
      </c>
      <c r="C3631" s="8">
        <f t="shared" si="119"/>
        <v>6</v>
      </c>
      <c r="D3631" s="85">
        <v>45455</v>
      </c>
      <c r="E3631" s="31">
        <v>0</v>
      </c>
      <c r="F3631" s="31">
        <v>280000</v>
      </c>
      <c r="G3631" s="31">
        <v>0</v>
      </c>
      <c r="H3631" s="31">
        <v>0</v>
      </c>
      <c r="I3631" s="31" t="s">
        <v>1815</v>
      </c>
      <c r="J3631" s="5" t="s">
        <v>2720</v>
      </c>
      <c r="K3631" s="8"/>
    </row>
    <row r="3632" spans="1:11" x14ac:dyDescent="0.2">
      <c r="A3632" s="8">
        <v>2601</v>
      </c>
      <c r="B3632" s="8">
        <f t="shared" si="118"/>
        <v>2024</v>
      </c>
      <c r="C3632" s="8">
        <f t="shared" si="119"/>
        <v>6</v>
      </c>
      <c r="D3632" s="85">
        <v>45456</v>
      </c>
      <c r="E3632" s="31">
        <v>0</v>
      </c>
      <c r="F3632" s="31">
        <v>20000</v>
      </c>
      <c r="G3632" s="31">
        <v>0</v>
      </c>
      <c r="H3632" s="31">
        <v>0</v>
      </c>
      <c r="I3632" s="31" t="s">
        <v>391</v>
      </c>
      <c r="J3632" s="5" t="s">
        <v>2721</v>
      </c>
      <c r="K3632" s="8"/>
    </row>
    <row r="3633" spans="1:11" x14ac:dyDescent="0.2">
      <c r="A3633" s="8">
        <v>2602</v>
      </c>
      <c r="B3633" s="8">
        <f t="shared" si="118"/>
        <v>2024</v>
      </c>
      <c r="C3633" s="8">
        <f t="shared" si="119"/>
        <v>6</v>
      </c>
      <c r="D3633" s="85">
        <v>45456</v>
      </c>
      <c r="E3633" s="31">
        <v>0</v>
      </c>
      <c r="F3633" s="31">
        <v>30000</v>
      </c>
      <c r="G3633" s="31">
        <v>0</v>
      </c>
      <c r="H3633" s="31">
        <v>0</v>
      </c>
      <c r="I3633" s="31" t="s">
        <v>91</v>
      </c>
      <c r="J3633" s="5" t="s">
        <v>2722</v>
      </c>
      <c r="K3633" s="8"/>
    </row>
    <row r="3634" spans="1:11" x14ac:dyDescent="0.2">
      <c r="A3634" s="8">
        <v>2603</v>
      </c>
      <c r="B3634" s="8">
        <f t="shared" si="118"/>
        <v>2024</v>
      </c>
      <c r="C3634" s="8">
        <f t="shared" si="119"/>
        <v>6</v>
      </c>
      <c r="D3634" s="85">
        <v>45457</v>
      </c>
      <c r="E3634" s="31">
        <v>0</v>
      </c>
      <c r="F3634" s="31">
        <v>10000</v>
      </c>
      <c r="G3634" s="31">
        <v>0</v>
      </c>
      <c r="H3634" s="31">
        <v>0</v>
      </c>
      <c r="I3634" s="31" t="s">
        <v>149</v>
      </c>
      <c r="J3634" s="5" t="s">
        <v>2613</v>
      </c>
      <c r="K3634" s="8"/>
    </row>
    <row r="3635" spans="1:11" x14ac:dyDescent="0.2">
      <c r="A3635" s="8">
        <v>2604</v>
      </c>
      <c r="B3635" s="8">
        <f t="shared" si="118"/>
        <v>2024</v>
      </c>
      <c r="C3635" s="8">
        <f t="shared" si="119"/>
        <v>6</v>
      </c>
      <c r="D3635" s="85">
        <v>45457</v>
      </c>
      <c r="E3635" s="31">
        <v>0</v>
      </c>
      <c r="F3635" s="31">
        <v>25000</v>
      </c>
      <c r="G3635" s="31">
        <v>0</v>
      </c>
      <c r="H3635" s="31">
        <v>0</v>
      </c>
      <c r="I3635" s="31" t="s">
        <v>85</v>
      </c>
      <c r="J3635" s="5" t="s">
        <v>2723</v>
      </c>
      <c r="K3635" s="8"/>
    </row>
    <row r="3636" spans="1:11" x14ac:dyDescent="0.2">
      <c r="A3636" s="8">
        <v>2605</v>
      </c>
      <c r="B3636" s="8">
        <f t="shared" si="118"/>
        <v>2024</v>
      </c>
      <c r="C3636" s="8">
        <f t="shared" si="119"/>
        <v>6</v>
      </c>
      <c r="D3636" s="85">
        <v>45457</v>
      </c>
      <c r="E3636" s="31">
        <v>0</v>
      </c>
      <c r="F3636" s="31">
        <v>10000</v>
      </c>
      <c r="G3636" s="31">
        <v>0</v>
      </c>
      <c r="H3636" s="31">
        <v>0</v>
      </c>
      <c r="I3636" s="31" t="s">
        <v>335</v>
      </c>
      <c r="J3636" s="5" t="s">
        <v>2724</v>
      </c>
      <c r="K3636" s="8"/>
    </row>
    <row r="3637" spans="1:11" x14ac:dyDescent="0.2">
      <c r="A3637" s="8">
        <v>2554</v>
      </c>
      <c r="B3637" s="8">
        <f t="shared" si="118"/>
        <v>2024</v>
      </c>
      <c r="C3637" s="8">
        <f t="shared" si="119"/>
        <v>6</v>
      </c>
      <c r="D3637" s="85">
        <v>45458</v>
      </c>
      <c r="E3637" s="31">
        <v>0</v>
      </c>
      <c r="F3637" s="31">
        <v>21000</v>
      </c>
      <c r="G3637" s="31">
        <v>0</v>
      </c>
      <c r="H3637" s="31">
        <v>0</v>
      </c>
      <c r="I3637" s="31" t="s">
        <v>85</v>
      </c>
      <c r="J3637" s="5" t="s">
        <v>2725</v>
      </c>
      <c r="K3637" s="8"/>
    </row>
    <row r="3638" spans="1:11" x14ac:dyDescent="0.2">
      <c r="A3638" s="8">
        <v>2555</v>
      </c>
      <c r="B3638" s="8">
        <f t="shared" si="118"/>
        <v>2024</v>
      </c>
      <c r="C3638" s="8">
        <f t="shared" si="119"/>
        <v>6</v>
      </c>
      <c r="D3638" s="85">
        <v>45451</v>
      </c>
      <c r="E3638" s="31">
        <v>0</v>
      </c>
      <c r="F3638" s="31">
        <v>20000</v>
      </c>
      <c r="G3638" s="31">
        <v>0</v>
      </c>
      <c r="H3638" s="31">
        <v>0</v>
      </c>
      <c r="I3638" s="31" t="s">
        <v>85</v>
      </c>
      <c r="J3638" s="5" t="s">
        <v>2726</v>
      </c>
      <c r="K3638" s="8"/>
    </row>
    <row r="3639" spans="1:11" x14ac:dyDescent="0.2">
      <c r="A3639" s="8">
        <v>2556</v>
      </c>
      <c r="B3639" s="8">
        <f t="shared" si="118"/>
        <v>2024</v>
      </c>
      <c r="C3639" s="8">
        <f t="shared" si="119"/>
        <v>6</v>
      </c>
      <c r="D3639" s="85">
        <v>45451</v>
      </c>
      <c r="E3639" s="31">
        <v>0</v>
      </c>
      <c r="F3639" s="31">
        <v>43000</v>
      </c>
      <c r="G3639" s="31">
        <v>0</v>
      </c>
      <c r="H3639" s="31">
        <v>0</v>
      </c>
      <c r="I3639" s="31" t="s">
        <v>1350</v>
      </c>
      <c r="J3639" s="5" t="s">
        <v>2727</v>
      </c>
      <c r="K3639" s="8"/>
    </row>
    <row r="3640" spans="1:11" x14ac:dyDescent="0.2">
      <c r="A3640" s="8">
        <v>2557</v>
      </c>
      <c r="B3640" s="8">
        <f t="shared" si="118"/>
        <v>2024</v>
      </c>
      <c r="C3640" s="8">
        <f t="shared" si="119"/>
        <v>6</v>
      </c>
      <c r="D3640" s="85">
        <v>45451</v>
      </c>
      <c r="E3640" s="31">
        <v>0</v>
      </c>
      <c r="F3640" s="31">
        <v>50000</v>
      </c>
      <c r="G3640" s="31">
        <v>0</v>
      </c>
      <c r="H3640" s="31">
        <v>0</v>
      </c>
      <c r="I3640" s="31" t="s">
        <v>85</v>
      </c>
      <c r="J3640" s="5" t="s">
        <v>2728</v>
      </c>
      <c r="K3640" s="8"/>
    </row>
    <row r="3641" spans="1:11" x14ac:dyDescent="0.2">
      <c r="A3641" s="8">
        <v>2558</v>
      </c>
      <c r="B3641" s="8">
        <f t="shared" si="118"/>
        <v>2024</v>
      </c>
      <c r="C3641" s="8">
        <f t="shared" si="119"/>
        <v>6</v>
      </c>
      <c r="D3641" s="85">
        <v>45458</v>
      </c>
      <c r="E3641" s="31">
        <v>0</v>
      </c>
      <c r="F3641" s="31">
        <v>21000</v>
      </c>
      <c r="G3641" s="31">
        <v>0</v>
      </c>
      <c r="H3641" s="31">
        <v>0</v>
      </c>
      <c r="I3641" s="31" t="s">
        <v>1992</v>
      </c>
      <c r="J3641" s="5" t="s">
        <v>2729</v>
      </c>
      <c r="K3641" s="8"/>
    </row>
    <row r="3642" spans="1:11" x14ac:dyDescent="0.2">
      <c r="A3642" s="8">
        <v>2559</v>
      </c>
      <c r="B3642" s="8">
        <f t="shared" si="118"/>
        <v>2024</v>
      </c>
      <c r="C3642" s="8">
        <f t="shared" si="119"/>
        <v>6</v>
      </c>
      <c r="D3642" s="85">
        <v>45458</v>
      </c>
      <c r="E3642" s="31">
        <v>0</v>
      </c>
      <c r="F3642" s="31">
        <v>250000</v>
      </c>
      <c r="G3642" s="31">
        <v>0</v>
      </c>
      <c r="H3642" s="31">
        <v>0</v>
      </c>
      <c r="I3642" s="31" t="s">
        <v>1894</v>
      </c>
      <c r="J3642" s="5" t="s">
        <v>2730</v>
      </c>
      <c r="K3642" s="8"/>
    </row>
    <row r="3643" spans="1:11" x14ac:dyDescent="0.2">
      <c r="A3643" s="8">
        <v>2560</v>
      </c>
      <c r="B3643" s="8">
        <f t="shared" si="118"/>
        <v>2024</v>
      </c>
      <c r="C3643" s="8">
        <f t="shared" si="119"/>
        <v>6</v>
      </c>
      <c r="D3643" s="85">
        <v>45459</v>
      </c>
      <c r="E3643" s="31">
        <v>0</v>
      </c>
      <c r="F3643" s="31">
        <v>20000</v>
      </c>
      <c r="G3643" s="31">
        <v>0</v>
      </c>
      <c r="H3643" s="31">
        <v>0</v>
      </c>
      <c r="I3643" s="31" t="s">
        <v>91</v>
      </c>
      <c r="J3643" s="5" t="s">
        <v>2416</v>
      </c>
      <c r="K3643" s="8"/>
    </row>
    <row r="3644" spans="1:11" x14ac:dyDescent="0.2">
      <c r="A3644" s="8">
        <v>2561</v>
      </c>
      <c r="B3644" s="8">
        <f t="shared" si="118"/>
        <v>2024</v>
      </c>
      <c r="C3644" s="8">
        <f t="shared" si="119"/>
        <v>6</v>
      </c>
      <c r="D3644" s="85">
        <v>45459</v>
      </c>
      <c r="E3644" s="31">
        <v>0</v>
      </c>
      <c r="F3644" s="31">
        <v>207000</v>
      </c>
      <c r="G3644" s="31">
        <v>0</v>
      </c>
      <c r="H3644" s="31">
        <v>0</v>
      </c>
      <c r="I3644" s="31" t="s">
        <v>85</v>
      </c>
      <c r="J3644" s="5" t="s">
        <v>2731</v>
      </c>
      <c r="K3644" s="8"/>
    </row>
    <row r="3645" spans="1:11" x14ac:dyDescent="0.2">
      <c r="A3645" s="8">
        <v>2562</v>
      </c>
      <c r="B3645" s="8">
        <f t="shared" si="118"/>
        <v>2024</v>
      </c>
      <c r="C3645" s="8">
        <f t="shared" si="119"/>
        <v>6</v>
      </c>
      <c r="D3645" s="85">
        <v>45459</v>
      </c>
      <c r="E3645" s="31">
        <v>0</v>
      </c>
      <c r="F3645" s="31">
        <v>62000</v>
      </c>
      <c r="G3645" s="31">
        <v>0</v>
      </c>
      <c r="H3645" s="31">
        <v>0</v>
      </c>
      <c r="I3645" s="31" t="s">
        <v>1815</v>
      </c>
      <c r="J3645" s="5" t="s">
        <v>2732</v>
      </c>
      <c r="K3645" s="8"/>
    </row>
    <row r="3646" spans="1:11" x14ac:dyDescent="0.2">
      <c r="A3646" s="8">
        <v>2563</v>
      </c>
      <c r="B3646" s="8">
        <f t="shared" si="118"/>
        <v>2024</v>
      </c>
      <c r="C3646" s="8">
        <f t="shared" si="119"/>
        <v>6</v>
      </c>
      <c r="D3646" s="85">
        <v>45459</v>
      </c>
      <c r="E3646" s="31">
        <v>0</v>
      </c>
      <c r="F3646" s="31">
        <v>78000</v>
      </c>
      <c r="G3646" s="31">
        <v>0</v>
      </c>
      <c r="H3646" s="31">
        <v>0</v>
      </c>
      <c r="I3646" s="31" t="s">
        <v>85</v>
      </c>
      <c r="J3646" s="5" t="s">
        <v>2733</v>
      </c>
      <c r="K3646" s="8"/>
    </row>
    <row r="3647" spans="1:11" x14ac:dyDescent="0.2">
      <c r="A3647" s="8">
        <v>2564</v>
      </c>
      <c r="B3647" s="8">
        <f t="shared" si="118"/>
        <v>2024</v>
      </c>
      <c r="C3647" s="8">
        <f t="shared" si="119"/>
        <v>6</v>
      </c>
      <c r="D3647" s="85">
        <v>45459</v>
      </c>
      <c r="E3647" s="31">
        <v>0</v>
      </c>
      <c r="F3647" s="31">
        <v>86000</v>
      </c>
      <c r="G3647" s="31">
        <v>0</v>
      </c>
      <c r="H3647" s="31">
        <v>0</v>
      </c>
      <c r="I3647" s="31" t="s">
        <v>85</v>
      </c>
      <c r="J3647" s="5" t="s">
        <v>2734</v>
      </c>
      <c r="K3647" s="8"/>
    </row>
    <row r="3648" spans="1:11" x14ac:dyDescent="0.2">
      <c r="A3648" s="8">
        <v>2565</v>
      </c>
      <c r="B3648" s="8">
        <f t="shared" si="118"/>
        <v>2024</v>
      </c>
      <c r="C3648" s="8">
        <f t="shared" si="119"/>
        <v>6</v>
      </c>
      <c r="D3648" s="85">
        <v>45460</v>
      </c>
      <c r="E3648" s="31">
        <v>0</v>
      </c>
      <c r="F3648" s="31">
        <v>14000</v>
      </c>
      <c r="G3648" s="31">
        <v>0</v>
      </c>
      <c r="H3648" s="31">
        <v>0</v>
      </c>
      <c r="I3648" s="31" t="s">
        <v>149</v>
      </c>
      <c r="J3648" s="5" t="s">
        <v>2595</v>
      </c>
      <c r="K3648" s="8"/>
    </row>
    <row r="3649" spans="1:11" x14ac:dyDescent="0.2">
      <c r="A3649" s="8">
        <v>2566</v>
      </c>
      <c r="B3649" s="8">
        <f t="shared" si="118"/>
        <v>2024</v>
      </c>
      <c r="C3649" s="8">
        <f t="shared" si="119"/>
        <v>6</v>
      </c>
      <c r="D3649" s="85">
        <v>45460</v>
      </c>
      <c r="E3649" s="31">
        <v>0</v>
      </c>
      <c r="F3649" s="31">
        <v>43000</v>
      </c>
      <c r="G3649" s="31">
        <v>0</v>
      </c>
      <c r="H3649" s="31">
        <v>0</v>
      </c>
      <c r="I3649" s="31" t="s">
        <v>1992</v>
      </c>
      <c r="J3649" s="5" t="s">
        <v>2735</v>
      </c>
      <c r="K3649" s="8"/>
    </row>
    <row r="3650" spans="1:11" x14ac:dyDescent="0.2">
      <c r="A3650" s="8">
        <v>2567</v>
      </c>
      <c r="B3650" s="8">
        <f t="shared" si="118"/>
        <v>2024</v>
      </c>
      <c r="C3650" s="8">
        <f t="shared" si="119"/>
        <v>6</v>
      </c>
      <c r="D3650" s="85">
        <v>45460</v>
      </c>
      <c r="E3650" s="31">
        <v>0</v>
      </c>
      <c r="F3650" s="31">
        <v>44000</v>
      </c>
      <c r="G3650" s="31">
        <v>0</v>
      </c>
      <c r="H3650" s="31">
        <v>0</v>
      </c>
      <c r="I3650" s="31" t="s">
        <v>91</v>
      </c>
      <c r="J3650" s="5" t="s">
        <v>2736</v>
      </c>
      <c r="K3650" s="8"/>
    </row>
    <row r="3651" spans="1:11" x14ac:dyDescent="0.2">
      <c r="A3651" s="8">
        <v>2568</v>
      </c>
      <c r="B3651" s="8">
        <f t="shared" ref="B3651:B3714" si="120">YEAR(D3651)</f>
        <v>2024</v>
      </c>
      <c r="C3651" s="8">
        <f t="shared" ref="C3651:C3714" si="121">MONTH(D3651)</f>
        <v>6</v>
      </c>
      <c r="D3651" s="85">
        <v>45460</v>
      </c>
      <c r="E3651" s="31">
        <v>0</v>
      </c>
      <c r="F3651" s="31">
        <v>490000</v>
      </c>
      <c r="G3651" s="31">
        <v>0</v>
      </c>
      <c r="H3651" s="31">
        <v>0</v>
      </c>
      <c r="I3651" s="31" t="s">
        <v>1992</v>
      </c>
      <c r="J3651" s="5" t="s">
        <v>2737</v>
      </c>
      <c r="K3651" s="8"/>
    </row>
    <row r="3652" spans="1:11" x14ac:dyDescent="0.2">
      <c r="A3652" s="8">
        <v>2569</v>
      </c>
      <c r="B3652" s="8">
        <f t="shared" si="120"/>
        <v>2024</v>
      </c>
      <c r="C3652" s="8">
        <f t="shared" si="121"/>
        <v>6</v>
      </c>
      <c r="D3652" s="85">
        <v>45460</v>
      </c>
      <c r="E3652" s="31">
        <v>0</v>
      </c>
      <c r="F3652" s="31">
        <v>59000</v>
      </c>
      <c r="G3652" s="31">
        <v>0</v>
      </c>
      <c r="H3652" s="31">
        <v>0</v>
      </c>
      <c r="I3652" s="31" t="s">
        <v>1992</v>
      </c>
      <c r="J3652" s="5" t="s">
        <v>2738</v>
      </c>
      <c r="K3652" s="8"/>
    </row>
    <row r="3653" spans="1:11" x14ac:dyDescent="0.2">
      <c r="A3653" s="8">
        <v>2570</v>
      </c>
      <c r="B3653" s="8">
        <f t="shared" si="120"/>
        <v>2024</v>
      </c>
      <c r="C3653" s="8">
        <f t="shared" si="121"/>
        <v>6</v>
      </c>
      <c r="D3653" s="85">
        <v>45461</v>
      </c>
      <c r="E3653" s="31">
        <v>0</v>
      </c>
      <c r="F3653" s="31">
        <v>30000</v>
      </c>
      <c r="G3653" s="31">
        <v>0</v>
      </c>
      <c r="H3653" s="31">
        <v>0</v>
      </c>
      <c r="I3653" s="31" t="s">
        <v>91</v>
      </c>
      <c r="J3653" s="5" t="s">
        <v>2424</v>
      </c>
      <c r="K3653" s="8"/>
    </row>
    <row r="3654" spans="1:11" x14ac:dyDescent="0.2">
      <c r="A3654" s="8">
        <v>2571</v>
      </c>
      <c r="B3654" s="8">
        <f t="shared" si="120"/>
        <v>2024</v>
      </c>
      <c r="C3654" s="8">
        <f t="shared" si="121"/>
        <v>6</v>
      </c>
      <c r="D3654" s="85">
        <v>45461</v>
      </c>
      <c r="E3654" s="31">
        <v>0</v>
      </c>
      <c r="F3654" s="31">
        <v>300000</v>
      </c>
      <c r="G3654" s="31">
        <v>0</v>
      </c>
      <c r="H3654" s="31">
        <v>0</v>
      </c>
      <c r="I3654" s="31" t="s">
        <v>1815</v>
      </c>
      <c r="J3654" s="5" t="s">
        <v>2739</v>
      </c>
      <c r="K3654" s="8"/>
    </row>
    <row r="3655" spans="1:11" x14ac:dyDescent="0.2">
      <c r="A3655" s="8">
        <v>2572</v>
      </c>
      <c r="B3655" s="8">
        <f t="shared" si="120"/>
        <v>2024</v>
      </c>
      <c r="C3655" s="8">
        <f t="shared" si="121"/>
        <v>6</v>
      </c>
      <c r="D3655" s="85">
        <v>45462</v>
      </c>
      <c r="E3655" s="31">
        <v>0</v>
      </c>
      <c r="F3655" s="31">
        <v>14000</v>
      </c>
      <c r="G3655" s="31">
        <v>0</v>
      </c>
      <c r="H3655" s="31">
        <v>0</v>
      </c>
      <c r="I3655" s="31" t="s">
        <v>91</v>
      </c>
      <c r="J3655" s="5" t="s">
        <v>2489</v>
      </c>
      <c r="K3655" s="8"/>
    </row>
    <row r="3656" spans="1:11" x14ac:dyDescent="0.2">
      <c r="A3656" s="8">
        <v>2573</v>
      </c>
      <c r="B3656" s="8">
        <f t="shared" si="120"/>
        <v>2024</v>
      </c>
      <c r="C3656" s="8">
        <f t="shared" si="121"/>
        <v>6</v>
      </c>
      <c r="D3656" s="85">
        <v>45462</v>
      </c>
      <c r="E3656" s="31">
        <v>0</v>
      </c>
      <c r="F3656" s="31">
        <v>14000</v>
      </c>
      <c r="G3656" s="31">
        <v>0</v>
      </c>
      <c r="H3656" s="31">
        <v>0</v>
      </c>
      <c r="I3656" s="31" t="s">
        <v>85</v>
      </c>
      <c r="J3656" s="5" t="s">
        <v>2740</v>
      </c>
      <c r="K3656" s="8"/>
    </row>
    <row r="3657" spans="1:11" x14ac:dyDescent="0.2">
      <c r="A3657" s="8">
        <v>2574</v>
      </c>
      <c r="B3657" s="8">
        <f t="shared" si="120"/>
        <v>2024</v>
      </c>
      <c r="C3657" s="8">
        <f t="shared" si="121"/>
        <v>6</v>
      </c>
      <c r="D3657" s="85">
        <v>45462</v>
      </c>
      <c r="E3657" s="31">
        <v>0</v>
      </c>
      <c r="F3657" s="31">
        <v>215000</v>
      </c>
      <c r="G3657" s="31">
        <v>0</v>
      </c>
      <c r="H3657" s="31">
        <v>0</v>
      </c>
      <c r="I3657" s="31" t="s">
        <v>299</v>
      </c>
      <c r="J3657" s="5" t="s">
        <v>2741</v>
      </c>
      <c r="K3657" s="8"/>
    </row>
    <row r="3658" spans="1:11" x14ac:dyDescent="0.2">
      <c r="A3658" s="8">
        <v>2575</v>
      </c>
      <c r="B3658" s="8">
        <f t="shared" si="120"/>
        <v>2024</v>
      </c>
      <c r="C3658" s="8">
        <f t="shared" si="121"/>
        <v>6</v>
      </c>
      <c r="D3658" s="85">
        <v>45462</v>
      </c>
      <c r="E3658" s="31">
        <v>0</v>
      </c>
      <c r="F3658" s="31">
        <v>7000</v>
      </c>
      <c r="G3658" s="31">
        <v>0</v>
      </c>
      <c r="H3658" s="31">
        <v>0</v>
      </c>
      <c r="I3658" s="31" t="s">
        <v>85</v>
      </c>
      <c r="J3658" s="5" t="s">
        <v>2742</v>
      </c>
      <c r="K3658" s="8"/>
    </row>
    <row r="3659" spans="1:11" x14ac:dyDescent="0.2">
      <c r="A3659" s="8">
        <v>2576</v>
      </c>
      <c r="B3659" s="8">
        <f t="shared" si="120"/>
        <v>2024</v>
      </c>
      <c r="C3659" s="8">
        <f t="shared" si="121"/>
        <v>6</v>
      </c>
      <c r="D3659" s="85">
        <v>45463</v>
      </c>
      <c r="E3659" s="31">
        <v>0</v>
      </c>
      <c r="F3659" s="31">
        <v>50000</v>
      </c>
      <c r="G3659" s="31">
        <v>0</v>
      </c>
      <c r="H3659" s="31">
        <v>0</v>
      </c>
      <c r="I3659" s="31" t="s">
        <v>85</v>
      </c>
      <c r="J3659" s="5" t="s">
        <v>2602</v>
      </c>
      <c r="K3659" s="8"/>
    </row>
    <row r="3660" spans="1:11" x14ac:dyDescent="0.2">
      <c r="A3660" s="8">
        <v>2577</v>
      </c>
      <c r="B3660" s="8">
        <f t="shared" si="120"/>
        <v>2024</v>
      </c>
      <c r="C3660" s="8">
        <f t="shared" si="121"/>
        <v>6</v>
      </c>
      <c r="D3660" s="85">
        <v>45464</v>
      </c>
      <c r="E3660" s="31">
        <v>0</v>
      </c>
      <c r="F3660" s="31">
        <v>14000</v>
      </c>
      <c r="G3660" s="31">
        <v>0</v>
      </c>
      <c r="H3660" s="31">
        <v>0</v>
      </c>
      <c r="I3660" s="31" t="s">
        <v>149</v>
      </c>
      <c r="J3660" s="5" t="s">
        <v>2561</v>
      </c>
      <c r="K3660" s="8"/>
    </row>
    <row r="3661" spans="1:11" x14ac:dyDescent="0.2">
      <c r="A3661" s="8">
        <v>2578</v>
      </c>
      <c r="B3661" s="8">
        <f t="shared" si="120"/>
        <v>2024</v>
      </c>
      <c r="C3661" s="8">
        <f t="shared" si="121"/>
        <v>6</v>
      </c>
      <c r="D3661" s="85">
        <v>45464</v>
      </c>
      <c r="E3661" s="31">
        <v>0</v>
      </c>
      <c r="F3661" s="31">
        <v>20000</v>
      </c>
      <c r="G3661" s="31">
        <v>0</v>
      </c>
      <c r="H3661" s="31">
        <v>0</v>
      </c>
      <c r="I3661" s="31" t="s">
        <v>91</v>
      </c>
      <c r="J3661" s="5" t="s">
        <v>2743</v>
      </c>
      <c r="K3661" s="8"/>
    </row>
    <row r="3662" spans="1:11" x14ac:dyDescent="0.2">
      <c r="A3662" s="8">
        <v>2580</v>
      </c>
      <c r="B3662" s="8">
        <f t="shared" si="120"/>
        <v>2024</v>
      </c>
      <c r="C3662" s="8">
        <f t="shared" si="121"/>
        <v>6</v>
      </c>
      <c r="D3662" s="85">
        <v>45465</v>
      </c>
      <c r="E3662" s="31">
        <v>0</v>
      </c>
      <c r="F3662" s="31">
        <v>38000</v>
      </c>
      <c r="G3662" s="31">
        <v>0</v>
      </c>
      <c r="H3662" s="31">
        <v>0</v>
      </c>
      <c r="I3662" s="31" t="s">
        <v>91</v>
      </c>
      <c r="J3662" s="5" t="s">
        <v>2744</v>
      </c>
      <c r="K3662" s="8"/>
    </row>
    <row r="3663" spans="1:11" x14ac:dyDescent="0.2">
      <c r="A3663" s="8">
        <v>2581</v>
      </c>
      <c r="B3663" s="8">
        <f t="shared" si="120"/>
        <v>2024</v>
      </c>
      <c r="C3663" s="8">
        <f t="shared" si="121"/>
        <v>6</v>
      </c>
      <c r="D3663" s="85">
        <v>45465</v>
      </c>
      <c r="E3663" s="31">
        <v>0</v>
      </c>
      <c r="F3663" s="31">
        <v>22000</v>
      </c>
      <c r="G3663" s="31">
        <v>0</v>
      </c>
      <c r="H3663" s="31">
        <v>0</v>
      </c>
      <c r="I3663" s="31" t="s">
        <v>1815</v>
      </c>
      <c r="J3663" s="5" t="s">
        <v>2745</v>
      </c>
      <c r="K3663" s="8"/>
    </row>
    <row r="3664" spans="1:11" x14ac:dyDescent="0.2">
      <c r="A3664" s="8">
        <v>2582</v>
      </c>
      <c r="B3664" s="8">
        <f t="shared" si="120"/>
        <v>2024</v>
      </c>
      <c r="C3664" s="8">
        <f t="shared" si="121"/>
        <v>6</v>
      </c>
      <c r="D3664" s="85">
        <v>45465</v>
      </c>
      <c r="E3664" s="31">
        <v>0</v>
      </c>
      <c r="F3664" s="31">
        <v>758000</v>
      </c>
      <c r="G3664" s="31">
        <v>0</v>
      </c>
      <c r="H3664" s="31">
        <v>0</v>
      </c>
      <c r="I3664" s="31" t="s">
        <v>85</v>
      </c>
      <c r="J3664" s="5" t="s">
        <v>2746</v>
      </c>
      <c r="K3664" s="8"/>
    </row>
    <row r="3665" spans="1:11" x14ac:dyDescent="0.2">
      <c r="A3665" s="8">
        <v>2583</v>
      </c>
      <c r="B3665" s="8">
        <f t="shared" si="120"/>
        <v>2024</v>
      </c>
      <c r="C3665" s="8">
        <f t="shared" si="121"/>
        <v>6</v>
      </c>
      <c r="D3665" s="85">
        <v>45466</v>
      </c>
      <c r="E3665" s="31">
        <v>0</v>
      </c>
      <c r="F3665" s="31">
        <v>10000</v>
      </c>
      <c r="G3665" s="31">
        <v>0</v>
      </c>
      <c r="H3665" s="31">
        <v>0</v>
      </c>
      <c r="I3665" s="31" t="s">
        <v>85</v>
      </c>
      <c r="J3665" s="5" t="s">
        <v>2747</v>
      </c>
      <c r="K3665" s="8"/>
    </row>
    <row r="3666" spans="1:11" x14ac:dyDescent="0.2">
      <c r="A3666" s="8">
        <v>2584</v>
      </c>
      <c r="B3666" s="8">
        <f t="shared" si="120"/>
        <v>2024</v>
      </c>
      <c r="C3666" s="8">
        <f t="shared" si="121"/>
        <v>6</v>
      </c>
      <c r="D3666" s="85">
        <v>45466</v>
      </c>
      <c r="E3666" s="31">
        <v>0</v>
      </c>
      <c r="F3666" s="31">
        <v>13000</v>
      </c>
      <c r="G3666" s="31">
        <v>0</v>
      </c>
      <c r="H3666" s="31">
        <v>0</v>
      </c>
      <c r="I3666" s="31" t="s">
        <v>91</v>
      </c>
      <c r="J3666" s="5" t="s">
        <v>2748</v>
      </c>
      <c r="K3666" s="8"/>
    </row>
    <row r="3667" spans="1:11" x14ac:dyDescent="0.2">
      <c r="A3667" s="8">
        <v>2585</v>
      </c>
      <c r="B3667" s="8">
        <f t="shared" si="120"/>
        <v>2024</v>
      </c>
      <c r="C3667" s="8">
        <f t="shared" si="121"/>
        <v>6</v>
      </c>
      <c r="D3667" s="85">
        <v>45466</v>
      </c>
      <c r="E3667" s="31">
        <v>0</v>
      </c>
      <c r="F3667" s="31">
        <v>13000</v>
      </c>
      <c r="G3667" s="31">
        <v>0</v>
      </c>
      <c r="H3667" s="31">
        <v>0</v>
      </c>
      <c r="I3667" s="31" t="s">
        <v>85</v>
      </c>
      <c r="J3667" s="5" t="s">
        <v>2749</v>
      </c>
      <c r="K3667" s="8"/>
    </row>
    <row r="3668" spans="1:11" x14ac:dyDescent="0.2">
      <c r="A3668" s="8">
        <v>2586</v>
      </c>
      <c r="B3668" s="8">
        <f t="shared" si="120"/>
        <v>2024</v>
      </c>
      <c r="C3668" s="8">
        <f t="shared" si="121"/>
        <v>6</v>
      </c>
      <c r="D3668" s="85">
        <v>45466</v>
      </c>
      <c r="E3668" s="31">
        <v>0</v>
      </c>
      <c r="F3668" s="31">
        <v>144000</v>
      </c>
      <c r="G3668" s="31">
        <v>0</v>
      </c>
      <c r="H3668" s="31">
        <v>0</v>
      </c>
      <c r="I3668" s="31" t="s">
        <v>335</v>
      </c>
      <c r="J3668" s="5" t="s">
        <v>2750</v>
      </c>
      <c r="K3668" s="8"/>
    </row>
    <row r="3669" spans="1:11" x14ac:dyDescent="0.2">
      <c r="A3669" s="8">
        <v>2587</v>
      </c>
      <c r="B3669" s="8">
        <f t="shared" si="120"/>
        <v>2024</v>
      </c>
      <c r="C3669" s="8">
        <f t="shared" si="121"/>
        <v>6</v>
      </c>
      <c r="D3669" s="85">
        <v>45466</v>
      </c>
      <c r="E3669" s="31">
        <v>0</v>
      </c>
      <c r="F3669" s="31">
        <v>26000</v>
      </c>
      <c r="G3669" s="31">
        <v>0</v>
      </c>
      <c r="H3669" s="31">
        <v>0</v>
      </c>
      <c r="I3669" s="31" t="s">
        <v>85</v>
      </c>
      <c r="J3669" s="5" t="s">
        <v>2751</v>
      </c>
      <c r="K3669" s="8"/>
    </row>
    <row r="3670" spans="1:11" x14ac:dyDescent="0.2">
      <c r="A3670" s="8">
        <v>2588</v>
      </c>
      <c r="B3670" s="8">
        <f t="shared" si="120"/>
        <v>2024</v>
      </c>
      <c r="C3670" s="8">
        <f t="shared" si="121"/>
        <v>6</v>
      </c>
      <c r="D3670" s="85">
        <v>45467</v>
      </c>
      <c r="E3670" s="31">
        <v>0</v>
      </c>
      <c r="F3670" s="31">
        <v>50000</v>
      </c>
      <c r="G3670" s="31">
        <v>0</v>
      </c>
      <c r="H3670" s="31">
        <v>0</v>
      </c>
      <c r="I3670" s="31" t="s">
        <v>91</v>
      </c>
      <c r="J3670" s="5" t="s">
        <v>2605</v>
      </c>
      <c r="K3670" s="8"/>
    </row>
    <row r="3671" spans="1:11" x14ac:dyDescent="0.2">
      <c r="A3671" s="8">
        <v>2589</v>
      </c>
      <c r="B3671" s="8">
        <f t="shared" si="120"/>
        <v>2024</v>
      </c>
      <c r="C3671" s="8">
        <f t="shared" si="121"/>
        <v>6</v>
      </c>
      <c r="D3671" s="85">
        <v>45468</v>
      </c>
      <c r="E3671" s="31">
        <v>0</v>
      </c>
      <c r="F3671" s="31">
        <v>30000</v>
      </c>
      <c r="G3671" s="31">
        <v>0</v>
      </c>
      <c r="H3671" s="31">
        <v>0</v>
      </c>
      <c r="I3671" s="31" t="s">
        <v>149</v>
      </c>
      <c r="J3671" s="5" t="s">
        <v>2655</v>
      </c>
      <c r="K3671" s="8"/>
    </row>
    <row r="3672" spans="1:11" x14ac:dyDescent="0.2">
      <c r="A3672" s="8">
        <v>2590</v>
      </c>
      <c r="B3672" s="8">
        <f t="shared" si="120"/>
        <v>2024</v>
      </c>
      <c r="C3672" s="8">
        <f t="shared" si="121"/>
        <v>6</v>
      </c>
      <c r="D3672" s="85">
        <v>45469</v>
      </c>
      <c r="E3672" s="31">
        <v>0</v>
      </c>
      <c r="F3672" s="31">
        <v>11000</v>
      </c>
      <c r="G3672" s="31">
        <v>0</v>
      </c>
      <c r="H3672" s="31">
        <v>0</v>
      </c>
      <c r="I3672" s="31" t="s">
        <v>149</v>
      </c>
      <c r="J3672" s="5" t="s">
        <v>2607</v>
      </c>
      <c r="K3672" s="8"/>
    </row>
    <row r="3673" spans="1:11" x14ac:dyDescent="0.2">
      <c r="A3673" s="8">
        <v>2592</v>
      </c>
      <c r="B3673" s="8">
        <f t="shared" si="120"/>
        <v>2024</v>
      </c>
      <c r="C3673" s="8">
        <f t="shared" si="121"/>
        <v>6</v>
      </c>
      <c r="D3673" s="85">
        <v>45469</v>
      </c>
      <c r="E3673" s="31">
        <v>0</v>
      </c>
      <c r="F3673" s="31">
        <v>14000</v>
      </c>
      <c r="G3673" s="31">
        <v>0</v>
      </c>
      <c r="H3673" s="31">
        <v>0</v>
      </c>
      <c r="I3673" s="31" t="s">
        <v>91</v>
      </c>
      <c r="J3673" s="5" t="s">
        <v>2752</v>
      </c>
      <c r="K3673" s="8"/>
    </row>
    <row r="3674" spans="1:11" x14ac:dyDescent="0.2">
      <c r="A3674" s="8">
        <v>2593</v>
      </c>
      <c r="B3674" s="8">
        <f t="shared" si="120"/>
        <v>2024</v>
      </c>
      <c r="C3674" s="8">
        <f t="shared" si="121"/>
        <v>6</v>
      </c>
      <c r="D3674" s="85">
        <v>45469</v>
      </c>
      <c r="E3674" s="31">
        <v>0</v>
      </c>
      <c r="F3674" s="31">
        <v>40000</v>
      </c>
      <c r="G3674" s="31">
        <v>0</v>
      </c>
      <c r="H3674" s="31">
        <v>0</v>
      </c>
      <c r="I3674" s="31" t="s">
        <v>85</v>
      </c>
      <c r="J3674" s="5" t="s">
        <v>2753</v>
      </c>
      <c r="K3674" s="8"/>
    </row>
    <row r="3675" spans="1:11" x14ac:dyDescent="0.2">
      <c r="A3675" s="8">
        <v>2594</v>
      </c>
      <c r="B3675" s="8">
        <f t="shared" si="120"/>
        <v>2024</v>
      </c>
      <c r="C3675" s="8">
        <f t="shared" si="121"/>
        <v>6</v>
      </c>
      <c r="D3675" s="85">
        <v>45469</v>
      </c>
      <c r="E3675" s="31">
        <v>0</v>
      </c>
      <c r="F3675" s="31">
        <v>5000</v>
      </c>
      <c r="G3675" s="31">
        <v>0</v>
      </c>
      <c r="H3675" s="31">
        <v>0</v>
      </c>
      <c r="I3675" s="31" t="s">
        <v>85</v>
      </c>
      <c r="J3675" s="5" t="s">
        <v>2754</v>
      </c>
      <c r="K3675" s="8"/>
    </row>
    <row r="3676" spans="1:11" x14ac:dyDescent="0.2">
      <c r="A3676" s="8">
        <v>2595</v>
      </c>
      <c r="B3676" s="8">
        <f t="shared" si="120"/>
        <v>2024</v>
      </c>
      <c r="C3676" s="8">
        <f t="shared" si="121"/>
        <v>6</v>
      </c>
      <c r="D3676" s="85">
        <v>45470</v>
      </c>
      <c r="E3676" s="31">
        <v>0</v>
      </c>
      <c r="F3676" s="31">
        <v>10000</v>
      </c>
      <c r="G3676" s="31">
        <v>0</v>
      </c>
      <c r="H3676" s="31">
        <v>0</v>
      </c>
      <c r="I3676" s="31" t="s">
        <v>85</v>
      </c>
      <c r="J3676" s="5" t="s">
        <v>2755</v>
      </c>
      <c r="K3676" s="8"/>
    </row>
    <row r="3677" spans="1:11" x14ac:dyDescent="0.2">
      <c r="A3677" s="8">
        <v>2596</v>
      </c>
      <c r="B3677" s="8">
        <f t="shared" si="120"/>
        <v>2024</v>
      </c>
      <c r="C3677" s="8">
        <f t="shared" si="121"/>
        <v>6</v>
      </c>
      <c r="D3677" s="85">
        <v>45470</v>
      </c>
      <c r="E3677" s="31">
        <v>0</v>
      </c>
      <c r="F3677" s="31">
        <v>35000</v>
      </c>
      <c r="G3677" s="31">
        <v>0</v>
      </c>
      <c r="H3677" s="31">
        <v>0</v>
      </c>
      <c r="I3677" s="31" t="s">
        <v>85</v>
      </c>
      <c r="J3677" s="5" t="s">
        <v>2756</v>
      </c>
      <c r="K3677" s="8"/>
    </row>
    <row r="3678" spans="1:11" x14ac:dyDescent="0.2">
      <c r="A3678" s="8">
        <v>2597</v>
      </c>
      <c r="B3678" s="8">
        <f t="shared" si="120"/>
        <v>2024</v>
      </c>
      <c r="C3678" s="8">
        <f t="shared" si="121"/>
        <v>6</v>
      </c>
      <c r="D3678" s="85">
        <v>45471</v>
      </c>
      <c r="E3678" s="31">
        <v>0</v>
      </c>
      <c r="F3678" s="31">
        <v>204000</v>
      </c>
      <c r="G3678" s="31">
        <v>0</v>
      </c>
      <c r="H3678" s="31">
        <v>0</v>
      </c>
      <c r="I3678" s="31" t="s">
        <v>1992</v>
      </c>
      <c r="J3678" s="5" t="s">
        <v>2757</v>
      </c>
      <c r="K3678" s="8"/>
    </row>
    <row r="3679" spans="1:11" x14ac:dyDescent="0.2">
      <c r="A3679" s="8">
        <v>2598</v>
      </c>
      <c r="B3679" s="8">
        <f t="shared" si="120"/>
        <v>2024</v>
      </c>
      <c r="C3679" s="8">
        <f t="shared" si="121"/>
        <v>6</v>
      </c>
      <c r="D3679" s="85">
        <v>45471</v>
      </c>
      <c r="E3679" s="31">
        <v>0</v>
      </c>
      <c r="F3679" s="31">
        <v>48000</v>
      </c>
      <c r="G3679" s="31">
        <v>0</v>
      </c>
      <c r="H3679" s="31">
        <v>0</v>
      </c>
      <c r="I3679" s="31" t="s">
        <v>1815</v>
      </c>
      <c r="J3679" s="5" t="s">
        <v>2758</v>
      </c>
      <c r="K3679" s="8"/>
    </row>
    <row r="3680" spans="1:11" x14ac:dyDescent="0.2">
      <c r="A3680" s="8">
        <v>2599</v>
      </c>
      <c r="B3680" s="8">
        <f t="shared" si="120"/>
        <v>2024</v>
      </c>
      <c r="C3680" s="8">
        <f t="shared" si="121"/>
        <v>6</v>
      </c>
      <c r="D3680" s="85">
        <v>45472</v>
      </c>
      <c r="E3680" s="31">
        <v>0</v>
      </c>
      <c r="F3680" s="31">
        <v>50000</v>
      </c>
      <c r="G3680" s="31">
        <v>0</v>
      </c>
      <c r="H3680" s="31">
        <v>0</v>
      </c>
      <c r="I3680" s="31" t="s">
        <v>85</v>
      </c>
      <c r="J3680" s="5" t="s">
        <v>2605</v>
      </c>
      <c r="K3680" s="8"/>
    </row>
    <row r="3681" spans="1:11" x14ac:dyDescent="0.2">
      <c r="A3681" s="8">
        <v>2600</v>
      </c>
      <c r="B3681" s="8">
        <f t="shared" si="120"/>
        <v>2024</v>
      </c>
      <c r="C3681" s="8">
        <f t="shared" si="121"/>
        <v>6</v>
      </c>
      <c r="D3681" s="85">
        <v>45473</v>
      </c>
      <c r="E3681" s="31">
        <v>0</v>
      </c>
      <c r="F3681" s="31">
        <v>100000</v>
      </c>
      <c r="G3681" s="31">
        <v>0</v>
      </c>
      <c r="H3681" s="31">
        <v>0</v>
      </c>
      <c r="I3681" s="31" t="s">
        <v>1815</v>
      </c>
      <c r="J3681" s="5" t="s">
        <v>2759</v>
      </c>
      <c r="K3681" s="8"/>
    </row>
    <row r="3682" spans="1:11" x14ac:dyDescent="0.2">
      <c r="A3682" s="8">
        <v>2601</v>
      </c>
      <c r="B3682" s="8">
        <f t="shared" si="120"/>
        <v>2024</v>
      </c>
      <c r="C3682" s="8">
        <f t="shared" si="121"/>
        <v>6</v>
      </c>
      <c r="D3682" s="85">
        <v>45473</v>
      </c>
      <c r="E3682" s="31">
        <v>0</v>
      </c>
      <c r="F3682" s="31">
        <v>50000</v>
      </c>
      <c r="G3682" s="31">
        <v>0</v>
      </c>
      <c r="H3682" s="31">
        <v>0</v>
      </c>
      <c r="I3682" s="31" t="s">
        <v>1815</v>
      </c>
      <c r="J3682" s="5" t="s">
        <v>2760</v>
      </c>
      <c r="K3682" s="8"/>
    </row>
    <row r="3683" spans="1:11" x14ac:dyDescent="0.2">
      <c r="A3683" s="8">
        <v>2603</v>
      </c>
      <c r="B3683" s="8">
        <f t="shared" si="120"/>
        <v>2024</v>
      </c>
      <c r="C3683" s="8">
        <f t="shared" si="121"/>
        <v>7</v>
      </c>
      <c r="D3683" s="85">
        <v>45475</v>
      </c>
      <c r="E3683" s="31">
        <v>0</v>
      </c>
      <c r="F3683" s="31">
        <v>50000</v>
      </c>
      <c r="G3683" s="31">
        <v>0</v>
      </c>
      <c r="H3683" s="31">
        <v>0</v>
      </c>
      <c r="I3683" s="31" t="s">
        <v>91</v>
      </c>
      <c r="J3683" s="5" t="s">
        <v>2605</v>
      </c>
      <c r="K3683" s="8"/>
    </row>
    <row r="3684" spans="1:11" x14ac:dyDescent="0.2">
      <c r="A3684" s="8">
        <v>2604</v>
      </c>
      <c r="B3684" s="8">
        <f t="shared" si="120"/>
        <v>2024</v>
      </c>
      <c r="C3684" s="8">
        <f t="shared" si="121"/>
        <v>7</v>
      </c>
      <c r="D3684" s="85">
        <v>45476</v>
      </c>
      <c r="E3684" s="31">
        <v>0</v>
      </c>
      <c r="F3684" s="31">
        <v>50000</v>
      </c>
      <c r="G3684" s="31">
        <v>0</v>
      </c>
      <c r="H3684" s="31">
        <v>0</v>
      </c>
      <c r="I3684" s="31" t="s">
        <v>149</v>
      </c>
      <c r="J3684" s="5" t="s">
        <v>2605</v>
      </c>
      <c r="K3684" s="8"/>
    </row>
    <row r="3685" spans="1:11" x14ac:dyDescent="0.2">
      <c r="A3685" s="8">
        <v>2605</v>
      </c>
      <c r="B3685" s="8">
        <f t="shared" si="120"/>
        <v>2024</v>
      </c>
      <c r="C3685" s="8">
        <f t="shared" si="121"/>
        <v>7</v>
      </c>
      <c r="D3685" s="85">
        <v>45477</v>
      </c>
      <c r="E3685" s="31">
        <v>0</v>
      </c>
      <c r="F3685" s="31">
        <v>50000</v>
      </c>
      <c r="G3685" s="31">
        <v>0</v>
      </c>
      <c r="H3685" s="31">
        <v>0</v>
      </c>
      <c r="I3685" s="31" t="s">
        <v>85</v>
      </c>
      <c r="J3685" s="5" t="s">
        <v>2605</v>
      </c>
      <c r="K3685" s="8"/>
    </row>
    <row r="3686" spans="1:11" x14ac:dyDescent="0.2">
      <c r="A3686" s="8">
        <v>2606</v>
      </c>
      <c r="B3686" s="8">
        <f t="shared" si="120"/>
        <v>2024</v>
      </c>
      <c r="C3686" s="8">
        <f t="shared" si="121"/>
        <v>7</v>
      </c>
      <c r="D3686" s="85">
        <v>45478</v>
      </c>
      <c r="E3686" s="31">
        <v>0</v>
      </c>
      <c r="F3686" s="31">
        <v>50000</v>
      </c>
      <c r="G3686" s="31">
        <v>0</v>
      </c>
      <c r="H3686" s="31">
        <v>0</v>
      </c>
      <c r="I3686" s="31" t="s">
        <v>85</v>
      </c>
      <c r="J3686" s="5" t="s">
        <v>2605</v>
      </c>
      <c r="K3686" s="8"/>
    </row>
    <row r="3687" spans="1:11" x14ac:dyDescent="0.2">
      <c r="A3687" s="8">
        <v>2607</v>
      </c>
      <c r="B3687" s="8">
        <f t="shared" si="120"/>
        <v>2024</v>
      </c>
      <c r="C3687" s="8">
        <f t="shared" si="121"/>
        <v>7</v>
      </c>
      <c r="D3687" s="85">
        <v>45479</v>
      </c>
      <c r="E3687" s="31">
        <v>0</v>
      </c>
      <c r="F3687" s="31">
        <v>100000</v>
      </c>
      <c r="G3687" s="31">
        <v>0</v>
      </c>
      <c r="H3687" s="31">
        <v>0</v>
      </c>
      <c r="I3687" s="31" t="s">
        <v>1350</v>
      </c>
      <c r="J3687" s="5" t="s">
        <v>2761</v>
      </c>
      <c r="K3687" s="8"/>
    </row>
    <row r="3688" spans="1:11" x14ac:dyDescent="0.2">
      <c r="A3688" s="8">
        <v>2608</v>
      </c>
      <c r="B3688" s="8">
        <f t="shared" si="120"/>
        <v>2024</v>
      </c>
      <c r="C3688" s="8">
        <f t="shared" si="121"/>
        <v>7</v>
      </c>
      <c r="D3688" s="85">
        <v>45479</v>
      </c>
      <c r="E3688" s="31">
        <v>0</v>
      </c>
      <c r="F3688" s="31">
        <v>180000</v>
      </c>
      <c r="G3688" s="31">
        <v>0</v>
      </c>
      <c r="H3688" s="31">
        <v>0</v>
      </c>
      <c r="I3688" s="31" t="s">
        <v>85</v>
      </c>
      <c r="J3688" s="5" t="s">
        <v>2762</v>
      </c>
      <c r="K3688" s="8"/>
    </row>
    <row r="3689" spans="1:11" x14ac:dyDescent="0.2">
      <c r="A3689" s="8">
        <v>2609</v>
      </c>
      <c r="B3689" s="8">
        <f t="shared" si="120"/>
        <v>2024</v>
      </c>
      <c r="C3689" s="8">
        <f t="shared" si="121"/>
        <v>7</v>
      </c>
      <c r="D3689" s="85">
        <v>45479</v>
      </c>
      <c r="E3689" s="31">
        <v>0</v>
      </c>
      <c r="F3689" s="31">
        <v>212000</v>
      </c>
      <c r="G3689" s="31">
        <v>0</v>
      </c>
      <c r="H3689" s="31">
        <v>0</v>
      </c>
      <c r="I3689" s="31" t="s">
        <v>299</v>
      </c>
      <c r="J3689" s="5" t="s">
        <v>2763</v>
      </c>
      <c r="K3689" s="8"/>
    </row>
    <row r="3690" spans="1:11" x14ac:dyDescent="0.2">
      <c r="A3690" s="8">
        <v>2610</v>
      </c>
      <c r="B3690" s="8">
        <f t="shared" si="120"/>
        <v>2024</v>
      </c>
      <c r="C3690" s="8">
        <f t="shared" si="121"/>
        <v>7</v>
      </c>
      <c r="D3690" s="85">
        <v>45479</v>
      </c>
      <c r="E3690" s="31">
        <v>0</v>
      </c>
      <c r="F3690" s="31">
        <v>380000</v>
      </c>
      <c r="G3690" s="31">
        <v>0</v>
      </c>
      <c r="H3690" s="31">
        <v>0</v>
      </c>
      <c r="I3690" s="31" t="s">
        <v>1815</v>
      </c>
      <c r="J3690" s="5" t="s">
        <v>2764</v>
      </c>
      <c r="K3690" s="8"/>
    </row>
    <row r="3691" spans="1:11" x14ac:dyDescent="0.2">
      <c r="A3691" s="8">
        <v>2611</v>
      </c>
      <c r="B3691" s="8">
        <f t="shared" si="120"/>
        <v>2024</v>
      </c>
      <c r="C3691" s="8">
        <f t="shared" si="121"/>
        <v>7</v>
      </c>
      <c r="D3691" s="85">
        <v>45479</v>
      </c>
      <c r="E3691" s="31">
        <v>0</v>
      </c>
      <c r="F3691" s="31">
        <v>7000</v>
      </c>
      <c r="G3691" s="31">
        <v>0</v>
      </c>
      <c r="H3691" s="31">
        <v>0</v>
      </c>
      <c r="I3691" s="31" t="s">
        <v>91</v>
      </c>
      <c r="J3691" s="5" t="s">
        <v>2422</v>
      </c>
      <c r="K3691" s="8"/>
    </row>
    <row r="3692" spans="1:11" x14ac:dyDescent="0.2">
      <c r="A3692" s="8">
        <v>2612</v>
      </c>
      <c r="B3692" s="8">
        <f t="shared" si="120"/>
        <v>2024</v>
      </c>
      <c r="C3692" s="8">
        <f t="shared" si="121"/>
        <v>7</v>
      </c>
      <c r="D3692" s="85">
        <v>45480</v>
      </c>
      <c r="E3692" s="31">
        <v>0</v>
      </c>
      <c r="F3692" s="31">
        <v>306000</v>
      </c>
      <c r="G3692" s="31">
        <v>0</v>
      </c>
      <c r="H3692" s="31">
        <v>0</v>
      </c>
      <c r="I3692" s="31" t="s">
        <v>335</v>
      </c>
      <c r="J3692" s="5" t="s">
        <v>2765</v>
      </c>
      <c r="K3692" s="8"/>
    </row>
    <row r="3693" spans="1:11" x14ac:dyDescent="0.2">
      <c r="A3693" s="8">
        <v>2613</v>
      </c>
      <c r="B3693" s="8">
        <f t="shared" si="120"/>
        <v>2024</v>
      </c>
      <c r="C3693" s="8">
        <f t="shared" si="121"/>
        <v>7</v>
      </c>
      <c r="D3693" s="85">
        <v>45480</v>
      </c>
      <c r="E3693" s="31">
        <v>0</v>
      </c>
      <c r="F3693" s="31">
        <v>50000</v>
      </c>
      <c r="G3693" s="31">
        <v>0</v>
      </c>
      <c r="H3693" s="31">
        <v>0</v>
      </c>
      <c r="I3693" s="31" t="s">
        <v>85</v>
      </c>
      <c r="J3693" s="5" t="s">
        <v>2602</v>
      </c>
      <c r="K3693" s="8"/>
    </row>
    <row r="3694" spans="1:11" x14ac:dyDescent="0.2">
      <c r="A3694" s="8">
        <v>2614</v>
      </c>
      <c r="B3694" s="8">
        <f t="shared" si="120"/>
        <v>2024</v>
      </c>
      <c r="C3694" s="8">
        <f t="shared" si="121"/>
        <v>7</v>
      </c>
      <c r="D3694" s="85">
        <v>45481</v>
      </c>
      <c r="E3694" s="31">
        <v>0</v>
      </c>
      <c r="F3694" s="31">
        <v>50000</v>
      </c>
      <c r="G3694" s="31">
        <v>0</v>
      </c>
      <c r="H3694" s="31">
        <v>0</v>
      </c>
      <c r="I3694" s="31" t="s">
        <v>85</v>
      </c>
      <c r="J3694" s="5" t="s">
        <v>2602</v>
      </c>
      <c r="K3694" s="8"/>
    </row>
    <row r="3695" spans="1:11" x14ac:dyDescent="0.2">
      <c r="A3695" s="8">
        <v>2615</v>
      </c>
      <c r="B3695" s="8">
        <f t="shared" si="120"/>
        <v>2024</v>
      </c>
      <c r="C3695" s="8">
        <f t="shared" si="121"/>
        <v>7</v>
      </c>
      <c r="D3695" s="85">
        <v>45482</v>
      </c>
      <c r="E3695" s="31">
        <v>0</v>
      </c>
      <c r="F3695" s="31">
        <v>50000</v>
      </c>
      <c r="G3695" s="31">
        <v>0</v>
      </c>
      <c r="H3695" s="31">
        <v>0</v>
      </c>
      <c r="I3695" s="31" t="s">
        <v>85</v>
      </c>
      <c r="J3695" s="5" t="s">
        <v>2602</v>
      </c>
      <c r="K3695" s="8"/>
    </row>
    <row r="3696" spans="1:11" x14ac:dyDescent="0.2">
      <c r="A3696" s="8">
        <v>2616</v>
      </c>
      <c r="B3696" s="8">
        <f t="shared" si="120"/>
        <v>2024</v>
      </c>
      <c r="C3696" s="8">
        <f t="shared" si="121"/>
        <v>7</v>
      </c>
      <c r="D3696" s="85">
        <v>45483</v>
      </c>
      <c r="E3696" s="31">
        <v>0</v>
      </c>
      <c r="F3696" s="31">
        <v>50000</v>
      </c>
      <c r="G3696" s="31">
        <v>0</v>
      </c>
      <c r="H3696" s="31">
        <v>0</v>
      </c>
      <c r="I3696" s="31" t="s">
        <v>85</v>
      </c>
      <c r="J3696" s="5" t="s">
        <v>2602</v>
      </c>
      <c r="K3696" s="8"/>
    </row>
    <row r="3697" spans="1:11" x14ac:dyDescent="0.2">
      <c r="A3697" s="8">
        <v>2617</v>
      </c>
      <c r="B3697" s="8">
        <f t="shared" si="120"/>
        <v>2024</v>
      </c>
      <c r="C3697" s="8">
        <f t="shared" si="121"/>
        <v>7</v>
      </c>
      <c r="D3697" s="85">
        <v>45484</v>
      </c>
      <c r="E3697" s="31">
        <v>0</v>
      </c>
      <c r="F3697" s="31">
        <v>26000</v>
      </c>
      <c r="G3697" s="31">
        <v>0</v>
      </c>
      <c r="H3697" s="31">
        <v>0</v>
      </c>
      <c r="I3697" s="31" t="s">
        <v>85</v>
      </c>
      <c r="J3697" s="5" t="s">
        <v>2766</v>
      </c>
      <c r="K3697" s="8"/>
    </row>
    <row r="3698" spans="1:11" x14ac:dyDescent="0.2">
      <c r="A3698" s="8">
        <v>2618</v>
      </c>
      <c r="B3698" s="8">
        <f t="shared" si="120"/>
        <v>2024</v>
      </c>
      <c r="C3698" s="8">
        <f t="shared" si="121"/>
        <v>7</v>
      </c>
      <c r="D3698" s="85">
        <v>45485</v>
      </c>
      <c r="E3698" s="31">
        <v>0</v>
      </c>
      <c r="F3698" s="31">
        <v>82000</v>
      </c>
      <c r="G3698" s="31">
        <v>0</v>
      </c>
      <c r="H3698" s="31">
        <v>0</v>
      </c>
      <c r="I3698" s="31" t="s">
        <v>1992</v>
      </c>
      <c r="J3698" s="5" t="s">
        <v>2767</v>
      </c>
      <c r="K3698" s="8"/>
    </row>
    <row r="3699" spans="1:11" x14ac:dyDescent="0.2">
      <c r="A3699" s="8">
        <v>2619</v>
      </c>
      <c r="B3699" s="8">
        <f t="shared" si="120"/>
        <v>2024</v>
      </c>
      <c r="C3699" s="8">
        <f t="shared" si="121"/>
        <v>7</v>
      </c>
      <c r="D3699" s="85">
        <v>45486</v>
      </c>
      <c r="E3699" s="31">
        <v>0</v>
      </c>
      <c r="F3699" s="31">
        <v>150000</v>
      </c>
      <c r="G3699" s="31">
        <v>0</v>
      </c>
      <c r="H3699" s="31">
        <v>0</v>
      </c>
      <c r="I3699" s="31" t="s">
        <v>1815</v>
      </c>
      <c r="J3699" s="5" t="s">
        <v>2768</v>
      </c>
      <c r="K3699" s="8"/>
    </row>
    <row r="3700" spans="1:11" x14ac:dyDescent="0.2">
      <c r="A3700" s="8">
        <v>2620</v>
      </c>
      <c r="B3700" s="8">
        <f t="shared" si="120"/>
        <v>2024</v>
      </c>
      <c r="C3700" s="8">
        <f t="shared" si="121"/>
        <v>7</v>
      </c>
      <c r="D3700" s="85">
        <v>45487</v>
      </c>
      <c r="E3700" s="31">
        <v>0</v>
      </c>
      <c r="F3700" s="31">
        <v>200000</v>
      </c>
      <c r="G3700" s="31">
        <v>0</v>
      </c>
      <c r="H3700" s="31">
        <v>0</v>
      </c>
      <c r="I3700" s="31" t="s">
        <v>1815</v>
      </c>
      <c r="J3700" s="5" t="s">
        <v>2769</v>
      </c>
      <c r="K3700" s="8"/>
    </row>
    <row r="3701" spans="1:11" x14ac:dyDescent="0.2">
      <c r="A3701" s="8">
        <v>2621</v>
      </c>
      <c r="B3701" s="8">
        <f t="shared" si="120"/>
        <v>2024</v>
      </c>
      <c r="C3701" s="8">
        <f t="shared" si="121"/>
        <v>7</v>
      </c>
      <c r="D3701" s="85">
        <v>45488</v>
      </c>
      <c r="E3701" s="31">
        <v>0</v>
      </c>
      <c r="F3701" s="31">
        <v>120000</v>
      </c>
      <c r="G3701" s="31">
        <v>0</v>
      </c>
      <c r="H3701" s="31">
        <v>0</v>
      </c>
      <c r="I3701" s="31" t="s">
        <v>1999</v>
      </c>
      <c r="J3701" s="5" t="s">
        <v>2770</v>
      </c>
      <c r="K3701" s="8"/>
    </row>
    <row r="3702" spans="1:11" x14ac:dyDescent="0.2">
      <c r="A3702" s="8">
        <v>2622</v>
      </c>
      <c r="B3702" s="8">
        <f t="shared" si="120"/>
        <v>2024</v>
      </c>
      <c r="C3702" s="8">
        <f t="shared" si="121"/>
        <v>7</v>
      </c>
      <c r="D3702" s="85">
        <v>45490</v>
      </c>
      <c r="E3702" s="31">
        <v>0</v>
      </c>
      <c r="F3702" s="31">
        <v>150000</v>
      </c>
      <c r="G3702" s="31">
        <v>0</v>
      </c>
      <c r="H3702" s="31">
        <v>0</v>
      </c>
      <c r="I3702" s="31" t="s">
        <v>85</v>
      </c>
      <c r="J3702" s="5" t="s">
        <v>2771</v>
      </c>
      <c r="K3702" s="8"/>
    </row>
    <row r="3703" spans="1:11" x14ac:dyDescent="0.2">
      <c r="A3703" s="8">
        <v>2623</v>
      </c>
      <c r="B3703" s="8">
        <f t="shared" si="120"/>
        <v>2024</v>
      </c>
      <c r="C3703" s="8">
        <f t="shared" si="121"/>
        <v>7</v>
      </c>
      <c r="D3703" s="85">
        <v>45490</v>
      </c>
      <c r="E3703" s="31">
        <v>0</v>
      </c>
      <c r="F3703" s="31">
        <v>340000</v>
      </c>
      <c r="G3703" s="31">
        <v>0</v>
      </c>
      <c r="H3703" s="31">
        <v>0</v>
      </c>
      <c r="I3703" s="31" t="s">
        <v>1815</v>
      </c>
      <c r="J3703" s="5" t="s">
        <v>2772</v>
      </c>
      <c r="K3703" s="8"/>
    </row>
    <row r="3704" spans="1:11" x14ac:dyDescent="0.2">
      <c r="A3704" s="8">
        <v>2624</v>
      </c>
      <c r="B3704" s="8">
        <f t="shared" si="120"/>
        <v>2024</v>
      </c>
      <c r="C3704" s="8">
        <f t="shared" si="121"/>
        <v>7</v>
      </c>
      <c r="D3704" s="85">
        <v>45491</v>
      </c>
      <c r="E3704" s="31">
        <v>0</v>
      </c>
      <c r="F3704" s="31">
        <v>175000</v>
      </c>
      <c r="G3704" s="31">
        <v>0</v>
      </c>
      <c r="H3704" s="31">
        <v>0</v>
      </c>
      <c r="I3704" s="31" t="s">
        <v>299</v>
      </c>
      <c r="J3704" s="5" t="s">
        <v>2773</v>
      </c>
      <c r="K3704" s="8"/>
    </row>
    <row r="3705" spans="1:11" x14ac:dyDescent="0.2">
      <c r="A3705" s="8">
        <v>2625</v>
      </c>
      <c r="B3705" s="8">
        <f t="shared" si="120"/>
        <v>2024</v>
      </c>
      <c r="C3705" s="8">
        <f t="shared" si="121"/>
        <v>7</v>
      </c>
      <c r="D3705" s="85">
        <v>45491</v>
      </c>
      <c r="E3705" s="31">
        <v>0</v>
      </c>
      <c r="F3705" s="31">
        <v>200000</v>
      </c>
      <c r="G3705" s="31">
        <v>0</v>
      </c>
      <c r="H3705" s="31">
        <v>0</v>
      </c>
      <c r="I3705" s="31" t="s">
        <v>335</v>
      </c>
      <c r="J3705" s="5" t="s">
        <v>2774</v>
      </c>
      <c r="K3705" s="8"/>
    </row>
    <row r="3706" spans="1:11" x14ac:dyDescent="0.2">
      <c r="A3706" s="8">
        <v>2626</v>
      </c>
      <c r="B3706" s="8">
        <f t="shared" si="120"/>
        <v>2024</v>
      </c>
      <c r="C3706" s="8">
        <f t="shared" si="121"/>
        <v>7</v>
      </c>
      <c r="D3706" s="85">
        <v>45492</v>
      </c>
      <c r="E3706" s="31">
        <v>0</v>
      </c>
      <c r="F3706" s="31">
        <v>137000</v>
      </c>
      <c r="G3706" s="31">
        <v>0</v>
      </c>
      <c r="H3706" s="31">
        <v>0</v>
      </c>
      <c r="I3706" s="31" t="s">
        <v>1350</v>
      </c>
      <c r="J3706" s="5" t="s">
        <v>2775</v>
      </c>
      <c r="K3706" s="8"/>
    </row>
    <row r="3707" spans="1:11" x14ac:dyDescent="0.2">
      <c r="A3707" s="8">
        <v>2627</v>
      </c>
      <c r="B3707" s="8">
        <f t="shared" si="120"/>
        <v>2024</v>
      </c>
      <c r="C3707" s="8">
        <f t="shared" si="121"/>
        <v>7</v>
      </c>
      <c r="D3707" s="85">
        <v>45494</v>
      </c>
      <c r="E3707" s="31">
        <v>0</v>
      </c>
      <c r="F3707" s="31">
        <v>100000</v>
      </c>
      <c r="G3707" s="31">
        <v>0</v>
      </c>
      <c r="H3707" s="31">
        <v>0</v>
      </c>
      <c r="I3707" s="31" t="s">
        <v>1350</v>
      </c>
      <c r="J3707" s="5" t="s">
        <v>2776</v>
      </c>
      <c r="K3707" s="8"/>
    </row>
    <row r="3708" spans="1:11" x14ac:dyDescent="0.2">
      <c r="A3708" s="8">
        <v>2628</v>
      </c>
      <c r="B3708" s="8">
        <f t="shared" si="120"/>
        <v>2024</v>
      </c>
      <c r="C3708" s="8">
        <f t="shared" si="121"/>
        <v>7</v>
      </c>
      <c r="D3708" s="85">
        <v>45494</v>
      </c>
      <c r="E3708" s="31">
        <v>0</v>
      </c>
      <c r="F3708" s="31">
        <v>50000</v>
      </c>
      <c r="G3708" s="31">
        <v>0</v>
      </c>
      <c r="H3708" s="31">
        <v>0</v>
      </c>
      <c r="I3708" s="31" t="s">
        <v>85</v>
      </c>
      <c r="J3708" s="5" t="s">
        <v>2602</v>
      </c>
      <c r="K3708" s="8"/>
    </row>
    <row r="3709" spans="1:11" x14ac:dyDescent="0.2">
      <c r="A3709" s="8">
        <v>2629</v>
      </c>
      <c r="B3709" s="8">
        <f t="shared" si="120"/>
        <v>2024</v>
      </c>
      <c r="C3709" s="8">
        <f t="shared" si="121"/>
        <v>7</v>
      </c>
      <c r="D3709" s="85">
        <v>45495</v>
      </c>
      <c r="E3709" s="31">
        <v>0</v>
      </c>
      <c r="F3709" s="31">
        <v>14000</v>
      </c>
      <c r="G3709" s="31">
        <v>0</v>
      </c>
      <c r="H3709" s="31">
        <v>0</v>
      </c>
      <c r="I3709" s="31" t="s">
        <v>85</v>
      </c>
      <c r="J3709" s="5" t="s">
        <v>2777</v>
      </c>
      <c r="K3709" s="8"/>
    </row>
    <row r="3710" spans="1:11" x14ac:dyDescent="0.2">
      <c r="A3710" s="8">
        <v>2630</v>
      </c>
      <c r="B3710" s="8">
        <f t="shared" si="120"/>
        <v>2024</v>
      </c>
      <c r="C3710" s="8">
        <f t="shared" si="121"/>
        <v>7</v>
      </c>
      <c r="D3710" s="85">
        <v>45495</v>
      </c>
      <c r="E3710" s="31">
        <v>0</v>
      </c>
      <c r="F3710" s="31">
        <v>18000</v>
      </c>
      <c r="G3710" s="31">
        <v>0</v>
      </c>
      <c r="H3710" s="31">
        <v>0</v>
      </c>
      <c r="I3710" s="31" t="s">
        <v>1350</v>
      </c>
      <c r="J3710" s="5" t="s">
        <v>2778</v>
      </c>
      <c r="K3710" s="8"/>
    </row>
    <row r="3711" spans="1:11" x14ac:dyDescent="0.2">
      <c r="A3711" s="8">
        <v>2631</v>
      </c>
      <c r="B3711" s="8">
        <f t="shared" si="120"/>
        <v>2024</v>
      </c>
      <c r="C3711" s="8">
        <f t="shared" si="121"/>
        <v>7</v>
      </c>
      <c r="D3711" s="85">
        <v>45495</v>
      </c>
      <c r="E3711" s="31">
        <v>0</v>
      </c>
      <c r="F3711" s="31">
        <v>90000</v>
      </c>
      <c r="G3711" s="31">
        <v>0</v>
      </c>
      <c r="H3711" s="31">
        <v>0</v>
      </c>
      <c r="I3711" s="31" t="s">
        <v>1350</v>
      </c>
      <c r="J3711" s="5" t="s">
        <v>2779</v>
      </c>
      <c r="K3711" s="8"/>
    </row>
    <row r="3712" spans="1:11" x14ac:dyDescent="0.2">
      <c r="A3712" s="8">
        <v>2632</v>
      </c>
      <c r="B3712" s="8">
        <f t="shared" si="120"/>
        <v>2024</v>
      </c>
      <c r="C3712" s="8">
        <f t="shared" si="121"/>
        <v>7</v>
      </c>
      <c r="D3712" s="85">
        <v>45496</v>
      </c>
      <c r="E3712" s="31">
        <v>0</v>
      </c>
      <c r="F3712" s="31">
        <v>10000</v>
      </c>
      <c r="G3712" s="31">
        <v>0</v>
      </c>
      <c r="H3712" s="31">
        <v>0</v>
      </c>
      <c r="I3712" s="31" t="s">
        <v>91</v>
      </c>
      <c r="J3712" s="5" t="s">
        <v>2616</v>
      </c>
      <c r="K3712" s="8"/>
    </row>
    <row r="3713" spans="1:11" x14ac:dyDescent="0.2">
      <c r="A3713" s="8">
        <v>2633</v>
      </c>
      <c r="B3713" s="8">
        <f t="shared" si="120"/>
        <v>2024</v>
      </c>
      <c r="C3713" s="8">
        <f t="shared" si="121"/>
        <v>7</v>
      </c>
      <c r="D3713" s="85">
        <v>45496</v>
      </c>
      <c r="E3713" s="31">
        <v>0</v>
      </c>
      <c r="F3713" s="31">
        <v>10000</v>
      </c>
      <c r="G3713" s="31">
        <v>0</v>
      </c>
      <c r="H3713" s="31">
        <v>0</v>
      </c>
      <c r="I3713" s="31" t="s">
        <v>149</v>
      </c>
      <c r="J3713" s="5" t="s">
        <v>2403</v>
      </c>
      <c r="K3713" s="8"/>
    </row>
    <row r="3714" spans="1:11" x14ac:dyDescent="0.2">
      <c r="A3714" s="8">
        <v>2634</v>
      </c>
      <c r="B3714" s="8">
        <f t="shared" si="120"/>
        <v>2024</v>
      </c>
      <c r="C3714" s="8">
        <f t="shared" si="121"/>
        <v>7</v>
      </c>
      <c r="D3714" s="85">
        <v>45496</v>
      </c>
      <c r="E3714" s="31">
        <v>0</v>
      </c>
      <c r="F3714" s="31">
        <v>14000</v>
      </c>
      <c r="G3714" s="31">
        <v>0</v>
      </c>
      <c r="H3714" s="31">
        <v>0</v>
      </c>
      <c r="I3714" s="31" t="s">
        <v>1350</v>
      </c>
      <c r="J3714" s="5" t="s">
        <v>2780</v>
      </c>
      <c r="K3714" s="8"/>
    </row>
    <row r="3715" spans="1:11" x14ac:dyDescent="0.2">
      <c r="A3715" s="8">
        <v>2635</v>
      </c>
      <c r="B3715" s="8">
        <f t="shared" ref="B3715:B3778" si="122">YEAR(D3715)</f>
        <v>2024</v>
      </c>
      <c r="C3715" s="8">
        <f t="shared" ref="C3715:C3778" si="123">MONTH(D3715)</f>
        <v>7</v>
      </c>
      <c r="D3715" s="85">
        <v>45496</v>
      </c>
      <c r="E3715" s="31">
        <v>0</v>
      </c>
      <c r="F3715" s="31">
        <v>43000</v>
      </c>
      <c r="G3715" s="31">
        <v>0</v>
      </c>
      <c r="H3715" s="31">
        <v>0</v>
      </c>
      <c r="I3715" s="31" t="s">
        <v>1350</v>
      </c>
      <c r="J3715" s="5" t="s">
        <v>2781</v>
      </c>
      <c r="K3715" s="8"/>
    </row>
    <row r="3716" spans="1:11" x14ac:dyDescent="0.2">
      <c r="A3716" s="8">
        <v>2636</v>
      </c>
      <c r="B3716" s="8">
        <f t="shared" si="122"/>
        <v>2024</v>
      </c>
      <c r="C3716" s="8">
        <f t="shared" si="123"/>
        <v>7</v>
      </c>
      <c r="D3716" s="85">
        <v>45498</v>
      </c>
      <c r="E3716" s="31">
        <v>0</v>
      </c>
      <c r="F3716" s="31">
        <v>50000</v>
      </c>
      <c r="G3716" s="31">
        <v>0</v>
      </c>
      <c r="H3716" s="31">
        <v>0</v>
      </c>
      <c r="I3716" s="31" t="s">
        <v>1350</v>
      </c>
      <c r="J3716" s="5" t="s">
        <v>2602</v>
      </c>
      <c r="K3716" s="8"/>
    </row>
    <row r="3717" spans="1:11" x14ac:dyDescent="0.2">
      <c r="A3717" s="8">
        <v>2637</v>
      </c>
      <c r="B3717" s="8">
        <f t="shared" si="122"/>
        <v>2024</v>
      </c>
      <c r="C3717" s="8">
        <f t="shared" si="123"/>
        <v>7</v>
      </c>
      <c r="D3717" s="85">
        <v>45498</v>
      </c>
      <c r="E3717" s="31">
        <v>0</v>
      </c>
      <c r="F3717" s="31">
        <v>7000</v>
      </c>
      <c r="G3717" s="31">
        <v>0</v>
      </c>
      <c r="H3717" s="31">
        <v>0</v>
      </c>
      <c r="I3717" s="31" t="s">
        <v>149</v>
      </c>
      <c r="J3717" s="5" t="s">
        <v>2782</v>
      </c>
      <c r="K3717" s="8"/>
    </row>
    <row r="3718" spans="1:11" x14ac:dyDescent="0.2">
      <c r="A3718" s="8">
        <v>2638</v>
      </c>
      <c r="B3718" s="8">
        <f t="shared" si="122"/>
        <v>2024</v>
      </c>
      <c r="C3718" s="8">
        <f t="shared" si="123"/>
        <v>7</v>
      </c>
      <c r="D3718" s="85">
        <v>45499</v>
      </c>
      <c r="E3718" s="31">
        <v>0</v>
      </c>
      <c r="F3718" s="31">
        <v>12000</v>
      </c>
      <c r="G3718" s="31">
        <v>0</v>
      </c>
      <c r="H3718" s="31">
        <v>0</v>
      </c>
      <c r="I3718" s="31" t="s">
        <v>85</v>
      </c>
      <c r="J3718" s="5" t="s">
        <v>2783</v>
      </c>
      <c r="K3718" s="8"/>
    </row>
    <row r="3719" spans="1:11" x14ac:dyDescent="0.2">
      <c r="A3719" s="8">
        <v>2639</v>
      </c>
      <c r="B3719" s="8">
        <f t="shared" si="122"/>
        <v>2024</v>
      </c>
      <c r="C3719" s="8">
        <f t="shared" si="123"/>
        <v>7</v>
      </c>
      <c r="D3719" s="85">
        <v>45499</v>
      </c>
      <c r="E3719" s="31">
        <v>0</v>
      </c>
      <c r="F3719" s="31">
        <v>40000</v>
      </c>
      <c r="G3719" s="31">
        <v>0</v>
      </c>
      <c r="H3719" s="31">
        <v>0</v>
      </c>
      <c r="I3719" s="31" t="s">
        <v>1992</v>
      </c>
      <c r="J3719" s="5" t="s">
        <v>2784</v>
      </c>
      <c r="K3719" s="8"/>
    </row>
    <row r="3720" spans="1:11" x14ac:dyDescent="0.2">
      <c r="A3720" s="8">
        <v>2640</v>
      </c>
      <c r="B3720" s="8">
        <f t="shared" si="122"/>
        <v>2024</v>
      </c>
      <c r="C3720" s="8">
        <f t="shared" si="123"/>
        <v>7</v>
      </c>
      <c r="D3720" s="85">
        <v>45500</v>
      </c>
      <c r="E3720" s="31">
        <v>0</v>
      </c>
      <c r="F3720" s="31">
        <v>200000</v>
      </c>
      <c r="G3720" s="31">
        <v>0</v>
      </c>
      <c r="H3720" s="31">
        <v>0</v>
      </c>
      <c r="I3720" s="31" t="s">
        <v>85</v>
      </c>
      <c r="J3720" s="5" t="s">
        <v>2785</v>
      </c>
      <c r="K3720" s="8"/>
    </row>
    <row r="3721" spans="1:11" x14ac:dyDescent="0.2">
      <c r="A3721" s="8">
        <v>2641</v>
      </c>
      <c r="B3721" s="8">
        <f t="shared" si="122"/>
        <v>2024</v>
      </c>
      <c r="C3721" s="8">
        <f t="shared" si="123"/>
        <v>7</v>
      </c>
      <c r="D3721" s="85">
        <v>45500</v>
      </c>
      <c r="E3721" s="31">
        <v>0</v>
      </c>
      <c r="F3721" s="31">
        <v>30000</v>
      </c>
      <c r="G3721" s="31">
        <v>0</v>
      </c>
      <c r="H3721" s="31">
        <v>0</v>
      </c>
      <c r="I3721" s="31" t="s">
        <v>1350</v>
      </c>
      <c r="J3721" s="5" t="s">
        <v>2786</v>
      </c>
      <c r="K3721" s="8"/>
    </row>
    <row r="3722" spans="1:11" x14ac:dyDescent="0.2">
      <c r="A3722" s="8">
        <v>2642</v>
      </c>
      <c r="B3722" s="8">
        <f t="shared" si="122"/>
        <v>2024</v>
      </c>
      <c r="C3722" s="8">
        <f t="shared" si="123"/>
        <v>7</v>
      </c>
      <c r="D3722" s="85">
        <v>45500</v>
      </c>
      <c r="E3722" s="31">
        <v>0</v>
      </c>
      <c r="F3722" s="31">
        <v>58000</v>
      </c>
      <c r="G3722" s="31">
        <v>0</v>
      </c>
      <c r="H3722" s="31">
        <v>0</v>
      </c>
      <c r="I3722" s="31" t="s">
        <v>91</v>
      </c>
      <c r="J3722" s="5" t="s">
        <v>2787</v>
      </c>
      <c r="K3722" s="8"/>
    </row>
    <row r="3723" spans="1:11" x14ac:dyDescent="0.2">
      <c r="A3723" s="8">
        <v>2643</v>
      </c>
      <c r="B3723" s="8">
        <f t="shared" si="122"/>
        <v>2024</v>
      </c>
      <c r="C3723" s="8">
        <f t="shared" si="123"/>
        <v>7</v>
      </c>
      <c r="D3723" s="85">
        <v>45500</v>
      </c>
      <c r="E3723" s="31">
        <v>0</v>
      </c>
      <c r="F3723" s="31">
        <v>60000</v>
      </c>
      <c r="G3723" s="31">
        <v>0</v>
      </c>
      <c r="H3723" s="31">
        <v>0</v>
      </c>
      <c r="I3723" s="31" t="s">
        <v>85</v>
      </c>
      <c r="J3723" s="5" t="s">
        <v>2788</v>
      </c>
      <c r="K3723" s="8"/>
    </row>
    <row r="3724" spans="1:11" x14ac:dyDescent="0.2">
      <c r="A3724" s="8">
        <v>2643</v>
      </c>
      <c r="B3724" s="8">
        <f t="shared" si="122"/>
        <v>2024</v>
      </c>
      <c r="C3724" s="8">
        <f t="shared" si="123"/>
        <v>7</v>
      </c>
      <c r="D3724" s="85">
        <v>45500</v>
      </c>
      <c r="E3724" s="31">
        <v>0</v>
      </c>
      <c r="F3724" s="31">
        <v>80000</v>
      </c>
      <c r="G3724" s="31">
        <v>0</v>
      </c>
      <c r="H3724" s="31">
        <v>0</v>
      </c>
      <c r="I3724" s="31" t="s">
        <v>1350</v>
      </c>
      <c r="J3724" s="5" t="s">
        <v>2789</v>
      </c>
      <c r="K3724" s="8"/>
    </row>
    <row r="3725" spans="1:11" x14ac:dyDescent="0.2">
      <c r="A3725" s="8">
        <v>2644</v>
      </c>
      <c r="B3725" s="8">
        <f t="shared" si="122"/>
        <v>2024</v>
      </c>
      <c r="C3725" s="8">
        <f t="shared" si="123"/>
        <v>7</v>
      </c>
      <c r="D3725" s="85">
        <v>45500</v>
      </c>
      <c r="E3725" s="31">
        <v>0</v>
      </c>
      <c r="F3725" s="31">
        <v>150000</v>
      </c>
      <c r="G3725" s="31">
        <v>0</v>
      </c>
      <c r="H3725" s="31">
        <v>0</v>
      </c>
      <c r="I3725" s="31" t="s">
        <v>1815</v>
      </c>
      <c r="J3725" s="5" t="s">
        <v>2790</v>
      </c>
      <c r="K3725" s="8"/>
    </row>
    <row r="3726" spans="1:11" x14ac:dyDescent="0.2">
      <c r="A3726" s="8">
        <v>2646</v>
      </c>
      <c r="B3726" s="8">
        <f t="shared" si="122"/>
        <v>2024</v>
      </c>
      <c r="C3726" s="8">
        <f t="shared" si="123"/>
        <v>6</v>
      </c>
      <c r="D3726" s="85">
        <v>45453</v>
      </c>
      <c r="E3726" s="31">
        <v>0</v>
      </c>
      <c r="F3726" s="31">
        <v>60000</v>
      </c>
      <c r="G3726" s="31">
        <v>0</v>
      </c>
      <c r="H3726" s="31">
        <v>0</v>
      </c>
      <c r="I3726" s="31" t="s">
        <v>573</v>
      </c>
      <c r="J3726" s="5" t="s">
        <v>2791</v>
      </c>
      <c r="K3726" s="8"/>
    </row>
    <row r="3727" spans="1:11" x14ac:dyDescent="0.2">
      <c r="A3727" s="8">
        <v>2648</v>
      </c>
      <c r="B3727" s="8">
        <f t="shared" si="122"/>
        <v>2024</v>
      </c>
      <c r="C3727" s="8">
        <f t="shared" si="123"/>
        <v>6</v>
      </c>
      <c r="D3727" s="85">
        <v>45460</v>
      </c>
      <c r="E3727" s="31">
        <v>0</v>
      </c>
      <c r="F3727" s="31">
        <v>35000</v>
      </c>
      <c r="G3727" s="31">
        <v>0</v>
      </c>
      <c r="H3727" s="31">
        <v>0</v>
      </c>
      <c r="I3727" s="31" t="s">
        <v>85</v>
      </c>
      <c r="J3727" s="5" t="s">
        <v>2792</v>
      </c>
      <c r="K3727" s="8"/>
    </row>
    <row r="3728" spans="1:11" x14ac:dyDescent="0.2">
      <c r="A3728" s="8">
        <v>2657</v>
      </c>
      <c r="B3728" s="8">
        <f t="shared" si="122"/>
        <v>2024</v>
      </c>
      <c r="C3728" s="8">
        <f t="shared" si="123"/>
        <v>7</v>
      </c>
      <c r="D3728" s="85">
        <v>45476</v>
      </c>
      <c r="E3728" s="31">
        <v>0</v>
      </c>
      <c r="F3728" s="31">
        <v>50000</v>
      </c>
      <c r="G3728" s="31">
        <v>0</v>
      </c>
      <c r="H3728" s="31">
        <v>0</v>
      </c>
      <c r="I3728" s="31" t="s">
        <v>573</v>
      </c>
      <c r="J3728" s="5" t="s">
        <v>2793</v>
      </c>
      <c r="K3728" s="8"/>
    </row>
    <row r="3729" spans="1:11" x14ac:dyDescent="0.2">
      <c r="A3729" s="8">
        <v>2689</v>
      </c>
      <c r="B3729" s="8">
        <f t="shared" si="122"/>
        <v>2024</v>
      </c>
      <c r="C3729" s="8">
        <f t="shared" si="123"/>
        <v>7</v>
      </c>
      <c r="D3729" s="85">
        <v>45478</v>
      </c>
      <c r="E3729" s="31">
        <v>0</v>
      </c>
      <c r="F3729" s="31">
        <v>476000</v>
      </c>
      <c r="G3729" s="31">
        <v>0</v>
      </c>
      <c r="H3729" s="31">
        <v>0</v>
      </c>
      <c r="I3729" s="31" t="s">
        <v>1973</v>
      </c>
      <c r="J3729" s="5" t="s">
        <v>2794</v>
      </c>
      <c r="K3729" s="8"/>
    </row>
    <row r="3730" spans="1:11" x14ac:dyDescent="0.2">
      <c r="A3730" s="8">
        <v>2690</v>
      </c>
      <c r="B3730" s="8">
        <f t="shared" si="122"/>
        <v>2024</v>
      </c>
      <c r="C3730" s="8">
        <f t="shared" si="123"/>
        <v>7</v>
      </c>
      <c r="D3730" s="85">
        <v>45479</v>
      </c>
      <c r="E3730" s="31">
        <v>0</v>
      </c>
      <c r="F3730" s="31">
        <v>100000</v>
      </c>
      <c r="G3730" s="31">
        <v>0</v>
      </c>
      <c r="H3730" s="31">
        <v>0</v>
      </c>
      <c r="I3730" s="31" t="s">
        <v>335</v>
      </c>
      <c r="J3730" s="5" t="s">
        <v>2548</v>
      </c>
      <c r="K3730" s="8"/>
    </row>
    <row r="3731" spans="1:11" x14ac:dyDescent="0.2">
      <c r="A3731" s="8">
        <v>2691</v>
      </c>
      <c r="B3731" s="8">
        <f t="shared" si="122"/>
        <v>2024</v>
      </c>
      <c r="C3731" s="8">
        <f t="shared" si="123"/>
        <v>7</v>
      </c>
      <c r="D3731" s="85">
        <v>45479</v>
      </c>
      <c r="E3731" s="31">
        <v>0</v>
      </c>
      <c r="F3731" s="31">
        <v>50000</v>
      </c>
      <c r="G3731" s="31">
        <v>0</v>
      </c>
      <c r="H3731" s="31">
        <v>0</v>
      </c>
      <c r="I3731" s="31" t="s">
        <v>1992</v>
      </c>
      <c r="J3731" s="5" t="s">
        <v>2795</v>
      </c>
      <c r="K3731" s="8"/>
    </row>
    <row r="3732" spans="1:11" x14ac:dyDescent="0.2">
      <c r="A3732" s="8">
        <v>2693</v>
      </c>
      <c r="B3732" s="8">
        <f t="shared" si="122"/>
        <v>2024</v>
      </c>
      <c r="C3732" s="8">
        <f t="shared" si="123"/>
        <v>7</v>
      </c>
      <c r="D3732" s="85">
        <v>45488</v>
      </c>
      <c r="E3732" s="31">
        <v>0</v>
      </c>
      <c r="F3732" s="31">
        <v>250000</v>
      </c>
      <c r="G3732" s="31">
        <v>0</v>
      </c>
      <c r="H3732" s="31">
        <v>0</v>
      </c>
      <c r="I3732" s="31" t="s">
        <v>1894</v>
      </c>
      <c r="J3732" s="5" t="s">
        <v>2796</v>
      </c>
      <c r="K3732" s="8"/>
    </row>
    <row r="3733" spans="1:11" x14ac:dyDescent="0.2">
      <c r="A3733" s="8">
        <v>2693</v>
      </c>
      <c r="B3733" s="8">
        <f t="shared" si="122"/>
        <v>2024</v>
      </c>
      <c r="C3733" s="8">
        <f t="shared" si="123"/>
        <v>7</v>
      </c>
      <c r="D3733" s="85">
        <v>45495</v>
      </c>
      <c r="E3733" s="31">
        <v>0</v>
      </c>
      <c r="F3733" s="31">
        <v>46000</v>
      </c>
      <c r="G3733" s="31">
        <v>0</v>
      </c>
      <c r="H3733" s="31">
        <v>0</v>
      </c>
      <c r="I3733" s="31" t="s">
        <v>391</v>
      </c>
      <c r="J3733" s="5" t="s">
        <v>2797</v>
      </c>
      <c r="K3733" s="8"/>
    </row>
    <row r="3734" spans="1:11" x14ac:dyDescent="0.2">
      <c r="A3734" s="8">
        <v>2694</v>
      </c>
      <c r="B3734" s="8">
        <f t="shared" si="122"/>
        <v>2024</v>
      </c>
      <c r="C3734" s="8">
        <f t="shared" si="123"/>
        <v>7</v>
      </c>
      <c r="D3734" s="85">
        <v>45495</v>
      </c>
      <c r="E3734" s="31">
        <v>0</v>
      </c>
      <c r="F3734" s="31">
        <v>181000</v>
      </c>
      <c r="G3734" s="31">
        <v>0</v>
      </c>
      <c r="H3734" s="31">
        <v>0</v>
      </c>
      <c r="I3734" s="31" t="s">
        <v>391</v>
      </c>
      <c r="J3734" s="5" t="s">
        <v>2798</v>
      </c>
      <c r="K3734" s="8"/>
    </row>
    <row r="3735" spans="1:11" x14ac:dyDescent="0.2">
      <c r="A3735" s="8">
        <v>2695</v>
      </c>
      <c r="B3735" s="8">
        <f t="shared" si="122"/>
        <v>2024</v>
      </c>
      <c r="C3735" s="8">
        <f t="shared" si="123"/>
        <v>7</v>
      </c>
      <c r="D3735" s="85">
        <v>45495</v>
      </c>
      <c r="E3735" s="31">
        <v>0</v>
      </c>
      <c r="F3735" s="31">
        <v>63000</v>
      </c>
      <c r="G3735" s="31">
        <v>0</v>
      </c>
      <c r="H3735" s="31">
        <v>0</v>
      </c>
      <c r="I3735" s="31" t="s">
        <v>391</v>
      </c>
      <c r="J3735" s="5" t="s">
        <v>2799</v>
      </c>
      <c r="K3735" s="8"/>
    </row>
    <row r="3736" spans="1:11" x14ac:dyDescent="0.2">
      <c r="A3736" s="8">
        <v>2696</v>
      </c>
      <c r="B3736" s="8">
        <f t="shared" si="122"/>
        <v>2024</v>
      </c>
      <c r="C3736" s="8">
        <f t="shared" si="123"/>
        <v>7</v>
      </c>
      <c r="D3736" s="85">
        <v>45495</v>
      </c>
      <c r="E3736" s="31">
        <v>0</v>
      </c>
      <c r="F3736" s="31">
        <v>238000</v>
      </c>
      <c r="G3736" s="31">
        <v>0</v>
      </c>
      <c r="H3736" s="31">
        <v>0</v>
      </c>
      <c r="I3736" s="31" t="s">
        <v>1973</v>
      </c>
      <c r="J3736" s="5" t="s">
        <v>2800</v>
      </c>
      <c r="K3736" s="8"/>
    </row>
    <row r="3737" spans="1:11" x14ac:dyDescent="0.2">
      <c r="A3737" s="8">
        <v>2697</v>
      </c>
      <c r="B3737" s="8">
        <f t="shared" si="122"/>
        <v>2024</v>
      </c>
      <c r="C3737" s="8">
        <f t="shared" si="123"/>
        <v>7</v>
      </c>
      <c r="D3737" s="85">
        <v>45488</v>
      </c>
      <c r="E3737" s="31">
        <v>0</v>
      </c>
      <c r="F3737" s="31">
        <v>700000</v>
      </c>
      <c r="G3737" s="31">
        <v>0</v>
      </c>
      <c r="H3737" s="31">
        <v>0</v>
      </c>
      <c r="I3737" s="31" t="s">
        <v>1729</v>
      </c>
      <c r="J3737" s="5" t="s">
        <v>316</v>
      </c>
      <c r="K3737" s="8"/>
    </row>
    <row r="3738" spans="1:11" x14ac:dyDescent="0.2">
      <c r="A3738" s="8">
        <v>2698</v>
      </c>
      <c r="B3738" s="8">
        <f t="shared" si="122"/>
        <v>2024</v>
      </c>
      <c r="C3738" s="8">
        <f t="shared" si="123"/>
        <v>7</v>
      </c>
      <c r="D3738" s="85">
        <v>45502</v>
      </c>
      <c r="E3738" s="31">
        <v>500000</v>
      </c>
      <c r="F3738" s="31">
        <v>0</v>
      </c>
      <c r="G3738" s="31">
        <v>0</v>
      </c>
      <c r="H3738" s="31">
        <v>0</v>
      </c>
      <c r="I3738" s="31" t="s">
        <v>85</v>
      </c>
      <c r="J3738" s="5" t="s">
        <v>2801</v>
      </c>
      <c r="K3738" s="8"/>
    </row>
    <row r="3739" spans="1:11" x14ac:dyDescent="0.2">
      <c r="A3739" s="8">
        <v>2699</v>
      </c>
      <c r="B3739" s="8">
        <f t="shared" si="122"/>
        <v>2024</v>
      </c>
      <c r="C3739" s="8">
        <f t="shared" si="123"/>
        <v>7</v>
      </c>
      <c r="D3739" s="85">
        <v>45502</v>
      </c>
      <c r="E3739" s="31">
        <v>0</v>
      </c>
      <c r="F3739" s="31">
        <v>169000</v>
      </c>
      <c r="G3739" s="31">
        <v>0</v>
      </c>
      <c r="H3739" s="31">
        <v>0</v>
      </c>
      <c r="I3739" s="31" t="s">
        <v>1992</v>
      </c>
      <c r="J3739" s="5" t="s">
        <v>2802</v>
      </c>
      <c r="K3739" s="8"/>
    </row>
    <row r="3740" spans="1:11" x14ac:dyDescent="0.2">
      <c r="A3740" s="8">
        <v>2710</v>
      </c>
      <c r="B3740" s="8">
        <f t="shared" si="122"/>
        <v>2024</v>
      </c>
      <c r="C3740" s="8">
        <f t="shared" si="123"/>
        <v>8</v>
      </c>
      <c r="D3740" s="85">
        <v>45519</v>
      </c>
      <c r="E3740" s="31">
        <v>0</v>
      </c>
      <c r="F3740" s="31">
        <f>250000</f>
        <v>250000</v>
      </c>
      <c r="G3740" s="31">
        <v>0</v>
      </c>
      <c r="H3740" s="31">
        <v>0</v>
      </c>
      <c r="I3740" s="31" t="s">
        <v>1894</v>
      </c>
      <c r="J3740" s="5" t="s">
        <v>2803</v>
      </c>
      <c r="K3740" s="8"/>
    </row>
    <row r="3741" spans="1:11" x14ac:dyDescent="0.2">
      <c r="A3741" s="8">
        <v>2711</v>
      </c>
      <c r="B3741" s="8">
        <f t="shared" si="122"/>
        <v>2024</v>
      </c>
      <c r="C3741" s="8">
        <f t="shared" si="123"/>
        <v>8</v>
      </c>
      <c r="D3741" s="85">
        <v>45525</v>
      </c>
      <c r="E3741" s="31">
        <v>0</v>
      </c>
      <c r="F3741" s="31">
        <v>171000</v>
      </c>
      <c r="G3741" s="31">
        <v>0</v>
      </c>
      <c r="H3741" s="31">
        <v>0</v>
      </c>
      <c r="I3741" s="31" t="s">
        <v>391</v>
      </c>
      <c r="J3741" s="5" t="s">
        <v>2804</v>
      </c>
      <c r="K3741" s="8"/>
    </row>
    <row r="3742" spans="1:11" x14ac:dyDescent="0.2">
      <c r="A3742" s="8">
        <v>2712</v>
      </c>
      <c r="B3742" s="8">
        <f t="shared" si="122"/>
        <v>2024</v>
      </c>
      <c r="C3742" s="8">
        <f t="shared" si="123"/>
        <v>8</v>
      </c>
      <c r="D3742" s="85">
        <v>45525</v>
      </c>
      <c r="E3742" s="31">
        <v>0</v>
      </c>
      <c r="F3742" s="31">
        <v>46000</v>
      </c>
      <c r="G3742" s="31">
        <v>0</v>
      </c>
      <c r="H3742" s="31">
        <v>0</v>
      </c>
      <c r="I3742" s="31" t="s">
        <v>391</v>
      </c>
      <c r="J3742" s="5" t="s">
        <v>2805</v>
      </c>
      <c r="K3742" s="8"/>
    </row>
    <row r="3743" spans="1:11" x14ac:dyDescent="0.2">
      <c r="A3743" s="8">
        <v>2713</v>
      </c>
      <c r="B3743" s="8">
        <f t="shared" si="122"/>
        <v>2024</v>
      </c>
      <c r="C3743" s="8">
        <f t="shared" si="123"/>
        <v>8</v>
      </c>
      <c r="D3743" s="85">
        <v>45525</v>
      </c>
      <c r="E3743" s="31">
        <v>0</v>
      </c>
      <c r="F3743" s="31">
        <v>7600</v>
      </c>
      <c r="G3743" s="31">
        <v>0</v>
      </c>
      <c r="H3743" s="31">
        <v>0</v>
      </c>
      <c r="I3743" s="31" t="s">
        <v>391</v>
      </c>
      <c r="J3743" s="5" t="s">
        <v>2806</v>
      </c>
      <c r="K3743" s="8"/>
    </row>
    <row r="3744" spans="1:11" x14ac:dyDescent="0.2">
      <c r="A3744" s="8">
        <v>2714</v>
      </c>
      <c r="B3744" s="8">
        <f t="shared" si="122"/>
        <v>2024</v>
      </c>
      <c r="C3744" s="8">
        <f t="shared" si="123"/>
        <v>8</v>
      </c>
      <c r="D3744" s="85">
        <v>45528</v>
      </c>
      <c r="E3744" s="31">
        <v>0</v>
      </c>
      <c r="F3744" s="31">
        <v>60000</v>
      </c>
      <c r="G3744" s="31">
        <v>0</v>
      </c>
      <c r="H3744" s="31">
        <v>0</v>
      </c>
      <c r="I3744" s="31" t="s">
        <v>85</v>
      </c>
      <c r="J3744" s="5" t="s">
        <v>290</v>
      </c>
      <c r="K3744" s="8"/>
    </row>
    <row r="3745" spans="1:11" x14ac:dyDescent="0.2">
      <c r="A3745" s="8">
        <v>2722</v>
      </c>
      <c r="B3745" s="8">
        <f t="shared" si="122"/>
        <v>2024</v>
      </c>
      <c r="C3745" s="8">
        <f t="shared" si="123"/>
        <v>7</v>
      </c>
      <c r="D3745" s="85">
        <v>45501</v>
      </c>
      <c r="E3745" s="31">
        <v>0</v>
      </c>
      <c r="F3745" s="31">
        <v>50000</v>
      </c>
      <c r="G3745" s="31">
        <v>0</v>
      </c>
      <c r="H3745" s="31">
        <v>0</v>
      </c>
      <c r="I3745" s="31" t="s">
        <v>85</v>
      </c>
      <c r="J3745" s="5" t="s">
        <v>287</v>
      </c>
      <c r="K3745" s="8"/>
    </row>
    <row r="3746" spans="1:11" x14ac:dyDescent="0.2">
      <c r="A3746" s="8">
        <v>2723</v>
      </c>
      <c r="B3746" s="8">
        <f t="shared" si="122"/>
        <v>2024</v>
      </c>
      <c r="C3746" s="8">
        <f t="shared" si="123"/>
        <v>7</v>
      </c>
      <c r="D3746" s="85">
        <v>45502</v>
      </c>
      <c r="E3746" s="31">
        <v>0</v>
      </c>
      <c r="F3746" s="31">
        <v>50000</v>
      </c>
      <c r="G3746" s="31">
        <v>0</v>
      </c>
      <c r="H3746" s="31">
        <v>0</v>
      </c>
      <c r="I3746" s="31" t="s">
        <v>85</v>
      </c>
      <c r="J3746" s="5" t="s">
        <v>287</v>
      </c>
      <c r="K3746" s="8"/>
    </row>
    <row r="3747" spans="1:11" x14ac:dyDescent="0.2">
      <c r="A3747" s="8">
        <v>2724</v>
      </c>
      <c r="B3747" s="8">
        <f t="shared" si="122"/>
        <v>2024</v>
      </c>
      <c r="C3747" s="8">
        <f t="shared" si="123"/>
        <v>7</v>
      </c>
      <c r="D3747" s="85">
        <v>45503</v>
      </c>
      <c r="E3747" s="31">
        <v>0</v>
      </c>
      <c r="F3747" s="31">
        <v>50000</v>
      </c>
      <c r="G3747" s="31">
        <v>0</v>
      </c>
      <c r="H3747" s="31">
        <v>0</v>
      </c>
      <c r="I3747" s="31" t="s">
        <v>85</v>
      </c>
      <c r="J3747" s="5" t="s">
        <v>287</v>
      </c>
      <c r="K3747" s="8"/>
    </row>
    <row r="3748" spans="1:11" x14ac:dyDescent="0.2">
      <c r="A3748" s="8">
        <v>2725</v>
      </c>
      <c r="B3748" s="8">
        <f t="shared" si="122"/>
        <v>2024</v>
      </c>
      <c r="C3748" s="8">
        <f t="shared" si="123"/>
        <v>7</v>
      </c>
      <c r="D3748" s="85">
        <v>45504</v>
      </c>
      <c r="E3748" s="31">
        <v>0</v>
      </c>
      <c r="F3748" s="31">
        <v>50000</v>
      </c>
      <c r="G3748" s="31">
        <v>0</v>
      </c>
      <c r="H3748" s="31">
        <v>0</v>
      </c>
      <c r="I3748" s="31" t="s">
        <v>85</v>
      </c>
      <c r="J3748" s="5" t="s">
        <v>287</v>
      </c>
      <c r="K3748" s="8"/>
    </row>
    <row r="3749" spans="1:11" x14ac:dyDescent="0.2">
      <c r="A3749" s="8">
        <v>2726</v>
      </c>
      <c r="B3749" s="8">
        <f t="shared" si="122"/>
        <v>2024</v>
      </c>
      <c r="C3749" s="8">
        <f t="shared" si="123"/>
        <v>8</v>
      </c>
      <c r="D3749" s="85">
        <v>45505</v>
      </c>
      <c r="E3749" s="31">
        <v>0</v>
      </c>
      <c r="F3749" s="31">
        <v>360000</v>
      </c>
      <c r="G3749" s="31">
        <v>0</v>
      </c>
      <c r="H3749" s="31">
        <v>0</v>
      </c>
      <c r="I3749" s="31" t="s">
        <v>2807</v>
      </c>
      <c r="J3749" s="5" t="s">
        <v>2241</v>
      </c>
      <c r="K3749" s="8"/>
    </row>
    <row r="3750" spans="1:11" x14ac:dyDescent="0.2">
      <c r="A3750" s="8">
        <v>2727</v>
      </c>
      <c r="B3750" s="8">
        <f t="shared" si="122"/>
        <v>2024</v>
      </c>
      <c r="C3750" s="8">
        <f t="shared" si="123"/>
        <v>8</v>
      </c>
      <c r="D3750" s="85">
        <v>45505</v>
      </c>
      <c r="E3750" s="31">
        <v>0</v>
      </c>
      <c r="F3750" s="31">
        <v>350000</v>
      </c>
      <c r="G3750" s="31">
        <v>0</v>
      </c>
      <c r="H3750" s="31">
        <v>0</v>
      </c>
      <c r="I3750" s="31" t="s">
        <v>1350</v>
      </c>
      <c r="J3750" s="5" t="s">
        <v>2559</v>
      </c>
      <c r="K3750" s="8"/>
    </row>
    <row r="3751" spans="1:11" x14ac:dyDescent="0.2">
      <c r="A3751" s="8">
        <v>2728</v>
      </c>
      <c r="B3751" s="8">
        <f t="shared" si="122"/>
        <v>2024</v>
      </c>
      <c r="C3751" s="8">
        <f t="shared" si="123"/>
        <v>8</v>
      </c>
      <c r="D3751" s="85">
        <v>45506</v>
      </c>
      <c r="E3751" s="31">
        <v>0</v>
      </c>
      <c r="F3751" s="31">
        <v>100000</v>
      </c>
      <c r="G3751" s="31">
        <v>0</v>
      </c>
      <c r="H3751" s="31">
        <v>0</v>
      </c>
      <c r="I3751" s="31" t="s">
        <v>1999</v>
      </c>
      <c r="J3751" s="5" t="s">
        <v>2808</v>
      </c>
      <c r="K3751" s="8"/>
    </row>
    <row r="3752" spans="1:11" x14ac:dyDescent="0.2">
      <c r="A3752" s="8">
        <v>2729</v>
      </c>
      <c r="B3752" s="8">
        <f t="shared" si="122"/>
        <v>2024</v>
      </c>
      <c r="C3752" s="8">
        <f t="shared" si="123"/>
        <v>8</v>
      </c>
      <c r="D3752" s="85">
        <v>45507</v>
      </c>
      <c r="E3752" s="31">
        <v>0</v>
      </c>
      <c r="F3752" s="31">
        <v>200000</v>
      </c>
      <c r="G3752" s="31">
        <v>0</v>
      </c>
      <c r="H3752" s="31">
        <v>0</v>
      </c>
      <c r="I3752" s="31" t="s">
        <v>299</v>
      </c>
      <c r="J3752" s="5" t="s">
        <v>2809</v>
      </c>
      <c r="K3752" s="8"/>
    </row>
    <row r="3753" spans="1:11" x14ac:dyDescent="0.2">
      <c r="A3753" s="8">
        <v>2730</v>
      </c>
      <c r="B3753" s="8">
        <f t="shared" si="122"/>
        <v>2024</v>
      </c>
      <c r="C3753" s="8">
        <f t="shared" si="123"/>
        <v>8</v>
      </c>
      <c r="D3753" s="85">
        <v>45507</v>
      </c>
      <c r="E3753" s="31">
        <v>0</v>
      </c>
      <c r="F3753" s="31">
        <v>88000</v>
      </c>
      <c r="G3753" s="31">
        <v>0</v>
      </c>
      <c r="H3753" s="31">
        <v>0</v>
      </c>
      <c r="I3753" s="31" t="s">
        <v>2807</v>
      </c>
      <c r="J3753" s="5" t="s">
        <v>2810</v>
      </c>
      <c r="K3753" s="8"/>
    </row>
    <row r="3754" spans="1:11" x14ac:dyDescent="0.2">
      <c r="A3754" s="8">
        <v>2731</v>
      </c>
      <c r="B3754" s="8">
        <f t="shared" si="122"/>
        <v>2024</v>
      </c>
      <c r="C3754" s="8">
        <f t="shared" si="123"/>
        <v>8</v>
      </c>
      <c r="D3754" s="85">
        <v>45509</v>
      </c>
      <c r="E3754" s="31">
        <v>0</v>
      </c>
      <c r="F3754" s="31">
        <v>150000</v>
      </c>
      <c r="G3754" s="31">
        <v>0</v>
      </c>
      <c r="H3754" s="31">
        <v>0</v>
      </c>
      <c r="I3754" s="31" t="s">
        <v>1350</v>
      </c>
      <c r="J3754" s="5" t="s">
        <v>2377</v>
      </c>
      <c r="K3754" s="8"/>
    </row>
    <row r="3755" spans="1:11" x14ac:dyDescent="0.2">
      <c r="A3755" s="8">
        <v>2732</v>
      </c>
      <c r="B3755" s="8">
        <f t="shared" si="122"/>
        <v>2024</v>
      </c>
      <c r="C3755" s="8">
        <f t="shared" si="123"/>
        <v>8</v>
      </c>
      <c r="D3755" s="85">
        <v>45509</v>
      </c>
      <c r="E3755" s="31">
        <v>0</v>
      </c>
      <c r="F3755" s="31">
        <v>550000</v>
      </c>
      <c r="G3755" s="31">
        <v>0</v>
      </c>
      <c r="H3755" s="31">
        <v>0</v>
      </c>
      <c r="I3755" s="31" t="s">
        <v>335</v>
      </c>
      <c r="J3755" s="5" t="s">
        <v>2811</v>
      </c>
      <c r="K3755" s="8"/>
    </row>
    <row r="3756" spans="1:11" x14ac:dyDescent="0.2">
      <c r="A3756" s="8">
        <v>2733</v>
      </c>
      <c r="B3756" s="8">
        <f t="shared" si="122"/>
        <v>2024</v>
      </c>
      <c r="C3756" s="8">
        <f t="shared" si="123"/>
        <v>8</v>
      </c>
      <c r="D3756" s="85">
        <v>45510</v>
      </c>
      <c r="E3756" s="31">
        <v>0</v>
      </c>
      <c r="F3756" s="31">
        <v>150000</v>
      </c>
      <c r="G3756" s="31">
        <v>0</v>
      </c>
      <c r="H3756" s="31">
        <v>0</v>
      </c>
      <c r="I3756" s="31" t="s">
        <v>91</v>
      </c>
      <c r="J3756" s="5" t="s">
        <v>2418</v>
      </c>
      <c r="K3756" s="8"/>
    </row>
    <row r="3757" spans="1:11" x14ac:dyDescent="0.2">
      <c r="A3757" s="8">
        <v>2734</v>
      </c>
      <c r="B3757" s="8">
        <f t="shared" si="122"/>
        <v>2024</v>
      </c>
      <c r="C3757" s="8">
        <f t="shared" si="123"/>
        <v>8</v>
      </c>
      <c r="D3757" s="85">
        <v>45510</v>
      </c>
      <c r="E3757" s="31">
        <v>0</v>
      </c>
      <c r="F3757" s="31">
        <v>14000</v>
      </c>
      <c r="G3757" s="31">
        <v>0</v>
      </c>
      <c r="H3757" s="31">
        <v>0</v>
      </c>
      <c r="I3757" s="31" t="s">
        <v>149</v>
      </c>
      <c r="J3757" s="5" t="s">
        <v>2595</v>
      </c>
      <c r="K3757" s="8"/>
    </row>
    <row r="3758" spans="1:11" x14ac:dyDescent="0.2">
      <c r="A3758" s="8">
        <v>2735</v>
      </c>
      <c r="B3758" s="8">
        <f t="shared" si="122"/>
        <v>2024</v>
      </c>
      <c r="C3758" s="8">
        <f t="shared" si="123"/>
        <v>8</v>
      </c>
      <c r="D3758" s="85">
        <v>45510</v>
      </c>
      <c r="E3758" s="31">
        <v>0</v>
      </c>
      <c r="F3758" s="31">
        <v>18000</v>
      </c>
      <c r="G3758" s="31">
        <v>0</v>
      </c>
      <c r="H3758" s="31">
        <v>0</v>
      </c>
      <c r="I3758" s="31" t="s">
        <v>1999</v>
      </c>
      <c r="J3758" s="5" t="s">
        <v>2812</v>
      </c>
      <c r="K3758" s="8"/>
    </row>
    <row r="3759" spans="1:11" x14ac:dyDescent="0.2">
      <c r="A3759" s="8">
        <v>2736</v>
      </c>
      <c r="B3759" s="8">
        <f t="shared" si="122"/>
        <v>2024</v>
      </c>
      <c r="C3759" s="8">
        <f t="shared" si="123"/>
        <v>8</v>
      </c>
      <c r="D3759" s="85">
        <v>45511</v>
      </c>
      <c r="E3759" s="31">
        <v>0</v>
      </c>
      <c r="F3759" s="31">
        <v>67000</v>
      </c>
      <c r="G3759" s="31">
        <v>0</v>
      </c>
      <c r="H3759" s="31">
        <v>0</v>
      </c>
      <c r="I3759" s="31" t="s">
        <v>1999</v>
      </c>
      <c r="J3759" s="5" t="s">
        <v>2813</v>
      </c>
      <c r="K3759" s="8"/>
    </row>
    <row r="3760" spans="1:11" x14ac:dyDescent="0.2">
      <c r="A3760" s="8">
        <v>2737</v>
      </c>
      <c r="B3760" s="8">
        <f t="shared" si="122"/>
        <v>2024</v>
      </c>
      <c r="C3760" s="8">
        <f t="shared" si="123"/>
        <v>8</v>
      </c>
      <c r="D3760" s="85">
        <v>45511</v>
      </c>
      <c r="E3760" s="31">
        <v>0</v>
      </c>
      <c r="F3760" s="31">
        <v>50000</v>
      </c>
      <c r="G3760" s="31">
        <v>0</v>
      </c>
      <c r="H3760" s="31">
        <v>0</v>
      </c>
      <c r="I3760" s="31" t="s">
        <v>1999</v>
      </c>
      <c r="J3760" s="5" t="s">
        <v>2814</v>
      </c>
      <c r="K3760" s="8"/>
    </row>
    <row r="3761" spans="1:11" x14ac:dyDescent="0.2">
      <c r="A3761" s="8">
        <v>2738</v>
      </c>
      <c r="B3761" s="8">
        <f t="shared" si="122"/>
        <v>2024</v>
      </c>
      <c r="C3761" s="8">
        <f t="shared" si="123"/>
        <v>8</v>
      </c>
      <c r="D3761" s="85">
        <v>45511</v>
      </c>
      <c r="E3761" s="31">
        <v>0</v>
      </c>
      <c r="F3761" s="31">
        <v>50000</v>
      </c>
      <c r="G3761" s="31">
        <v>0</v>
      </c>
      <c r="H3761" s="31">
        <v>0</v>
      </c>
      <c r="I3761" s="31" t="s">
        <v>85</v>
      </c>
      <c r="J3761" s="5" t="s">
        <v>2815</v>
      </c>
      <c r="K3761" s="8"/>
    </row>
    <row r="3762" spans="1:11" x14ac:dyDescent="0.2">
      <c r="A3762" s="8">
        <v>2739</v>
      </c>
      <c r="B3762" s="8">
        <f t="shared" si="122"/>
        <v>2024</v>
      </c>
      <c r="C3762" s="8">
        <f t="shared" si="123"/>
        <v>8</v>
      </c>
      <c r="D3762" s="85">
        <v>45512</v>
      </c>
      <c r="E3762" s="31">
        <v>0</v>
      </c>
      <c r="F3762" s="31">
        <v>10000</v>
      </c>
      <c r="G3762" s="31">
        <v>0</v>
      </c>
      <c r="H3762" s="31">
        <v>0</v>
      </c>
      <c r="I3762" s="31" t="s">
        <v>149</v>
      </c>
      <c r="J3762" s="5" t="s">
        <v>2403</v>
      </c>
      <c r="K3762" s="8"/>
    </row>
    <row r="3763" spans="1:11" x14ac:dyDescent="0.2">
      <c r="A3763" s="8">
        <v>2740</v>
      </c>
      <c r="B3763" s="8">
        <f t="shared" si="122"/>
        <v>2024</v>
      </c>
      <c r="C3763" s="8">
        <f t="shared" si="123"/>
        <v>8</v>
      </c>
      <c r="D3763" s="85">
        <v>45513</v>
      </c>
      <c r="E3763" s="31">
        <v>0</v>
      </c>
      <c r="F3763" s="31">
        <v>40000</v>
      </c>
      <c r="G3763" s="31">
        <v>0</v>
      </c>
      <c r="H3763" s="31">
        <v>0</v>
      </c>
      <c r="I3763" s="31" t="s">
        <v>1999</v>
      </c>
      <c r="J3763" s="5" t="s">
        <v>2816</v>
      </c>
      <c r="K3763" s="8"/>
    </row>
    <row r="3764" spans="1:11" x14ac:dyDescent="0.2">
      <c r="A3764" s="8">
        <v>2741</v>
      </c>
      <c r="B3764" s="8">
        <f t="shared" si="122"/>
        <v>2024</v>
      </c>
      <c r="C3764" s="8">
        <f t="shared" si="123"/>
        <v>8</v>
      </c>
      <c r="D3764" s="85">
        <v>45513</v>
      </c>
      <c r="E3764" s="31">
        <v>0</v>
      </c>
      <c r="F3764" s="31">
        <v>28000</v>
      </c>
      <c r="G3764" s="31">
        <v>0</v>
      </c>
      <c r="H3764" s="31">
        <v>0</v>
      </c>
      <c r="I3764" s="31" t="s">
        <v>91</v>
      </c>
      <c r="J3764" s="5" t="s">
        <v>2817</v>
      </c>
      <c r="K3764" s="8"/>
    </row>
    <row r="3765" spans="1:11" x14ac:dyDescent="0.2">
      <c r="A3765" s="8">
        <v>2742</v>
      </c>
      <c r="B3765" s="8">
        <f t="shared" si="122"/>
        <v>2024</v>
      </c>
      <c r="C3765" s="8">
        <f t="shared" si="123"/>
        <v>8</v>
      </c>
      <c r="D3765" s="85">
        <v>45513</v>
      </c>
      <c r="E3765" s="31">
        <v>0</v>
      </c>
      <c r="F3765" s="31">
        <v>30000</v>
      </c>
      <c r="G3765" s="31">
        <v>0</v>
      </c>
      <c r="H3765" s="31">
        <v>0</v>
      </c>
      <c r="I3765" s="31" t="s">
        <v>85</v>
      </c>
      <c r="J3765" s="5" t="s">
        <v>2392</v>
      </c>
      <c r="K3765" s="8"/>
    </row>
    <row r="3766" spans="1:11" x14ac:dyDescent="0.2">
      <c r="A3766" s="8">
        <v>2743</v>
      </c>
      <c r="B3766" s="8">
        <f t="shared" si="122"/>
        <v>2024</v>
      </c>
      <c r="C3766" s="8">
        <f t="shared" si="123"/>
        <v>8</v>
      </c>
      <c r="D3766" s="85">
        <v>45514</v>
      </c>
      <c r="E3766" s="31">
        <v>0</v>
      </c>
      <c r="F3766" s="31">
        <v>56000</v>
      </c>
      <c r="G3766" s="31">
        <v>0</v>
      </c>
      <c r="H3766" s="31">
        <v>0</v>
      </c>
      <c r="I3766" s="31" t="s">
        <v>2807</v>
      </c>
      <c r="J3766" s="5" t="s">
        <v>2818</v>
      </c>
      <c r="K3766" s="8"/>
    </row>
    <row r="3767" spans="1:11" x14ac:dyDescent="0.2">
      <c r="A3767" s="8">
        <v>2744</v>
      </c>
      <c r="B3767" s="8">
        <f t="shared" si="122"/>
        <v>2024</v>
      </c>
      <c r="C3767" s="8">
        <f t="shared" si="123"/>
        <v>8</v>
      </c>
      <c r="D3767" s="85">
        <v>45514</v>
      </c>
      <c r="E3767" s="31">
        <v>0</v>
      </c>
      <c r="F3767" s="31">
        <v>25000</v>
      </c>
      <c r="G3767" s="31">
        <v>0</v>
      </c>
      <c r="H3767" s="31">
        <v>0</v>
      </c>
      <c r="I3767" s="31" t="s">
        <v>85</v>
      </c>
      <c r="J3767" s="5" t="s">
        <v>2819</v>
      </c>
      <c r="K3767" s="8"/>
    </row>
    <row r="3768" spans="1:11" x14ac:dyDescent="0.2">
      <c r="A3768" s="8">
        <v>2745</v>
      </c>
      <c r="B3768" s="8">
        <f t="shared" si="122"/>
        <v>2024</v>
      </c>
      <c r="C3768" s="8">
        <f t="shared" si="123"/>
        <v>8</v>
      </c>
      <c r="D3768" s="85">
        <v>45514</v>
      </c>
      <c r="E3768" s="31">
        <v>0</v>
      </c>
      <c r="F3768" s="31">
        <v>20000</v>
      </c>
      <c r="G3768" s="31">
        <v>0</v>
      </c>
      <c r="H3768" s="31">
        <v>0</v>
      </c>
      <c r="I3768" s="31" t="s">
        <v>91</v>
      </c>
      <c r="J3768" s="5" t="s">
        <v>2710</v>
      </c>
      <c r="K3768" s="8"/>
    </row>
    <row r="3769" spans="1:11" x14ac:dyDescent="0.2">
      <c r="A3769" s="8">
        <v>2746</v>
      </c>
      <c r="B3769" s="8">
        <f t="shared" si="122"/>
        <v>2024</v>
      </c>
      <c r="C3769" s="8">
        <f t="shared" si="123"/>
        <v>8</v>
      </c>
      <c r="D3769" s="85">
        <v>45515</v>
      </c>
      <c r="E3769" s="31">
        <v>0</v>
      </c>
      <c r="F3769" s="31">
        <v>50000</v>
      </c>
      <c r="G3769" s="31">
        <v>0</v>
      </c>
      <c r="H3769" s="31">
        <v>0</v>
      </c>
      <c r="I3769" s="31" t="s">
        <v>91</v>
      </c>
      <c r="J3769" s="5" t="s">
        <v>2820</v>
      </c>
      <c r="K3769" s="8"/>
    </row>
    <row r="3770" spans="1:11" x14ac:dyDescent="0.2">
      <c r="A3770" s="8">
        <v>2747</v>
      </c>
      <c r="B3770" s="8">
        <f t="shared" si="122"/>
        <v>2024</v>
      </c>
      <c r="C3770" s="8">
        <f t="shared" si="123"/>
        <v>8</v>
      </c>
      <c r="D3770" s="85">
        <v>45515</v>
      </c>
      <c r="E3770" s="31">
        <v>0</v>
      </c>
      <c r="F3770" s="31">
        <v>700000</v>
      </c>
      <c r="G3770" s="31">
        <v>0</v>
      </c>
      <c r="H3770" s="31">
        <v>0</v>
      </c>
      <c r="I3770" s="31" t="s">
        <v>1729</v>
      </c>
      <c r="J3770" s="5" t="s">
        <v>2524</v>
      </c>
      <c r="K3770" s="8"/>
    </row>
    <row r="3771" spans="1:11" x14ac:dyDescent="0.2">
      <c r="A3771" s="8">
        <v>2748</v>
      </c>
      <c r="B3771" s="8">
        <f t="shared" si="122"/>
        <v>2024</v>
      </c>
      <c r="C3771" s="8">
        <f t="shared" si="123"/>
        <v>8</v>
      </c>
      <c r="D3771" s="85">
        <v>45515</v>
      </c>
      <c r="E3771" s="31">
        <v>0</v>
      </c>
      <c r="F3771" s="31">
        <v>300000</v>
      </c>
      <c r="G3771" s="31">
        <v>0</v>
      </c>
      <c r="H3771" s="31">
        <v>0</v>
      </c>
      <c r="I3771" s="31" t="s">
        <v>1350</v>
      </c>
      <c r="J3771" s="5" t="s">
        <v>2821</v>
      </c>
      <c r="K3771" s="8"/>
    </row>
    <row r="3772" spans="1:11" x14ac:dyDescent="0.2">
      <c r="A3772" s="8">
        <v>2749</v>
      </c>
      <c r="B3772" s="8">
        <f t="shared" si="122"/>
        <v>2024</v>
      </c>
      <c r="C3772" s="8">
        <f t="shared" si="123"/>
        <v>8</v>
      </c>
      <c r="D3772" s="85">
        <v>45516</v>
      </c>
      <c r="E3772" s="31">
        <v>0</v>
      </c>
      <c r="F3772" s="31">
        <v>15000</v>
      </c>
      <c r="G3772" s="31">
        <v>0</v>
      </c>
      <c r="H3772" s="31">
        <v>0</v>
      </c>
      <c r="I3772" s="31" t="s">
        <v>149</v>
      </c>
      <c r="J3772" s="5" t="s">
        <v>2379</v>
      </c>
      <c r="K3772" s="8"/>
    </row>
    <row r="3773" spans="1:11" x14ac:dyDescent="0.2">
      <c r="A3773" s="8">
        <v>2750</v>
      </c>
      <c r="B3773" s="8">
        <f t="shared" si="122"/>
        <v>2024</v>
      </c>
      <c r="C3773" s="8">
        <f t="shared" si="123"/>
        <v>8</v>
      </c>
      <c r="D3773" s="85">
        <v>45517</v>
      </c>
      <c r="E3773" s="31">
        <v>0</v>
      </c>
      <c r="F3773" s="31">
        <v>10000</v>
      </c>
      <c r="G3773" s="31">
        <v>0</v>
      </c>
      <c r="H3773" s="31">
        <v>0</v>
      </c>
      <c r="I3773" s="31" t="s">
        <v>149</v>
      </c>
      <c r="J3773" s="5" t="s">
        <v>2403</v>
      </c>
      <c r="K3773" s="8"/>
    </row>
    <row r="3774" spans="1:11" x14ac:dyDescent="0.2">
      <c r="A3774" s="8">
        <v>2751</v>
      </c>
      <c r="B3774" s="8">
        <f t="shared" si="122"/>
        <v>2024</v>
      </c>
      <c r="C3774" s="8">
        <f t="shared" si="123"/>
        <v>8</v>
      </c>
      <c r="D3774" s="85">
        <v>45518</v>
      </c>
      <c r="E3774" s="31">
        <v>0</v>
      </c>
      <c r="F3774" s="31">
        <v>10000</v>
      </c>
      <c r="G3774" s="31">
        <v>0</v>
      </c>
      <c r="H3774" s="31">
        <v>0</v>
      </c>
      <c r="I3774" s="31" t="s">
        <v>149</v>
      </c>
      <c r="J3774" s="5" t="s">
        <v>2403</v>
      </c>
      <c r="K3774" s="8"/>
    </row>
    <row r="3775" spans="1:11" x14ac:dyDescent="0.2">
      <c r="A3775" s="8">
        <v>2752</v>
      </c>
      <c r="B3775" s="8">
        <f t="shared" si="122"/>
        <v>2024</v>
      </c>
      <c r="C3775" s="8">
        <f t="shared" si="123"/>
        <v>8</v>
      </c>
      <c r="D3775" s="85">
        <v>45519</v>
      </c>
      <c r="E3775" s="31">
        <v>0</v>
      </c>
      <c r="F3775" s="31">
        <v>204000</v>
      </c>
      <c r="G3775" s="31">
        <v>0</v>
      </c>
      <c r="H3775" s="31">
        <v>0</v>
      </c>
      <c r="I3775" s="31" t="s">
        <v>299</v>
      </c>
      <c r="J3775" s="5" t="s">
        <v>2822</v>
      </c>
      <c r="K3775" s="8"/>
    </row>
    <row r="3776" spans="1:11" x14ac:dyDescent="0.2">
      <c r="A3776" s="8">
        <v>2753</v>
      </c>
      <c r="B3776" s="8">
        <f t="shared" si="122"/>
        <v>2024</v>
      </c>
      <c r="C3776" s="8">
        <f t="shared" si="123"/>
        <v>8</v>
      </c>
      <c r="D3776" s="85">
        <v>45519</v>
      </c>
      <c r="E3776" s="31">
        <v>0</v>
      </c>
      <c r="F3776" s="31">
        <v>10000</v>
      </c>
      <c r="G3776" s="31">
        <v>0</v>
      </c>
      <c r="H3776" s="31">
        <v>0</v>
      </c>
      <c r="I3776" s="31" t="s">
        <v>149</v>
      </c>
      <c r="J3776" s="5" t="s">
        <v>2403</v>
      </c>
      <c r="K3776" s="8"/>
    </row>
    <row r="3777" spans="1:11" x14ac:dyDescent="0.2">
      <c r="A3777" s="8">
        <v>2754</v>
      </c>
      <c r="B3777" s="8">
        <f t="shared" si="122"/>
        <v>2024</v>
      </c>
      <c r="C3777" s="8">
        <f t="shared" si="123"/>
        <v>8</v>
      </c>
      <c r="D3777" s="85">
        <v>45520</v>
      </c>
      <c r="E3777" s="31">
        <v>0</v>
      </c>
      <c r="F3777" s="31">
        <v>50000</v>
      </c>
      <c r="G3777" s="31">
        <v>0</v>
      </c>
      <c r="H3777" s="31">
        <v>0</v>
      </c>
      <c r="I3777" s="31" t="s">
        <v>85</v>
      </c>
      <c r="J3777" s="5" t="s">
        <v>287</v>
      </c>
      <c r="K3777" s="8"/>
    </row>
    <row r="3778" spans="1:11" x14ac:dyDescent="0.2">
      <c r="A3778" s="8">
        <v>2755</v>
      </c>
      <c r="B3778" s="8">
        <f t="shared" si="122"/>
        <v>2024</v>
      </c>
      <c r="C3778" s="8">
        <f t="shared" si="123"/>
        <v>8</v>
      </c>
      <c r="D3778" s="85">
        <v>45521</v>
      </c>
      <c r="E3778" s="31">
        <v>0</v>
      </c>
      <c r="F3778" s="31">
        <v>11000</v>
      </c>
      <c r="G3778" s="31">
        <v>0</v>
      </c>
      <c r="H3778" s="31">
        <v>0</v>
      </c>
      <c r="I3778" s="31" t="s">
        <v>85</v>
      </c>
      <c r="J3778" s="5" t="s">
        <v>2823</v>
      </c>
      <c r="K3778" s="8"/>
    </row>
    <row r="3779" spans="1:11" x14ac:dyDescent="0.2">
      <c r="A3779" s="8">
        <v>2756</v>
      </c>
      <c r="B3779" s="8">
        <f t="shared" ref="B3779:B3842" si="124">YEAR(D3779)</f>
        <v>2024</v>
      </c>
      <c r="C3779" s="8">
        <f t="shared" ref="C3779:C3842" si="125">MONTH(D3779)</f>
        <v>8</v>
      </c>
      <c r="D3779" s="85">
        <v>45521</v>
      </c>
      <c r="E3779" s="31">
        <v>0</v>
      </c>
      <c r="F3779" s="31">
        <v>41000</v>
      </c>
      <c r="G3779" s="31">
        <v>0</v>
      </c>
      <c r="H3779" s="31">
        <v>0</v>
      </c>
      <c r="I3779" s="31" t="s">
        <v>85</v>
      </c>
      <c r="J3779" s="5" t="s">
        <v>2824</v>
      </c>
      <c r="K3779" s="8"/>
    </row>
    <row r="3780" spans="1:11" x14ac:dyDescent="0.2">
      <c r="A3780" s="8">
        <v>2757</v>
      </c>
      <c r="B3780" s="8">
        <f t="shared" si="124"/>
        <v>2024</v>
      </c>
      <c r="C3780" s="8">
        <f t="shared" si="125"/>
        <v>8</v>
      </c>
      <c r="D3780" s="85">
        <v>45521</v>
      </c>
      <c r="E3780" s="31">
        <v>0</v>
      </c>
      <c r="F3780" s="31">
        <v>35000</v>
      </c>
      <c r="G3780" s="31">
        <v>0</v>
      </c>
      <c r="H3780" s="31">
        <v>0</v>
      </c>
      <c r="I3780" s="31" t="s">
        <v>91</v>
      </c>
      <c r="J3780" s="5" t="s">
        <v>2825</v>
      </c>
      <c r="K3780" s="8"/>
    </row>
    <row r="3781" spans="1:11" x14ac:dyDescent="0.2">
      <c r="A3781" s="8">
        <v>2758</v>
      </c>
      <c r="B3781" s="8">
        <f t="shared" si="124"/>
        <v>2024</v>
      </c>
      <c r="C3781" s="8">
        <f t="shared" si="125"/>
        <v>8</v>
      </c>
      <c r="D3781" s="85">
        <v>45521</v>
      </c>
      <c r="E3781" s="31">
        <v>0</v>
      </c>
      <c r="F3781" s="31">
        <v>56000</v>
      </c>
      <c r="G3781" s="31">
        <v>0</v>
      </c>
      <c r="H3781" s="31">
        <v>0</v>
      </c>
      <c r="I3781" s="31" t="s">
        <v>1999</v>
      </c>
      <c r="J3781" s="5" t="s">
        <v>2826</v>
      </c>
      <c r="K3781" s="8"/>
    </row>
    <row r="3782" spans="1:11" x14ac:dyDescent="0.2">
      <c r="A3782" s="8">
        <v>2759</v>
      </c>
      <c r="B3782" s="8">
        <f t="shared" si="124"/>
        <v>2024</v>
      </c>
      <c r="C3782" s="8">
        <f t="shared" si="125"/>
        <v>8</v>
      </c>
      <c r="D3782" s="85">
        <v>45521</v>
      </c>
      <c r="E3782" s="31">
        <v>0</v>
      </c>
      <c r="F3782" s="31">
        <v>50000</v>
      </c>
      <c r="G3782" s="31">
        <v>0</v>
      </c>
      <c r="H3782" s="31">
        <v>0</v>
      </c>
      <c r="I3782" s="31" t="s">
        <v>85</v>
      </c>
      <c r="J3782" s="5" t="s">
        <v>2827</v>
      </c>
      <c r="K3782" s="8"/>
    </row>
    <row r="3783" spans="1:11" x14ac:dyDescent="0.2">
      <c r="A3783" s="8">
        <v>2760</v>
      </c>
      <c r="B3783" s="8">
        <f t="shared" si="124"/>
        <v>2024</v>
      </c>
      <c r="C3783" s="8">
        <f t="shared" si="125"/>
        <v>8</v>
      </c>
      <c r="D3783" s="85">
        <v>45522</v>
      </c>
      <c r="E3783" s="31">
        <v>0</v>
      </c>
      <c r="F3783" s="31">
        <v>100000</v>
      </c>
      <c r="G3783" s="31">
        <v>0</v>
      </c>
      <c r="H3783" s="31">
        <v>0</v>
      </c>
      <c r="I3783" s="31" t="s">
        <v>1815</v>
      </c>
      <c r="J3783" s="5" t="s">
        <v>2828</v>
      </c>
      <c r="K3783" s="8"/>
    </row>
    <row r="3784" spans="1:11" x14ac:dyDescent="0.2">
      <c r="A3784" s="8">
        <v>2761</v>
      </c>
      <c r="B3784" s="8">
        <f t="shared" si="124"/>
        <v>2024</v>
      </c>
      <c r="C3784" s="8">
        <f t="shared" si="125"/>
        <v>8</v>
      </c>
      <c r="D3784" s="85">
        <v>45523</v>
      </c>
      <c r="E3784" s="31">
        <v>0</v>
      </c>
      <c r="F3784" s="31">
        <v>20000</v>
      </c>
      <c r="G3784" s="31">
        <v>0</v>
      </c>
      <c r="H3784" s="31">
        <v>0</v>
      </c>
      <c r="I3784" s="31" t="s">
        <v>91</v>
      </c>
      <c r="J3784" s="5" t="s">
        <v>2416</v>
      </c>
      <c r="K3784" s="8"/>
    </row>
    <row r="3785" spans="1:11" x14ac:dyDescent="0.2">
      <c r="A3785" s="8">
        <v>2762</v>
      </c>
      <c r="B3785" s="8">
        <f t="shared" si="124"/>
        <v>2024</v>
      </c>
      <c r="C3785" s="8">
        <f t="shared" si="125"/>
        <v>8</v>
      </c>
      <c r="D3785" s="85">
        <v>45524</v>
      </c>
      <c r="E3785" s="31">
        <v>0</v>
      </c>
      <c r="F3785" s="31">
        <v>20000</v>
      </c>
      <c r="G3785" s="31">
        <v>0</v>
      </c>
      <c r="H3785" s="31">
        <v>0</v>
      </c>
      <c r="I3785" s="31" t="s">
        <v>85</v>
      </c>
      <c r="J3785" s="5" t="s">
        <v>2829</v>
      </c>
      <c r="K3785" s="8"/>
    </row>
    <row r="3786" spans="1:11" x14ac:dyDescent="0.2">
      <c r="A3786" s="8">
        <v>2763</v>
      </c>
      <c r="B3786" s="8">
        <f t="shared" si="124"/>
        <v>2024</v>
      </c>
      <c r="C3786" s="8">
        <f t="shared" si="125"/>
        <v>8</v>
      </c>
      <c r="D3786" s="85">
        <v>45525</v>
      </c>
      <c r="E3786" s="31">
        <v>0</v>
      </c>
      <c r="F3786" s="31">
        <v>50000</v>
      </c>
      <c r="G3786" s="31">
        <v>0</v>
      </c>
      <c r="H3786" s="31">
        <v>0</v>
      </c>
      <c r="I3786" s="31" t="s">
        <v>85</v>
      </c>
      <c r="J3786" s="5" t="s">
        <v>287</v>
      </c>
      <c r="K3786" s="8"/>
    </row>
    <row r="3787" spans="1:11" x14ac:dyDescent="0.2">
      <c r="A3787" s="8">
        <v>2764</v>
      </c>
      <c r="B3787" s="8">
        <f t="shared" si="124"/>
        <v>2024</v>
      </c>
      <c r="C3787" s="8">
        <f t="shared" si="125"/>
        <v>8</v>
      </c>
      <c r="D3787" s="85">
        <v>45526</v>
      </c>
      <c r="E3787" s="31">
        <v>0</v>
      </c>
      <c r="F3787" s="31">
        <v>20000</v>
      </c>
      <c r="G3787" s="31">
        <v>0</v>
      </c>
      <c r="H3787" s="31">
        <v>0</v>
      </c>
      <c r="I3787" s="31" t="s">
        <v>91</v>
      </c>
      <c r="J3787" s="5" t="s">
        <v>2743</v>
      </c>
      <c r="K3787" s="8"/>
    </row>
    <row r="3788" spans="1:11" x14ac:dyDescent="0.2">
      <c r="A3788" s="8">
        <v>2765</v>
      </c>
      <c r="B3788" s="8">
        <f t="shared" si="124"/>
        <v>2024</v>
      </c>
      <c r="C3788" s="8">
        <f t="shared" si="125"/>
        <v>8</v>
      </c>
      <c r="D3788" s="85">
        <v>45526</v>
      </c>
      <c r="E3788" s="31">
        <v>0</v>
      </c>
      <c r="F3788" s="31">
        <v>23000</v>
      </c>
      <c r="G3788" s="31">
        <v>0</v>
      </c>
      <c r="H3788" s="31">
        <v>0</v>
      </c>
      <c r="I3788" s="31" t="s">
        <v>91</v>
      </c>
      <c r="J3788" s="5" t="s">
        <v>2380</v>
      </c>
      <c r="K3788" s="8"/>
    </row>
    <row r="3789" spans="1:11" x14ac:dyDescent="0.2">
      <c r="A3789" s="8">
        <v>2766</v>
      </c>
      <c r="B3789" s="8">
        <f t="shared" si="124"/>
        <v>2024</v>
      </c>
      <c r="C3789" s="8">
        <f t="shared" si="125"/>
        <v>8</v>
      </c>
      <c r="D3789" s="85">
        <v>45526</v>
      </c>
      <c r="E3789" s="31">
        <v>0</v>
      </c>
      <c r="F3789" s="31">
        <v>20000</v>
      </c>
      <c r="G3789" s="31">
        <v>0</v>
      </c>
      <c r="H3789" s="31">
        <v>0</v>
      </c>
      <c r="I3789" s="31" t="s">
        <v>85</v>
      </c>
      <c r="J3789" s="5" t="s">
        <v>2830</v>
      </c>
      <c r="K3789" s="8"/>
    </row>
    <row r="3790" spans="1:11" x14ac:dyDescent="0.2">
      <c r="A3790" s="8">
        <v>2767</v>
      </c>
      <c r="B3790" s="8">
        <f t="shared" si="124"/>
        <v>2024</v>
      </c>
      <c r="C3790" s="8">
        <f t="shared" si="125"/>
        <v>8</v>
      </c>
      <c r="D3790" s="85">
        <v>45526</v>
      </c>
      <c r="E3790" s="31">
        <v>0</v>
      </c>
      <c r="F3790" s="31">
        <v>5000</v>
      </c>
      <c r="G3790" s="31">
        <v>0</v>
      </c>
      <c r="H3790" s="31">
        <v>0</v>
      </c>
      <c r="I3790" s="31" t="s">
        <v>149</v>
      </c>
      <c r="J3790" s="5" t="s">
        <v>2831</v>
      </c>
      <c r="K3790" s="8"/>
    </row>
    <row r="3791" spans="1:11" x14ac:dyDescent="0.2">
      <c r="A3791" s="8">
        <v>2768</v>
      </c>
      <c r="B3791" s="8">
        <f t="shared" si="124"/>
        <v>2024</v>
      </c>
      <c r="C3791" s="8">
        <f t="shared" si="125"/>
        <v>8</v>
      </c>
      <c r="D3791" s="85">
        <v>45527</v>
      </c>
      <c r="E3791" s="31">
        <v>0</v>
      </c>
      <c r="F3791" s="31">
        <v>50000</v>
      </c>
      <c r="G3791" s="31">
        <v>0</v>
      </c>
      <c r="H3791" s="31">
        <v>0</v>
      </c>
      <c r="I3791" s="31" t="s">
        <v>85</v>
      </c>
      <c r="J3791" s="5" t="s">
        <v>287</v>
      </c>
      <c r="K3791" s="8"/>
    </row>
    <row r="3792" spans="1:11" x14ac:dyDescent="0.2">
      <c r="A3792" s="8">
        <v>2769</v>
      </c>
      <c r="B3792" s="8">
        <f t="shared" si="124"/>
        <v>2024</v>
      </c>
      <c r="C3792" s="8">
        <f t="shared" si="125"/>
        <v>8</v>
      </c>
      <c r="D3792" s="85">
        <v>45528</v>
      </c>
      <c r="E3792" s="31">
        <v>0</v>
      </c>
      <c r="F3792" s="31">
        <v>50000</v>
      </c>
      <c r="G3792" s="31">
        <v>0</v>
      </c>
      <c r="H3792" s="31">
        <v>0</v>
      </c>
      <c r="I3792" s="31" t="s">
        <v>85</v>
      </c>
      <c r="J3792" s="5" t="s">
        <v>287</v>
      </c>
      <c r="K3792" s="8"/>
    </row>
    <row r="3793" spans="1:11" x14ac:dyDescent="0.2">
      <c r="A3793" s="8">
        <v>2770</v>
      </c>
      <c r="B3793" s="8">
        <f t="shared" si="124"/>
        <v>2024</v>
      </c>
      <c r="C3793" s="8">
        <f t="shared" si="125"/>
        <v>8</v>
      </c>
      <c r="D3793" s="85">
        <v>45529</v>
      </c>
      <c r="E3793" s="31">
        <v>0</v>
      </c>
      <c r="F3793" s="31">
        <v>50000</v>
      </c>
      <c r="G3793" s="31">
        <v>0</v>
      </c>
      <c r="H3793" s="31">
        <v>0</v>
      </c>
      <c r="I3793" s="31" t="s">
        <v>85</v>
      </c>
      <c r="J3793" s="5" t="s">
        <v>287</v>
      </c>
      <c r="K3793" s="8"/>
    </row>
    <row r="3794" spans="1:11" x14ac:dyDescent="0.2">
      <c r="A3794" s="8">
        <v>2771</v>
      </c>
      <c r="B3794" s="8">
        <f t="shared" si="124"/>
        <v>2024</v>
      </c>
      <c r="C3794" s="8">
        <f t="shared" si="125"/>
        <v>8</v>
      </c>
      <c r="D3794" s="85">
        <v>45530</v>
      </c>
      <c r="E3794" s="31">
        <v>0</v>
      </c>
      <c r="F3794" s="31">
        <v>50000</v>
      </c>
      <c r="G3794" s="31">
        <v>0</v>
      </c>
      <c r="H3794" s="31">
        <v>0</v>
      </c>
      <c r="I3794" s="31" t="s">
        <v>85</v>
      </c>
      <c r="J3794" s="5" t="s">
        <v>287</v>
      </c>
      <c r="K3794" s="8"/>
    </row>
    <row r="3795" spans="1:11" x14ac:dyDescent="0.2">
      <c r="A3795" s="8">
        <v>2772</v>
      </c>
      <c r="B3795" s="8">
        <f t="shared" si="124"/>
        <v>2024</v>
      </c>
      <c r="C3795" s="8">
        <f t="shared" si="125"/>
        <v>8</v>
      </c>
      <c r="D3795" s="85">
        <v>45531</v>
      </c>
      <c r="E3795" s="31">
        <v>0</v>
      </c>
      <c r="F3795" s="31">
        <v>280000</v>
      </c>
      <c r="G3795" s="31">
        <v>0</v>
      </c>
      <c r="H3795" s="31">
        <v>0</v>
      </c>
      <c r="I3795" s="31" t="s">
        <v>1815</v>
      </c>
      <c r="J3795" s="5" t="s">
        <v>2832</v>
      </c>
      <c r="K3795" s="8"/>
    </row>
    <row r="3796" spans="1:11" x14ac:dyDescent="0.2">
      <c r="A3796" s="8">
        <v>2773</v>
      </c>
      <c r="B3796" s="8">
        <f t="shared" si="124"/>
        <v>2024</v>
      </c>
      <c r="C3796" s="8">
        <f t="shared" si="125"/>
        <v>8</v>
      </c>
      <c r="D3796" s="85">
        <v>45531</v>
      </c>
      <c r="E3796" s="31">
        <v>0</v>
      </c>
      <c r="F3796" s="31">
        <v>70000</v>
      </c>
      <c r="G3796" s="31">
        <v>0</v>
      </c>
      <c r="H3796" s="31">
        <v>0</v>
      </c>
      <c r="I3796" s="31" t="s">
        <v>1815</v>
      </c>
      <c r="J3796" s="5" t="s">
        <v>2833</v>
      </c>
      <c r="K3796" s="8"/>
    </row>
    <row r="3797" spans="1:11" x14ac:dyDescent="0.2">
      <c r="A3797" s="8">
        <v>2774</v>
      </c>
      <c r="B3797" s="8">
        <f t="shared" si="124"/>
        <v>2024</v>
      </c>
      <c r="C3797" s="8">
        <f t="shared" si="125"/>
        <v>8</v>
      </c>
      <c r="D3797" s="85">
        <v>45531</v>
      </c>
      <c r="E3797" s="31">
        <v>0</v>
      </c>
      <c r="F3797" s="31">
        <v>186000</v>
      </c>
      <c r="G3797" s="31">
        <v>0</v>
      </c>
      <c r="H3797" s="31">
        <v>0</v>
      </c>
      <c r="I3797" s="31" t="s">
        <v>299</v>
      </c>
      <c r="J3797" s="5" t="s">
        <v>2834</v>
      </c>
      <c r="K3797" s="8"/>
    </row>
    <row r="3798" spans="1:11" x14ac:dyDescent="0.2">
      <c r="A3798" s="8">
        <v>2775</v>
      </c>
      <c r="B3798" s="8">
        <f t="shared" si="124"/>
        <v>2024</v>
      </c>
      <c r="C3798" s="8">
        <f t="shared" si="125"/>
        <v>8</v>
      </c>
      <c r="D3798" s="85">
        <v>45531</v>
      </c>
      <c r="E3798" s="31">
        <v>0</v>
      </c>
      <c r="F3798" s="31">
        <v>30000</v>
      </c>
      <c r="G3798" s="31">
        <v>0</v>
      </c>
      <c r="H3798" s="31">
        <v>0</v>
      </c>
      <c r="I3798" s="31" t="s">
        <v>85</v>
      </c>
      <c r="J3798" s="5" t="s">
        <v>2835</v>
      </c>
      <c r="K3798" s="8"/>
    </row>
    <row r="3799" spans="1:11" x14ac:dyDescent="0.2">
      <c r="A3799" s="8">
        <v>2776</v>
      </c>
      <c r="B3799" s="8">
        <f t="shared" si="124"/>
        <v>2024</v>
      </c>
      <c r="C3799" s="8">
        <f t="shared" si="125"/>
        <v>8</v>
      </c>
      <c r="D3799" s="85">
        <v>45532</v>
      </c>
      <c r="E3799" s="31">
        <v>0</v>
      </c>
      <c r="F3799" s="31">
        <v>50000</v>
      </c>
      <c r="G3799" s="31">
        <v>0</v>
      </c>
      <c r="H3799" s="31">
        <v>0</v>
      </c>
      <c r="I3799" s="31" t="s">
        <v>85</v>
      </c>
      <c r="J3799" s="5" t="s">
        <v>287</v>
      </c>
      <c r="K3799" s="8"/>
    </row>
    <row r="3800" spans="1:11" x14ac:dyDescent="0.2">
      <c r="A3800" s="8">
        <v>2777</v>
      </c>
      <c r="B3800" s="8">
        <f t="shared" si="124"/>
        <v>2024</v>
      </c>
      <c r="C3800" s="8">
        <f t="shared" si="125"/>
        <v>8</v>
      </c>
      <c r="D3800" s="85">
        <v>45533</v>
      </c>
      <c r="E3800" s="31">
        <v>0</v>
      </c>
      <c r="F3800" s="31">
        <v>50000</v>
      </c>
      <c r="G3800" s="31">
        <v>0</v>
      </c>
      <c r="H3800" s="31">
        <v>0</v>
      </c>
      <c r="I3800" s="31" t="s">
        <v>85</v>
      </c>
      <c r="J3800" s="5" t="s">
        <v>287</v>
      </c>
      <c r="K3800" s="8"/>
    </row>
    <row r="3801" spans="1:11" x14ac:dyDescent="0.2">
      <c r="A3801" s="8">
        <v>2778</v>
      </c>
      <c r="B3801" s="8">
        <f t="shared" si="124"/>
        <v>2024</v>
      </c>
      <c r="C3801" s="8">
        <f t="shared" si="125"/>
        <v>8</v>
      </c>
      <c r="D3801" s="85">
        <v>45534</v>
      </c>
      <c r="E3801" s="31">
        <v>0</v>
      </c>
      <c r="F3801" s="31">
        <v>50000</v>
      </c>
      <c r="G3801" s="31">
        <v>0</v>
      </c>
      <c r="H3801" s="31">
        <v>0</v>
      </c>
      <c r="I3801" s="31" t="s">
        <v>85</v>
      </c>
      <c r="J3801" s="5" t="s">
        <v>287</v>
      </c>
      <c r="K3801" s="8"/>
    </row>
    <row r="3802" spans="1:11" x14ac:dyDescent="0.2">
      <c r="A3802" s="8">
        <v>2779</v>
      </c>
      <c r="B3802" s="8">
        <f t="shared" si="124"/>
        <v>2024</v>
      </c>
      <c r="C3802" s="8">
        <f t="shared" si="125"/>
        <v>8</v>
      </c>
      <c r="D3802" s="85">
        <v>45535</v>
      </c>
      <c r="E3802" s="31">
        <v>0</v>
      </c>
      <c r="F3802" s="31">
        <v>50000</v>
      </c>
      <c r="G3802" s="31">
        <v>0</v>
      </c>
      <c r="H3802" s="31">
        <v>0</v>
      </c>
      <c r="I3802" s="31" t="s">
        <v>85</v>
      </c>
      <c r="J3802" s="5" t="s">
        <v>287</v>
      </c>
      <c r="K3802" s="8"/>
    </row>
    <row r="3803" spans="1:11" x14ac:dyDescent="0.2">
      <c r="A3803" s="8">
        <v>2780</v>
      </c>
      <c r="B3803" s="8">
        <f t="shared" si="124"/>
        <v>2024</v>
      </c>
      <c r="C3803" s="8">
        <f t="shared" si="125"/>
        <v>9</v>
      </c>
      <c r="D3803" s="85">
        <v>45536</v>
      </c>
      <c r="E3803" s="31">
        <v>0</v>
      </c>
      <c r="F3803" s="31">
        <v>50000</v>
      </c>
      <c r="G3803" s="31">
        <v>0</v>
      </c>
      <c r="H3803" s="31">
        <v>0</v>
      </c>
      <c r="I3803" s="31" t="s">
        <v>85</v>
      </c>
      <c r="J3803" s="5" t="s">
        <v>287</v>
      </c>
      <c r="K3803" s="8"/>
    </row>
    <row r="3804" spans="1:11" x14ac:dyDescent="0.2">
      <c r="A3804" s="8">
        <v>2783</v>
      </c>
      <c r="B3804" s="8">
        <f t="shared" si="124"/>
        <v>2024</v>
      </c>
      <c r="C3804" s="8">
        <f t="shared" si="125"/>
        <v>9</v>
      </c>
      <c r="D3804" s="85">
        <v>45537</v>
      </c>
      <c r="E3804" s="31">
        <v>0</v>
      </c>
      <c r="F3804" s="31">
        <v>10000</v>
      </c>
      <c r="G3804" s="31">
        <v>0</v>
      </c>
      <c r="H3804" s="31">
        <v>0</v>
      </c>
      <c r="I3804" s="31" t="s">
        <v>149</v>
      </c>
      <c r="J3804" s="5" t="s">
        <v>2613</v>
      </c>
      <c r="K3804" s="8"/>
    </row>
    <row r="3805" spans="1:11" x14ac:dyDescent="0.2">
      <c r="A3805" s="8">
        <v>2784</v>
      </c>
      <c r="B3805" s="8">
        <f t="shared" si="124"/>
        <v>2024</v>
      </c>
      <c r="C3805" s="8">
        <f t="shared" si="125"/>
        <v>9</v>
      </c>
      <c r="D3805" s="85">
        <v>45537</v>
      </c>
      <c r="E3805" s="31">
        <v>0</v>
      </c>
      <c r="F3805" s="31">
        <v>14000</v>
      </c>
      <c r="G3805" s="31">
        <v>0</v>
      </c>
      <c r="H3805" s="31">
        <v>0</v>
      </c>
      <c r="I3805" s="31" t="s">
        <v>91</v>
      </c>
      <c r="J3805" s="5" t="s">
        <v>2489</v>
      </c>
      <c r="K3805" s="8"/>
    </row>
    <row r="3806" spans="1:11" x14ac:dyDescent="0.2">
      <c r="A3806" s="8">
        <v>2785</v>
      </c>
      <c r="B3806" s="8">
        <f t="shared" si="124"/>
        <v>2024</v>
      </c>
      <c r="C3806" s="8">
        <f t="shared" si="125"/>
        <v>9</v>
      </c>
      <c r="D3806" s="85">
        <v>45537</v>
      </c>
      <c r="E3806" s="31">
        <v>0</v>
      </c>
      <c r="F3806" s="31">
        <v>350000</v>
      </c>
      <c r="G3806" s="31">
        <v>0</v>
      </c>
      <c r="H3806" s="31">
        <v>0</v>
      </c>
      <c r="I3806" s="31" t="s">
        <v>2807</v>
      </c>
      <c r="J3806" s="5" t="s">
        <v>2836</v>
      </c>
      <c r="K3806" s="8"/>
    </row>
    <row r="3807" spans="1:11" x14ac:dyDescent="0.2">
      <c r="A3807" s="8">
        <v>2786</v>
      </c>
      <c r="B3807" s="8">
        <f t="shared" si="124"/>
        <v>2024</v>
      </c>
      <c r="C3807" s="8">
        <f t="shared" si="125"/>
        <v>9</v>
      </c>
      <c r="D3807" s="85">
        <v>45538</v>
      </c>
      <c r="E3807" s="31">
        <v>0</v>
      </c>
      <c r="F3807" s="31">
        <v>50000</v>
      </c>
      <c r="G3807" s="31">
        <v>0</v>
      </c>
      <c r="H3807" s="31">
        <v>0</v>
      </c>
      <c r="I3807" s="31" t="s">
        <v>149</v>
      </c>
      <c r="J3807" s="5" t="s">
        <v>2602</v>
      </c>
      <c r="K3807" s="8"/>
    </row>
    <row r="3808" spans="1:11" x14ac:dyDescent="0.2">
      <c r="A3808" s="8">
        <v>2787</v>
      </c>
      <c r="B3808" s="8">
        <f t="shared" si="124"/>
        <v>2024</v>
      </c>
      <c r="C3808" s="8">
        <f t="shared" si="125"/>
        <v>9</v>
      </c>
      <c r="D3808" s="85">
        <v>45539</v>
      </c>
      <c r="E3808" s="31">
        <v>0</v>
      </c>
      <c r="F3808" s="31">
        <v>350000</v>
      </c>
      <c r="G3808" s="31">
        <v>0</v>
      </c>
      <c r="H3808" s="31">
        <v>0</v>
      </c>
      <c r="I3808" s="31" t="s">
        <v>1350</v>
      </c>
      <c r="J3808" s="5" t="s">
        <v>2837</v>
      </c>
      <c r="K3808" s="8"/>
    </row>
    <row r="3809" spans="1:11" x14ac:dyDescent="0.2">
      <c r="A3809" s="8">
        <v>2788</v>
      </c>
      <c r="B3809" s="8">
        <f t="shared" si="124"/>
        <v>2024</v>
      </c>
      <c r="C3809" s="8">
        <f t="shared" si="125"/>
        <v>9</v>
      </c>
      <c r="D3809" s="85">
        <v>45539</v>
      </c>
      <c r="E3809" s="31">
        <v>0</v>
      </c>
      <c r="F3809" s="31">
        <v>150000</v>
      </c>
      <c r="G3809" s="31">
        <v>0</v>
      </c>
      <c r="H3809" s="31">
        <v>0</v>
      </c>
      <c r="I3809" s="31" t="s">
        <v>1350</v>
      </c>
      <c r="J3809" s="5" t="s">
        <v>2838</v>
      </c>
      <c r="K3809" s="8"/>
    </row>
    <row r="3810" spans="1:11" x14ac:dyDescent="0.2">
      <c r="A3810" s="8">
        <v>2789</v>
      </c>
      <c r="B3810" s="8">
        <f t="shared" si="124"/>
        <v>2024</v>
      </c>
      <c r="C3810" s="8">
        <f t="shared" si="125"/>
        <v>9</v>
      </c>
      <c r="D3810" s="85">
        <v>45539</v>
      </c>
      <c r="E3810" s="31">
        <v>0</v>
      </c>
      <c r="F3810" s="31">
        <v>121000</v>
      </c>
      <c r="G3810" s="31">
        <v>0</v>
      </c>
      <c r="H3810" s="31">
        <v>0</v>
      </c>
      <c r="I3810" s="31" t="s">
        <v>1999</v>
      </c>
      <c r="J3810" s="5" t="s">
        <v>2839</v>
      </c>
      <c r="K3810" s="8"/>
    </row>
    <row r="3811" spans="1:11" x14ac:dyDescent="0.2">
      <c r="A3811" s="8">
        <v>2790</v>
      </c>
      <c r="B3811" s="8">
        <f t="shared" si="124"/>
        <v>2024</v>
      </c>
      <c r="C3811" s="8">
        <f t="shared" si="125"/>
        <v>9</v>
      </c>
      <c r="D3811" s="85">
        <v>45539</v>
      </c>
      <c r="E3811" s="31">
        <v>0</v>
      </c>
      <c r="F3811" s="31">
        <v>117000</v>
      </c>
      <c r="G3811" s="31">
        <v>0</v>
      </c>
      <c r="H3811" s="31">
        <v>0</v>
      </c>
      <c r="I3811" s="31" t="s">
        <v>1999</v>
      </c>
      <c r="J3811" s="5" t="s">
        <v>2840</v>
      </c>
      <c r="K3811" s="8"/>
    </row>
    <row r="3812" spans="1:11" x14ac:dyDescent="0.2">
      <c r="A3812" s="8">
        <v>2791</v>
      </c>
      <c r="B3812" s="8">
        <f t="shared" si="124"/>
        <v>2024</v>
      </c>
      <c r="C3812" s="8">
        <f t="shared" si="125"/>
        <v>9</v>
      </c>
      <c r="D3812" s="85">
        <v>45539</v>
      </c>
      <c r="E3812" s="31">
        <v>0</v>
      </c>
      <c r="F3812" s="31">
        <v>100000</v>
      </c>
      <c r="G3812" s="31">
        <v>0</v>
      </c>
      <c r="H3812" s="31">
        <v>0</v>
      </c>
      <c r="I3812" s="31" t="s">
        <v>85</v>
      </c>
      <c r="J3812" s="5" t="s">
        <v>2841</v>
      </c>
      <c r="K3812" s="8"/>
    </row>
    <row r="3813" spans="1:11" x14ac:dyDescent="0.2">
      <c r="A3813" s="8">
        <v>2793</v>
      </c>
      <c r="B3813" s="8">
        <f t="shared" si="124"/>
        <v>2024</v>
      </c>
      <c r="C3813" s="8">
        <f t="shared" si="125"/>
        <v>9</v>
      </c>
      <c r="D3813" s="85">
        <v>45540</v>
      </c>
      <c r="E3813" s="31">
        <v>0</v>
      </c>
      <c r="F3813" s="31">
        <v>173000</v>
      </c>
      <c r="G3813" s="31">
        <v>0</v>
      </c>
      <c r="H3813" s="31">
        <v>0</v>
      </c>
      <c r="I3813" s="31" t="s">
        <v>299</v>
      </c>
      <c r="J3813" s="5" t="s">
        <v>2842</v>
      </c>
      <c r="K3813" s="8"/>
    </row>
    <row r="3814" spans="1:11" x14ac:dyDescent="0.2">
      <c r="A3814" s="8">
        <v>2794</v>
      </c>
      <c r="B3814" s="8">
        <f t="shared" si="124"/>
        <v>2024</v>
      </c>
      <c r="C3814" s="8">
        <f t="shared" si="125"/>
        <v>9</v>
      </c>
      <c r="D3814" s="85">
        <v>45541</v>
      </c>
      <c r="E3814" s="31">
        <v>0</v>
      </c>
      <c r="F3814" s="31">
        <v>20000</v>
      </c>
      <c r="G3814" s="31">
        <v>0</v>
      </c>
      <c r="H3814" s="31">
        <v>0</v>
      </c>
      <c r="I3814" s="31" t="s">
        <v>91</v>
      </c>
      <c r="J3814" s="5" t="s">
        <v>2843</v>
      </c>
      <c r="K3814" s="8"/>
    </row>
    <row r="3815" spans="1:11" x14ac:dyDescent="0.2">
      <c r="A3815" s="8">
        <v>2795</v>
      </c>
      <c r="B3815" s="8">
        <f t="shared" si="124"/>
        <v>2024</v>
      </c>
      <c r="C3815" s="8">
        <f t="shared" si="125"/>
        <v>9</v>
      </c>
      <c r="D3815" s="85">
        <v>45541</v>
      </c>
      <c r="E3815" s="31">
        <v>0</v>
      </c>
      <c r="F3815" s="31">
        <v>20000</v>
      </c>
      <c r="G3815" s="31">
        <v>0</v>
      </c>
      <c r="H3815" s="31">
        <v>0</v>
      </c>
      <c r="I3815" s="31" t="s">
        <v>91</v>
      </c>
      <c r="J3815" s="5" t="s">
        <v>2597</v>
      </c>
      <c r="K3815" s="8"/>
    </row>
    <row r="3816" spans="1:11" x14ac:dyDescent="0.2">
      <c r="A3816" s="8">
        <v>2796</v>
      </c>
      <c r="B3816" s="8">
        <f t="shared" si="124"/>
        <v>2024</v>
      </c>
      <c r="C3816" s="8">
        <f t="shared" si="125"/>
        <v>9</v>
      </c>
      <c r="D3816" s="85">
        <v>45541</v>
      </c>
      <c r="E3816" s="31">
        <v>0</v>
      </c>
      <c r="F3816" s="31">
        <v>10000</v>
      </c>
      <c r="G3816" s="31">
        <v>0</v>
      </c>
      <c r="H3816" s="31">
        <v>0</v>
      </c>
      <c r="I3816" s="31" t="s">
        <v>149</v>
      </c>
      <c r="J3816" s="5" t="s">
        <v>2616</v>
      </c>
      <c r="K3816" s="8"/>
    </row>
    <row r="3817" spans="1:11" x14ac:dyDescent="0.2">
      <c r="A3817" s="8">
        <v>2797</v>
      </c>
      <c r="B3817" s="8">
        <f t="shared" si="124"/>
        <v>2024</v>
      </c>
      <c r="C3817" s="8">
        <f t="shared" si="125"/>
        <v>9</v>
      </c>
      <c r="D3817" s="85">
        <v>45541</v>
      </c>
      <c r="E3817" s="31">
        <v>0</v>
      </c>
      <c r="F3817" s="31">
        <v>15000</v>
      </c>
      <c r="G3817" s="31">
        <v>0</v>
      </c>
      <c r="H3817" s="31">
        <v>0</v>
      </c>
      <c r="I3817" s="31" t="s">
        <v>149</v>
      </c>
      <c r="J3817" s="5" t="s">
        <v>2844</v>
      </c>
      <c r="K3817" s="8"/>
    </row>
    <row r="3818" spans="1:11" x14ac:dyDescent="0.2">
      <c r="A3818" s="8">
        <v>2798</v>
      </c>
      <c r="B3818" s="8">
        <f t="shared" si="124"/>
        <v>2024</v>
      </c>
      <c r="C3818" s="8">
        <f t="shared" si="125"/>
        <v>9</v>
      </c>
      <c r="D3818" s="85">
        <v>45542</v>
      </c>
      <c r="E3818" s="31">
        <v>0</v>
      </c>
      <c r="F3818" s="31">
        <v>0</v>
      </c>
      <c r="G3818" s="31">
        <v>600000</v>
      </c>
      <c r="H3818" s="31">
        <v>0</v>
      </c>
      <c r="I3818" s="31"/>
      <c r="J3818" s="5" t="s">
        <v>2845</v>
      </c>
      <c r="K3818" s="8"/>
    </row>
    <row r="3819" spans="1:11" x14ac:dyDescent="0.2">
      <c r="A3819" s="8">
        <v>2799</v>
      </c>
      <c r="B3819" s="8">
        <f t="shared" si="124"/>
        <v>2024</v>
      </c>
      <c r="C3819" s="8">
        <f t="shared" si="125"/>
        <v>9</v>
      </c>
      <c r="D3819" s="85">
        <v>45543</v>
      </c>
      <c r="E3819" s="31">
        <v>0</v>
      </c>
      <c r="F3819" s="31">
        <v>95000</v>
      </c>
      <c r="G3819" s="31">
        <v>0</v>
      </c>
      <c r="H3819" s="31">
        <v>0</v>
      </c>
      <c r="I3819" s="31" t="s">
        <v>1999</v>
      </c>
      <c r="J3819" s="5" t="s">
        <v>2846</v>
      </c>
      <c r="K3819" s="8"/>
    </row>
    <row r="3820" spans="1:11" x14ac:dyDescent="0.2">
      <c r="A3820" s="8">
        <v>2800</v>
      </c>
      <c r="B3820" s="8">
        <f t="shared" si="124"/>
        <v>2024</v>
      </c>
      <c r="C3820" s="8">
        <f t="shared" si="125"/>
        <v>9</v>
      </c>
      <c r="D3820" s="85">
        <v>45543</v>
      </c>
      <c r="E3820" s="31">
        <v>0</v>
      </c>
      <c r="F3820" s="31">
        <v>50000</v>
      </c>
      <c r="G3820" s="31">
        <v>0</v>
      </c>
      <c r="H3820" s="31">
        <v>0</v>
      </c>
      <c r="I3820" s="31" t="s">
        <v>85</v>
      </c>
      <c r="J3820" s="5" t="s">
        <v>2602</v>
      </c>
      <c r="K3820" s="8"/>
    </row>
    <row r="3821" spans="1:11" x14ac:dyDescent="0.2">
      <c r="A3821" s="8">
        <v>2801</v>
      </c>
      <c r="B3821" s="8">
        <f t="shared" si="124"/>
        <v>2024</v>
      </c>
      <c r="C3821" s="8">
        <f t="shared" si="125"/>
        <v>9</v>
      </c>
      <c r="D3821" s="85">
        <v>45544</v>
      </c>
      <c r="E3821" s="31">
        <v>0</v>
      </c>
      <c r="F3821" s="31">
        <v>106000</v>
      </c>
      <c r="G3821" s="31">
        <v>0</v>
      </c>
      <c r="H3821" s="31">
        <v>0</v>
      </c>
      <c r="I3821" s="31" t="s">
        <v>85</v>
      </c>
      <c r="J3821" s="5" t="s">
        <v>2847</v>
      </c>
      <c r="K3821" s="8"/>
    </row>
    <row r="3822" spans="1:11" x14ac:dyDescent="0.2">
      <c r="A3822" s="8">
        <v>2802</v>
      </c>
      <c r="B3822" s="8">
        <f t="shared" si="124"/>
        <v>2024</v>
      </c>
      <c r="C3822" s="8">
        <f t="shared" si="125"/>
        <v>9</v>
      </c>
      <c r="D3822" s="85">
        <v>45545</v>
      </c>
      <c r="E3822" s="31">
        <v>0</v>
      </c>
      <c r="F3822" s="31">
        <v>50000</v>
      </c>
      <c r="G3822" s="31">
        <v>0</v>
      </c>
      <c r="H3822" s="31">
        <v>0</v>
      </c>
      <c r="I3822" s="31" t="s">
        <v>85</v>
      </c>
      <c r="J3822" s="5" t="s">
        <v>2848</v>
      </c>
      <c r="K3822" s="8"/>
    </row>
    <row r="3823" spans="1:11" x14ac:dyDescent="0.2">
      <c r="A3823" s="8">
        <v>2803</v>
      </c>
      <c r="B3823" s="8">
        <f t="shared" si="124"/>
        <v>2024</v>
      </c>
      <c r="C3823" s="8">
        <f t="shared" si="125"/>
        <v>9</v>
      </c>
      <c r="D3823" s="85">
        <v>45546</v>
      </c>
      <c r="E3823" s="31">
        <v>0</v>
      </c>
      <c r="F3823" s="31">
        <v>0</v>
      </c>
      <c r="G3823" s="31">
        <v>100000</v>
      </c>
      <c r="H3823" s="31">
        <v>0</v>
      </c>
      <c r="I3823" s="31"/>
      <c r="J3823" s="5" t="s">
        <v>2849</v>
      </c>
      <c r="K3823" s="8"/>
    </row>
    <row r="3824" spans="1:11" x14ac:dyDescent="0.2">
      <c r="A3824" s="8">
        <v>2804</v>
      </c>
      <c r="B3824" s="8">
        <f t="shared" si="124"/>
        <v>2024</v>
      </c>
      <c r="C3824" s="8">
        <f t="shared" si="125"/>
        <v>9</v>
      </c>
      <c r="D3824" s="85">
        <v>45546</v>
      </c>
      <c r="E3824" s="31">
        <v>0</v>
      </c>
      <c r="F3824" s="31">
        <v>50000</v>
      </c>
      <c r="G3824" s="31">
        <v>0</v>
      </c>
      <c r="H3824" s="31">
        <v>0</v>
      </c>
      <c r="I3824" s="31" t="s">
        <v>1999</v>
      </c>
      <c r="J3824" s="5" t="s">
        <v>2850</v>
      </c>
      <c r="K3824" s="8"/>
    </row>
    <row r="3825" spans="1:11" x14ac:dyDescent="0.2">
      <c r="A3825" s="8">
        <v>2805</v>
      </c>
      <c r="B3825" s="8">
        <f t="shared" si="124"/>
        <v>2024</v>
      </c>
      <c r="C3825" s="8">
        <f t="shared" si="125"/>
        <v>9</v>
      </c>
      <c r="D3825" s="85">
        <v>45546</v>
      </c>
      <c r="E3825" s="31">
        <v>0</v>
      </c>
      <c r="F3825" s="31">
        <v>20000</v>
      </c>
      <c r="G3825" s="31">
        <v>0</v>
      </c>
      <c r="H3825" s="31">
        <v>0</v>
      </c>
      <c r="I3825" s="31" t="s">
        <v>91</v>
      </c>
      <c r="J3825" s="5" t="s">
        <v>2843</v>
      </c>
      <c r="K3825" s="8"/>
    </row>
    <row r="3826" spans="1:11" x14ac:dyDescent="0.2">
      <c r="A3826" s="8">
        <v>2806</v>
      </c>
      <c r="B3826" s="8">
        <f t="shared" si="124"/>
        <v>2024</v>
      </c>
      <c r="C3826" s="8">
        <f t="shared" si="125"/>
        <v>9</v>
      </c>
      <c r="D3826" s="85">
        <v>45547</v>
      </c>
      <c r="E3826" s="31">
        <v>0</v>
      </c>
      <c r="F3826" s="31">
        <v>0</v>
      </c>
      <c r="G3826" s="31">
        <v>150000</v>
      </c>
      <c r="H3826" s="31">
        <v>0</v>
      </c>
      <c r="I3826" s="31"/>
      <c r="J3826" s="5" t="s">
        <v>2851</v>
      </c>
      <c r="K3826" s="8"/>
    </row>
    <row r="3827" spans="1:11" x14ac:dyDescent="0.2">
      <c r="A3827" s="8">
        <v>2807</v>
      </c>
      <c r="B3827" s="8">
        <f t="shared" si="124"/>
        <v>2024</v>
      </c>
      <c r="C3827" s="8">
        <f t="shared" si="125"/>
        <v>9</v>
      </c>
      <c r="D3827" s="85">
        <v>45547</v>
      </c>
      <c r="E3827" s="31">
        <v>0</v>
      </c>
      <c r="F3827" s="31">
        <v>40000</v>
      </c>
      <c r="G3827" s="31">
        <v>0</v>
      </c>
      <c r="H3827" s="31">
        <v>0</v>
      </c>
      <c r="I3827" s="31" t="s">
        <v>1815</v>
      </c>
      <c r="J3827" s="5" t="s">
        <v>2852</v>
      </c>
      <c r="K3827" s="8"/>
    </row>
    <row r="3828" spans="1:11" x14ac:dyDescent="0.2">
      <c r="A3828" s="8">
        <v>2808</v>
      </c>
      <c r="B3828" s="8">
        <f t="shared" si="124"/>
        <v>2024</v>
      </c>
      <c r="C3828" s="8">
        <f t="shared" si="125"/>
        <v>9</v>
      </c>
      <c r="D3828" s="85">
        <v>45547</v>
      </c>
      <c r="E3828" s="31">
        <v>0</v>
      </c>
      <c r="F3828" s="31">
        <v>20000</v>
      </c>
      <c r="G3828" s="31">
        <v>0</v>
      </c>
      <c r="H3828" s="31">
        <v>0</v>
      </c>
      <c r="I3828" s="31" t="s">
        <v>85</v>
      </c>
      <c r="J3828" s="5" t="s">
        <v>2853</v>
      </c>
      <c r="K3828" s="8"/>
    </row>
    <row r="3829" spans="1:11" x14ac:dyDescent="0.2">
      <c r="A3829" s="8">
        <v>2809</v>
      </c>
      <c r="B3829" s="8">
        <f t="shared" si="124"/>
        <v>2024</v>
      </c>
      <c r="C3829" s="8">
        <f t="shared" si="125"/>
        <v>9</v>
      </c>
      <c r="D3829" s="85">
        <v>45548</v>
      </c>
      <c r="E3829" s="31">
        <v>0</v>
      </c>
      <c r="F3829" s="31">
        <v>80000</v>
      </c>
      <c r="G3829" s="31">
        <v>0</v>
      </c>
      <c r="H3829" s="31">
        <v>0</v>
      </c>
      <c r="I3829" s="31" t="s">
        <v>85</v>
      </c>
      <c r="J3829" s="5" t="s">
        <v>2854</v>
      </c>
      <c r="K3829" s="8"/>
    </row>
    <row r="3830" spans="1:11" x14ac:dyDescent="0.2">
      <c r="A3830" s="8">
        <v>2810</v>
      </c>
      <c r="B3830" s="8">
        <f t="shared" si="124"/>
        <v>2024</v>
      </c>
      <c r="C3830" s="8">
        <f t="shared" si="125"/>
        <v>9</v>
      </c>
      <c r="D3830" s="85">
        <v>45548</v>
      </c>
      <c r="E3830" s="31">
        <v>0</v>
      </c>
      <c r="F3830" s="31">
        <v>20000</v>
      </c>
      <c r="G3830" s="31">
        <v>0</v>
      </c>
      <c r="H3830" s="31">
        <v>0</v>
      </c>
      <c r="I3830" s="31" t="s">
        <v>91</v>
      </c>
      <c r="J3830" s="5" t="s">
        <v>2855</v>
      </c>
      <c r="K3830" s="8"/>
    </row>
    <row r="3831" spans="1:11" x14ac:dyDescent="0.2">
      <c r="A3831" s="8">
        <v>2811</v>
      </c>
      <c r="B3831" s="8">
        <f t="shared" si="124"/>
        <v>2024</v>
      </c>
      <c r="C3831" s="8">
        <f t="shared" si="125"/>
        <v>9</v>
      </c>
      <c r="D3831" s="85">
        <v>45548</v>
      </c>
      <c r="E3831" s="31">
        <v>2000000</v>
      </c>
      <c r="F3831" s="31">
        <v>0</v>
      </c>
      <c r="G3831" s="31">
        <v>0</v>
      </c>
      <c r="H3831" s="31">
        <v>0</v>
      </c>
      <c r="I3831" s="31" t="s">
        <v>85</v>
      </c>
      <c r="J3831" s="5" t="s">
        <v>2856</v>
      </c>
      <c r="K3831" s="8"/>
    </row>
    <row r="3832" spans="1:11" x14ac:dyDescent="0.2">
      <c r="A3832" s="8">
        <v>2812</v>
      </c>
      <c r="B3832" s="8">
        <f t="shared" si="124"/>
        <v>2024</v>
      </c>
      <c r="C3832" s="8">
        <f t="shared" si="125"/>
        <v>9</v>
      </c>
      <c r="D3832" s="85">
        <v>45548</v>
      </c>
      <c r="E3832" s="31">
        <v>500000</v>
      </c>
      <c r="F3832" s="31">
        <v>0</v>
      </c>
      <c r="G3832" s="31">
        <v>0</v>
      </c>
      <c r="H3832" s="31">
        <v>0</v>
      </c>
      <c r="I3832" s="31" t="s">
        <v>85</v>
      </c>
      <c r="J3832" s="5" t="s">
        <v>2801</v>
      </c>
      <c r="K3832" s="8"/>
    </row>
    <row r="3833" spans="1:11" x14ac:dyDescent="0.2">
      <c r="A3833" s="8">
        <v>2813</v>
      </c>
      <c r="B3833" s="8">
        <f t="shared" si="124"/>
        <v>2024</v>
      </c>
      <c r="C3833" s="8">
        <f t="shared" si="125"/>
        <v>9</v>
      </c>
      <c r="D3833" s="85">
        <v>45548</v>
      </c>
      <c r="E3833" s="31">
        <v>2000000</v>
      </c>
      <c r="F3833" s="31">
        <v>0</v>
      </c>
      <c r="G3833" s="31">
        <v>0</v>
      </c>
      <c r="H3833" s="31">
        <v>0</v>
      </c>
      <c r="I3833" s="31" t="s">
        <v>85</v>
      </c>
      <c r="J3833" s="5" t="s">
        <v>2062</v>
      </c>
      <c r="K3833" s="8"/>
    </row>
    <row r="3834" spans="1:11" x14ac:dyDescent="0.2">
      <c r="A3834" s="8">
        <v>2814</v>
      </c>
      <c r="B3834" s="8">
        <f t="shared" si="124"/>
        <v>2024</v>
      </c>
      <c r="C3834" s="8">
        <f t="shared" si="125"/>
        <v>9</v>
      </c>
      <c r="D3834" s="85">
        <v>45549</v>
      </c>
      <c r="E3834" s="31"/>
      <c r="F3834" s="31">
        <v>8000</v>
      </c>
      <c r="G3834" s="31"/>
      <c r="H3834" s="31"/>
      <c r="I3834" s="31" t="s">
        <v>1992</v>
      </c>
      <c r="J3834" s="5" t="s">
        <v>2857</v>
      </c>
      <c r="K3834" s="8"/>
    </row>
    <row r="3835" spans="1:11" x14ac:dyDescent="0.2">
      <c r="A3835" s="8">
        <v>2815</v>
      </c>
      <c r="B3835" s="8">
        <f t="shared" si="124"/>
        <v>2024</v>
      </c>
      <c r="C3835" s="8">
        <f t="shared" si="125"/>
        <v>9</v>
      </c>
      <c r="D3835" s="85">
        <v>45549</v>
      </c>
      <c r="E3835" s="31"/>
      <c r="F3835" s="31">
        <v>30000</v>
      </c>
      <c r="G3835" s="31"/>
      <c r="H3835" s="31"/>
      <c r="I3835" s="31" t="s">
        <v>1992</v>
      </c>
      <c r="J3835" s="5" t="s">
        <v>2858</v>
      </c>
      <c r="K3835" s="8"/>
    </row>
    <row r="3836" spans="1:11" x14ac:dyDescent="0.2">
      <c r="A3836" s="8">
        <v>2816</v>
      </c>
      <c r="B3836" s="8">
        <f t="shared" si="124"/>
        <v>2024</v>
      </c>
      <c r="C3836" s="8">
        <f t="shared" si="125"/>
        <v>9</v>
      </c>
      <c r="D3836" s="85">
        <v>45549</v>
      </c>
      <c r="E3836" s="31"/>
      <c r="F3836" s="31">
        <v>5000</v>
      </c>
      <c r="G3836" s="31"/>
      <c r="H3836" s="31"/>
      <c r="I3836" s="31" t="s">
        <v>1992</v>
      </c>
      <c r="J3836" s="5" t="s">
        <v>2859</v>
      </c>
      <c r="K3836" s="8"/>
    </row>
    <row r="3837" spans="1:11" x14ac:dyDescent="0.2">
      <c r="A3837" s="8">
        <v>2817</v>
      </c>
      <c r="B3837" s="8">
        <f t="shared" si="124"/>
        <v>2024</v>
      </c>
      <c r="C3837" s="8">
        <f t="shared" si="125"/>
        <v>9</v>
      </c>
      <c r="D3837" s="85">
        <v>45549</v>
      </c>
      <c r="E3837" s="31"/>
      <c r="F3837" s="31">
        <v>25000</v>
      </c>
      <c r="G3837" s="31"/>
      <c r="H3837" s="31"/>
      <c r="I3837" s="31" t="s">
        <v>91</v>
      </c>
      <c r="J3837" s="5" t="s">
        <v>2860</v>
      </c>
      <c r="K3837" s="8"/>
    </row>
    <row r="3838" spans="1:11" x14ac:dyDescent="0.2">
      <c r="A3838" s="8">
        <v>2818</v>
      </c>
      <c r="B3838" s="8">
        <f t="shared" si="124"/>
        <v>2024</v>
      </c>
      <c r="C3838" s="8">
        <f t="shared" si="125"/>
        <v>9</v>
      </c>
      <c r="D3838" s="85">
        <v>45549</v>
      </c>
      <c r="E3838" s="31"/>
      <c r="F3838" s="31">
        <v>10000</v>
      </c>
      <c r="G3838" s="31"/>
      <c r="H3838" s="31"/>
      <c r="I3838" s="31" t="s">
        <v>149</v>
      </c>
      <c r="J3838" s="5" t="s">
        <v>2403</v>
      </c>
      <c r="K3838" s="8"/>
    </row>
    <row r="3839" spans="1:11" x14ac:dyDescent="0.2">
      <c r="A3839" s="8">
        <v>2819</v>
      </c>
      <c r="B3839" s="8">
        <f t="shared" si="124"/>
        <v>2024</v>
      </c>
      <c r="C3839" s="8">
        <f t="shared" si="125"/>
        <v>9</v>
      </c>
      <c r="D3839" s="85">
        <v>45549</v>
      </c>
      <c r="E3839" s="31"/>
      <c r="F3839" s="31">
        <v>104000</v>
      </c>
      <c r="G3839" s="31"/>
      <c r="H3839" s="31"/>
      <c r="I3839" s="31" t="s">
        <v>1999</v>
      </c>
      <c r="J3839" s="5" t="s">
        <v>2861</v>
      </c>
      <c r="K3839" s="8"/>
    </row>
    <row r="3840" spans="1:11" x14ac:dyDescent="0.2">
      <c r="A3840" s="8">
        <v>2820</v>
      </c>
      <c r="B3840" s="8">
        <f t="shared" si="124"/>
        <v>2024</v>
      </c>
      <c r="C3840" s="8">
        <f t="shared" si="125"/>
        <v>9</v>
      </c>
      <c r="D3840" s="85">
        <v>45549</v>
      </c>
      <c r="E3840" s="31"/>
      <c r="F3840" s="31">
        <v>182000</v>
      </c>
      <c r="G3840" s="31"/>
      <c r="H3840" s="31"/>
      <c r="I3840" s="31" t="s">
        <v>299</v>
      </c>
      <c r="J3840" s="5" t="s">
        <v>2862</v>
      </c>
      <c r="K3840" s="8"/>
    </row>
    <row r="3841" spans="1:11" x14ac:dyDescent="0.2">
      <c r="A3841" s="8">
        <v>2822</v>
      </c>
      <c r="B3841" s="8">
        <f t="shared" si="124"/>
        <v>2024</v>
      </c>
      <c r="C3841" s="8">
        <f t="shared" si="125"/>
        <v>9</v>
      </c>
      <c r="D3841" s="85">
        <v>45549</v>
      </c>
      <c r="E3841" s="31"/>
      <c r="F3841" s="31">
        <v>20000</v>
      </c>
      <c r="G3841" s="31"/>
      <c r="H3841" s="31"/>
      <c r="I3841" s="31" t="s">
        <v>91</v>
      </c>
      <c r="J3841" s="5" t="s">
        <v>2863</v>
      </c>
      <c r="K3841" s="8"/>
    </row>
    <row r="3842" spans="1:11" x14ac:dyDescent="0.2">
      <c r="A3842" s="8">
        <v>2823</v>
      </c>
      <c r="B3842" s="8">
        <f t="shared" si="124"/>
        <v>2024</v>
      </c>
      <c r="C3842" s="8">
        <f t="shared" si="125"/>
        <v>9</v>
      </c>
      <c r="D3842" s="85">
        <v>45549</v>
      </c>
      <c r="E3842" s="31"/>
      <c r="F3842" s="31">
        <v>14000</v>
      </c>
      <c r="G3842" s="31"/>
      <c r="H3842" s="31"/>
      <c r="I3842" s="31" t="s">
        <v>149</v>
      </c>
      <c r="J3842" s="5" t="s">
        <v>2864</v>
      </c>
      <c r="K3842" s="8"/>
    </row>
    <row r="3843" spans="1:11" x14ac:dyDescent="0.2">
      <c r="A3843" s="8">
        <v>2826</v>
      </c>
      <c r="B3843" s="8">
        <f t="shared" ref="B3843:B3906" si="126">YEAR(D3843)</f>
        <v>2024</v>
      </c>
      <c r="C3843" s="8">
        <f t="shared" ref="C3843:C3906" si="127">MONTH(D3843)</f>
        <v>9</v>
      </c>
      <c r="D3843" s="85">
        <v>45550</v>
      </c>
      <c r="E3843" s="31"/>
      <c r="F3843" s="31">
        <v>700000</v>
      </c>
      <c r="G3843" s="31"/>
      <c r="H3843" s="31"/>
      <c r="I3843" s="31" t="s">
        <v>1729</v>
      </c>
      <c r="J3843" s="5" t="s">
        <v>2524</v>
      </c>
      <c r="K3843" s="8"/>
    </row>
    <row r="3844" spans="1:11" x14ac:dyDescent="0.2">
      <c r="A3844" s="8">
        <v>2827</v>
      </c>
      <c r="B3844" s="8">
        <f t="shared" si="126"/>
        <v>2024</v>
      </c>
      <c r="C3844" s="8">
        <f t="shared" si="127"/>
        <v>9</v>
      </c>
      <c r="D3844" s="85">
        <v>45550</v>
      </c>
      <c r="E3844" s="31"/>
      <c r="F3844" s="31">
        <v>7000</v>
      </c>
      <c r="G3844" s="31"/>
      <c r="H3844" s="31"/>
      <c r="I3844" s="31" t="s">
        <v>91</v>
      </c>
      <c r="J3844" s="5" t="s">
        <v>2422</v>
      </c>
      <c r="K3844" s="8"/>
    </row>
    <row r="3845" spans="1:11" x14ac:dyDescent="0.2">
      <c r="A3845" s="8">
        <v>2828</v>
      </c>
      <c r="B3845" s="8">
        <f t="shared" si="126"/>
        <v>2024</v>
      </c>
      <c r="C3845" s="8">
        <f t="shared" si="127"/>
        <v>9</v>
      </c>
      <c r="D3845" s="85">
        <v>45551</v>
      </c>
      <c r="E3845" s="31"/>
      <c r="F3845" s="31">
        <v>50000</v>
      </c>
      <c r="G3845" s="31"/>
      <c r="H3845" s="31"/>
      <c r="I3845" s="31" t="s">
        <v>85</v>
      </c>
      <c r="J3845" s="5" t="s">
        <v>2602</v>
      </c>
      <c r="K3845" s="8"/>
    </row>
    <row r="3846" spans="1:11" x14ac:dyDescent="0.2">
      <c r="A3846" s="8">
        <v>2829</v>
      </c>
      <c r="B3846" s="8">
        <f t="shared" si="126"/>
        <v>2024</v>
      </c>
      <c r="C3846" s="8">
        <f t="shared" si="127"/>
        <v>9</v>
      </c>
      <c r="D3846" s="85">
        <v>45552</v>
      </c>
      <c r="E3846" s="31"/>
      <c r="F3846" s="31">
        <v>43000</v>
      </c>
      <c r="G3846" s="31"/>
      <c r="H3846" s="31"/>
      <c r="I3846" s="31" t="s">
        <v>1992</v>
      </c>
      <c r="J3846" s="5" t="s">
        <v>2735</v>
      </c>
      <c r="K3846" s="8"/>
    </row>
    <row r="3847" spans="1:11" x14ac:dyDescent="0.2">
      <c r="A3847" s="8">
        <v>2830</v>
      </c>
      <c r="B3847" s="8">
        <f t="shared" si="126"/>
        <v>2024</v>
      </c>
      <c r="C3847" s="8">
        <f t="shared" si="127"/>
        <v>9</v>
      </c>
      <c r="D3847" s="85">
        <v>45553</v>
      </c>
      <c r="E3847" s="31"/>
      <c r="F3847" s="31">
        <v>15000</v>
      </c>
      <c r="G3847" s="31"/>
      <c r="H3847" s="31"/>
      <c r="I3847" s="31" t="s">
        <v>91</v>
      </c>
      <c r="J3847" s="5" t="s">
        <v>2648</v>
      </c>
      <c r="K3847" s="8"/>
    </row>
    <row r="3848" spans="1:11" x14ac:dyDescent="0.2">
      <c r="A3848" s="8">
        <v>2831</v>
      </c>
      <c r="B3848" s="8">
        <f t="shared" si="126"/>
        <v>2024</v>
      </c>
      <c r="C3848" s="8">
        <f t="shared" si="127"/>
        <v>9</v>
      </c>
      <c r="D3848" s="85">
        <v>45554</v>
      </c>
      <c r="E3848" s="31"/>
      <c r="F3848" s="31">
        <v>330000</v>
      </c>
      <c r="G3848" s="31"/>
      <c r="H3848" s="31"/>
      <c r="I3848" s="31" t="s">
        <v>85</v>
      </c>
      <c r="J3848" s="5" t="s">
        <v>2865</v>
      </c>
      <c r="K3848" s="8"/>
    </row>
    <row r="3849" spans="1:11" x14ac:dyDescent="0.2">
      <c r="A3849" s="8">
        <v>2833</v>
      </c>
      <c r="B3849" s="8">
        <f t="shared" si="126"/>
        <v>2024</v>
      </c>
      <c r="C3849" s="8">
        <f t="shared" si="127"/>
        <v>9</v>
      </c>
      <c r="D3849" s="85">
        <v>45555</v>
      </c>
      <c r="E3849" s="31"/>
      <c r="F3849" s="31">
        <v>40000</v>
      </c>
      <c r="G3849" s="31"/>
      <c r="H3849" s="31"/>
      <c r="I3849" s="31" t="s">
        <v>91</v>
      </c>
      <c r="J3849" s="5" t="s">
        <v>2866</v>
      </c>
      <c r="K3849" s="8"/>
    </row>
    <row r="3850" spans="1:11" x14ac:dyDescent="0.2">
      <c r="A3850" s="8">
        <v>2834</v>
      </c>
      <c r="B3850" s="8">
        <f t="shared" si="126"/>
        <v>2024</v>
      </c>
      <c r="C3850" s="8">
        <f t="shared" si="127"/>
        <v>9</v>
      </c>
      <c r="D3850" s="85">
        <v>45555</v>
      </c>
      <c r="E3850" s="31"/>
      <c r="F3850" s="31">
        <v>10000</v>
      </c>
      <c r="G3850" s="31"/>
      <c r="H3850" s="31"/>
      <c r="I3850" s="31" t="s">
        <v>91</v>
      </c>
      <c r="J3850" s="5" t="s">
        <v>2616</v>
      </c>
      <c r="K3850" s="8"/>
    </row>
    <row r="3851" spans="1:11" x14ac:dyDescent="0.2">
      <c r="A3851" s="8">
        <v>2835</v>
      </c>
      <c r="B3851" s="8">
        <f t="shared" si="126"/>
        <v>2024</v>
      </c>
      <c r="C3851" s="8">
        <f t="shared" si="127"/>
        <v>9</v>
      </c>
      <c r="D3851" s="85">
        <v>45556</v>
      </c>
      <c r="E3851" s="31"/>
      <c r="F3851" s="31">
        <v>50000</v>
      </c>
      <c r="G3851" s="31"/>
      <c r="H3851" s="31"/>
      <c r="I3851" s="31" t="s">
        <v>85</v>
      </c>
      <c r="J3851" s="5" t="s">
        <v>2867</v>
      </c>
      <c r="K3851" s="8"/>
    </row>
    <row r="3852" spans="1:11" x14ac:dyDescent="0.2">
      <c r="A3852" s="8">
        <v>2836</v>
      </c>
      <c r="B3852" s="8">
        <f t="shared" si="126"/>
        <v>2024</v>
      </c>
      <c r="C3852" s="8">
        <f t="shared" si="127"/>
        <v>9</v>
      </c>
      <c r="D3852" s="85">
        <v>45556</v>
      </c>
      <c r="E3852" s="31"/>
      <c r="F3852" s="31">
        <v>25000</v>
      </c>
      <c r="G3852" s="31"/>
      <c r="H3852" s="31"/>
      <c r="I3852" s="31" t="s">
        <v>91</v>
      </c>
      <c r="J3852" s="5" t="s">
        <v>2868</v>
      </c>
      <c r="K3852" s="8"/>
    </row>
    <row r="3853" spans="1:11" x14ac:dyDescent="0.2">
      <c r="A3853" s="8">
        <v>2837</v>
      </c>
      <c r="B3853" s="8">
        <f t="shared" si="126"/>
        <v>2024</v>
      </c>
      <c r="C3853" s="8">
        <f t="shared" si="127"/>
        <v>9</v>
      </c>
      <c r="D3853" s="85">
        <v>45556</v>
      </c>
      <c r="E3853" s="31"/>
      <c r="F3853" s="31">
        <v>100000</v>
      </c>
      <c r="G3853" s="31"/>
      <c r="H3853" s="31"/>
      <c r="I3853" s="31" t="s">
        <v>1999</v>
      </c>
      <c r="J3853" s="5" t="s">
        <v>2841</v>
      </c>
      <c r="K3853" s="8"/>
    </row>
    <row r="3854" spans="1:11" x14ac:dyDescent="0.2">
      <c r="A3854" s="8">
        <v>2838</v>
      </c>
      <c r="B3854" s="8">
        <f t="shared" si="126"/>
        <v>2024</v>
      </c>
      <c r="C3854" s="8">
        <f t="shared" si="127"/>
        <v>9</v>
      </c>
      <c r="D3854" s="85">
        <v>45557</v>
      </c>
      <c r="E3854" s="31"/>
      <c r="F3854" s="31">
        <v>30000</v>
      </c>
      <c r="G3854" s="31"/>
      <c r="H3854" s="31"/>
      <c r="I3854" s="31" t="s">
        <v>85</v>
      </c>
      <c r="J3854" s="5" t="s">
        <v>2681</v>
      </c>
      <c r="K3854" s="8"/>
    </row>
    <row r="3855" spans="1:11" x14ac:dyDescent="0.2">
      <c r="A3855" s="8">
        <v>2839</v>
      </c>
      <c r="B3855" s="8">
        <f t="shared" si="126"/>
        <v>2024</v>
      </c>
      <c r="C3855" s="8">
        <f t="shared" si="127"/>
        <v>9</v>
      </c>
      <c r="D3855" s="85">
        <v>45557</v>
      </c>
      <c r="E3855" s="31"/>
      <c r="F3855" s="31">
        <v>90000</v>
      </c>
      <c r="G3855" s="31"/>
      <c r="H3855" s="31"/>
      <c r="I3855" s="31" t="s">
        <v>85</v>
      </c>
      <c r="J3855" s="5" t="s">
        <v>2869</v>
      </c>
      <c r="K3855" s="8"/>
    </row>
    <row r="3856" spans="1:11" x14ac:dyDescent="0.2">
      <c r="A3856" s="8">
        <v>2840</v>
      </c>
      <c r="B3856" s="8">
        <f t="shared" si="126"/>
        <v>2024</v>
      </c>
      <c r="C3856" s="8">
        <f t="shared" si="127"/>
        <v>9</v>
      </c>
      <c r="D3856" s="85">
        <v>45557</v>
      </c>
      <c r="E3856" s="31"/>
      <c r="F3856" s="31">
        <v>350000</v>
      </c>
      <c r="G3856" s="31"/>
      <c r="H3856" s="31"/>
      <c r="I3856" s="31" t="s">
        <v>1992</v>
      </c>
      <c r="J3856" s="5" t="s">
        <v>2870</v>
      </c>
      <c r="K3856" s="8"/>
    </row>
    <row r="3857" spans="1:11" x14ac:dyDescent="0.2">
      <c r="A3857" s="8">
        <v>2841</v>
      </c>
      <c r="B3857" s="8">
        <f t="shared" si="126"/>
        <v>2024</v>
      </c>
      <c r="C3857" s="8">
        <f t="shared" si="127"/>
        <v>9</v>
      </c>
      <c r="D3857" s="85">
        <v>45558</v>
      </c>
      <c r="E3857" s="31"/>
      <c r="F3857" s="31">
        <v>36000</v>
      </c>
      <c r="G3857" s="31"/>
      <c r="H3857" s="31"/>
      <c r="I3857" s="31" t="s">
        <v>91</v>
      </c>
      <c r="J3857" s="5" t="s">
        <v>2871</v>
      </c>
      <c r="K3857" s="8"/>
    </row>
    <row r="3858" spans="1:11" x14ac:dyDescent="0.2">
      <c r="A3858" s="8">
        <v>2842</v>
      </c>
      <c r="B3858" s="8">
        <f t="shared" si="126"/>
        <v>2024</v>
      </c>
      <c r="C3858" s="8">
        <f t="shared" si="127"/>
        <v>9</v>
      </c>
      <c r="D3858" s="85">
        <v>45558</v>
      </c>
      <c r="E3858" s="31"/>
      <c r="F3858" s="31">
        <v>25000</v>
      </c>
      <c r="G3858" s="31"/>
      <c r="H3858" s="31"/>
      <c r="I3858" s="31" t="s">
        <v>91</v>
      </c>
      <c r="J3858" s="5" t="s">
        <v>2872</v>
      </c>
      <c r="K3858" s="8"/>
    </row>
    <row r="3859" spans="1:11" x14ac:dyDescent="0.2">
      <c r="A3859" s="8">
        <v>2843</v>
      </c>
      <c r="B3859" s="8">
        <f t="shared" si="126"/>
        <v>2024</v>
      </c>
      <c r="C3859" s="8">
        <f t="shared" si="127"/>
        <v>9</v>
      </c>
      <c r="D3859" s="85">
        <v>45558</v>
      </c>
      <c r="E3859" s="31"/>
      <c r="F3859" s="31">
        <v>72000</v>
      </c>
      <c r="G3859" s="31"/>
      <c r="H3859" s="31"/>
      <c r="I3859" s="31" t="s">
        <v>1350</v>
      </c>
      <c r="J3859" s="5" t="s">
        <v>2873</v>
      </c>
      <c r="K3859" s="8"/>
    </row>
    <row r="3860" spans="1:11" x14ac:dyDescent="0.2">
      <c r="A3860" s="8">
        <v>2845</v>
      </c>
      <c r="B3860" s="8">
        <f t="shared" si="126"/>
        <v>2024</v>
      </c>
      <c r="C3860" s="8">
        <f t="shared" si="127"/>
        <v>9</v>
      </c>
      <c r="D3860" s="85">
        <v>45558</v>
      </c>
      <c r="E3860" s="31"/>
      <c r="F3860" s="31">
        <v>50000</v>
      </c>
      <c r="G3860" s="31"/>
      <c r="H3860" s="31"/>
      <c r="I3860" s="31" t="s">
        <v>1999</v>
      </c>
      <c r="J3860" s="5" t="s">
        <v>2874</v>
      </c>
      <c r="K3860" s="8"/>
    </row>
    <row r="3861" spans="1:11" x14ac:dyDescent="0.2">
      <c r="A3861" s="8">
        <v>2847</v>
      </c>
      <c r="B3861" s="8">
        <f t="shared" si="126"/>
        <v>2024</v>
      </c>
      <c r="C3861" s="8">
        <f t="shared" si="127"/>
        <v>9</v>
      </c>
      <c r="D3861" s="85">
        <v>45558</v>
      </c>
      <c r="E3861" s="31"/>
      <c r="F3861" s="31">
        <v>18000</v>
      </c>
      <c r="G3861" s="31"/>
      <c r="H3861" s="31"/>
      <c r="I3861" s="31" t="s">
        <v>91</v>
      </c>
      <c r="J3861" s="5" t="s">
        <v>2358</v>
      </c>
      <c r="K3861" s="8"/>
    </row>
    <row r="3862" spans="1:11" x14ac:dyDescent="0.2">
      <c r="A3862" s="8">
        <v>2848</v>
      </c>
      <c r="B3862" s="8">
        <f t="shared" si="126"/>
        <v>2024</v>
      </c>
      <c r="C3862" s="8">
        <f t="shared" si="127"/>
        <v>9</v>
      </c>
      <c r="D3862" s="85">
        <v>45558</v>
      </c>
      <c r="E3862" s="31"/>
      <c r="F3862" s="31">
        <v>180000</v>
      </c>
      <c r="G3862" s="31"/>
      <c r="H3862" s="31"/>
      <c r="I3862" s="31" t="s">
        <v>391</v>
      </c>
      <c r="J3862" s="5" t="s">
        <v>2875</v>
      </c>
      <c r="K3862" s="8"/>
    </row>
    <row r="3863" spans="1:11" x14ac:dyDescent="0.2">
      <c r="A3863" s="8">
        <v>2849</v>
      </c>
      <c r="B3863" s="8">
        <f t="shared" si="126"/>
        <v>2024</v>
      </c>
      <c r="C3863" s="8">
        <f t="shared" si="127"/>
        <v>9</v>
      </c>
      <c r="D3863" s="85">
        <v>45558</v>
      </c>
      <c r="E3863" s="31"/>
      <c r="F3863" s="31">
        <v>50000</v>
      </c>
      <c r="G3863" s="31"/>
      <c r="H3863" s="31"/>
      <c r="I3863" s="31" t="s">
        <v>391</v>
      </c>
      <c r="J3863" s="5" t="s">
        <v>25</v>
      </c>
      <c r="K3863" s="8"/>
    </row>
    <row r="3864" spans="1:11" x14ac:dyDescent="0.2">
      <c r="A3864" s="8">
        <v>2850</v>
      </c>
      <c r="B3864" s="8">
        <f t="shared" si="126"/>
        <v>2024</v>
      </c>
      <c r="C3864" s="8">
        <f t="shared" si="127"/>
        <v>9</v>
      </c>
      <c r="D3864" s="85">
        <v>45558</v>
      </c>
      <c r="E3864" s="31"/>
      <c r="F3864" s="31">
        <v>10000</v>
      </c>
      <c r="G3864" s="31"/>
      <c r="H3864" s="31"/>
      <c r="I3864" s="31" t="s">
        <v>391</v>
      </c>
      <c r="J3864" s="5" t="s">
        <v>2876</v>
      </c>
      <c r="K3864" s="8"/>
    </row>
    <row r="3865" spans="1:11" x14ac:dyDescent="0.2">
      <c r="A3865" s="8">
        <v>2851</v>
      </c>
      <c r="B3865" s="8">
        <f t="shared" si="126"/>
        <v>2024</v>
      </c>
      <c r="C3865" s="8">
        <f t="shared" si="127"/>
        <v>9</v>
      </c>
      <c r="D3865" s="85">
        <v>45559</v>
      </c>
      <c r="E3865" s="31"/>
      <c r="F3865" s="31">
        <v>155000</v>
      </c>
      <c r="G3865" s="31"/>
      <c r="H3865" s="31"/>
      <c r="I3865" s="31" t="s">
        <v>299</v>
      </c>
      <c r="J3865" s="5" t="s">
        <v>2877</v>
      </c>
      <c r="K3865" s="8"/>
    </row>
    <row r="3866" spans="1:11" x14ac:dyDescent="0.2">
      <c r="A3866" s="8">
        <v>2852</v>
      </c>
      <c r="B3866" s="8">
        <f t="shared" si="126"/>
        <v>2024</v>
      </c>
      <c r="C3866" s="8">
        <f t="shared" si="127"/>
        <v>9</v>
      </c>
      <c r="D3866" s="85">
        <v>45560</v>
      </c>
      <c r="E3866" s="31"/>
      <c r="F3866" s="31">
        <v>50000</v>
      </c>
      <c r="G3866" s="31"/>
      <c r="H3866" s="31"/>
      <c r="I3866" s="31" t="s">
        <v>85</v>
      </c>
      <c r="J3866" s="5" t="s">
        <v>2605</v>
      </c>
      <c r="K3866" s="8"/>
    </row>
    <row r="3867" spans="1:11" x14ac:dyDescent="0.2">
      <c r="A3867" s="8">
        <v>2853</v>
      </c>
      <c r="B3867" s="8">
        <f t="shared" si="126"/>
        <v>2024</v>
      </c>
      <c r="C3867" s="8">
        <f t="shared" si="127"/>
        <v>9</v>
      </c>
      <c r="D3867" s="85">
        <v>45560</v>
      </c>
      <c r="E3867" s="31"/>
      <c r="F3867" s="31">
        <v>10000</v>
      </c>
      <c r="G3867" s="31"/>
      <c r="H3867" s="31"/>
      <c r="I3867" s="31" t="s">
        <v>149</v>
      </c>
      <c r="J3867" s="5" t="s">
        <v>2613</v>
      </c>
      <c r="K3867" s="8"/>
    </row>
    <row r="3868" spans="1:11" x14ac:dyDescent="0.2">
      <c r="A3868" s="8">
        <v>2854</v>
      </c>
      <c r="B3868" s="8">
        <f t="shared" si="126"/>
        <v>2024</v>
      </c>
      <c r="C3868" s="8">
        <f t="shared" si="127"/>
        <v>9</v>
      </c>
      <c r="D3868" s="85">
        <v>45560</v>
      </c>
      <c r="E3868" s="31"/>
      <c r="F3868" s="31">
        <v>15000</v>
      </c>
      <c r="G3868" s="31"/>
      <c r="H3868" s="31"/>
      <c r="I3868" s="31" t="s">
        <v>91</v>
      </c>
      <c r="J3868" s="5" t="s">
        <v>2418</v>
      </c>
      <c r="K3868" s="8"/>
    </row>
    <row r="3869" spans="1:11" x14ac:dyDescent="0.2">
      <c r="A3869" s="8">
        <v>2857</v>
      </c>
      <c r="B3869" s="8">
        <f t="shared" si="126"/>
        <v>2024</v>
      </c>
      <c r="C3869" s="8">
        <f t="shared" si="127"/>
        <v>9</v>
      </c>
      <c r="D3869" s="85">
        <v>45561</v>
      </c>
      <c r="E3869" s="31"/>
      <c r="F3869" s="31">
        <v>26000</v>
      </c>
      <c r="G3869" s="31"/>
      <c r="H3869" s="31"/>
      <c r="I3869" s="31" t="s">
        <v>91</v>
      </c>
      <c r="J3869" s="5" t="s">
        <v>2692</v>
      </c>
      <c r="K3869" s="8"/>
    </row>
    <row r="3870" spans="1:11" x14ac:dyDescent="0.2">
      <c r="A3870" s="8">
        <v>2858</v>
      </c>
      <c r="B3870" s="8">
        <f t="shared" si="126"/>
        <v>2024</v>
      </c>
      <c r="C3870" s="8">
        <f t="shared" si="127"/>
        <v>9</v>
      </c>
      <c r="D3870" s="85">
        <v>45561</v>
      </c>
      <c r="E3870" s="31"/>
      <c r="F3870" s="31">
        <v>14000</v>
      </c>
      <c r="G3870" s="31"/>
      <c r="H3870" s="31"/>
      <c r="I3870" s="31" t="s">
        <v>149</v>
      </c>
      <c r="J3870" s="5" t="s">
        <v>2595</v>
      </c>
      <c r="K3870" s="8"/>
    </row>
    <row r="3871" spans="1:11" x14ac:dyDescent="0.2">
      <c r="A3871" s="8">
        <v>2859</v>
      </c>
      <c r="B3871" s="8">
        <f t="shared" si="126"/>
        <v>2024</v>
      </c>
      <c r="C3871" s="8">
        <f t="shared" si="127"/>
        <v>9</v>
      </c>
      <c r="D3871" s="85">
        <v>45562</v>
      </c>
      <c r="E3871" s="31"/>
      <c r="F3871" s="31">
        <v>40000</v>
      </c>
      <c r="G3871" s="31"/>
      <c r="H3871" s="31"/>
      <c r="I3871" s="31" t="s">
        <v>1992</v>
      </c>
      <c r="J3871" s="5" t="s">
        <v>2878</v>
      </c>
      <c r="K3871" s="8"/>
    </row>
    <row r="3872" spans="1:11" x14ac:dyDescent="0.2">
      <c r="A3872" s="8">
        <v>2819</v>
      </c>
      <c r="B3872" s="8">
        <f t="shared" si="126"/>
        <v>2024</v>
      </c>
      <c r="C3872" s="8">
        <f t="shared" si="127"/>
        <v>9</v>
      </c>
      <c r="D3872" s="85">
        <v>45562</v>
      </c>
      <c r="E3872" s="31"/>
      <c r="F3872" s="31">
        <v>50000</v>
      </c>
      <c r="G3872" s="31"/>
      <c r="H3872" s="31"/>
      <c r="I3872" s="31" t="s">
        <v>85</v>
      </c>
      <c r="J3872" s="5" t="s">
        <v>2602</v>
      </c>
      <c r="K3872" s="8"/>
    </row>
    <row r="3873" spans="1:11" x14ac:dyDescent="0.2">
      <c r="A3873" s="8">
        <v>2820</v>
      </c>
      <c r="B3873" s="8">
        <f t="shared" si="126"/>
        <v>2024</v>
      </c>
      <c r="C3873" s="8">
        <f t="shared" si="127"/>
        <v>9</v>
      </c>
      <c r="D3873" s="85">
        <v>45563</v>
      </c>
      <c r="E3873" s="31"/>
      <c r="F3873" s="31">
        <v>50000</v>
      </c>
      <c r="G3873" s="31"/>
      <c r="H3873" s="31"/>
      <c r="I3873" s="31" t="s">
        <v>85</v>
      </c>
      <c r="J3873" s="5" t="s">
        <v>2605</v>
      </c>
      <c r="K3873" s="8"/>
    </row>
    <row r="3874" spans="1:11" x14ac:dyDescent="0.2">
      <c r="A3874" s="8">
        <v>2821</v>
      </c>
      <c r="B3874" s="8">
        <f t="shared" si="126"/>
        <v>2024</v>
      </c>
      <c r="C3874" s="8">
        <f t="shared" si="127"/>
        <v>9</v>
      </c>
      <c r="D3874" s="85">
        <v>45564</v>
      </c>
      <c r="E3874" s="31"/>
      <c r="F3874" s="31">
        <v>25000</v>
      </c>
      <c r="G3874" s="31"/>
      <c r="H3874" s="31"/>
      <c r="I3874" s="31" t="s">
        <v>91</v>
      </c>
      <c r="J3874" s="5" t="s">
        <v>2879</v>
      </c>
      <c r="K3874" s="8"/>
    </row>
    <row r="3875" spans="1:11" x14ac:dyDescent="0.2">
      <c r="A3875" s="8">
        <v>2822</v>
      </c>
      <c r="B3875" s="8">
        <f t="shared" si="126"/>
        <v>2024</v>
      </c>
      <c r="C3875" s="8">
        <f t="shared" si="127"/>
        <v>9</v>
      </c>
      <c r="D3875" s="85">
        <v>45564</v>
      </c>
      <c r="E3875" s="31"/>
      <c r="F3875" s="31">
        <v>50000</v>
      </c>
      <c r="G3875" s="31"/>
      <c r="H3875" s="31"/>
      <c r="I3875" s="31" t="s">
        <v>1350</v>
      </c>
      <c r="J3875" s="5" t="s">
        <v>2880</v>
      </c>
      <c r="K3875" s="8"/>
    </row>
    <row r="3876" spans="1:11" x14ac:dyDescent="0.2">
      <c r="A3876" s="8">
        <v>2823</v>
      </c>
      <c r="B3876" s="8">
        <f t="shared" si="126"/>
        <v>2024</v>
      </c>
      <c r="C3876" s="8">
        <f t="shared" si="127"/>
        <v>9</v>
      </c>
      <c r="D3876" s="85">
        <v>45565</v>
      </c>
      <c r="E3876" s="31">
        <v>664600</v>
      </c>
      <c r="F3876" s="31">
        <v>0</v>
      </c>
      <c r="G3876" s="31">
        <v>0</v>
      </c>
      <c r="H3876" s="31">
        <v>0</v>
      </c>
      <c r="I3876" s="31" t="s">
        <v>1992</v>
      </c>
      <c r="J3876" s="5" t="s">
        <v>2881</v>
      </c>
      <c r="K3876" s="8"/>
    </row>
    <row r="3877" spans="1:11" x14ac:dyDescent="0.2">
      <c r="A3877" s="8">
        <v>2824</v>
      </c>
      <c r="B3877" s="8">
        <f t="shared" si="126"/>
        <v>2024</v>
      </c>
      <c r="C3877" s="8">
        <f t="shared" si="127"/>
        <v>9</v>
      </c>
      <c r="D3877" s="85">
        <v>45565</v>
      </c>
      <c r="E3877" s="31">
        <v>665400</v>
      </c>
      <c r="F3877" s="31">
        <v>0</v>
      </c>
      <c r="G3877" s="31">
        <v>0</v>
      </c>
      <c r="H3877" s="31">
        <v>0</v>
      </c>
      <c r="I3877" s="31" t="s">
        <v>1992</v>
      </c>
      <c r="J3877" s="5" t="s">
        <v>2882</v>
      </c>
      <c r="K3877" s="8"/>
    </row>
    <row r="3878" spans="1:11" x14ac:dyDescent="0.2">
      <c r="A3878" s="8">
        <v>2825</v>
      </c>
      <c r="B3878" s="8">
        <f t="shared" si="126"/>
        <v>2024</v>
      </c>
      <c r="C3878" s="8">
        <f t="shared" si="127"/>
        <v>10</v>
      </c>
      <c r="D3878" s="85">
        <v>45566</v>
      </c>
      <c r="E3878" s="31"/>
      <c r="F3878" s="31">
        <v>150000</v>
      </c>
      <c r="G3878" s="31"/>
      <c r="H3878" s="31"/>
      <c r="I3878" s="31" t="s">
        <v>1999</v>
      </c>
      <c r="J3878" s="5" t="s">
        <v>2883</v>
      </c>
      <c r="K3878" s="8"/>
    </row>
    <row r="3879" spans="1:11" x14ac:dyDescent="0.2">
      <c r="A3879" s="8">
        <v>2826</v>
      </c>
      <c r="B3879" s="8">
        <f t="shared" si="126"/>
        <v>2024</v>
      </c>
      <c r="C3879" s="8">
        <f t="shared" si="127"/>
        <v>10</v>
      </c>
      <c r="D3879" s="85">
        <v>45566</v>
      </c>
      <c r="E3879" s="31"/>
      <c r="F3879" s="31">
        <v>150000</v>
      </c>
      <c r="G3879" s="31"/>
      <c r="H3879" s="31"/>
      <c r="I3879" s="31" t="s">
        <v>1350</v>
      </c>
      <c r="J3879" s="5" t="s">
        <v>2884</v>
      </c>
      <c r="K3879" s="8"/>
    </row>
    <row r="3880" spans="1:11" x14ac:dyDescent="0.2">
      <c r="A3880" s="8">
        <v>2827</v>
      </c>
      <c r="B3880" s="8">
        <f t="shared" si="126"/>
        <v>2024</v>
      </c>
      <c r="C3880" s="8">
        <f t="shared" si="127"/>
        <v>10</v>
      </c>
      <c r="D3880" s="85">
        <v>45566</v>
      </c>
      <c r="E3880" s="31"/>
      <c r="F3880" s="31">
        <v>350000</v>
      </c>
      <c r="G3880" s="31"/>
      <c r="H3880" s="31"/>
      <c r="I3880" s="31" t="s">
        <v>1350</v>
      </c>
      <c r="J3880" s="5" t="s">
        <v>2885</v>
      </c>
      <c r="K3880" s="8"/>
    </row>
    <row r="3881" spans="1:11" x14ac:dyDescent="0.2">
      <c r="A3881" s="8">
        <v>2828</v>
      </c>
      <c r="B3881" s="8">
        <f t="shared" si="126"/>
        <v>2024</v>
      </c>
      <c r="C3881" s="8">
        <f t="shared" si="127"/>
        <v>10</v>
      </c>
      <c r="D3881" s="85">
        <v>45567</v>
      </c>
      <c r="E3881" s="31"/>
      <c r="F3881" s="31">
        <v>110000</v>
      </c>
      <c r="G3881" s="31"/>
      <c r="H3881" s="31"/>
      <c r="I3881" s="31" t="s">
        <v>335</v>
      </c>
      <c r="J3881" s="5" t="s">
        <v>2886</v>
      </c>
      <c r="K3881" s="8"/>
    </row>
    <row r="3882" spans="1:11" x14ac:dyDescent="0.2">
      <c r="A3882" s="8">
        <v>2830</v>
      </c>
      <c r="B3882" s="8">
        <f t="shared" si="126"/>
        <v>2024</v>
      </c>
      <c r="C3882" s="8">
        <f t="shared" si="127"/>
        <v>10</v>
      </c>
      <c r="D3882" s="85">
        <v>45569</v>
      </c>
      <c r="E3882" s="31"/>
      <c r="F3882" s="31">
        <v>170000</v>
      </c>
      <c r="G3882" s="31"/>
      <c r="H3882" s="31"/>
      <c r="I3882" s="31" t="s">
        <v>85</v>
      </c>
      <c r="J3882" s="5" t="s">
        <v>2887</v>
      </c>
      <c r="K3882" s="8"/>
    </row>
    <row r="3883" spans="1:11" x14ac:dyDescent="0.2">
      <c r="A3883" s="8">
        <v>2831</v>
      </c>
      <c r="B3883" s="8">
        <f t="shared" si="126"/>
        <v>2024</v>
      </c>
      <c r="C3883" s="8">
        <f t="shared" si="127"/>
        <v>10</v>
      </c>
      <c r="D3883" s="85">
        <v>45569</v>
      </c>
      <c r="E3883" s="31"/>
      <c r="F3883" s="31">
        <v>27000</v>
      </c>
      <c r="G3883" s="31"/>
      <c r="H3883" s="31"/>
      <c r="I3883" s="31" t="s">
        <v>91</v>
      </c>
      <c r="J3883" s="5" t="s">
        <v>2888</v>
      </c>
      <c r="K3883" s="8"/>
    </row>
    <row r="3884" spans="1:11" x14ac:dyDescent="0.2">
      <c r="A3884" s="8">
        <v>2832</v>
      </c>
      <c r="B3884" s="8">
        <f t="shared" si="126"/>
        <v>2024</v>
      </c>
      <c r="C3884" s="8">
        <f t="shared" si="127"/>
        <v>10</v>
      </c>
      <c r="D3884" s="85">
        <v>45569</v>
      </c>
      <c r="E3884" s="31"/>
      <c r="F3884" s="31">
        <v>30000</v>
      </c>
      <c r="G3884" s="31"/>
      <c r="H3884" s="31"/>
      <c r="I3884" s="31" t="s">
        <v>85</v>
      </c>
      <c r="J3884" s="5" t="s">
        <v>2835</v>
      </c>
      <c r="K3884" s="8"/>
    </row>
    <row r="3885" spans="1:11" x14ac:dyDescent="0.2">
      <c r="A3885" s="8">
        <v>2833</v>
      </c>
      <c r="B3885" s="8">
        <f t="shared" si="126"/>
        <v>2024</v>
      </c>
      <c r="C3885" s="8">
        <f t="shared" si="127"/>
        <v>10</v>
      </c>
      <c r="D3885" s="85">
        <v>45569</v>
      </c>
      <c r="E3885" s="31"/>
      <c r="F3885" s="31">
        <v>7000</v>
      </c>
      <c r="G3885" s="31"/>
      <c r="H3885" s="31"/>
      <c r="I3885" s="31" t="s">
        <v>149</v>
      </c>
      <c r="J3885" s="5" t="s">
        <v>2618</v>
      </c>
      <c r="K3885" s="8"/>
    </row>
    <row r="3886" spans="1:11" x14ac:dyDescent="0.2">
      <c r="A3886" s="8">
        <v>2834</v>
      </c>
      <c r="B3886" s="8">
        <f t="shared" si="126"/>
        <v>2024</v>
      </c>
      <c r="C3886" s="8">
        <f t="shared" si="127"/>
        <v>10</v>
      </c>
      <c r="D3886" s="85">
        <v>45570</v>
      </c>
      <c r="E3886" s="31"/>
      <c r="F3886" s="31">
        <v>104000</v>
      </c>
      <c r="G3886" s="31"/>
      <c r="H3886" s="31"/>
      <c r="I3886" s="31" t="s">
        <v>1999</v>
      </c>
      <c r="J3886" s="5" t="s">
        <v>2889</v>
      </c>
      <c r="K3886" s="8"/>
    </row>
    <row r="3887" spans="1:11" x14ac:dyDescent="0.2">
      <c r="A3887" s="8">
        <v>2835</v>
      </c>
      <c r="B3887" s="8">
        <f t="shared" si="126"/>
        <v>2024</v>
      </c>
      <c r="C3887" s="8">
        <f t="shared" si="127"/>
        <v>10</v>
      </c>
      <c r="D3887" s="85">
        <v>45570</v>
      </c>
      <c r="E3887" s="31"/>
      <c r="F3887" s="31">
        <v>20000</v>
      </c>
      <c r="G3887" s="31"/>
      <c r="H3887" s="31"/>
      <c r="I3887" s="31" t="s">
        <v>1999</v>
      </c>
      <c r="J3887" s="5" t="s">
        <v>2890</v>
      </c>
      <c r="K3887" s="8"/>
    </row>
    <row r="3888" spans="1:11" x14ac:dyDescent="0.2">
      <c r="A3888" s="8">
        <v>2836</v>
      </c>
      <c r="B3888" s="8">
        <f t="shared" si="126"/>
        <v>2024</v>
      </c>
      <c r="C3888" s="8">
        <f t="shared" si="127"/>
        <v>10</v>
      </c>
      <c r="D3888" s="85">
        <v>45570</v>
      </c>
      <c r="E3888" s="31"/>
      <c r="F3888" s="31">
        <v>201000</v>
      </c>
      <c r="G3888" s="31"/>
      <c r="H3888" s="31"/>
      <c r="I3888" s="31" t="s">
        <v>299</v>
      </c>
      <c r="J3888" s="5" t="s">
        <v>2891</v>
      </c>
      <c r="K3888" s="8"/>
    </row>
    <row r="3889" spans="1:11" x14ac:dyDescent="0.2">
      <c r="A3889" s="8">
        <v>2837</v>
      </c>
      <c r="B3889" s="8">
        <f t="shared" si="126"/>
        <v>2024</v>
      </c>
      <c r="C3889" s="8">
        <f t="shared" si="127"/>
        <v>10</v>
      </c>
      <c r="D3889" s="85">
        <v>45570</v>
      </c>
      <c r="E3889" s="31"/>
      <c r="F3889" s="31">
        <v>52000</v>
      </c>
      <c r="G3889" s="31"/>
      <c r="H3889" s="31"/>
      <c r="I3889" s="31" t="s">
        <v>85</v>
      </c>
      <c r="J3889" s="5" t="s">
        <v>2892</v>
      </c>
      <c r="K3889" s="8"/>
    </row>
    <row r="3890" spans="1:11" x14ac:dyDescent="0.2">
      <c r="A3890" s="8">
        <v>2838</v>
      </c>
      <c r="B3890" s="8">
        <f t="shared" si="126"/>
        <v>2024</v>
      </c>
      <c r="C3890" s="8">
        <f t="shared" si="127"/>
        <v>10</v>
      </c>
      <c r="D3890" s="85">
        <v>45571</v>
      </c>
      <c r="E3890" s="31"/>
      <c r="F3890" s="31">
        <v>20000</v>
      </c>
      <c r="G3890" s="31"/>
      <c r="H3890" s="31"/>
      <c r="I3890" s="31" t="s">
        <v>85</v>
      </c>
      <c r="J3890" s="5" t="s">
        <v>2893</v>
      </c>
      <c r="K3890" s="8"/>
    </row>
    <row r="3891" spans="1:11" x14ac:dyDescent="0.2">
      <c r="A3891" s="8">
        <v>2839</v>
      </c>
      <c r="B3891" s="8">
        <f t="shared" si="126"/>
        <v>2024</v>
      </c>
      <c r="C3891" s="8">
        <f t="shared" si="127"/>
        <v>10</v>
      </c>
      <c r="D3891" s="85">
        <v>45571</v>
      </c>
      <c r="E3891" s="31"/>
      <c r="F3891" s="31">
        <v>30000</v>
      </c>
      <c r="G3891" s="31"/>
      <c r="H3891" s="31"/>
      <c r="I3891" s="31" t="s">
        <v>1350</v>
      </c>
      <c r="J3891" s="5" t="s">
        <v>2626</v>
      </c>
      <c r="K3891" s="8"/>
    </row>
    <row r="3892" spans="1:11" x14ac:dyDescent="0.2">
      <c r="A3892" s="8">
        <v>2840</v>
      </c>
      <c r="B3892" s="8">
        <f t="shared" si="126"/>
        <v>2024</v>
      </c>
      <c r="C3892" s="8">
        <f t="shared" si="127"/>
        <v>10</v>
      </c>
      <c r="D3892" s="85">
        <v>45571</v>
      </c>
      <c r="E3892" s="31"/>
      <c r="F3892" s="31">
        <v>50000</v>
      </c>
      <c r="G3892" s="31"/>
      <c r="H3892" s="31"/>
      <c r="I3892" s="31" t="s">
        <v>1350</v>
      </c>
      <c r="J3892" s="5" t="s">
        <v>2894</v>
      </c>
      <c r="K3892" s="8"/>
    </row>
    <row r="3893" spans="1:11" x14ac:dyDescent="0.2">
      <c r="A3893" s="8">
        <v>2841</v>
      </c>
      <c r="B3893" s="8">
        <f t="shared" si="126"/>
        <v>2024</v>
      </c>
      <c r="C3893" s="8">
        <f t="shared" si="127"/>
        <v>10</v>
      </c>
      <c r="D3893" s="85">
        <v>45571</v>
      </c>
      <c r="E3893" s="31"/>
      <c r="F3893" s="31">
        <v>95000</v>
      </c>
      <c r="G3893" s="31"/>
      <c r="H3893" s="31"/>
      <c r="I3893" s="31" t="s">
        <v>1350</v>
      </c>
      <c r="J3893" s="5" t="s">
        <v>2895</v>
      </c>
      <c r="K3893" s="8"/>
    </row>
    <row r="3894" spans="1:11" x14ac:dyDescent="0.2">
      <c r="A3894" s="8">
        <v>2842</v>
      </c>
      <c r="B3894" s="8">
        <f t="shared" si="126"/>
        <v>2024</v>
      </c>
      <c r="C3894" s="8">
        <f t="shared" si="127"/>
        <v>10</v>
      </c>
      <c r="D3894" s="85">
        <v>45572</v>
      </c>
      <c r="E3894" s="31"/>
      <c r="F3894" s="31">
        <v>10000</v>
      </c>
      <c r="G3894" s="31"/>
      <c r="H3894" s="31"/>
      <c r="I3894" s="31" t="s">
        <v>1350</v>
      </c>
      <c r="J3894" s="5" t="s">
        <v>2371</v>
      </c>
      <c r="K3894" s="8"/>
    </row>
    <row r="3895" spans="1:11" x14ac:dyDescent="0.2">
      <c r="A3895" s="8">
        <v>2843</v>
      </c>
      <c r="B3895" s="8">
        <f t="shared" si="126"/>
        <v>2024</v>
      </c>
      <c r="C3895" s="8">
        <f t="shared" si="127"/>
        <v>10</v>
      </c>
      <c r="D3895" s="85">
        <v>45572</v>
      </c>
      <c r="E3895" s="31"/>
      <c r="F3895" s="31">
        <v>13000</v>
      </c>
      <c r="G3895" s="31"/>
      <c r="H3895" s="31"/>
      <c r="I3895" s="31" t="s">
        <v>1350</v>
      </c>
      <c r="J3895" s="5" t="s">
        <v>2493</v>
      </c>
      <c r="K3895" s="8"/>
    </row>
    <row r="3896" spans="1:11" x14ac:dyDescent="0.2">
      <c r="A3896" s="8">
        <v>2844</v>
      </c>
      <c r="B3896" s="8">
        <f t="shared" si="126"/>
        <v>2024</v>
      </c>
      <c r="C3896" s="8">
        <f t="shared" si="127"/>
        <v>10</v>
      </c>
      <c r="D3896" s="85">
        <v>45572</v>
      </c>
      <c r="E3896" s="31"/>
      <c r="F3896" s="31">
        <v>275000</v>
      </c>
      <c r="G3896" s="31"/>
      <c r="H3896" s="31"/>
      <c r="I3896" s="31" t="s">
        <v>1999</v>
      </c>
      <c r="J3896" s="5" t="s">
        <v>2896</v>
      </c>
      <c r="K3896" s="8"/>
    </row>
    <row r="3897" spans="1:11" x14ac:dyDescent="0.2">
      <c r="A3897" s="8">
        <v>2845</v>
      </c>
      <c r="B3897" s="8">
        <f t="shared" si="126"/>
        <v>2024</v>
      </c>
      <c r="C3897" s="8">
        <f t="shared" si="127"/>
        <v>10</v>
      </c>
      <c r="D3897" s="85">
        <v>45573</v>
      </c>
      <c r="E3897" s="31"/>
      <c r="F3897" s="31">
        <v>100000</v>
      </c>
      <c r="G3897" s="31"/>
      <c r="H3897" s="31"/>
      <c r="I3897" s="31" t="s">
        <v>85</v>
      </c>
      <c r="J3897" s="5" t="s">
        <v>2897</v>
      </c>
      <c r="K3897" s="8"/>
    </row>
    <row r="3898" spans="1:11" x14ac:dyDescent="0.2">
      <c r="A3898" s="8">
        <v>2846</v>
      </c>
      <c r="B3898" s="8">
        <f t="shared" si="126"/>
        <v>2024</v>
      </c>
      <c r="C3898" s="8">
        <f t="shared" si="127"/>
        <v>10</v>
      </c>
      <c r="D3898" s="85">
        <v>45573</v>
      </c>
      <c r="E3898" s="31"/>
      <c r="F3898" s="31">
        <v>164000</v>
      </c>
      <c r="G3898" s="31"/>
      <c r="H3898" s="31"/>
      <c r="I3898" s="31" t="s">
        <v>85</v>
      </c>
      <c r="J3898" s="5" t="s">
        <v>2898</v>
      </c>
      <c r="K3898" s="8"/>
    </row>
    <row r="3899" spans="1:11" x14ac:dyDescent="0.2">
      <c r="A3899" s="8">
        <v>2847</v>
      </c>
      <c r="B3899" s="8">
        <f t="shared" si="126"/>
        <v>2024</v>
      </c>
      <c r="C3899" s="8">
        <f t="shared" si="127"/>
        <v>10</v>
      </c>
      <c r="D3899" s="85">
        <v>45574</v>
      </c>
      <c r="E3899" s="31"/>
      <c r="F3899" s="31">
        <v>20000</v>
      </c>
      <c r="G3899" s="31"/>
      <c r="H3899" s="31"/>
      <c r="I3899" s="31" t="s">
        <v>91</v>
      </c>
      <c r="J3899" s="5" t="s">
        <v>2522</v>
      </c>
      <c r="K3899" s="8"/>
    </row>
    <row r="3900" spans="1:11" x14ac:dyDescent="0.2">
      <c r="A3900" s="8">
        <v>2848</v>
      </c>
      <c r="B3900" s="8">
        <f t="shared" si="126"/>
        <v>2024</v>
      </c>
      <c r="C3900" s="8">
        <f t="shared" si="127"/>
        <v>10</v>
      </c>
      <c r="D3900" s="85">
        <v>45575</v>
      </c>
      <c r="E3900" s="31"/>
      <c r="F3900" s="31">
        <v>62000</v>
      </c>
      <c r="G3900" s="31"/>
      <c r="H3900" s="31"/>
      <c r="I3900" s="31" t="s">
        <v>85</v>
      </c>
      <c r="J3900" s="5" t="s">
        <v>2899</v>
      </c>
      <c r="K3900" s="8"/>
    </row>
    <row r="3901" spans="1:11" x14ac:dyDescent="0.2">
      <c r="A3901" s="8">
        <v>2849</v>
      </c>
      <c r="B3901" s="8">
        <f t="shared" si="126"/>
        <v>2024</v>
      </c>
      <c r="C3901" s="8">
        <f t="shared" si="127"/>
        <v>10</v>
      </c>
      <c r="D3901" s="85">
        <v>45576</v>
      </c>
      <c r="E3901" s="31"/>
      <c r="F3901" s="31">
        <v>20000</v>
      </c>
      <c r="G3901" s="31"/>
      <c r="H3901" s="31"/>
      <c r="I3901" s="31" t="s">
        <v>91</v>
      </c>
      <c r="J3901" s="5" t="s">
        <v>2843</v>
      </c>
      <c r="K3901" s="8"/>
    </row>
    <row r="3902" spans="1:11" x14ac:dyDescent="0.2">
      <c r="A3902" s="8">
        <v>2850</v>
      </c>
      <c r="B3902" s="8">
        <f t="shared" si="126"/>
        <v>2024</v>
      </c>
      <c r="C3902" s="8">
        <f t="shared" si="127"/>
        <v>10</v>
      </c>
      <c r="D3902" s="85">
        <v>45577</v>
      </c>
      <c r="E3902" s="31"/>
      <c r="F3902" s="31">
        <v>10000</v>
      </c>
      <c r="G3902" s="31"/>
      <c r="H3902" s="31"/>
      <c r="I3902" s="31" t="s">
        <v>91</v>
      </c>
      <c r="J3902" s="5" t="s">
        <v>2900</v>
      </c>
      <c r="K3902" s="8"/>
    </row>
    <row r="3903" spans="1:11" x14ac:dyDescent="0.2">
      <c r="A3903" s="8">
        <v>2851</v>
      </c>
      <c r="B3903" s="8">
        <f t="shared" si="126"/>
        <v>2024</v>
      </c>
      <c r="C3903" s="8">
        <f t="shared" si="127"/>
        <v>10</v>
      </c>
      <c r="D3903" s="85">
        <v>45577</v>
      </c>
      <c r="E3903" s="31"/>
      <c r="F3903" s="31">
        <v>11000</v>
      </c>
      <c r="G3903" s="31"/>
      <c r="H3903" s="31"/>
      <c r="I3903" s="31" t="s">
        <v>85</v>
      </c>
      <c r="J3903" s="5" t="s">
        <v>2901</v>
      </c>
      <c r="K3903" s="8"/>
    </row>
    <row r="3904" spans="1:11" x14ac:dyDescent="0.2">
      <c r="A3904" s="8">
        <v>2852</v>
      </c>
      <c r="B3904" s="8">
        <f t="shared" si="126"/>
        <v>2024</v>
      </c>
      <c r="C3904" s="8">
        <f t="shared" si="127"/>
        <v>10</v>
      </c>
      <c r="D3904" s="85">
        <v>45577</v>
      </c>
      <c r="E3904" s="31"/>
      <c r="F3904" s="31">
        <v>20000</v>
      </c>
      <c r="G3904" s="31"/>
      <c r="H3904" s="31"/>
      <c r="I3904" s="31" t="s">
        <v>85</v>
      </c>
      <c r="J3904" s="5" t="s">
        <v>2893</v>
      </c>
      <c r="K3904" s="8"/>
    </row>
    <row r="3905" spans="1:11" x14ac:dyDescent="0.2">
      <c r="A3905" s="8">
        <v>2853</v>
      </c>
      <c r="B3905" s="8">
        <f t="shared" si="126"/>
        <v>2024</v>
      </c>
      <c r="C3905" s="8">
        <f t="shared" si="127"/>
        <v>10</v>
      </c>
      <c r="D3905" s="85">
        <v>45577</v>
      </c>
      <c r="E3905" s="31"/>
      <c r="F3905" s="31">
        <v>204000</v>
      </c>
      <c r="G3905" s="31"/>
      <c r="H3905" s="31"/>
      <c r="I3905" s="31" t="s">
        <v>85</v>
      </c>
      <c r="J3905" s="5" t="s">
        <v>2902</v>
      </c>
      <c r="K3905" s="8"/>
    </row>
    <row r="3906" spans="1:11" x14ac:dyDescent="0.2">
      <c r="A3906" s="8">
        <v>2854</v>
      </c>
      <c r="B3906" s="8">
        <f t="shared" si="126"/>
        <v>2024</v>
      </c>
      <c r="C3906" s="8">
        <f t="shared" si="127"/>
        <v>10</v>
      </c>
      <c r="D3906" s="85">
        <v>45577</v>
      </c>
      <c r="E3906" s="31"/>
      <c r="F3906" s="31">
        <v>40000</v>
      </c>
      <c r="G3906" s="31"/>
      <c r="H3906" s="31"/>
      <c r="I3906" s="31" t="s">
        <v>85</v>
      </c>
      <c r="J3906" s="5" t="s">
        <v>2903</v>
      </c>
      <c r="K3906" s="8"/>
    </row>
    <row r="3907" spans="1:11" x14ac:dyDescent="0.2">
      <c r="A3907" s="8">
        <v>2855</v>
      </c>
      <c r="B3907" s="8">
        <f t="shared" ref="B3907:B3970" si="128">YEAR(D3907)</f>
        <v>2024</v>
      </c>
      <c r="C3907" s="8">
        <f t="shared" ref="C3907:C3970" si="129">MONTH(D3907)</f>
        <v>10</v>
      </c>
      <c r="D3907" s="85">
        <v>45577</v>
      </c>
      <c r="E3907" s="31"/>
      <c r="F3907" s="31">
        <v>60000</v>
      </c>
      <c r="G3907" s="31"/>
      <c r="H3907" s="31"/>
      <c r="I3907" s="31" t="s">
        <v>85</v>
      </c>
      <c r="J3907" s="5" t="s">
        <v>2904</v>
      </c>
      <c r="K3907" s="8"/>
    </row>
    <row r="3908" spans="1:11" x14ac:dyDescent="0.2">
      <c r="A3908" s="8">
        <v>2856</v>
      </c>
      <c r="B3908" s="8">
        <f t="shared" si="128"/>
        <v>2024</v>
      </c>
      <c r="C3908" s="8">
        <f t="shared" si="129"/>
        <v>10</v>
      </c>
      <c r="D3908" s="85">
        <v>45578</v>
      </c>
      <c r="E3908" s="31"/>
      <c r="F3908" s="31">
        <v>130000</v>
      </c>
      <c r="G3908" s="31"/>
      <c r="H3908" s="31"/>
      <c r="I3908" s="31" t="s">
        <v>299</v>
      </c>
      <c r="J3908" s="5" t="s">
        <v>2905</v>
      </c>
      <c r="K3908" s="8"/>
    </row>
    <row r="3909" spans="1:11" x14ac:dyDescent="0.2">
      <c r="A3909" s="8">
        <v>2857</v>
      </c>
      <c r="B3909" s="8">
        <f t="shared" si="128"/>
        <v>2024</v>
      </c>
      <c r="C3909" s="8">
        <f t="shared" si="129"/>
        <v>10</v>
      </c>
      <c r="D3909" s="85">
        <v>45578</v>
      </c>
      <c r="E3909" s="31"/>
      <c r="F3909" s="31">
        <v>15000</v>
      </c>
      <c r="G3909" s="31"/>
      <c r="H3909" s="31"/>
      <c r="I3909" s="31" t="s">
        <v>91</v>
      </c>
      <c r="J3909" s="5" t="s">
        <v>2906</v>
      </c>
      <c r="K3909" s="8"/>
    </row>
    <row r="3910" spans="1:11" x14ac:dyDescent="0.2">
      <c r="A3910" s="8">
        <v>2858</v>
      </c>
      <c r="B3910" s="8">
        <f t="shared" si="128"/>
        <v>2024</v>
      </c>
      <c r="C3910" s="8">
        <f t="shared" si="129"/>
        <v>10</v>
      </c>
      <c r="D3910" s="85">
        <v>45578</v>
      </c>
      <c r="E3910" s="31"/>
      <c r="F3910" s="31">
        <v>400000</v>
      </c>
      <c r="G3910" s="31"/>
      <c r="H3910" s="31"/>
      <c r="I3910" s="31" t="s">
        <v>1815</v>
      </c>
      <c r="J3910" s="5" t="s">
        <v>2907</v>
      </c>
      <c r="K3910" s="8"/>
    </row>
    <row r="3911" spans="1:11" x14ac:dyDescent="0.2">
      <c r="A3911" s="8">
        <v>2859</v>
      </c>
      <c r="B3911" s="8">
        <f t="shared" si="128"/>
        <v>2024</v>
      </c>
      <c r="C3911" s="8">
        <f t="shared" si="129"/>
        <v>10</v>
      </c>
      <c r="D3911" s="85">
        <v>45578</v>
      </c>
      <c r="E3911" s="31"/>
      <c r="F3911" s="31">
        <v>50000</v>
      </c>
      <c r="G3911" s="31"/>
      <c r="H3911" s="31"/>
      <c r="I3911" s="31" t="s">
        <v>1815</v>
      </c>
      <c r="J3911" s="5" t="s">
        <v>2908</v>
      </c>
      <c r="K3911" s="8"/>
    </row>
    <row r="3912" spans="1:11" x14ac:dyDescent="0.2">
      <c r="A3912" s="8">
        <v>2860</v>
      </c>
      <c r="B3912" s="8">
        <f t="shared" si="128"/>
        <v>2024</v>
      </c>
      <c r="C3912" s="8">
        <f t="shared" si="129"/>
        <v>10</v>
      </c>
      <c r="D3912" s="85">
        <v>45578</v>
      </c>
      <c r="E3912" s="31"/>
      <c r="F3912" s="31">
        <v>65000</v>
      </c>
      <c r="G3912" s="31"/>
      <c r="H3912" s="31"/>
      <c r="I3912" s="31" t="s">
        <v>1815</v>
      </c>
      <c r="J3912" s="5" t="s">
        <v>2909</v>
      </c>
      <c r="K3912" s="8"/>
    </row>
    <row r="3913" spans="1:11" x14ac:dyDescent="0.2">
      <c r="A3913" s="8">
        <v>2861</v>
      </c>
      <c r="B3913" s="8">
        <f t="shared" si="128"/>
        <v>2024</v>
      </c>
      <c r="C3913" s="8">
        <f t="shared" si="129"/>
        <v>10</v>
      </c>
      <c r="D3913" s="85">
        <v>45579</v>
      </c>
      <c r="E3913" s="31"/>
      <c r="F3913" s="31">
        <v>10000</v>
      </c>
      <c r="G3913" s="31"/>
      <c r="H3913" s="31"/>
      <c r="I3913" s="31" t="s">
        <v>1815</v>
      </c>
      <c r="J3913" s="5" t="s">
        <v>2910</v>
      </c>
      <c r="K3913" s="8"/>
    </row>
    <row r="3914" spans="1:11" x14ac:dyDescent="0.2">
      <c r="A3914" s="8">
        <v>2862</v>
      </c>
      <c r="B3914" s="8">
        <f t="shared" si="128"/>
        <v>2024</v>
      </c>
      <c r="C3914" s="8">
        <f t="shared" si="129"/>
        <v>10</v>
      </c>
      <c r="D3914" s="85">
        <v>45579</v>
      </c>
      <c r="E3914" s="31"/>
      <c r="F3914" s="31">
        <v>220000</v>
      </c>
      <c r="G3914" s="31"/>
      <c r="H3914" s="31"/>
      <c r="I3914" s="31" t="s">
        <v>1815</v>
      </c>
      <c r="J3914" s="5" t="s">
        <v>2911</v>
      </c>
      <c r="K3914" s="8"/>
    </row>
    <row r="3915" spans="1:11" x14ac:dyDescent="0.2">
      <c r="A3915" s="8">
        <v>2863</v>
      </c>
      <c r="B3915" s="8">
        <f t="shared" si="128"/>
        <v>2024</v>
      </c>
      <c r="C3915" s="8">
        <f t="shared" si="129"/>
        <v>10</v>
      </c>
      <c r="D3915" s="85">
        <v>45579</v>
      </c>
      <c r="E3915" s="31"/>
      <c r="F3915" s="31">
        <v>28000</v>
      </c>
      <c r="G3915" s="31"/>
      <c r="H3915" s="31"/>
      <c r="I3915" s="31" t="s">
        <v>1815</v>
      </c>
      <c r="J3915" s="5" t="s">
        <v>2912</v>
      </c>
      <c r="K3915" s="8"/>
    </row>
    <row r="3916" spans="1:11" x14ac:dyDescent="0.2">
      <c r="A3916" s="8">
        <v>2864</v>
      </c>
      <c r="B3916" s="8">
        <f t="shared" si="128"/>
        <v>2024</v>
      </c>
      <c r="C3916" s="8">
        <f t="shared" si="129"/>
        <v>10</v>
      </c>
      <c r="D3916" s="85">
        <v>45579</v>
      </c>
      <c r="E3916" s="31"/>
      <c r="F3916" s="31">
        <v>30000</v>
      </c>
      <c r="G3916" s="31"/>
      <c r="H3916" s="31"/>
      <c r="I3916" s="31" t="s">
        <v>1815</v>
      </c>
      <c r="J3916" s="5" t="s">
        <v>2913</v>
      </c>
      <c r="K3916" s="8"/>
    </row>
    <row r="3917" spans="1:11" x14ac:dyDescent="0.2">
      <c r="A3917" s="8">
        <v>2865</v>
      </c>
      <c r="B3917" s="8">
        <f t="shared" si="128"/>
        <v>2024</v>
      </c>
      <c r="C3917" s="8">
        <f t="shared" si="129"/>
        <v>10</v>
      </c>
      <c r="D3917" s="85">
        <v>45579</v>
      </c>
      <c r="E3917" s="31"/>
      <c r="F3917" s="31">
        <v>39000</v>
      </c>
      <c r="G3917" s="31"/>
      <c r="H3917" s="31"/>
      <c r="I3917" s="31" t="s">
        <v>1815</v>
      </c>
      <c r="J3917" s="5" t="s">
        <v>2914</v>
      </c>
      <c r="K3917" s="8"/>
    </row>
    <row r="3918" spans="1:11" x14ac:dyDescent="0.2">
      <c r="A3918" s="8">
        <v>2866</v>
      </c>
      <c r="B3918" s="8">
        <f t="shared" si="128"/>
        <v>2024</v>
      </c>
      <c r="C3918" s="8">
        <f t="shared" si="129"/>
        <v>10</v>
      </c>
      <c r="D3918" s="85">
        <v>45579</v>
      </c>
      <c r="E3918" s="31"/>
      <c r="F3918" s="31">
        <v>5000</v>
      </c>
      <c r="G3918" s="31"/>
      <c r="H3918" s="31"/>
      <c r="I3918" s="31" t="s">
        <v>149</v>
      </c>
      <c r="J3918" s="5" t="s">
        <v>2831</v>
      </c>
      <c r="K3918" s="8"/>
    </row>
    <row r="3919" spans="1:11" x14ac:dyDescent="0.2">
      <c r="A3919" s="8">
        <v>2867</v>
      </c>
      <c r="B3919" s="8">
        <f t="shared" si="128"/>
        <v>2024</v>
      </c>
      <c r="C3919" s="8">
        <f t="shared" si="129"/>
        <v>10</v>
      </c>
      <c r="D3919" s="85">
        <v>45579</v>
      </c>
      <c r="E3919" s="31"/>
      <c r="F3919" s="31">
        <v>65000</v>
      </c>
      <c r="G3919" s="31"/>
      <c r="H3919" s="31"/>
      <c r="I3919" s="31" t="s">
        <v>1815</v>
      </c>
      <c r="J3919" s="5" t="s">
        <v>2909</v>
      </c>
      <c r="K3919" s="8"/>
    </row>
    <row r="3920" spans="1:11" x14ac:dyDescent="0.2">
      <c r="A3920" s="8">
        <v>2868</v>
      </c>
      <c r="B3920" s="8">
        <f t="shared" si="128"/>
        <v>2024</v>
      </c>
      <c r="C3920" s="8">
        <f t="shared" si="129"/>
        <v>10</v>
      </c>
      <c r="D3920" s="85">
        <v>45579</v>
      </c>
      <c r="E3920" s="31"/>
      <c r="F3920" s="31">
        <v>90000</v>
      </c>
      <c r="G3920" s="31"/>
      <c r="H3920" s="31"/>
      <c r="I3920" s="31" t="s">
        <v>1815</v>
      </c>
      <c r="J3920" s="5" t="s">
        <v>2915</v>
      </c>
      <c r="K3920" s="8"/>
    </row>
    <row r="3921" spans="1:11" x14ac:dyDescent="0.2">
      <c r="A3921" s="8">
        <v>2869</v>
      </c>
      <c r="B3921" s="8">
        <f t="shared" si="128"/>
        <v>2024</v>
      </c>
      <c r="C3921" s="8">
        <f t="shared" si="129"/>
        <v>10</v>
      </c>
      <c r="D3921" s="85">
        <v>45580</v>
      </c>
      <c r="E3921" s="31"/>
      <c r="F3921" s="31">
        <v>28000</v>
      </c>
      <c r="G3921" s="31"/>
      <c r="H3921" s="31"/>
      <c r="I3921" s="31" t="s">
        <v>1815</v>
      </c>
      <c r="J3921" s="5" t="s">
        <v>2916</v>
      </c>
      <c r="K3921" s="8"/>
    </row>
    <row r="3922" spans="1:11" x14ac:dyDescent="0.2">
      <c r="A3922" s="8">
        <v>2870</v>
      </c>
      <c r="B3922" s="8">
        <f t="shared" si="128"/>
        <v>2024</v>
      </c>
      <c r="C3922" s="8">
        <f t="shared" si="129"/>
        <v>10</v>
      </c>
      <c r="D3922" s="85">
        <v>45580</v>
      </c>
      <c r="E3922" s="31"/>
      <c r="F3922" s="31">
        <v>600000</v>
      </c>
      <c r="G3922" s="31"/>
      <c r="H3922" s="31"/>
      <c r="I3922" s="31" t="s">
        <v>85</v>
      </c>
      <c r="J3922" s="5" t="s">
        <v>2917</v>
      </c>
      <c r="K3922" s="8"/>
    </row>
    <row r="3923" spans="1:11" x14ac:dyDescent="0.2">
      <c r="A3923" s="8">
        <v>2871</v>
      </c>
      <c r="B3923" s="8">
        <f t="shared" si="128"/>
        <v>2024</v>
      </c>
      <c r="C3923" s="8">
        <f t="shared" si="129"/>
        <v>10</v>
      </c>
      <c r="D3923" s="85">
        <v>45581</v>
      </c>
      <c r="E3923" s="31"/>
      <c r="F3923" s="31">
        <v>15000</v>
      </c>
      <c r="G3923" s="31"/>
      <c r="H3923" s="31"/>
      <c r="I3923" s="31" t="s">
        <v>85</v>
      </c>
      <c r="J3923" s="5" t="s">
        <v>2918</v>
      </c>
      <c r="K3923" s="8"/>
    </row>
    <row r="3924" spans="1:11" x14ac:dyDescent="0.2">
      <c r="A3924" s="8">
        <v>2873</v>
      </c>
      <c r="B3924" s="8">
        <f t="shared" si="128"/>
        <v>2024</v>
      </c>
      <c r="C3924" s="8">
        <f t="shared" si="129"/>
        <v>10</v>
      </c>
      <c r="D3924" s="85">
        <v>45581</v>
      </c>
      <c r="E3924" s="31"/>
      <c r="F3924" s="31">
        <v>90000</v>
      </c>
      <c r="G3924" s="31"/>
      <c r="H3924" s="31"/>
      <c r="I3924" s="31" t="s">
        <v>1815</v>
      </c>
      <c r="J3924" s="5" t="s">
        <v>2919</v>
      </c>
      <c r="K3924" s="8"/>
    </row>
    <row r="3925" spans="1:11" x14ac:dyDescent="0.2">
      <c r="A3925" s="8">
        <v>2875</v>
      </c>
      <c r="B3925" s="8">
        <f t="shared" si="128"/>
        <v>2024</v>
      </c>
      <c r="C3925" s="8">
        <f t="shared" si="129"/>
        <v>10</v>
      </c>
      <c r="D3925" s="85">
        <v>45582</v>
      </c>
      <c r="E3925" s="31"/>
      <c r="F3925" s="31">
        <v>36000</v>
      </c>
      <c r="G3925" s="31"/>
      <c r="H3925" s="31"/>
      <c r="I3925" s="31" t="s">
        <v>1350</v>
      </c>
      <c r="J3925" s="5" t="s">
        <v>2920</v>
      </c>
      <c r="K3925" s="8"/>
    </row>
    <row r="3926" spans="1:11" x14ac:dyDescent="0.2">
      <c r="A3926" s="8">
        <v>2876</v>
      </c>
      <c r="B3926" s="8">
        <f t="shared" si="128"/>
        <v>2024</v>
      </c>
      <c r="C3926" s="8">
        <f t="shared" si="129"/>
        <v>10</v>
      </c>
      <c r="D3926" s="85">
        <v>45582</v>
      </c>
      <c r="E3926" s="31"/>
      <c r="F3926" s="31">
        <v>43000</v>
      </c>
      <c r="G3926" s="31"/>
      <c r="H3926" s="31"/>
      <c r="I3926" s="31" t="s">
        <v>1992</v>
      </c>
      <c r="J3926" s="5" t="s">
        <v>2921</v>
      </c>
      <c r="K3926" s="8"/>
    </row>
    <row r="3927" spans="1:11" x14ac:dyDescent="0.2">
      <c r="A3927" s="8">
        <v>2878</v>
      </c>
      <c r="B3927" s="8">
        <f t="shared" si="128"/>
        <v>2024</v>
      </c>
      <c r="C3927" s="8">
        <f t="shared" si="129"/>
        <v>10</v>
      </c>
      <c r="D3927" s="85">
        <v>45583</v>
      </c>
      <c r="E3927" s="31"/>
      <c r="F3927" s="31">
        <v>22000</v>
      </c>
      <c r="G3927" s="31"/>
      <c r="H3927" s="31"/>
      <c r="I3927" s="31" t="s">
        <v>85</v>
      </c>
      <c r="J3927" s="5" t="s">
        <v>2922</v>
      </c>
      <c r="K3927" s="8"/>
    </row>
    <row r="3928" spans="1:11" x14ac:dyDescent="0.2">
      <c r="A3928" s="8">
        <v>2879</v>
      </c>
      <c r="B3928" s="8">
        <f t="shared" si="128"/>
        <v>2024</v>
      </c>
      <c r="C3928" s="8">
        <f t="shared" si="129"/>
        <v>10</v>
      </c>
      <c r="D3928" s="85">
        <v>45583</v>
      </c>
      <c r="E3928" s="31"/>
      <c r="F3928" s="31">
        <v>7000</v>
      </c>
      <c r="G3928" s="31"/>
      <c r="H3928" s="31"/>
      <c r="I3928" s="31" t="s">
        <v>149</v>
      </c>
      <c r="J3928" s="5" t="s">
        <v>2660</v>
      </c>
      <c r="K3928" s="8"/>
    </row>
    <row r="3929" spans="1:11" x14ac:dyDescent="0.2">
      <c r="A3929" s="8">
        <v>2880</v>
      </c>
      <c r="B3929" s="8">
        <f t="shared" si="128"/>
        <v>2024</v>
      </c>
      <c r="C3929" s="8">
        <f t="shared" si="129"/>
        <v>10</v>
      </c>
      <c r="D3929" s="85">
        <v>45583</v>
      </c>
      <c r="E3929" s="31"/>
      <c r="F3929" s="31">
        <v>95000</v>
      </c>
      <c r="G3929" s="31"/>
      <c r="H3929" s="31"/>
      <c r="I3929" s="31" t="s">
        <v>1350</v>
      </c>
      <c r="J3929" s="5" t="s">
        <v>2923</v>
      </c>
      <c r="K3929" s="8"/>
    </row>
    <row r="3930" spans="1:11" x14ac:dyDescent="0.2">
      <c r="A3930" s="8">
        <v>2881</v>
      </c>
      <c r="B3930" s="8">
        <f t="shared" si="128"/>
        <v>2024</v>
      </c>
      <c r="C3930" s="8">
        <f t="shared" si="129"/>
        <v>10</v>
      </c>
      <c r="D3930" s="85">
        <v>45584</v>
      </c>
      <c r="E3930" s="31"/>
      <c r="F3930" s="31">
        <v>10000</v>
      </c>
      <c r="G3930" s="31"/>
      <c r="H3930" s="31"/>
      <c r="I3930" s="31" t="s">
        <v>91</v>
      </c>
      <c r="J3930" s="5" t="s">
        <v>2401</v>
      </c>
      <c r="K3930" s="8"/>
    </row>
    <row r="3931" spans="1:11" x14ac:dyDescent="0.2">
      <c r="A3931" s="8">
        <v>2883</v>
      </c>
      <c r="B3931" s="8">
        <f t="shared" si="128"/>
        <v>2024</v>
      </c>
      <c r="C3931" s="8">
        <f t="shared" si="129"/>
        <v>10</v>
      </c>
      <c r="D3931" s="85">
        <v>45584</v>
      </c>
      <c r="E3931" s="31"/>
      <c r="F3931" s="31">
        <v>20000</v>
      </c>
      <c r="G3931" s="31"/>
      <c r="H3931" s="31"/>
      <c r="I3931" s="31" t="s">
        <v>85</v>
      </c>
      <c r="J3931" s="5" t="s">
        <v>2924</v>
      </c>
      <c r="K3931" s="8"/>
    </row>
    <row r="3932" spans="1:11" x14ac:dyDescent="0.2">
      <c r="A3932" s="8">
        <v>2884</v>
      </c>
      <c r="B3932" s="8">
        <f t="shared" si="128"/>
        <v>2024</v>
      </c>
      <c r="C3932" s="8">
        <f t="shared" si="129"/>
        <v>10</v>
      </c>
      <c r="D3932" s="85">
        <v>45584</v>
      </c>
      <c r="E3932" s="31"/>
      <c r="F3932" s="31">
        <v>20000</v>
      </c>
      <c r="G3932" s="31"/>
      <c r="H3932" s="31"/>
      <c r="I3932" s="31" t="s">
        <v>85</v>
      </c>
      <c r="J3932" s="5" t="s">
        <v>2925</v>
      </c>
      <c r="K3932" s="8"/>
    </row>
    <row r="3933" spans="1:11" x14ac:dyDescent="0.2">
      <c r="A3933" s="8">
        <v>2885</v>
      </c>
      <c r="B3933" s="8">
        <f t="shared" si="128"/>
        <v>2024</v>
      </c>
      <c r="C3933" s="8">
        <f t="shared" si="129"/>
        <v>10</v>
      </c>
      <c r="D3933" s="85">
        <v>45584</v>
      </c>
      <c r="E3933" s="31"/>
      <c r="F3933" s="31">
        <v>204000</v>
      </c>
      <c r="G3933" s="31"/>
      <c r="H3933" s="31"/>
      <c r="I3933" s="31" t="s">
        <v>1999</v>
      </c>
      <c r="J3933" s="5" t="s">
        <v>2926</v>
      </c>
      <c r="K3933" s="8"/>
    </row>
    <row r="3934" spans="1:11" x14ac:dyDescent="0.2">
      <c r="A3934" s="8">
        <v>2886</v>
      </c>
      <c r="B3934" s="8">
        <f t="shared" si="128"/>
        <v>2024</v>
      </c>
      <c r="C3934" s="8">
        <f t="shared" si="129"/>
        <v>10</v>
      </c>
      <c r="D3934" s="85">
        <v>45584</v>
      </c>
      <c r="E3934" s="31"/>
      <c r="F3934" s="31">
        <v>70000</v>
      </c>
      <c r="G3934" s="31"/>
      <c r="H3934" s="31"/>
      <c r="I3934" s="31" t="s">
        <v>1815</v>
      </c>
      <c r="J3934" s="5" t="s">
        <v>2927</v>
      </c>
      <c r="K3934" s="8"/>
    </row>
    <row r="3935" spans="1:11" x14ac:dyDescent="0.2">
      <c r="A3935" s="8">
        <v>2887</v>
      </c>
      <c r="B3935" s="8">
        <f t="shared" si="128"/>
        <v>2024</v>
      </c>
      <c r="C3935" s="8">
        <f t="shared" si="129"/>
        <v>10</v>
      </c>
      <c r="D3935" s="85">
        <v>45584</v>
      </c>
      <c r="E3935" s="31"/>
      <c r="F3935" s="31">
        <v>8000</v>
      </c>
      <c r="G3935" s="31"/>
      <c r="H3935" s="31"/>
      <c r="I3935" s="31" t="s">
        <v>1992</v>
      </c>
      <c r="J3935" s="5" t="s">
        <v>2928</v>
      </c>
      <c r="K3935" s="8"/>
    </row>
    <row r="3936" spans="1:11" x14ac:dyDescent="0.2">
      <c r="A3936" s="8">
        <v>2888</v>
      </c>
      <c r="B3936" s="8">
        <f t="shared" si="128"/>
        <v>2024</v>
      </c>
      <c r="C3936" s="8">
        <f t="shared" si="129"/>
        <v>10</v>
      </c>
      <c r="D3936" s="85">
        <v>45585</v>
      </c>
      <c r="E3936" s="31"/>
      <c r="F3936" s="31">
        <v>100000</v>
      </c>
      <c r="G3936" s="31"/>
      <c r="H3936" s="31"/>
      <c r="I3936" s="31" t="s">
        <v>91</v>
      </c>
      <c r="J3936" s="5" t="s">
        <v>2929</v>
      </c>
      <c r="K3936" s="8"/>
    </row>
    <row r="3937" spans="1:11" x14ac:dyDescent="0.2">
      <c r="A3937" s="8">
        <v>2889</v>
      </c>
      <c r="B3937" s="8">
        <f t="shared" si="128"/>
        <v>2024</v>
      </c>
      <c r="C3937" s="8">
        <f t="shared" si="129"/>
        <v>10</v>
      </c>
      <c r="D3937" s="85">
        <v>45585</v>
      </c>
      <c r="E3937" s="31"/>
      <c r="F3937" s="31">
        <v>208000</v>
      </c>
      <c r="G3937" s="31"/>
      <c r="H3937" s="31"/>
      <c r="I3937" s="31" t="s">
        <v>299</v>
      </c>
      <c r="J3937" s="5" t="s">
        <v>2930</v>
      </c>
      <c r="K3937" s="8"/>
    </row>
    <row r="3938" spans="1:11" x14ac:dyDescent="0.2">
      <c r="A3938" s="8">
        <v>2890</v>
      </c>
      <c r="B3938" s="8">
        <f t="shared" si="128"/>
        <v>2024</v>
      </c>
      <c r="C3938" s="8">
        <f t="shared" si="129"/>
        <v>10</v>
      </c>
      <c r="D3938" s="85">
        <v>45585</v>
      </c>
      <c r="E3938" s="31"/>
      <c r="F3938" s="31">
        <v>24000</v>
      </c>
      <c r="G3938" s="31"/>
      <c r="H3938" s="31"/>
      <c r="I3938" s="31" t="s">
        <v>91</v>
      </c>
      <c r="J3938" s="5" t="s">
        <v>2931</v>
      </c>
      <c r="K3938" s="8"/>
    </row>
    <row r="3939" spans="1:11" x14ac:dyDescent="0.2">
      <c r="A3939" s="8">
        <v>2891</v>
      </c>
      <c r="B3939" s="8">
        <f t="shared" si="128"/>
        <v>2024</v>
      </c>
      <c r="C3939" s="8">
        <f t="shared" si="129"/>
        <v>10</v>
      </c>
      <c r="D3939" s="85">
        <v>45585</v>
      </c>
      <c r="E3939" s="31"/>
      <c r="F3939" s="31">
        <v>37000</v>
      </c>
      <c r="G3939" s="31"/>
      <c r="H3939" s="31"/>
      <c r="I3939" s="31" t="s">
        <v>91</v>
      </c>
      <c r="J3939" s="5" t="s">
        <v>2932</v>
      </c>
      <c r="K3939" s="8"/>
    </row>
    <row r="3940" spans="1:11" x14ac:dyDescent="0.2">
      <c r="A3940" s="8">
        <v>2892</v>
      </c>
      <c r="B3940" s="8">
        <f t="shared" si="128"/>
        <v>2024</v>
      </c>
      <c r="C3940" s="8">
        <f t="shared" si="129"/>
        <v>10</v>
      </c>
      <c r="D3940" s="85">
        <v>45585</v>
      </c>
      <c r="E3940" s="31"/>
      <c r="F3940" s="31">
        <v>50000</v>
      </c>
      <c r="G3940" s="31"/>
      <c r="H3940" s="31"/>
      <c r="I3940" s="31" t="s">
        <v>85</v>
      </c>
      <c r="J3940" s="5" t="s">
        <v>2933</v>
      </c>
      <c r="K3940" s="8"/>
    </row>
    <row r="3941" spans="1:11" x14ac:dyDescent="0.2">
      <c r="A3941" s="8">
        <v>2894</v>
      </c>
      <c r="B3941" s="8">
        <f t="shared" si="128"/>
        <v>2024</v>
      </c>
      <c r="C3941" s="8">
        <f t="shared" si="129"/>
        <v>10</v>
      </c>
      <c r="D3941" s="85">
        <v>45587</v>
      </c>
      <c r="E3941" s="31"/>
      <c r="F3941" s="31">
        <v>10000</v>
      </c>
      <c r="G3941" s="31"/>
      <c r="H3941" s="31"/>
      <c r="I3941" s="31" t="s">
        <v>91</v>
      </c>
      <c r="J3941" s="5" t="s">
        <v>2934</v>
      </c>
      <c r="K3941" s="8"/>
    </row>
    <row r="3942" spans="1:11" x14ac:dyDescent="0.2">
      <c r="A3942" s="8">
        <v>2895</v>
      </c>
      <c r="B3942" s="8">
        <f t="shared" si="128"/>
        <v>2024</v>
      </c>
      <c r="C3942" s="8">
        <f t="shared" si="129"/>
        <v>10</v>
      </c>
      <c r="D3942" s="85">
        <v>45587</v>
      </c>
      <c r="E3942" s="31"/>
      <c r="F3942" s="31">
        <v>175000</v>
      </c>
      <c r="G3942" s="31"/>
      <c r="H3942" s="31"/>
      <c r="I3942" s="31" t="s">
        <v>391</v>
      </c>
      <c r="J3942" s="5" t="s">
        <v>2935</v>
      </c>
      <c r="K3942" s="8"/>
    </row>
    <row r="3943" spans="1:11" x14ac:dyDescent="0.2">
      <c r="A3943" s="8">
        <v>2896</v>
      </c>
      <c r="B3943" s="8">
        <f t="shared" si="128"/>
        <v>2024</v>
      </c>
      <c r="C3943" s="8">
        <f t="shared" si="129"/>
        <v>10</v>
      </c>
      <c r="D3943" s="85">
        <v>45587</v>
      </c>
      <c r="E3943" s="31"/>
      <c r="F3943" s="31">
        <v>91000</v>
      </c>
      <c r="G3943" s="31"/>
      <c r="H3943" s="31"/>
      <c r="I3943" s="31" t="s">
        <v>391</v>
      </c>
      <c r="J3943" s="5" t="s">
        <v>2936</v>
      </c>
      <c r="K3943" s="8"/>
    </row>
    <row r="3944" spans="1:11" x14ac:dyDescent="0.2">
      <c r="A3944" s="8">
        <v>2898</v>
      </c>
      <c r="B3944" s="8">
        <f t="shared" si="128"/>
        <v>2024</v>
      </c>
      <c r="C3944" s="8">
        <f t="shared" si="129"/>
        <v>10</v>
      </c>
      <c r="D3944" s="85">
        <v>45588</v>
      </c>
      <c r="E3944" s="31"/>
      <c r="F3944" s="31">
        <v>45000</v>
      </c>
      <c r="G3944" s="31"/>
      <c r="H3944" s="31"/>
      <c r="I3944" s="31" t="s">
        <v>85</v>
      </c>
      <c r="J3944" s="5" t="s">
        <v>2937</v>
      </c>
      <c r="K3944" s="8"/>
    </row>
    <row r="3945" spans="1:11" x14ac:dyDescent="0.2">
      <c r="A3945" s="8">
        <v>2899</v>
      </c>
      <c r="B3945" s="8">
        <f t="shared" si="128"/>
        <v>2024</v>
      </c>
      <c r="C3945" s="8">
        <f t="shared" si="129"/>
        <v>10</v>
      </c>
      <c r="D3945" s="85">
        <v>45588</v>
      </c>
      <c r="E3945" s="31"/>
      <c r="F3945" s="31">
        <v>50000</v>
      </c>
      <c r="G3945" s="31"/>
      <c r="H3945" s="31"/>
      <c r="I3945" s="31" t="s">
        <v>85</v>
      </c>
      <c r="J3945" s="5" t="s">
        <v>2602</v>
      </c>
      <c r="K3945" s="8"/>
    </row>
    <row r="3946" spans="1:11" x14ac:dyDescent="0.2">
      <c r="A3946" s="8">
        <v>2900</v>
      </c>
      <c r="B3946" s="8">
        <f t="shared" si="128"/>
        <v>2024</v>
      </c>
      <c r="C3946" s="8">
        <f t="shared" si="129"/>
        <v>10</v>
      </c>
      <c r="D3946" s="85">
        <v>45589</v>
      </c>
      <c r="E3946" s="31"/>
      <c r="F3946" s="31">
        <v>50000</v>
      </c>
      <c r="G3946" s="31"/>
      <c r="H3946" s="31"/>
      <c r="I3946" s="31" t="s">
        <v>85</v>
      </c>
      <c r="J3946" s="5" t="s">
        <v>2605</v>
      </c>
      <c r="K3946" s="8"/>
    </row>
    <row r="3947" spans="1:11" x14ac:dyDescent="0.2">
      <c r="A3947" s="8">
        <v>2901</v>
      </c>
      <c r="B3947" s="8">
        <f t="shared" si="128"/>
        <v>2024</v>
      </c>
      <c r="C3947" s="8">
        <f t="shared" si="129"/>
        <v>10</v>
      </c>
      <c r="D3947" s="85">
        <v>45590</v>
      </c>
      <c r="E3947" s="31"/>
      <c r="F3947" s="31">
        <v>10000</v>
      </c>
      <c r="G3947" s="31"/>
      <c r="H3947" s="31"/>
      <c r="I3947" s="31" t="s">
        <v>149</v>
      </c>
      <c r="J3947" s="5" t="s">
        <v>2403</v>
      </c>
      <c r="K3947" s="8"/>
    </row>
    <row r="3948" spans="1:11" x14ac:dyDescent="0.2">
      <c r="A3948" s="8">
        <v>2902</v>
      </c>
      <c r="B3948" s="8">
        <f t="shared" si="128"/>
        <v>2024</v>
      </c>
      <c r="C3948" s="8">
        <f t="shared" si="129"/>
        <v>10</v>
      </c>
      <c r="D3948" s="85">
        <v>45590</v>
      </c>
      <c r="E3948" s="31"/>
      <c r="F3948" s="31">
        <v>150000</v>
      </c>
      <c r="G3948" s="31"/>
      <c r="H3948" s="31"/>
      <c r="I3948" s="31" t="s">
        <v>85</v>
      </c>
      <c r="J3948" s="5" t="s">
        <v>2938</v>
      </c>
      <c r="K3948" s="8"/>
    </row>
    <row r="3949" spans="1:11" x14ac:dyDescent="0.2">
      <c r="A3949" s="8">
        <v>2903</v>
      </c>
      <c r="B3949" s="8">
        <f t="shared" si="128"/>
        <v>2024</v>
      </c>
      <c r="C3949" s="8">
        <f t="shared" si="129"/>
        <v>10</v>
      </c>
      <c r="D3949" s="85">
        <v>45590</v>
      </c>
      <c r="E3949" s="31"/>
      <c r="F3949" s="31">
        <v>20000</v>
      </c>
      <c r="G3949" s="31"/>
      <c r="H3949" s="31"/>
      <c r="I3949" s="31" t="s">
        <v>91</v>
      </c>
      <c r="J3949" s="5" t="s">
        <v>2710</v>
      </c>
      <c r="K3949" s="8"/>
    </row>
    <row r="3950" spans="1:11" x14ac:dyDescent="0.2">
      <c r="A3950" s="8">
        <v>2905</v>
      </c>
      <c r="B3950" s="8">
        <f t="shared" si="128"/>
        <v>2024</v>
      </c>
      <c r="C3950" s="8">
        <f t="shared" si="129"/>
        <v>10</v>
      </c>
      <c r="D3950" s="85">
        <v>45591</v>
      </c>
      <c r="E3950" s="31"/>
      <c r="F3950" s="31">
        <v>100000</v>
      </c>
      <c r="G3950" s="31"/>
      <c r="H3950" s="31"/>
      <c r="I3950" s="31" t="s">
        <v>1815</v>
      </c>
      <c r="J3950" s="5" t="s">
        <v>2939</v>
      </c>
      <c r="K3950" s="8"/>
    </row>
    <row r="3951" spans="1:11" x14ac:dyDescent="0.2">
      <c r="A3951" s="8">
        <v>2906</v>
      </c>
      <c r="B3951" s="8">
        <f t="shared" si="128"/>
        <v>2024</v>
      </c>
      <c r="C3951" s="8">
        <f t="shared" si="129"/>
        <v>10</v>
      </c>
      <c r="D3951" s="85">
        <v>45591</v>
      </c>
      <c r="E3951" s="31"/>
      <c r="F3951" s="31">
        <v>100000</v>
      </c>
      <c r="G3951" s="31"/>
      <c r="H3951" s="31"/>
      <c r="I3951" s="31" t="s">
        <v>85</v>
      </c>
      <c r="J3951" s="5" t="s">
        <v>2940</v>
      </c>
      <c r="K3951" s="8"/>
    </row>
    <row r="3952" spans="1:11" x14ac:dyDescent="0.2">
      <c r="A3952" s="8">
        <v>2907</v>
      </c>
      <c r="B3952" s="8">
        <f t="shared" si="128"/>
        <v>2024</v>
      </c>
      <c r="C3952" s="8">
        <f t="shared" si="129"/>
        <v>10</v>
      </c>
      <c r="D3952" s="85">
        <v>45591</v>
      </c>
      <c r="E3952" s="31"/>
      <c r="F3952" s="31">
        <v>16000</v>
      </c>
      <c r="G3952" s="31"/>
      <c r="H3952" s="31"/>
      <c r="I3952" s="31" t="s">
        <v>85</v>
      </c>
      <c r="J3952" s="5" t="s">
        <v>2941</v>
      </c>
      <c r="K3952" s="8"/>
    </row>
    <row r="3953" spans="1:11" x14ac:dyDescent="0.2">
      <c r="A3953" s="8">
        <v>2908</v>
      </c>
      <c r="B3953" s="8">
        <f t="shared" si="128"/>
        <v>2024</v>
      </c>
      <c r="C3953" s="8">
        <f t="shared" si="129"/>
        <v>10</v>
      </c>
      <c r="D3953" s="85">
        <v>45591</v>
      </c>
      <c r="E3953" s="31"/>
      <c r="F3953" s="31">
        <v>21000</v>
      </c>
      <c r="G3953" s="31"/>
      <c r="H3953" s="31"/>
      <c r="I3953" s="31" t="s">
        <v>85</v>
      </c>
      <c r="J3953" s="5" t="s">
        <v>2942</v>
      </c>
      <c r="K3953" s="8"/>
    </row>
    <row r="3954" spans="1:11" x14ac:dyDescent="0.2">
      <c r="A3954" s="8">
        <v>2909</v>
      </c>
      <c r="B3954" s="8">
        <f t="shared" si="128"/>
        <v>2024</v>
      </c>
      <c r="C3954" s="8">
        <f t="shared" si="129"/>
        <v>10</v>
      </c>
      <c r="D3954" s="85">
        <v>45591</v>
      </c>
      <c r="E3954" s="31"/>
      <c r="F3954" s="31">
        <v>4000</v>
      </c>
      <c r="G3954" s="31"/>
      <c r="H3954" s="31"/>
      <c r="I3954" s="31" t="s">
        <v>85</v>
      </c>
      <c r="J3954" s="5" t="s">
        <v>2943</v>
      </c>
      <c r="K3954" s="8"/>
    </row>
    <row r="3955" spans="1:11" x14ac:dyDescent="0.2">
      <c r="A3955" s="8">
        <v>2910</v>
      </c>
      <c r="B3955" s="8">
        <f t="shared" si="128"/>
        <v>2024</v>
      </c>
      <c r="C3955" s="8">
        <f t="shared" si="129"/>
        <v>10</v>
      </c>
      <c r="D3955" s="85">
        <v>45591</v>
      </c>
      <c r="E3955" s="31"/>
      <c r="F3955" s="31">
        <v>5000</v>
      </c>
      <c r="G3955" s="31"/>
      <c r="H3955" s="31"/>
      <c r="I3955" s="31" t="s">
        <v>91</v>
      </c>
      <c r="J3955" s="5" t="s">
        <v>2588</v>
      </c>
      <c r="K3955" s="8"/>
    </row>
    <row r="3956" spans="1:11" x14ac:dyDescent="0.2">
      <c r="A3956" s="8">
        <v>2911</v>
      </c>
      <c r="B3956" s="8">
        <f t="shared" si="128"/>
        <v>2024</v>
      </c>
      <c r="C3956" s="8">
        <f t="shared" si="129"/>
        <v>10</v>
      </c>
      <c r="D3956" s="85">
        <v>45591</v>
      </c>
      <c r="E3956" s="31"/>
      <c r="F3956" s="31">
        <v>500000</v>
      </c>
      <c r="G3956" s="31"/>
      <c r="H3956" s="31"/>
      <c r="I3956" s="31"/>
      <c r="J3956" s="5" t="s">
        <v>2944</v>
      </c>
      <c r="K3956" s="8"/>
    </row>
    <row r="3957" spans="1:11" x14ac:dyDescent="0.2">
      <c r="A3957" s="8">
        <v>2912</v>
      </c>
      <c r="B3957" s="8">
        <f t="shared" si="128"/>
        <v>2024</v>
      </c>
      <c r="C3957" s="8">
        <f t="shared" si="129"/>
        <v>10</v>
      </c>
      <c r="D3957" s="85">
        <v>45591</v>
      </c>
      <c r="E3957" s="31"/>
      <c r="F3957" s="31">
        <v>7000</v>
      </c>
      <c r="G3957" s="31"/>
      <c r="H3957" s="31"/>
      <c r="I3957" s="31" t="s">
        <v>149</v>
      </c>
      <c r="J3957" s="5" t="s">
        <v>2618</v>
      </c>
      <c r="K3957" s="8"/>
    </row>
    <row r="3958" spans="1:11" x14ac:dyDescent="0.2">
      <c r="A3958" s="8">
        <v>2914</v>
      </c>
      <c r="B3958" s="8">
        <f t="shared" si="128"/>
        <v>2024</v>
      </c>
      <c r="C3958" s="8">
        <f t="shared" si="129"/>
        <v>10</v>
      </c>
      <c r="D3958" s="85">
        <v>45592</v>
      </c>
      <c r="E3958" s="31"/>
      <c r="F3958" s="31">
        <v>20000</v>
      </c>
      <c r="G3958" s="31"/>
      <c r="H3958" s="31"/>
      <c r="I3958" s="31" t="s">
        <v>85</v>
      </c>
      <c r="J3958" s="5" t="s">
        <v>2945</v>
      </c>
      <c r="K3958" s="8"/>
    </row>
    <row r="3959" spans="1:11" x14ac:dyDescent="0.2">
      <c r="A3959" s="8">
        <v>2915</v>
      </c>
      <c r="B3959" s="8">
        <f t="shared" si="128"/>
        <v>2024</v>
      </c>
      <c r="C3959" s="8">
        <f t="shared" si="129"/>
        <v>10</v>
      </c>
      <c r="D3959" s="85">
        <v>45592</v>
      </c>
      <c r="E3959" s="31"/>
      <c r="F3959" s="31">
        <v>27000</v>
      </c>
      <c r="G3959" s="31"/>
      <c r="H3959" s="31"/>
      <c r="I3959" s="31" t="s">
        <v>91</v>
      </c>
      <c r="J3959" s="5" t="s">
        <v>2946</v>
      </c>
      <c r="K3959" s="8"/>
    </row>
    <row r="3960" spans="1:11" x14ac:dyDescent="0.2">
      <c r="A3960" s="8">
        <v>2916</v>
      </c>
      <c r="B3960" s="8">
        <f t="shared" si="128"/>
        <v>2024</v>
      </c>
      <c r="C3960" s="8">
        <f t="shared" si="129"/>
        <v>10</v>
      </c>
      <c r="D3960" s="85">
        <v>45593</v>
      </c>
      <c r="E3960" s="31"/>
      <c r="F3960" s="31">
        <v>20000</v>
      </c>
      <c r="G3960" s="31"/>
      <c r="H3960" s="31"/>
      <c r="I3960" s="31" t="s">
        <v>85</v>
      </c>
      <c r="J3960" s="5" t="s">
        <v>2947</v>
      </c>
      <c r="K3960" s="8"/>
    </row>
    <row r="3961" spans="1:11" x14ac:dyDescent="0.2">
      <c r="A3961" s="8">
        <v>2917</v>
      </c>
      <c r="B3961" s="8">
        <f t="shared" si="128"/>
        <v>2024</v>
      </c>
      <c r="C3961" s="8">
        <f t="shared" si="129"/>
        <v>10</v>
      </c>
      <c r="D3961" s="85">
        <v>45593</v>
      </c>
      <c r="E3961" s="31"/>
      <c r="F3961" s="31">
        <v>25000</v>
      </c>
      <c r="G3961" s="31"/>
      <c r="H3961" s="31"/>
      <c r="I3961" s="31" t="s">
        <v>85</v>
      </c>
      <c r="J3961" s="5" t="s">
        <v>2948</v>
      </c>
      <c r="K3961" s="8"/>
    </row>
    <row r="3962" spans="1:11" x14ac:dyDescent="0.2">
      <c r="A3962" s="8">
        <v>2918</v>
      </c>
      <c r="B3962" s="8">
        <f t="shared" si="128"/>
        <v>2024</v>
      </c>
      <c r="C3962" s="8">
        <f t="shared" si="129"/>
        <v>10</v>
      </c>
      <c r="D3962" s="85">
        <v>45594</v>
      </c>
      <c r="E3962" s="31"/>
      <c r="F3962" s="31">
        <v>50000</v>
      </c>
      <c r="G3962" s="31"/>
      <c r="H3962" s="31"/>
      <c r="I3962" s="31" t="s">
        <v>85</v>
      </c>
      <c r="J3962" s="5" t="s">
        <v>2602</v>
      </c>
      <c r="K3962" s="8"/>
    </row>
    <row r="3963" spans="1:11" x14ac:dyDescent="0.2">
      <c r="A3963" s="8">
        <v>2919</v>
      </c>
      <c r="B3963" s="8">
        <f t="shared" si="128"/>
        <v>2024</v>
      </c>
      <c r="C3963" s="8">
        <f t="shared" si="129"/>
        <v>10</v>
      </c>
      <c r="D3963" s="85">
        <v>45595</v>
      </c>
      <c r="E3963" s="31"/>
      <c r="F3963" s="31">
        <v>50000</v>
      </c>
      <c r="G3963" s="31"/>
      <c r="H3963" s="31"/>
      <c r="I3963" s="31" t="s">
        <v>85</v>
      </c>
      <c r="J3963" s="5" t="s">
        <v>2602</v>
      </c>
      <c r="K3963" s="8"/>
    </row>
    <row r="3964" spans="1:11" x14ac:dyDescent="0.2">
      <c r="A3964" s="8">
        <v>2920</v>
      </c>
      <c r="B3964" s="8">
        <f t="shared" si="128"/>
        <v>2024</v>
      </c>
      <c r="C3964" s="8">
        <f t="shared" si="129"/>
        <v>10</v>
      </c>
      <c r="D3964" s="85">
        <v>45596</v>
      </c>
      <c r="E3964" s="31"/>
      <c r="F3964" s="31">
        <v>10000</v>
      </c>
      <c r="G3964" s="31"/>
      <c r="H3964" s="31"/>
      <c r="I3964" s="31" t="s">
        <v>85</v>
      </c>
      <c r="J3964" s="5" t="s">
        <v>2949</v>
      </c>
      <c r="K3964" s="8"/>
    </row>
    <row r="3965" spans="1:11" x14ac:dyDescent="0.2">
      <c r="A3965" s="8">
        <v>2921</v>
      </c>
      <c r="B3965" s="8">
        <f t="shared" si="128"/>
        <v>2024</v>
      </c>
      <c r="C3965" s="8">
        <f t="shared" si="129"/>
        <v>10</v>
      </c>
      <c r="D3965" s="85">
        <v>45596</v>
      </c>
      <c r="E3965" s="31"/>
      <c r="F3965" s="31">
        <v>10000</v>
      </c>
      <c r="G3965" s="31"/>
      <c r="H3965" s="31"/>
      <c r="I3965" s="31" t="s">
        <v>149</v>
      </c>
      <c r="J3965" s="5" t="s">
        <v>2613</v>
      </c>
      <c r="K3965" s="8"/>
    </row>
    <row r="3966" spans="1:11" x14ac:dyDescent="0.2">
      <c r="A3966" s="8">
        <v>2922</v>
      </c>
      <c r="B3966" s="8">
        <f t="shared" si="128"/>
        <v>2024</v>
      </c>
      <c r="C3966" s="8">
        <f t="shared" si="129"/>
        <v>10</v>
      </c>
      <c r="D3966" s="85">
        <v>45596</v>
      </c>
      <c r="E3966" s="31"/>
      <c r="F3966" s="31">
        <v>1150000</v>
      </c>
      <c r="G3966" s="31"/>
      <c r="H3966" s="31"/>
      <c r="I3966" s="31" t="s">
        <v>85</v>
      </c>
      <c r="J3966" s="5" t="s">
        <v>2950</v>
      </c>
      <c r="K3966" s="8"/>
    </row>
    <row r="3967" spans="1:11" x14ac:dyDescent="0.2">
      <c r="A3967" s="8">
        <v>2923</v>
      </c>
      <c r="B3967" s="8">
        <f t="shared" si="128"/>
        <v>2024</v>
      </c>
      <c r="C3967" s="8">
        <f t="shared" si="129"/>
        <v>10</v>
      </c>
      <c r="D3967" s="85">
        <v>45596</v>
      </c>
      <c r="E3967" s="31"/>
      <c r="F3967" s="31">
        <v>13000</v>
      </c>
      <c r="G3967" s="31"/>
      <c r="H3967" s="31"/>
      <c r="I3967" s="31" t="s">
        <v>91</v>
      </c>
      <c r="J3967" s="5" t="s">
        <v>2493</v>
      </c>
      <c r="K3967" s="8"/>
    </row>
    <row r="3968" spans="1:11" x14ac:dyDescent="0.2">
      <c r="A3968" s="8">
        <v>2924</v>
      </c>
      <c r="B3968" s="8">
        <f t="shared" si="128"/>
        <v>2024</v>
      </c>
      <c r="C3968" s="8">
        <f t="shared" si="129"/>
        <v>10</v>
      </c>
      <c r="D3968" s="85">
        <v>45596</v>
      </c>
      <c r="E3968" s="31"/>
      <c r="F3968" s="31">
        <v>175000</v>
      </c>
      <c r="G3968" s="31"/>
      <c r="H3968" s="31"/>
      <c r="I3968" s="31" t="s">
        <v>299</v>
      </c>
      <c r="J3968" s="5" t="s">
        <v>2951</v>
      </c>
      <c r="K3968" s="8"/>
    </row>
    <row r="3969" spans="1:11" x14ac:dyDescent="0.2">
      <c r="A3969" s="8">
        <v>2925</v>
      </c>
      <c r="B3969" s="8">
        <f t="shared" si="128"/>
        <v>2024</v>
      </c>
      <c r="C3969" s="8">
        <f t="shared" si="129"/>
        <v>10</v>
      </c>
      <c r="D3969" s="85">
        <v>45596</v>
      </c>
      <c r="E3969" s="31"/>
      <c r="F3969" s="31">
        <v>60000</v>
      </c>
      <c r="G3969" s="31"/>
      <c r="H3969" s="31"/>
      <c r="I3969" s="31" t="s">
        <v>1999</v>
      </c>
      <c r="J3969" s="5" t="s">
        <v>2952</v>
      </c>
      <c r="K3969" s="8"/>
    </row>
    <row r="3970" spans="1:11" x14ac:dyDescent="0.2">
      <c r="A3970" s="8">
        <v>2926</v>
      </c>
      <c r="B3970" s="8">
        <f t="shared" si="128"/>
        <v>1900</v>
      </c>
      <c r="C3970" s="8">
        <f t="shared" si="129"/>
        <v>1</v>
      </c>
      <c r="D3970" s="85"/>
      <c r="E3970" s="31"/>
      <c r="F3970" s="31"/>
      <c r="G3970" s="31"/>
      <c r="H3970" s="31"/>
      <c r="I3970" s="31"/>
      <c r="J3970" s="5"/>
      <c r="K3970" s="8"/>
    </row>
    <row r="3971" spans="1:11" x14ac:dyDescent="0.2">
      <c r="A3971" s="8">
        <v>2927</v>
      </c>
      <c r="B3971" s="8">
        <f t="shared" ref="B3971:B4034" si="130">YEAR(D3971)</f>
        <v>1900</v>
      </c>
      <c r="C3971" s="8">
        <f t="shared" ref="C3971:C4034" si="131">MONTH(D3971)</f>
        <v>1</v>
      </c>
      <c r="D3971" s="85"/>
      <c r="E3971" s="31"/>
      <c r="F3971" s="31"/>
      <c r="G3971" s="31"/>
      <c r="H3971" s="31"/>
      <c r="I3971" s="31"/>
      <c r="J3971" s="5"/>
      <c r="K3971" s="8"/>
    </row>
    <row r="3972" spans="1:11" x14ac:dyDescent="0.2">
      <c r="A3972" s="8">
        <v>2928</v>
      </c>
      <c r="B3972" s="8">
        <f t="shared" si="130"/>
        <v>2024</v>
      </c>
      <c r="C3972" s="8">
        <f t="shared" si="131"/>
        <v>11</v>
      </c>
      <c r="D3972" s="85">
        <v>45626</v>
      </c>
      <c r="E3972" s="31"/>
      <c r="F3972" s="31">
        <v>200000</v>
      </c>
      <c r="G3972" s="31"/>
      <c r="H3972" s="31"/>
      <c r="I3972" s="31" t="s">
        <v>2807</v>
      </c>
      <c r="J3972" s="5" t="s">
        <v>429</v>
      </c>
      <c r="K3972" s="8"/>
    </row>
    <row r="3973" spans="1:11" x14ac:dyDescent="0.2">
      <c r="A3973" s="8">
        <v>2929</v>
      </c>
      <c r="B3973" s="8">
        <f t="shared" si="130"/>
        <v>2024</v>
      </c>
      <c r="C3973" s="8">
        <f t="shared" si="131"/>
        <v>12</v>
      </c>
      <c r="D3973" s="85">
        <v>45627</v>
      </c>
      <c r="E3973" s="31"/>
      <c r="F3973" s="31">
        <v>300000</v>
      </c>
      <c r="G3973" s="31"/>
      <c r="H3973" s="31"/>
      <c r="I3973" s="31" t="s">
        <v>85</v>
      </c>
      <c r="J3973" s="5" t="s">
        <v>2953</v>
      </c>
      <c r="K3973" s="8"/>
    </row>
    <row r="3974" spans="1:11" x14ac:dyDescent="0.2">
      <c r="A3974" s="8">
        <v>2930</v>
      </c>
      <c r="B3974" s="8">
        <f t="shared" si="130"/>
        <v>2024</v>
      </c>
      <c r="C3974" s="8">
        <f t="shared" si="131"/>
        <v>12</v>
      </c>
      <c r="D3974" s="85">
        <v>45627</v>
      </c>
      <c r="E3974" s="31"/>
      <c r="F3974" s="31">
        <v>700000</v>
      </c>
      <c r="G3974" s="31"/>
      <c r="H3974" s="31"/>
      <c r="I3974" s="31" t="s">
        <v>1729</v>
      </c>
      <c r="J3974" s="5" t="s">
        <v>2264</v>
      </c>
      <c r="K3974" s="8"/>
    </row>
    <row r="3975" spans="1:11" x14ac:dyDescent="0.2">
      <c r="A3975" s="8">
        <v>2931</v>
      </c>
      <c r="B3975" s="8">
        <f t="shared" si="130"/>
        <v>2024</v>
      </c>
      <c r="C3975" s="8">
        <f t="shared" si="131"/>
        <v>11</v>
      </c>
      <c r="D3975" s="85">
        <v>45597</v>
      </c>
      <c r="E3975" s="31"/>
      <c r="F3975" s="31">
        <v>10000</v>
      </c>
      <c r="G3975" s="31"/>
      <c r="H3975" s="31"/>
      <c r="I3975" s="31" t="s">
        <v>91</v>
      </c>
      <c r="J3975" s="5" t="s">
        <v>2614</v>
      </c>
      <c r="K3975" s="8"/>
    </row>
    <row r="3976" spans="1:11" x14ac:dyDescent="0.2">
      <c r="A3976" s="8">
        <v>2932</v>
      </c>
      <c r="B3976" s="8">
        <f t="shared" si="130"/>
        <v>2024</v>
      </c>
      <c r="C3976" s="8">
        <f t="shared" si="131"/>
        <v>11</v>
      </c>
      <c r="D3976" s="204">
        <v>45597</v>
      </c>
      <c r="E3976" s="188"/>
      <c r="F3976" s="188">
        <v>350000</v>
      </c>
      <c r="G3976" s="188"/>
      <c r="H3976" s="188"/>
      <c r="I3976" s="188" t="s">
        <v>1815</v>
      </c>
      <c r="J3976" s="187" t="s">
        <v>3860</v>
      </c>
      <c r="K3976" s="186"/>
    </row>
    <row r="3977" spans="1:11" x14ac:dyDescent="0.2">
      <c r="A3977" s="8">
        <v>2933</v>
      </c>
      <c r="B3977" s="8">
        <f t="shared" si="130"/>
        <v>2024</v>
      </c>
      <c r="C3977" s="8">
        <f t="shared" si="131"/>
        <v>11</v>
      </c>
      <c r="D3977" s="204">
        <v>45598</v>
      </c>
      <c r="E3977" s="188"/>
      <c r="F3977" s="188">
        <v>27000</v>
      </c>
      <c r="G3977" s="188"/>
      <c r="H3977" s="188"/>
      <c r="I3977" s="188" t="s">
        <v>91</v>
      </c>
      <c r="J3977" s="187" t="s">
        <v>2888</v>
      </c>
      <c r="K3977" s="186"/>
    </row>
    <row r="3978" spans="1:11" x14ac:dyDescent="0.2">
      <c r="A3978" s="8">
        <v>2934</v>
      </c>
      <c r="B3978" s="8">
        <f t="shared" si="130"/>
        <v>2024</v>
      </c>
      <c r="C3978" s="8">
        <f t="shared" si="131"/>
        <v>11</v>
      </c>
      <c r="D3978" s="204">
        <v>45598</v>
      </c>
      <c r="E3978" s="188">
        <v>300000</v>
      </c>
      <c r="F3978" s="188"/>
      <c r="G3978" s="188"/>
      <c r="H3978" s="188"/>
      <c r="I3978" s="188"/>
      <c r="J3978" s="187" t="s">
        <v>3861</v>
      </c>
      <c r="K3978" s="186"/>
    </row>
    <row r="3979" spans="1:11" x14ac:dyDescent="0.2">
      <c r="A3979" s="8">
        <v>2935</v>
      </c>
      <c r="B3979" s="8">
        <f t="shared" si="130"/>
        <v>2024</v>
      </c>
      <c r="C3979" s="8">
        <f t="shared" si="131"/>
        <v>11</v>
      </c>
      <c r="D3979" s="204">
        <v>45599</v>
      </c>
      <c r="E3979" s="188"/>
      <c r="F3979" s="188">
        <v>20000</v>
      </c>
      <c r="G3979" s="188"/>
      <c r="H3979" s="188"/>
      <c r="I3979" s="188" t="s">
        <v>91</v>
      </c>
      <c r="J3979" s="187" t="s">
        <v>2522</v>
      </c>
      <c r="K3979" s="186"/>
    </row>
    <row r="3980" spans="1:11" x14ac:dyDescent="0.2">
      <c r="A3980" s="8">
        <v>2936</v>
      </c>
      <c r="B3980" s="8">
        <f t="shared" si="130"/>
        <v>2024</v>
      </c>
      <c r="C3980" s="8">
        <f t="shared" si="131"/>
        <v>11</v>
      </c>
      <c r="D3980" s="204">
        <v>45599</v>
      </c>
      <c r="E3980" s="188"/>
      <c r="F3980" s="188">
        <v>300000</v>
      </c>
      <c r="G3980" s="188"/>
      <c r="H3980" s="188"/>
      <c r="I3980" s="188" t="s">
        <v>85</v>
      </c>
      <c r="J3980" s="187" t="s">
        <v>3862</v>
      </c>
      <c r="K3980" s="186"/>
    </row>
    <row r="3981" spans="1:11" x14ac:dyDescent="0.2">
      <c r="A3981" s="8">
        <v>2937</v>
      </c>
      <c r="B3981" s="8">
        <f t="shared" si="130"/>
        <v>2024</v>
      </c>
      <c r="C3981" s="8">
        <f t="shared" si="131"/>
        <v>11</v>
      </c>
      <c r="D3981" s="204">
        <v>45599</v>
      </c>
      <c r="E3981" s="188"/>
      <c r="F3981" s="188">
        <v>300000</v>
      </c>
      <c r="G3981" s="188"/>
      <c r="H3981" s="188"/>
      <c r="I3981" s="188" t="s">
        <v>2807</v>
      </c>
      <c r="J3981" s="187" t="s">
        <v>2527</v>
      </c>
      <c r="K3981" s="186"/>
    </row>
    <row r="3982" spans="1:11" x14ac:dyDescent="0.2">
      <c r="A3982" s="8">
        <v>2938</v>
      </c>
      <c r="B3982" s="8">
        <f t="shared" si="130"/>
        <v>2024</v>
      </c>
      <c r="C3982" s="8">
        <f t="shared" si="131"/>
        <v>11</v>
      </c>
      <c r="D3982" s="204">
        <v>45599</v>
      </c>
      <c r="E3982" s="188"/>
      <c r="F3982" s="188">
        <v>20000</v>
      </c>
      <c r="G3982" s="188"/>
      <c r="H3982" s="188"/>
      <c r="I3982" s="188" t="s">
        <v>1815</v>
      </c>
      <c r="J3982" s="187" t="s">
        <v>3863</v>
      </c>
      <c r="K3982" s="186"/>
    </row>
    <row r="3983" spans="1:11" x14ac:dyDescent="0.2">
      <c r="A3983" s="8">
        <v>2939</v>
      </c>
      <c r="B3983" s="8">
        <f t="shared" si="130"/>
        <v>2024</v>
      </c>
      <c r="C3983" s="8">
        <f t="shared" si="131"/>
        <v>11</v>
      </c>
      <c r="D3983" s="204">
        <v>45600</v>
      </c>
      <c r="E3983" s="188"/>
      <c r="F3983" s="188">
        <v>350000</v>
      </c>
      <c r="G3983" s="188"/>
      <c r="H3983" s="188"/>
      <c r="I3983" s="188" t="s">
        <v>1350</v>
      </c>
      <c r="J3983" s="187" t="s">
        <v>2559</v>
      </c>
      <c r="K3983" s="186"/>
    </row>
    <row r="3984" spans="1:11" x14ac:dyDescent="0.2">
      <c r="A3984" s="8">
        <v>2940</v>
      </c>
      <c r="B3984" s="8">
        <f t="shared" si="130"/>
        <v>2024</v>
      </c>
      <c r="C3984" s="8">
        <f t="shared" si="131"/>
        <v>11</v>
      </c>
      <c r="D3984" s="204">
        <v>45600</v>
      </c>
      <c r="E3984" s="188"/>
      <c r="F3984" s="188">
        <v>150000</v>
      </c>
      <c r="G3984" s="188"/>
      <c r="H3984" s="188"/>
      <c r="I3984" s="188" t="s">
        <v>1350</v>
      </c>
      <c r="J3984" s="187" t="s">
        <v>3864</v>
      </c>
      <c r="K3984" s="186"/>
    </row>
    <row r="3985" spans="1:11" x14ac:dyDescent="0.2">
      <c r="A3985" s="8">
        <v>2941</v>
      </c>
      <c r="B3985" s="8">
        <f t="shared" si="130"/>
        <v>2024</v>
      </c>
      <c r="C3985" s="8">
        <f t="shared" si="131"/>
        <v>11</v>
      </c>
      <c r="D3985" s="204">
        <v>45600</v>
      </c>
      <c r="E3985" s="188"/>
      <c r="F3985" s="188">
        <v>16000</v>
      </c>
      <c r="G3985" s="188"/>
      <c r="H3985" s="188"/>
      <c r="I3985" s="188" t="s">
        <v>85</v>
      </c>
      <c r="J3985" s="187" t="s">
        <v>3865</v>
      </c>
      <c r="K3985" s="186"/>
    </row>
    <row r="3986" spans="1:11" x14ac:dyDescent="0.2">
      <c r="A3986" s="8">
        <v>2942</v>
      </c>
      <c r="B3986" s="8">
        <f t="shared" si="130"/>
        <v>2024</v>
      </c>
      <c r="C3986" s="8">
        <f t="shared" si="131"/>
        <v>11</v>
      </c>
      <c r="D3986" s="204">
        <v>45600</v>
      </c>
      <c r="E3986" s="188"/>
      <c r="F3986" s="188">
        <v>27000</v>
      </c>
      <c r="G3986" s="188"/>
      <c r="H3986" s="188"/>
      <c r="I3986" s="188" t="s">
        <v>335</v>
      </c>
      <c r="J3986" s="187" t="s">
        <v>3866</v>
      </c>
      <c r="K3986" s="186"/>
    </row>
    <row r="3987" spans="1:11" x14ac:dyDescent="0.2">
      <c r="A3987" s="8">
        <v>2943</v>
      </c>
      <c r="B3987" s="8">
        <f t="shared" si="130"/>
        <v>2024</v>
      </c>
      <c r="C3987" s="8">
        <f t="shared" si="131"/>
        <v>11</v>
      </c>
      <c r="D3987" s="204">
        <v>45601</v>
      </c>
      <c r="E3987" s="188"/>
      <c r="F3987" s="188">
        <v>244000</v>
      </c>
      <c r="G3987" s="188"/>
      <c r="H3987" s="188"/>
      <c r="I3987" s="188" t="s">
        <v>85</v>
      </c>
      <c r="J3987" s="187" t="s">
        <v>3867</v>
      </c>
      <c r="K3987" s="186"/>
    </row>
    <row r="3988" spans="1:11" x14ac:dyDescent="0.2">
      <c r="A3988" s="8">
        <v>2944</v>
      </c>
      <c r="B3988" s="8">
        <f t="shared" si="130"/>
        <v>2024</v>
      </c>
      <c r="C3988" s="8">
        <f t="shared" si="131"/>
        <v>11</v>
      </c>
      <c r="D3988" s="204">
        <v>45601</v>
      </c>
      <c r="E3988" s="188"/>
      <c r="F3988" s="188">
        <v>7000</v>
      </c>
      <c r="G3988" s="188"/>
      <c r="H3988" s="188"/>
      <c r="I3988" s="188" t="s">
        <v>85</v>
      </c>
      <c r="J3988" s="187" t="s">
        <v>3868</v>
      </c>
      <c r="K3988" s="186"/>
    </row>
    <row r="3989" spans="1:11" x14ac:dyDescent="0.2">
      <c r="A3989" s="8">
        <v>2945</v>
      </c>
      <c r="B3989" s="8">
        <f t="shared" si="130"/>
        <v>2024</v>
      </c>
      <c r="C3989" s="8">
        <f t="shared" si="131"/>
        <v>11</v>
      </c>
      <c r="D3989" s="204">
        <v>45601</v>
      </c>
      <c r="E3989" s="188"/>
      <c r="F3989" s="188">
        <v>109000</v>
      </c>
      <c r="G3989" s="188"/>
      <c r="H3989" s="188"/>
      <c r="I3989" s="188" t="s">
        <v>1999</v>
      </c>
      <c r="J3989" s="187" t="s">
        <v>3869</v>
      </c>
      <c r="K3989" s="186"/>
    </row>
    <row r="3990" spans="1:11" x14ac:dyDescent="0.2">
      <c r="A3990" s="8">
        <v>2946</v>
      </c>
      <c r="B3990" s="8">
        <f t="shared" si="130"/>
        <v>2024</v>
      </c>
      <c r="C3990" s="8">
        <f t="shared" si="131"/>
        <v>11</v>
      </c>
      <c r="D3990" s="204">
        <v>45601</v>
      </c>
      <c r="E3990" s="188"/>
      <c r="F3990" s="188">
        <v>20000</v>
      </c>
      <c r="G3990" s="188"/>
      <c r="H3990" s="188"/>
      <c r="I3990" s="188" t="s">
        <v>85</v>
      </c>
      <c r="J3990" s="187" t="s">
        <v>2893</v>
      </c>
      <c r="K3990" s="186"/>
    </row>
    <row r="3991" spans="1:11" x14ac:dyDescent="0.2">
      <c r="A3991" s="8">
        <v>2947</v>
      </c>
      <c r="B3991" s="8">
        <f t="shared" si="130"/>
        <v>2024</v>
      </c>
      <c r="C3991" s="8">
        <f t="shared" si="131"/>
        <v>11</v>
      </c>
      <c r="D3991" s="204">
        <v>45602</v>
      </c>
      <c r="E3991" s="188"/>
      <c r="F3991" s="188">
        <v>14000</v>
      </c>
      <c r="G3991" s="188"/>
      <c r="H3991" s="188"/>
      <c r="I3991" s="188" t="s">
        <v>149</v>
      </c>
      <c r="J3991" s="187" t="s">
        <v>2595</v>
      </c>
      <c r="K3991" s="186"/>
    </row>
    <row r="3992" spans="1:11" x14ac:dyDescent="0.2">
      <c r="A3992" s="8">
        <v>2948</v>
      </c>
      <c r="B3992" s="8">
        <f t="shared" si="130"/>
        <v>2024</v>
      </c>
      <c r="C3992" s="8">
        <f t="shared" si="131"/>
        <v>11</v>
      </c>
      <c r="D3992" s="204">
        <v>45602</v>
      </c>
      <c r="E3992" s="188"/>
      <c r="F3992" s="188">
        <v>14000</v>
      </c>
      <c r="G3992" s="188"/>
      <c r="H3992" s="188"/>
      <c r="I3992" s="188" t="s">
        <v>91</v>
      </c>
      <c r="J3992" s="187" t="s">
        <v>2489</v>
      </c>
      <c r="K3992" s="186"/>
    </row>
    <row r="3993" spans="1:11" x14ac:dyDescent="0.2">
      <c r="A3993" s="8">
        <v>2949</v>
      </c>
      <c r="B3993" s="8">
        <f t="shared" si="130"/>
        <v>2024</v>
      </c>
      <c r="C3993" s="8">
        <f t="shared" si="131"/>
        <v>11</v>
      </c>
      <c r="D3993" s="204">
        <v>45602</v>
      </c>
      <c r="E3993" s="188"/>
      <c r="F3993" s="188">
        <v>12000</v>
      </c>
      <c r="G3993" s="188"/>
      <c r="H3993" s="188"/>
      <c r="I3993" s="188" t="s">
        <v>91</v>
      </c>
      <c r="J3993" s="187" t="s">
        <v>3870</v>
      </c>
      <c r="K3993" s="186"/>
    </row>
    <row r="3994" spans="1:11" x14ac:dyDescent="0.2">
      <c r="A3994" s="8">
        <v>2950</v>
      </c>
      <c r="B3994" s="8">
        <f t="shared" si="130"/>
        <v>2024</v>
      </c>
      <c r="C3994" s="8">
        <f t="shared" si="131"/>
        <v>11</v>
      </c>
      <c r="D3994" s="204">
        <v>45602</v>
      </c>
      <c r="E3994" s="188"/>
      <c r="F3994" s="188">
        <v>1055000</v>
      </c>
      <c r="G3994" s="188"/>
      <c r="H3994" s="188"/>
      <c r="I3994" s="188" t="s">
        <v>85</v>
      </c>
      <c r="J3994" s="187" t="s">
        <v>3871</v>
      </c>
      <c r="K3994" s="186"/>
    </row>
    <row r="3995" spans="1:11" x14ac:dyDescent="0.2">
      <c r="A3995" s="8">
        <v>2951</v>
      </c>
      <c r="B3995" s="8">
        <f t="shared" si="130"/>
        <v>2024</v>
      </c>
      <c r="C3995" s="8">
        <f t="shared" si="131"/>
        <v>11</v>
      </c>
      <c r="D3995" s="204">
        <v>45603</v>
      </c>
      <c r="E3995" s="188"/>
      <c r="F3995" s="188">
        <v>50000</v>
      </c>
      <c r="G3995" s="188"/>
      <c r="H3995" s="188"/>
      <c r="I3995" s="188" t="s">
        <v>85</v>
      </c>
      <c r="J3995" s="187" t="s">
        <v>2602</v>
      </c>
      <c r="K3995" s="186"/>
    </row>
    <row r="3996" spans="1:11" x14ac:dyDescent="0.2">
      <c r="A3996" s="8">
        <v>2952</v>
      </c>
      <c r="B3996" s="8">
        <f t="shared" si="130"/>
        <v>2024</v>
      </c>
      <c r="C3996" s="8">
        <f t="shared" si="131"/>
        <v>11</v>
      </c>
      <c r="D3996" s="204">
        <v>45604</v>
      </c>
      <c r="E3996" s="188"/>
      <c r="F3996" s="188">
        <v>150000</v>
      </c>
      <c r="G3996" s="188"/>
      <c r="H3996" s="188"/>
      <c r="I3996" s="188" t="s">
        <v>85</v>
      </c>
      <c r="J3996" s="187" t="s">
        <v>3872</v>
      </c>
      <c r="K3996" s="186"/>
    </row>
    <row r="3997" spans="1:11" x14ac:dyDescent="0.2">
      <c r="A3997" s="8">
        <v>2953</v>
      </c>
      <c r="B3997" s="8">
        <f t="shared" si="130"/>
        <v>2024</v>
      </c>
      <c r="C3997" s="8">
        <f t="shared" si="131"/>
        <v>11</v>
      </c>
      <c r="D3997" s="204">
        <v>45604</v>
      </c>
      <c r="E3997" s="188"/>
      <c r="F3997" s="188">
        <v>50000</v>
      </c>
      <c r="G3997" s="188"/>
      <c r="H3997" s="188"/>
      <c r="I3997" s="188" t="s">
        <v>85</v>
      </c>
      <c r="J3997" s="187" t="s">
        <v>2605</v>
      </c>
      <c r="K3997" s="186"/>
    </row>
    <row r="3998" spans="1:11" x14ac:dyDescent="0.2">
      <c r="A3998" s="8">
        <v>2954</v>
      </c>
      <c r="B3998" s="8">
        <f t="shared" si="130"/>
        <v>2024</v>
      </c>
      <c r="C3998" s="8">
        <f t="shared" si="131"/>
        <v>11</v>
      </c>
      <c r="D3998" s="204">
        <v>45605</v>
      </c>
      <c r="E3998" s="188"/>
      <c r="F3998" s="188">
        <v>20000</v>
      </c>
      <c r="G3998" s="188"/>
      <c r="H3998" s="188"/>
      <c r="I3998" s="188" t="s">
        <v>85</v>
      </c>
      <c r="J3998" s="187" t="s">
        <v>3873</v>
      </c>
      <c r="K3998" s="186"/>
    </row>
    <row r="3999" spans="1:11" x14ac:dyDescent="0.2">
      <c r="A3999" s="8">
        <v>2955</v>
      </c>
      <c r="B3999" s="8">
        <f t="shared" si="130"/>
        <v>2024</v>
      </c>
      <c r="C3999" s="8">
        <f t="shared" si="131"/>
        <v>11</v>
      </c>
      <c r="D3999" s="204">
        <v>45605</v>
      </c>
      <c r="E3999" s="188"/>
      <c r="F3999" s="188">
        <v>25000</v>
      </c>
      <c r="G3999" s="188"/>
      <c r="H3999" s="188"/>
      <c r="I3999" s="188" t="s">
        <v>85</v>
      </c>
      <c r="J3999" s="187" t="s">
        <v>2948</v>
      </c>
      <c r="K3999" s="186"/>
    </row>
    <row r="4000" spans="1:11" x14ac:dyDescent="0.2">
      <c r="A4000" s="8">
        <v>2956</v>
      </c>
      <c r="B4000" s="8">
        <f t="shared" si="130"/>
        <v>2024</v>
      </c>
      <c r="C4000" s="8">
        <f t="shared" si="131"/>
        <v>11</v>
      </c>
      <c r="D4000" s="204">
        <v>45609</v>
      </c>
      <c r="E4000" s="188"/>
      <c r="F4000" s="188">
        <v>30000</v>
      </c>
      <c r="G4000" s="188"/>
      <c r="H4000" s="188"/>
      <c r="I4000" s="188" t="s">
        <v>91</v>
      </c>
      <c r="J4000" s="187" t="s">
        <v>2551</v>
      </c>
      <c r="K4000" s="186"/>
    </row>
    <row r="4001" spans="1:11" x14ac:dyDescent="0.2">
      <c r="A4001" s="8">
        <v>2957</v>
      </c>
      <c r="B4001" s="8">
        <f t="shared" si="130"/>
        <v>2024</v>
      </c>
      <c r="C4001" s="8">
        <f t="shared" si="131"/>
        <v>11</v>
      </c>
      <c r="D4001" s="204">
        <v>45609</v>
      </c>
      <c r="E4001" s="188"/>
      <c r="F4001" s="188">
        <v>220000</v>
      </c>
      <c r="G4001" s="188"/>
      <c r="H4001" s="188"/>
      <c r="I4001" s="188" t="s">
        <v>299</v>
      </c>
      <c r="J4001" s="187" t="s">
        <v>3874</v>
      </c>
      <c r="K4001" s="186"/>
    </row>
    <row r="4002" spans="1:11" x14ac:dyDescent="0.2">
      <c r="A4002" s="8">
        <v>2958</v>
      </c>
      <c r="B4002" s="8">
        <f t="shared" si="130"/>
        <v>2024</v>
      </c>
      <c r="C4002" s="8">
        <f t="shared" si="131"/>
        <v>11</v>
      </c>
      <c r="D4002" s="204">
        <v>45610</v>
      </c>
      <c r="E4002" s="188"/>
      <c r="F4002" s="188">
        <v>100000</v>
      </c>
      <c r="G4002" s="188"/>
      <c r="H4002" s="188"/>
      <c r="I4002" s="188" t="s">
        <v>85</v>
      </c>
      <c r="J4002" s="187" t="s">
        <v>3875</v>
      </c>
      <c r="K4002" s="186"/>
    </row>
    <row r="4003" spans="1:11" x14ac:dyDescent="0.2">
      <c r="A4003" s="8">
        <v>2959</v>
      </c>
      <c r="B4003" s="8">
        <f t="shared" si="130"/>
        <v>2024</v>
      </c>
      <c r="C4003" s="8">
        <f t="shared" si="131"/>
        <v>11</v>
      </c>
      <c r="D4003" s="204">
        <v>45610</v>
      </c>
      <c r="E4003" s="188"/>
      <c r="F4003" s="188">
        <v>14000</v>
      </c>
      <c r="G4003" s="188"/>
      <c r="H4003" s="188"/>
      <c r="I4003" s="188" t="s">
        <v>91</v>
      </c>
      <c r="J4003" s="187" t="s">
        <v>2489</v>
      </c>
      <c r="K4003" s="186"/>
    </row>
    <row r="4004" spans="1:11" x14ac:dyDescent="0.2">
      <c r="A4004" s="8">
        <v>2960</v>
      </c>
      <c r="B4004" s="8">
        <f t="shared" si="130"/>
        <v>2024</v>
      </c>
      <c r="C4004" s="8">
        <f t="shared" si="131"/>
        <v>11</v>
      </c>
      <c r="D4004" s="204">
        <v>45610</v>
      </c>
      <c r="E4004" s="188"/>
      <c r="F4004" s="188">
        <v>10000</v>
      </c>
      <c r="G4004" s="188"/>
      <c r="H4004" s="188"/>
      <c r="I4004" s="188" t="s">
        <v>149</v>
      </c>
      <c r="J4004" s="187" t="s">
        <v>2403</v>
      </c>
      <c r="K4004" s="186"/>
    </row>
    <row r="4005" spans="1:11" x14ac:dyDescent="0.2">
      <c r="A4005" s="8">
        <v>2961</v>
      </c>
      <c r="B4005" s="8">
        <f t="shared" si="130"/>
        <v>2024</v>
      </c>
      <c r="C4005" s="8">
        <f t="shared" si="131"/>
        <v>11</v>
      </c>
      <c r="D4005" s="204">
        <v>45611</v>
      </c>
      <c r="E4005" s="188"/>
      <c r="F4005" s="188">
        <v>50000</v>
      </c>
      <c r="G4005" s="188"/>
      <c r="H4005" s="188"/>
      <c r="I4005" s="188" t="s">
        <v>85</v>
      </c>
      <c r="J4005" s="187">
        <v>50</v>
      </c>
      <c r="K4005" s="186"/>
    </row>
    <row r="4006" spans="1:11" x14ac:dyDescent="0.2">
      <c r="A4006" s="8">
        <v>2962</v>
      </c>
      <c r="B4006" s="8">
        <f t="shared" si="130"/>
        <v>2024</v>
      </c>
      <c r="C4006" s="8">
        <f t="shared" si="131"/>
        <v>11</v>
      </c>
      <c r="D4006" s="204">
        <v>45611</v>
      </c>
      <c r="E4006" s="188"/>
      <c r="F4006" s="188">
        <v>300000</v>
      </c>
      <c r="G4006" s="188"/>
      <c r="H4006" s="188"/>
      <c r="I4006" s="188" t="s">
        <v>85</v>
      </c>
      <c r="J4006" s="187">
        <v>300</v>
      </c>
      <c r="K4006" s="186"/>
    </row>
    <row r="4007" spans="1:11" x14ac:dyDescent="0.2">
      <c r="A4007" s="8">
        <v>2963</v>
      </c>
      <c r="B4007" s="8">
        <f t="shared" si="130"/>
        <v>2024</v>
      </c>
      <c r="C4007" s="8">
        <f t="shared" si="131"/>
        <v>11</v>
      </c>
      <c r="D4007" s="204">
        <v>45612</v>
      </c>
      <c r="E4007" s="188"/>
      <c r="F4007" s="188">
        <v>399000</v>
      </c>
      <c r="G4007" s="188"/>
      <c r="H4007" s="188"/>
      <c r="I4007" s="188" t="s">
        <v>335</v>
      </c>
      <c r="J4007" s="187" t="s">
        <v>3876</v>
      </c>
      <c r="K4007" s="186"/>
    </row>
    <row r="4008" spans="1:11" x14ac:dyDescent="0.2">
      <c r="A4008" s="8">
        <v>2964</v>
      </c>
      <c r="B4008" s="8">
        <f t="shared" si="130"/>
        <v>2024</v>
      </c>
      <c r="C4008" s="8">
        <f t="shared" si="131"/>
        <v>11</v>
      </c>
      <c r="D4008" s="204">
        <v>45615</v>
      </c>
      <c r="E4008" s="188"/>
      <c r="F4008" s="188">
        <v>50000</v>
      </c>
      <c r="G4008" s="188"/>
      <c r="H4008" s="188"/>
      <c r="I4008" s="188" t="s">
        <v>85</v>
      </c>
      <c r="J4008" s="187" t="s">
        <v>3877</v>
      </c>
      <c r="K4008" s="186"/>
    </row>
    <row r="4009" spans="1:11" x14ac:dyDescent="0.2">
      <c r="A4009" s="8">
        <v>2965</v>
      </c>
      <c r="B4009" s="8">
        <f t="shared" si="130"/>
        <v>2024</v>
      </c>
      <c r="C4009" s="8">
        <f t="shared" si="131"/>
        <v>11</v>
      </c>
      <c r="D4009" s="204">
        <v>45615</v>
      </c>
      <c r="E4009" s="188"/>
      <c r="F4009" s="188">
        <v>27000</v>
      </c>
      <c r="G4009" s="188"/>
      <c r="H4009" s="188"/>
      <c r="I4009" s="188" t="s">
        <v>1815</v>
      </c>
      <c r="J4009" s="187" t="s">
        <v>3878</v>
      </c>
      <c r="K4009" s="186"/>
    </row>
    <row r="4010" spans="1:11" x14ac:dyDescent="0.2">
      <c r="A4010" s="8">
        <v>2966</v>
      </c>
      <c r="B4010" s="8">
        <f t="shared" si="130"/>
        <v>2024</v>
      </c>
      <c r="C4010" s="8">
        <f t="shared" si="131"/>
        <v>11</v>
      </c>
      <c r="D4010" s="204">
        <v>45616</v>
      </c>
      <c r="E4010" s="188"/>
      <c r="F4010" s="188">
        <v>4000</v>
      </c>
      <c r="G4010" s="188"/>
      <c r="H4010" s="188"/>
      <c r="I4010" s="188" t="s">
        <v>149</v>
      </c>
      <c r="J4010" s="187" t="s">
        <v>3879</v>
      </c>
      <c r="K4010" s="186"/>
    </row>
    <row r="4011" spans="1:11" x14ac:dyDescent="0.2">
      <c r="A4011" s="8">
        <v>2967</v>
      </c>
      <c r="B4011" s="8">
        <f t="shared" si="130"/>
        <v>2024</v>
      </c>
      <c r="C4011" s="8">
        <f t="shared" si="131"/>
        <v>11</v>
      </c>
      <c r="D4011" s="204">
        <v>45616</v>
      </c>
      <c r="E4011" s="188"/>
      <c r="F4011" s="188">
        <v>11000</v>
      </c>
      <c r="G4011" s="188"/>
      <c r="H4011" s="188"/>
      <c r="I4011" s="188" t="s">
        <v>91</v>
      </c>
      <c r="J4011" s="187" t="s">
        <v>3880</v>
      </c>
      <c r="K4011" s="186"/>
    </row>
    <row r="4012" spans="1:11" x14ac:dyDescent="0.2">
      <c r="A4012" s="8">
        <v>2968</v>
      </c>
      <c r="B4012" s="8">
        <f t="shared" si="130"/>
        <v>2024</v>
      </c>
      <c r="C4012" s="8">
        <f t="shared" si="131"/>
        <v>11</v>
      </c>
      <c r="D4012" s="204">
        <v>45616</v>
      </c>
      <c r="E4012" s="188"/>
      <c r="F4012" s="188">
        <v>150000</v>
      </c>
      <c r="G4012" s="188"/>
      <c r="H4012" s="188"/>
      <c r="I4012" s="188" t="s">
        <v>85</v>
      </c>
      <c r="J4012" s="187" t="s">
        <v>3881</v>
      </c>
      <c r="K4012" s="186"/>
    </row>
    <row r="4013" spans="1:11" x14ac:dyDescent="0.2">
      <c r="A4013" s="8">
        <v>2969</v>
      </c>
      <c r="B4013" s="8">
        <f t="shared" si="130"/>
        <v>2024</v>
      </c>
      <c r="C4013" s="8">
        <f t="shared" si="131"/>
        <v>11</v>
      </c>
      <c r="D4013" s="204">
        <v>45616</v>
      </c>
      <c r="E4013" s="188"/>
      <c r="F4013" s="188">
        <v>170000</v>
      </c>
      <c r="G4013" s="188"/>
      <c r="H4013" s="188"/>
      <c r="I4013" s="188" t="s">
        <v>85</v>
      </c>
      <c r="J4013" s="187" t="s">
        <v>3882</v>
      </c>
      <c r="K4013" s="186"/>
    </row>
    <row r="4014" spans="1:11" x14ac:dyDescent="0.2">
      <c r="A4014" s="8">
        <v>2970</v>
      </c>
      <c r="B4014" s="8">
        <f t="shared" si="130"/>
        <v>2024</v>
      </c>
      <c r="C4014" s="8">
        <f t="shared" si="131"/>
        <v>11</v>
      </c>
      <c r="D4014" s="204">
        <v>45618</v>
      </c>
      <c r="E4014" s="188"/>
      <c r="F4014" s="188">
        <v>205000</v>
      </c>
      <c r="G4014" s="188"/>
      <c r="H4014" s="188"/>
      <c r="I4014" s="188" t="s">
        <v>299</v>
      </c>
      <c r="J4014" s="187" t="s">
        <v>3883</v>
      </c>
      <c r="K4014" s="186"/>
    </row>
    <row r="4015" spans="1:11" x14ac:dyDescent="0.2">
      <c r="A4015" s="8">
        <v>2971</v>
      </c>
      <c r="B4015" s="8">
        <f t="shared" si="130"/>
        <v>2024</v>
      </c>
      <c r="C4015" s="8">
        <f t="shared" si="131"/>
        <v>11</v>
      </c>
      <c r="D4015" s="204">
        <v>45618</v>
      </c>
      <c r="E4015" s="188"/>
      <c r="F4015" s="188">
        <v>16000</v>
      </c>
      <c r="G4015" s="188"/>
      <c r="H4015" s="188"/>
      <c r="I4015" s="188" t="s">
        <v>85</v>
      </c>
      <c r="J4015" s="187" t="s">
        <v>3884</v>
      </c>
      <c r="K4015" s="186"/>
    </row>
    <row r="4016" spans="1:11" x14ac:dyDescent="0.2">
      <c r="A4016" s="8">
        <v>2972</v>
      </c>
      <c r="B4016" s="8">
        <f t="shared" si="130"/>
        <v>2024</v>
      </c>
      <c r="C4016" s="8">
        <f t="shared" si="131"/>
        <v>11</v>
      </c>
      <c r="D4016" s="204">
        <v>45618</v>
      </c>
      <c r="E4016" s="188"/>
      <c r="F4016" s="188">
        <v>100000</v>
      </c>
      <c r="G4016" s="188"/>
      <c r="H4016" s="188"/>
      <c r="I4016" s="188" t="s">
        <v>1815</v>
      </c>
      <c r="J4016" s="187" t="s">
        <v>3885</v>
      </c>
      <c r="K4016" s="186"/>
    </row>
    <row r="4017" spans="1:11" x14ac:dyDescent="0.2">
      <c r="A4017" s="8">
        <v>2973</v>
      </c>
      <c r="B4017" s="8">
        <f t="shared" si="130"/>
        <v>2024</v>
      </c>
      <c r="C4017" s="8">
        <f t="shared" si="131"/>
        <v>11</v>
      </c>
      <c r="D4017" s="204">
        <v>45622</v>
      </c>
      <c r="E4017" s="188"/>
      <c r="F4017" s="188">
        <v>90000</v>
      </c>
      <c r="G4017" s="188"/>
      <c r="H4017" s="188"/>
      <c r="I4017" s="188" t="s">
        <v>391</v>
      </c>
      <c r="J4017" s="187" t="s">
        <v>3886</v>
      </c>
      <c r="K4017" s="186"/>
    </row>
    <row r="4018" spans="1:11" x14ac:dyDescent="0.2">
      <c r="A4018" s="8">
        <v>2974</v>
      </c>
      <c r="B4018" s="8">
        <f t="shared" si="130"/>
        <v>2024</v>
      </c>
      <c r="C4018" s="8">
        <f t="shared" si="131"/>
        <v>11</v>
      </c>
      <c r="D4018" s="204">
        <v>45622</v>
      </c>
      <c r="E4018" s="188"/>
      <c r="F4018" s="188">
        <v>316000</v>
      </c>
      <c r="G4018" s="188"/>
      <c r="H4018" s="188"/>
      <c r="I4018" s="188" t="s">
        <v>391</v>
      </c>
      <c r="J4018" s="187" t="s">
        <v>3887</v>
      </c>
      <c r="K4018" s="186"/>
    </row>
    <row r="4019" spans="1:11" x14ac:dyDescent="0.2">
      <c r="A4019" s="8">
        <v>2975</v>
      </c>
      <c r="B4019" s="8">
        <f t="shared" si="130"/>
        <v>2024</v>
      </c>
      <c r="C4019" s="8">
        <f t="shared" si="131"/>
        <v>11</v>
      </c>
      <c r="D4019" s="204">
        <v>45622</v>
      </c>
      <c r="E4019" s="188"/>
      <c r="F4019" s="188">
        <v>4000</v>
      </c>
      <c r="G4019" s="188"/>
      <c r="H4019" s="188"/>
      <c r="I4019" s="188" t="s">
        <v>85</v>
      </c>
      <c r="J4019" s="187" t="s">
        <v>3888</v>
      </c>
      <c r="K4019" s="186"/>
    </row>
    <row r="4020" spans="1:11" x14ac:dyDescent="0.2">
      <c r="A4020" s="8">
        <v>2976</v>
      </c>
      <c r="B4020" s="8">
        <f t="shared" si="130"/>
        <v>2024</v>
      </c>
      <c r="C4020" s="8">
        <f t="shared" si="131"/>
        <v>12</v>
      </c>
      <c r="D4020" s="204">
        <v>45630</v>
      </c>
      <c r="E4020" s="188"/>
      <c r="F4020" s="188">
        <v>2000000</v>
      </c>
      <c r="G4020" s="188"/>
      <c r="H4020" s="188"/>
      <c r="I4020" s="188" t="s">
        <v>1350</v>
      </c>
      <c r="J4020" s="187" t="s">
        <v>3889</v>
      </c>
      <c r="K4020" s="186"/>
    </row>
    <row r="4021" spans="1:11" x14ac:dyDescent="0.2">
      <c r="A4021" s="8">
        <v>2977</v>
      </c>
      <c r="B4021" s="8">
        <f t="shared" si="130"/>
        <v>2024</v>
      </c>
      <c r="C4021" s="8">
        <f t="shared" si="131"/>
        <v>12</v>
      </c>
      <c r="D4021" s="204">
        <v>45630</v>
      </c>
      <c r="E4021" s="188"/>
      <c r="F4021" s="188">
        <v>30000</v>
      </c>
      <c r="G4021" s="188"/>
      <c r="H4021" s="188"/>
      <c r="I4021" s="188" t="s">
        <v>91</v>
      </c>
      <c r="J4021" s="187" t="s">
        <v>2467</v>
      </c>
      <c r="K4021" s="186"/>
    </row>
    <row r="4022" spans="1:11" x14ac:dyDescent="0.2">
      <c r="A4022" s="8">
        <v>2978</v>
      </c>
      <c r="B4022" s="8">
        <f t="shared" si="130"/>
        <v>2024</v>
      </c>
      <c r="C4022" s="8">
        <f t="shared" si="131"/>
        <v>12</v>
      </c>
      <c r="D4022" s="204">
        <v>45630</v>
      </c>
      <c r="E4022" s="188"/>
      <c r="F4022" s="188">
        <v>20000</v>
      </c>
      <c r="G4022" s="188"/>
      <c r="H4022" s="188"/>
      <c r="I4022" s="188" t="s">
        <v>149</v>
      </c>
      <c r="J4022" s="187" t="s">
        <v>2496</v>
      </c>
      <c r="K4022" s="186"/>
    </row>
    <row r="4023" spans="1:11" x14ac:dyDescent="0.2">
      <c r="A4023" s="8">
        <v>2979</v>
      </c>
      <c r="B4023" s="8">
        <f t="shared" si="130"/>
        <v>2024</v>
      </c>
      <c r="C4023" s="8">
        <f t="shared" si="131"/>
        <v>12</v>
      </c>
      <c r="D4023" s="204">
        <v>45630</v>
      </c>
      <c r="E4023" s="188"/>
      <c r="F4023" s="188">
        <v>205000</v>
      </c>
      <c r="G4023" s="188"/>
      <c r="H4023" s="188"/>
      <c r="I4023" s="188" t="s">
        <v>299</v>
      </c>
      <c r="J4023" s="187" t="s">
        <v>3890</v>
      </c>
      <c r="K4023" s="186"/>
    </row>
    <row r="4024" spans="1:11" x14ac:dyDescent="0.2">
      <c r="A4024" s="8">
        <v>2980</v>
      </c>
      <c r="B4024" s="8">
        <f t="shared" si="130"/>
        <v>2024</v>
      </c>
      <c r="C4024" s="8">
        <f t="shared" si="131"/>
        <v>12</v>
      </c>
      <c r="D4024" s="204">
        <v>45631</v>
      </c>
      <c r="E4024" s="188"/>
      <c r="F4024" s="188">
        <v>7000</v>
      </c>
      <c r="G4024" s="188"/>
      <c r="H4024" s="188"/>
      <c r="I4024" s="188" t="s">
        <v>85</v>
      </c>
      <c r="J4024" s="187" t="s">
        <v>2494</v>
      </c>
      <c r="K4024" s="186"/>
    </row>
    <row r="4025" spans="1:11" x14ac:dyDescent="0.2">
      <c r="A4025" s="8">
        <v>2981</v>
      </c>
      <c r="B4025" s="8">
        <f t="shared" si="130"/>
        <v>2024</v>
      </c>
      <c r="C4025" s="8">
        <f t="shared" si="131"/>
        <v>12</v>
      </c>
      <c r="D4025" s="204">
        <v>45632</v>
      </c>
      <c r="E4025" s="188"/>
      <c r="F4025" s="188">
        <v>100000</v>
      </c>
      <c r="G4025" s="188"/>
      <c r="H4025" s="188"/>
      <c r="I4025" s="188" t="s">
        <v>85</v>
      </c>
      <c r="J4025" s="187" t="s">
        <v>3891</v>
      </c>
      <c r="K4025" s="186"/>
    </row>
    <row r="4026" spans="1:11" x14ac:dyDescent="0.2">
      <c r="A4026" s="8">
        <v>2982</v>
      </c>
      <c r="B4026" s="8">
        <f t="shared" si="130"/>
        <v>2024</v>
      </c>
      <c r="C4026" s="8">
        <f t="shared" si="131"/>
        <v>12</v>
      </c>
      <c r="D4026" s="204">
        <v>45633</v>
      </c>
      <c r="E4026" s="188"/>
      <c r="F4026" s="188">
        <v>30000</v>
      </c>
      <c r="G4026" s="188"/>
      <c r="H4026" s="188"/>
      <c r="I4026" s="188" t="s">
        <v>1815</v>
      </c>
      <c r="J4026" s="187" t="s">
        <v>3892</v>
      </c>
      <c r="K4026" s="186"/>
    </row>
    <row r="4027" spans="1:11" x14ac:dyDescent="0.2">
      <c r="A4027" s="8">
        <v>2983</v>
      </c>
      <c r="B4027" s="8">
        <f t="shared" si="130"/>
        <v>2024</v>
      </c>
      <c r="C4027" s="8">
        <f t="shared" si="131"/>
        <v>12</v>
      </c>
      <c r="D4027" s="204">
        <v>45634</v>
      </c>
      <c r="E4027" s="188"/>
      <c r="F4027" s="188">
        <v>30000</v>
      </c>
      <c r="G4027" s="188"/>
      <c r="H4027" s="188"/>
      <c r="I4027" s="188" t="s">
        <v>1815</v>
      </c>
      <c r="J4027" s="187" t="s">
        <v>2626</v>
      </c>
      <c r="K4027" s="186"/>
    </row>
    <row r="4028" spans="1:11" x14ac:dyDescent="0.2">
      <c r="A4028" s="8">
        <v>2984</v>
      </c>
      <c r="B4028" s="8">
        <f t="shared" si="130"/>
        <v>2024</v>
      </c>
      <c r="C4028" s="8">
        <f t="shared" si="131"/>
        <v>12</v>
      </c>
      <c r="D4028" s="204">
        <v>45634</v>
      </c>
      <c r="E4028" s="188"/>
      <c r="F4028" s="188">
        <v>280000</v>
      </c>
      <c r="G4028" s="188"/>
      <c r="H4028" s="188"/>
      <c r="I4028" s="188" t="s">
        <v>335</v>
      </c>
      <c r="J4028" s="187" t="s">
        <v>3893</v>
      </c>
      <c r="K4028" s="186"/>
    </row>
    <row r="4029" spans="1:11" x14ac:dyDescent="0.2">
      <c r="A4029" s="8">
        <v>2985</v>
      </c>
      <c r="B4029" s="8">
        <f t="shared" si="130"/>
        <v>2024</v>
      </c>
      <c r="C4029" s="8">
        <f t="shared" si="131"/>
        <v>12</v>
      </c>
      <c r="D4029" s="204">
        <v>45634</v>
      </c>
      <c r="E4029" s="188"/>
      <c r="F4029" s="188">
        <v>40000</v>
      </c>
      <c r="G4029" s="188"/>
      <c r="H4029" s="188"/>
      <c r="I4029" s="188" t="s">
        <v>335</v>
      </c>
      <c r="J4029" s="187" t="s">
        <v>3894</v>
      </c>
      <c r="K4029" s="186"/>
    </row>
    <row r="4030" spans="1:11" x14ac:dyDescent="0.2">
      <c r="A4030" s="8">
        <v>2986</v>
      </c>
      <c r="B4030" s="8">
        <f t="shared" si="130"/>
        <v>2024</v>
      </c>
      <c r="C4030" s="8">
        <f t="shared" si="131"/>
        <v>12</v>
      </c>
      <c r="D4030" s="204">
        <v>45637</v>
      </c>
      <c r="E4030" s="188"/>
      <c r="F4030" s="188">
        <v>386000</v>
      </c>
      <c r="G4030" s="188"/>
      <c r="H4030" s="188"/>
      <c r="I4030" s="188" t="s">
        <v>85</v>
      </c>
      <c r="J4030" s="187" t="s">
        <v>3895</v>
      </c>
      <c r="K4030" s="186"/>
    </row>
    <row r="4031" spans="1:11" x14ac:dyDescent="0.2">
      <c r="A4031" s="8">
        <v>2987</v>
      </c>
      <c r="B4031" s="8">
        <f t="shared" si="130"/>
        <v>2024</v>
      </c>
      <c r="C4031" s="8">
        <f t="shared" si="131"/>
        <v>12</v>
      </c>
      <c r="D4031" s="204">
        <v>45637</v>
      </c>
      <c r="E4031" s="188"/>
      <c r="F4031" s="188">
        <v>170000</v>
      </c>
      <c r="G4031" s="188"/>
      <c r="H4031" s="188"/>
      <c r="I4031" s="188" t="s">
        <v>1992</v>
      </c>
      <c r="J4031" s="187" t="s">
        <v>3896</v>
      </c>
      <c r="K4031" s="186"/>
    </row>
    <row r="4032" spans="1:11" x14ac:dyDescent="0.2">
      <c r="A4032" s="8">
        <v>2988</v>
      </c>
      <c r="B4032" s="8">
        <f t="shared" si="130"/>
        <v>2024</v>
      </c>
      <c r="C4032" s="8">
        <f t="shared" si="131"/>
        <v>12</v>
      </c>
      <c r="D4032" s="204">
        <v>45639</v>
      </c>
      <c r="E4032" s="188"/>
      <c r="F4032" s="188">
        <v>20000</v>
      </c>
      <c r="G4032" s="188"/>
      <c r="H4032" s="188"/>
      <c r="I4032" s="188" t="s">
        <v>85</v>
      </c>
      <c r="J4032" s="187" t="s">
        <v>2893</v>
      </c>
      <c r="K4032" s="186"/>
    </row>
    <row r="4033" spans="1:11" x14ac:dyDescent="0.2">
      <c r="A4033" s="8">
        <v>2989</v>
      </c>
      <c r="B4033" s="8">
        <f t="shared" si="130"/>
        <v>2024</v>
      </c>
      <c r="C4033" s="8">
        <f t="shared" si="131"/>
        <v>12</v>
      </c>
      <c r="D4033" s="204">
        <v>45640</v>
      </c>
      <c r="E4033" s="188"/>
      <c r="F4033" s="188">
        <v>175000</v>
      </c>
      <c r="G4033" s="188"/>
      <c r="H4033" s="188"/>
      <c r="I4033" s="188" t="s">
        <v>91</v>
      </c>
      <c r="J4033" s="187" t="s">
        <v>3897</v>
      </c>
      <c r="K4033" s="186"/>
    </row>
    <row r="4034" spans="1:11" x14ac:dyDescent="0.2">
      <c r="A4034" s="8">
        <v>2990</v>
      </c>
      <c r="B4034" s="8">
        <f t="shared" si="130"/>
        <v>2024</v>
      </c>
      <c r="C4034" s="8">
        <f t="shared" si="131"/>
        <v>12</v>
      </c>
      <c r="D4034" s="204">
        <v>45641</v>
      </c>
      <c r="E4034" s="188"/>
      <c r="F4034" s="188">
        <v>127000</v>
      </c>
      <c r="G4034" s="188"/>
      <c r="H4034" s="188"/>
      <c r="I4034" s="188" t="s">
        <v>1350</v>
      </c>
      <c r="J4034" s="187" t="s">
        <v>3898</v>
      </c>
      <c r="K4034" s="186"/>
    </row>
    <row r="4035" spans="1:11" x14ac:dyDescent="0.2">
      <c r="A4035" s="8">
        <v>2991</v>
      </c>
      <c r="B4035" s="8">
        <f t="shared" ref="B4035:B4098" si="132">YEAR(D4035)</f>
        <v>2024</v>
      </c>
      <c r="C4035" s="8">
        <f t="shared" ref="C4035:C4098" si="133">MONTH(D4035)</f>
        <v>12</v>
      </c>
      <c r="D4035" s="204">
        <v>45641</v>
      </c>
      <c r="E4035" s="188"/>
      <c r="F4035" s="188">
        <v>50000</v>
      </c>
      <c r="G4035" s="188"/>
      <c r="H4035" s="188"/>
      <c r="I4035" s="188" t="s">
        <v>85</v>
      </c>
      <c r="J4035" s="187" t="s">
        <v>3899</v>
      </c>
      <c r="K4035" s="186"/>
    </row>
    <row r="4036" spans="1:11" x14ac:dyDescent="0.2">
      <c r="A4036" s="8">
        <v>2992</v>
      </c>
      <c r="B4036" s="8">
        <f t="shared" si="132"/>
        <v>2024</v>
      </c>
      <c r="C4036" s="8">
        <f t="shared" si="133"/>
        <v>12</v>
      </c>
      <c r="D4036" s="204">
        <v>45641</v>
      </c>
      <c r="E4036" s="188"/>
      <c r="F4036" s="188">
        <v>530000</v>
      </c>
      <c r="G4036" s="188"/>
      <c r="H4036" s="188"/>
      <c r="I4036" s="188" t="s">
        <v>85</v>
      </c>
      <c r="J4036" s="187" t="s">
        <v>3900</v>
      </c>
      <c r="K4036" s="186"/>
    </row>
    <row r="4037" spans="1:11" x14ac:dyDescent="0.2">
      <c r="A4037" s="8">
        <v>2993</v>
      </c>
      <c r="B4037" s="8">
        <f t="shared" si="132"/>
        <v>2024</v>
      </c>
      <c r="C4037" s="8">
        <f t="shared" si="133"/>
        <v>12</v>
      </c>
      <c r="D4037" s="204">
        <v>45641</v>
      </c>
      <c r="E4037" s="188"/>
      <c r="F4037" s="188">
        <v>215000</v>
      </c>
      <c r="G4037" s="188"/>
      <c r="H4037" s="188"/>
      <c r="I4037" s="188" t="s">
        <v>299</v>
      </c>
      <c r="J4037" s="187" t="s">
        <v>3901</v>
      </c>
      <c r="K4037" s="186"/>
    </row>
    <row r="4038" spans="1:11" x14ac:dyDescent="0.2">
      <c r="A4038" s="8">
        <v>2994</v>
      </c>
      <c r="B4038" s="8">
        <f t="shared" si="132"/>
        <v>2024</v>
      </c>
      <c r="C4038" s="8">
        <f t="shared" si="133"/>
        <v>12</v>
      </c>
      <c r="D4038" s="204">
        <v>45643</v>
      </c>
      <c r="E4038" s="188"/>
      <c r="F4038" s="188">
        <v>21000</v>
      </c>
      <c r="G4038" s="188"/>
      <c r="H4038" s="188"/>
      <c r="I4038" s="188" t="s">
        <v>149</v>
      </c>
      <c r="J4038" s="187" t="s">
        <v>2507</v>
      </c>
      <c r="K4038" s="186"/>
    </row>
    <row r="4039" spans="1:11" x14ac:dyDescent="0.2">
      <c r="A4039" s="8">
        <v>2995</v>
      </c>
      <c r="B4039" s="8">
        <f t="shared" si="132"/>
        <v>2024</v>
      </c>
      <c r="C4039" s="8">
        <f t="shared" si="133"/>
        <v>12</v>
      </c>
      <c r="D4039" s="204">
        <v>45644</v>
      </c>
      <c r="E4039" s="188"/>
      <c r="F4039" s="188">
        <v>21000</v>
      </c>
      <c r="G4039" s="188"/>
      <c r="H4039" s="188"/>
      <c r="I4039" s="188" t="s">
        <v>149</v>
      </c>
      <c r="J4039" s="187" t="s">
        <v>2507</v>
      </c>
      <c r="K4039" s="186"/>
    </row>
    <row r="4040" spans="1:11" x14ac:dyDescent="0.2">
      <c r="A4040" s="8">
        <v>2996</v>
      </c>
      <c r="B4040" s="8">
        <f t="shared" si="132"/>
        <v>2024</v>
      </c>
      <c r="C4040" s="8">
        <f t="shared" si="133"/>
        <v>12</v>
      </c>
      <c r="D4040" s="204">
        <v>45644</v>
      </c>
      <c r="E4040" s="188"/>
      <c r="F4040" s="188">
        <v>7000</v>
      </c>
      <c r="G4040" s="188"/>
      <c r="H4040" s="188"/>
      <c r="I4040" s="188" t="s">
        <v>91</v>
      </c>
      <c r="J4040" s="187" t="s">
        <v>3902</v>
      </c>
      <c r="K4040" s="186"/>
    </row>
    <row r="4041" spans="1:11" x14ac:dyDescent="0.2">
      <c r="A4041" s="8">
        <v>2997</v>
      </c>
      <c r="B4041" s="8">
        <f t="shared" si="132"/>
        <v>2024</v>
      </c>
      <c r="C4041" s="8">
        <f t="shared" si="133"/>
        <v>12</v>
      </c>
      <c r="D4041" s="204">
        <v>45644</v>
      </c>
      <c r="E4041" s="188"/>
      <c r="F4041" s="188">
        <v>607000</v>
      </c>
      <c r="G4041" s="188"/>
      <c r="H4041" s="188"/>
      <c r="I4041" s="188" t="s">
        <v>85</v>
      </c>
      <c r="J4041" s="187" t="s">
        <v>3903</v>
      </c>
      <c r="K4041" s="186"/>
    </row>
    <row r="4042" spans="1:11" x14ac:dyDescent="0.2">
      <c r="A4042" s="8">
        <v>2998</v>
      </c>
      <c r="B4042" s="8">
        <f t="shared" si="132"/>
        <v>2024</v>
      </c>
      <c r="C4042" s="8">
        <f t="shared" si="133"/>
        <v>12</v>
      </c>
      <c r="D4042" s="204">
        <v>45644</v>
      </c>
      <c r="E4042" s="188"/>
      <c r="F4042" s="188">
        <v>20000</v>
      </c>
      <c r="G4042" s="188"/>
      <c r="H4042" s="188"/>
      <c r="I4042" s="188" t="s">
        <v>91</v>
      </c>
      <c r="J4042" s="187" t="s">
        <v>2416</v>
      </c>
      <c r="K4042" s="186"/>
    </row>
    <row r="4043" spans="1:11" x14ac:dyDescent="0.2">
      <c r="A4043" s="8">
        <v>2999</v>
      </c>
      <c r="B4043" s="8">
        <f t="shared" si="132"/>
        <v>2024</v>
      </c>
      <c r="C4043" s="8">
        <f t="shared" si="133"/>
        <v>12</v>
      </c>
      <c r="D4043" s="204">
        <v>45644</v>
      </c>
      <c r="E4043" s="188"/>
      <c r="F4043" s="188">
        <v>20000</v>
      </c>
      <c r="G4043" s="188"/>
      <c r="H4043" s="188"/>
      <c r="I4043" s="188" t="s">
        <v>91</v>
      </c>
      <c r="J4043" s="187" t="s">
        <v>2416</v>
      </c>
      <c r="K4043" s="186"/>
    </row>
    <row r="4044" spans="1:11" x14ac:dyDescent="0.2">
      <c r="A4044" s="8">
        <v>3000</v>
      </c>
      <c r="B4044" s="8">
        <f t="shared" si="132"/>
        <v>2024</v>
      </c>
      <c r="C4044" s="8">
        <f t="shared" si="133"/>
        <v>12</v>
      </c>
      <c r="D4044" s="204">
        <v>45644</v>
      </c>
      <c r="E4044" s="188"/>
      <c r="F4044" s="188">
        <v>60000</v>
      </c>
      <c r="G4044" s="188"/>
      <c r="H4044" s="188"/>
      <c r="I4044" s="188" t="s">
        <v>85</v>
      </c>
      <c r="J4044" s="187" t="s">
        <v>3904</v>
      </c>
      <c r="K4044" s="186"/>
    </row>
    <row r="4045" spans="1:11" x14ac:dyDescent="0.2">
      <c r="A4045" s="8">
        <v>3001</v>
      </c>
      <c r="B4045" s="8">
        <f t="shared" si="132"/>
        <v>2024</v>
      </c>
      <c r="C4045" s="8">
        <f t="shared" si="133"/>
        <v>12</v>
      </c>
      <c r="D4045" s="204">
        <v>45646</v>
      </c>
      <c r="E4045" s="188"/>
      <c r="F4045" s="188">
        <v>57000</v>
      </c>
      <c r="G4045" s="188"/>
      <c r="H4045" s="188"/>
      <c r="I4045" s="188" t="s">
        <v>85</v>
      </c>
      <c r="J4045" s="187" t="s">
        <v>3905</v>
      </c>
      <c r="K4045" s="186"/>
    </row>
    <row r="4046" spans="1:11" x14ac:dyDescent="0.2">
      <c r="A4046" s="8">
        <v>3002</v>
      </c>
      <c r="B4046" s="8">
        <f t="shared" si="132"/>
        <v>2024</v>
      </c>
      <c r="C4046" s="8">
        <f t="shared" si="133"/>
        <v>12</v>
      </c>
      <c r="D4046" s="204">
        <v>45646</v>
      </c>
      <c r="E4046" s="188"/>
      <c r="F4046" s="188">
        <v>20000</v>
      </c>
      <c r="G4046" s="188"/>
      <c r="H4046" s="188"/>
      <c r="I4046" s="188" t="s">
        <v>149</v>
      </c>
      <c r="J4046" s="187" t="s">
        <v>2496</v>
      </c>
      <c r="K4046" s="186"/>
    </row>
    <row r="4047" spans="1:11" x14ac:dyDescent="0.2">
      <c r="A4047" s="8">
        <v>3003</v>
      </c>
      <c r="B4047" s="8">
        <f t="shared" si="132"/>
        <v>2024</v>
      </c>
      <c r="C4047" s="8">
        <f t="shared" si="133"/>
        <v>12</v>
      </c>
      <c r="D4047" s="204">
        <v>45646</v>
      </c>
      <c r="E4047" s="188"/>
      <c r="F4047" s="188">
        <v>40000</v>
      </c>
      <c r="G4047" s="188"/>
      <c r="H4047" s="188"/>
      <c r="I4047" s="188" t="s">
        <v>85</v>
      </c>
      <c r="J4047" s="187" t="s">
        <v>3906</v>
      </c>
      <c r="K4047" s="186"/>
    </row>
    <row r="4048" spans="1:11" x14ac:dyDescent="0.2">
      <c r="A4048" s="8">
        <v>3004</v>
      </c>
      <c r="B4048" s="8">
        <f t="shared" si="132"/>
        <v>2024</v>
      </c>
      <c r="C4048" s="8">
        <f t="shared" si="133"/>
        <v>12</v>
      </c>
      <c r="D4048" s="204">
        <v>45647</v>
      </c>
      <c r="E4048" s="188"/>
      <c r="F4048" s="188">
        <v>30000</v>
      </c>
      <c r="G4048" s="188"/>
      <c r="H4048" s="188"/>
      <c r="I4048" s="188" t="s">
        <v>149</v>
      </c>
      <c r="J4048" s="187" t="s">
        <v>3907</v>
      </c>
      <c r="K4048" s="186"/>
    </row>
    <row r="4049" spans="1:11" x14ac:dyDescent="0.2">
      <c r="A4049" s="8">
        <v>3005</v>
      </c>
      <c r="B4049" s="8">
        <f t="shared" si="132"/>
        <v>2024</v>
      </c>
      <c r="C4049" s="8">
        <f t="shared" si="133"/>
        <v>12</v>
      </c>
      <c r="D4049" s="204">
        <v>45647</v>
      </c>
      <c r="E4049" s="188"/>
      <c r="F4049" s="188">
        <v>485000</v>
      </c>
      <c r="G4049" s="188"/>
      <c r="H4049" s="188"/>
      <c r="I4049" s="188" t="s">
        <v>1350</v>
      </c>
      <c r="J4049" s="187" t="s">
        <v>3908</v>
      </c>
      <c r="K4049" s="186"/>
    </row>
    <row r="4050" spans="1:11" x14ac:dyDescent="0.2">
      <c r="A4050" s="8">
        <v>3006</v>
      </c>
      <c r="B4050" s="8">
        <f t="shared" si="132"/>
        <v>2024</v>
      </c>
      <c r="C4050" s="8">
        <f t="shared" si="133"/>
        <v>12</v>
      </c>
      <c r="D4050" s="204">
        <v>45647</v>
      </c>
      <c r="E4050" s="188"/>
      <c r="F4050" s="188">
        <v>100000</v>
      </c>
      <c r="G4050" s="188"/>
      <c r="H4050" s="188"/>
      <c r="I4050" s="188" t="s">
        <v>1350</v>
      </c>
      <c r="J4050" s="187" t="s">
        <v>3909</v>
      </c>
      <c r="K4050" s="186"/>
    </row>
    <row r="4051" spans="1:11" x14ac:dyDescent="0.2">
      <c r="A4051" s="8">
        <v>3007</v>
      </c>
      <c r="B4051" s="8">
        <f t="shared" si="132"/>
        <v>2024</v>
      </c>
      <c r="C4051" s="8">
        <f t="shared" si="133"/>
        <v>12</v>
      </c>
      <c r="D4051" s="204">
        <v>45647</v>
      </c>
      <c r="E4051" s="188"/>
      <c r="F4051" s="188">
        <v>20000</v>
      </c>
      <c r="G4051" s="188"/>
      <c r="H4051" s="188"/>
      <c r="I4051" s="188" t="s">
        <v>85</v>
      </c>
      <c r="J4051" s="187" t="s">
        <v>3910</v>
      </c>
      <c r="K4051" s="186"/>
    </row>
    <row r="4052" spans="1:11" x14ac:dyDescent="0.2">
      <c r="A4052" s="8">
        <v>3008</v>
      </c>
      <c r="B4052" s="8">
        <f t="shared" si="132"/>
        <v>2024</v>
      </c>
      <c r="C4052" s="8">
        <f t="shared" si="133"/>
        <v>12</v>
      </c>
      <c r="D4052" s="204">
        <v>45648</v>
      </c>
      <c r="E4052" s="188"/>
      <c r="F4052" s="188">
        <v>300000</v>
      </c>
      <c r="G4052" s="188"/>
      <c r="H4052" s="188"/>
      <c r="I4052" s="188" t="s">
        <v>1729</v>
      </c>
      <c r="J4052" s="187" t="s">
        <v>3911</v>
      </c>
      <c r="K4052" s="186"/>
    </row>
    <row r="4053" spans="1:11" x14ac:dyDescent="0.2">
      <c r="A4053" s="8">
        <v>3009</v>
      </c>
      <c r="B4053" s="8">
        <f t="shared" si="132"/>
        <v>2024</v>
      </c>
      <c r="C4053" s="8">
        <f t="shared" si="133"/>
        <v>12</v>
      </c>
      <c r="D4053" s="204">
        <v>45648</v>
      </c>
      <c r="E4053" s="188"/>
      <c r="F4053" s="188">
        <v>40000</v>
      </c>
      <c r="G4053" s="188"/>
      <c r="H4053" s="188"/>
      <c r="I4053" s="188" t="s">
        <v>91</v>
      </c>
      <c r="J4053" s="187" t="s">
        <v>3912</v>
      </c>
      <c r="K4053" s="186"/>
    </row>
    <row r="4054" spans="1:11" x14ac:dyDescent="0.2">
      <c r="A4054" s="8">
        <v>3010</v>
      </c>
      <c r="B4054" s="8">
        <f t="shared" si="132"/>
        <v>2024</v>
      </c>
      <c r="C4054" s="8">
        <f t="shared" si="133"/>
        <v>12</v>
      </c>
      <c r="D4054" s="204">
        <v>45649</v>
      </c>
      <c r="E4054" s="188"/>
      <c r="F4054" s="188">
        <v>400000</v>
      </c>
      <c r="G4054" s="188"/>
      <c r="H4054" s="188"/>
      <c r="I4054" s="188" t="s">
        <v>2807</v>
      </c>
      <c r="J4054" s="187" t="s">
        <v>3913</v>
      </c>
      <c r="K4054" s="186"/>
    </row>
    <row r="4055" spans="1:11" x14ac:dyDescent="0.2">
      <c r="A4055" s="8">
        <v>3011</v>
      </c>
      <c r="B4055" s="8">
        <f t="shared" si="132"/>
        <v>2024</v>
      </c>
      <c r="C4055" s="8">
        <f t="shared" si="133"/>
        <v>12</v>
      </c>
      <c r="D4055" s="204">
        <v>45650</v>
      </c>
      <c r="E4055" s="188"/>
      <c r="F4055" s="188">
        <v>441000</v>
      </c>
      <c r="G4055" s="188"/>
      <c r="H4055" s="188"/>
      <c r="I4055" s="188" t="s">
        <v>85</v>
      </c>
      <c r="J4055" s="187" t="s">
        <v>3914</v>
      </c>
      <c r="K4055" s="186"/>
    </row>
    <row r="4056" spans="1:11" x14ac:dyDescent="0.2">
      <c r="A4056" s="8">
        <v>3012</v>
      </c>
      <c r="B4056" s="8">
        <f t="shared" si="132"/>
        <v>2024</v>
      </c>
      <c r="C4056" s="8">
        <f t="shared" si="133"/>
        <v>12</v>
      </c>
      <c r="D4056" s="204">
        <v>45650</v>
      </c>
      <c r="E4056" s="188"/>
      <c r="F4056" s="188">
        <v>120000</v>
      </c>
      <c r="G4056" s="188"/>
      <c r="H4056" s="188"/>
      <c r="I4056" s="188" t="s">
        <v>85</v>
      </c>
      <c r="J4056" s="187" t="s">
        <v>3915</v>
      </c>
      <c r="K4056" s="186"/>
    </row>
    <row r="4057" spans="1:11" x14ac:dyDescent="0.2">
      <c r="A4057" s="8">
        <v>3013</v>
      </c>
      <c r="B4057" s="8">
        <f t="shared" si="132"/>
        <v>2024</v>
      </c>
      <c r="C4057" s="8">
        <f t="shared" si="133"/>
        <v>12</v>
      </c>
      <c r="D4057" s="204">
        <v>45650</v>
      </c>
      <c r="E4057" s="188"/>
      <c r="F4057" s="188">
        <v>500000</v>
      </c>
      <c r="G4057" s="188"/>
      <c r="H4057" s="188"/>
      <c r="I4057" s="188" t="s">
        <v>85</v>
      </c>
      <c r="J4057" s="187" t="s">
        <v>3916</v>
      </c>
      <c r="K4057" s="186"/>
    </row>
    <row r="4058" spans="1:11" x14ac:dyDescent="0.2">
      <c r="A4058" s="8">
        <v>3014</v>
      </c>
      <c r="B4058" s="8">
        <f t="shared" si="132"/>
        <v>2024</v>
      </c>
      <c r="C4058" s="8">
        <f t="shared" si="133"/>
        <v>12</v>
      </c>
      <c r="D4058" s="204">
        <v>45651</v>
      </c>
      <c r="E4058" s="188"/>
      <c r="F4058" s="188">
        <v>156000</v>
      </c>
      <c r="G4058" s="188"/>
      <c r="H4058" s="188"/>
      <c r="I4058" s="188" t="s">
        <v>1992</v>
      </c>
      <c r="J4058" s="187" t="s">
        <v>3917</v>
      </c>
      <c r="K4058" s="186"/>
    </row>
    <row r="4059" spans="1:11" x14ac:dyDescent="0.2">
      <c r="A4059" s="8">
        <v>3015</v>
      </c>
      <c r="B4059" s="8">
        <f t="shared" si="132"/>
        <v>2024</v>
      </c>
      <c r="C4059" s="8">
        <f t="shared" si="133"/>
        <v>12</v>
      </c>
      <c r="D4059" s="204">
        <v>45651</v>
      </c>
      <c r="E4059" s="188"/>
      <c r="F4059" s="188">
        <v>37000</v>
      </c>
      <c r="G4059" s="188"/>
      <c r="H4059" s="188"/>
      <c r="I4059" s="188" t="s">
        <v>85</v>
      </c>
      <c r="J4059" s="187" t="s">
        <v>3918</v>
      </c>
      <c r="K4059" s="186"/>
    </row>
    <row r="4060" spans="1:11" x14ac:dyDescent="0.2">
      <c r="A4060" s="8">
        <v>3016</v>
      </c>
      <c r="B4060" s="8">
        <f t="shared" si="132"/>
        <v>2024</v>
      </c>
      <c r="C4060" s="8">
        <f t="shared" si="133"/>
        <v>12</v>
      </c>
      <c r="D4060" s="204">
        <v>45652</v>
      </c>
      <c r="E4060" s="188"/>
      <c r="F4060" s="188">
        <v>300000</v>
      </c>
      <c r="G4060" s="188"/>
      <c r="H4060" s="188"/>
      <c r="I4060" s="188" t="s">
        <v>2807</v>
      </c>
      <c r="J4060" s="187" t="s">
        <v>3919</v>
      </c>
      <c r="K4060" s="186"/>
    </row>
    <row r="4061" spans="1:11" x14ac:dyDescent="0.2">
      <c r="A4061" s="8">
        <v>3017</v>
      </c>
      <c r="B4061" s="8">
        <f t="shared" si="132"/>
        <v>2024</v>
      </c>
      <c r="C4061" s="8">
        <f t="shared" si="133"/>
        <v>12</v>
      </c>
      <c r="D4061" s="204">
        <v>45652</v>
      </c>
      <c r="E4061" s="188"/>
      <c r="F4061" s="188">
        <v>30000</v>
      </c>
      <c r="G4061" s="188"/>
      <c r="H4061" s="188"/>
      <c r="I4061" s="188" t="s">
        <v>91</v>
      </c>
      <c r="J4061" s="187" t="s">
        <v>2382</v>
      </c>
      <c r="K4061" s="186"/>
    </row>
    <row r="4062" spans="1:11" x14ac:dyDescent="0.2">
      <c r="A4062" s="8">
        <v>3018</v>
      </c>
      <c r="B4062" s="8">
        <f t="shared" si="132"/>
        <v>2024</v>
      </c>
      <c r="C4062" s="8">
        <f t="shared" si="133"/>
        <v>12</v>
      </c>
      <c r="D4062" s="204">
        <v>45653</v>
      </c>
      <c r="E4062" s="188"/>
      <c r="F4062" s="188">
        <v>15000</v>
      </c>
      <c r="G4062" s="188"/>
      <c r="H4062" s="188"/>
      <c r="I4062" s="188" t="s">
        <v>91</v>
      </c>
      <c r="J4062" s="187" t="s">
        <v>2648</v>
      </c>
      <c r="K4062" s="186"/>
    </row>
    <row r="4063" spans="1:11" x14ac:dyDescent="0.2">
      <c r="A4063" s="8">
        <v>3019</v>
      </c>
      <c r="B4063" s="8">
        <f t="shared" si="132"/>
        <v>2024</v>
      </c>
      <c r="C4063" s="8">
        <f t="shared" si="133"/>
        <v>12</v>
      </c>
      <c r="D4063" s="204">
        <v>45653</v>
      </c>
      <c r="E4063" s="188"/>
      <c r="F4063" s="188">
        <v>80000</v>
      </c>
      <c r="G4063" s="188"/>
      <c r="H4063" s="188"/>
      <c r="I4063" s="188" t="s">
        <v>85</v>
      </c>
      <c r="J4063" s="187" t="s">
        <v>3920</v>
      </c>
      <c r="K4063" s="186"/>
    </row>
    <row r="4064" spans="1:11" x14ac:dyDescent="0.2">
      <c r="A4064" s="8">
        <v>3020</v>
      </c>
      <c r="B4064" s="8">
        <f t="shared" si="132"/>
        <v>2024</v>
      </c>
      <c r="C4064" s="8">
        <f t="shared" si="133"/>
        <v>12</v>
      </c>
      <c r="D4064" s="204">
        <v>45636</v>
      </c>
      <c r="E4064" s="188">
        <v>8285000</v>
      </c>
      <c r="F4064" s="188">
        <v>0</v>
      </c>
      <c r="G4064" s="188">
        <v>0</v>
      </c>
      <c r="H4064" s="188">
        <v>0</v>
      </c>
      <c r="I4064" s="188"/>
      <c r="J4064" s="187" t="s">
        <v>2062</v>
      </c>
      <c r="K4064" s="186"/>
    </row>
    <row r="4065" spans="1:11" x14ac:dyDescent="0.2">
      <c r="A4065" s="8">
        <v>3021</v>
      </c>
      <c r="B4065" s="8">
        <f t="shared" si="132"/>
        <v>2024</v>
      </c>
      <c r="C4065" s="8">
        <f t="shared" si="133"/>
        <v>12</v>
      </c>
      <c r="D4065" s="204">
        <v>45649</v>
      </c>
      <c r="E4065" s="188">
        <v>6000000</v>
      </c>
      <c r="F4065" s="188">
        <v>0</v>
      </c>
      <c r="G4065" s="188">
        <v>0</v>
      </c>
      <c r="H4065" s="188">
        <v>0</v>
      </c>
      <c r="I4065" s="188"/>
      <c r="J4065" s="187" t="s">
        <v>1761</v>
      </c>
      <c r="K4065" s="186"/>
    </row>
    <row r="4066" spans="1:11" x14ac:dyDescent="0.2">
      <c r="A4066" s="8">
        <v>3022</v>
      </c>
      <c r="B4066" s="8">
        <f t="shared" si="132"/>
        <v>2024</v>
      </c>
      <c r="C4066" s="8">
        <f t="shared" si="133"/>
        <v>12</v>
      </c>
      <c r="D4066" s="204">
        <v>45656</v>
      </c>
      <c r="E4066" s="188">
        <v>8500000</v>
      </c>
      <c r="F4066" s="188">
        <v>6500000</v>
      </c>
      <c r="G4066" s="188">
        <v>0</v>
      </c>
      <c r="H4066" s="188">
        <v>0</v>
      </c>
      <c r="I4066" s="188"/>
      <c r="J4066" s="187" t="s">
        <v>3924</v>
      </c>
      <c r="K4066" s="186"/>
    </row>
    <row r="4067" spans="1:11" x14ac:dyDescent="0.2">
      <c r="A4067" s="8">
        <v>3023</v>
      </c>
      <c r="B4067" s="8">
        <f t="shared" si="132"/>
        <v>2024</v>
      </c>
      <c r="C4067" s="8">
        <f t="shared" si="133"/>
        <v>12</v>
      </c>
      <c r="D4067" s="204">
        <v>45653</v>
      </c>
      <c r="E4067" s="188"/>
      <c r="F4067" s="220">
        <v>10000</v>
      </c>
      <c r="G4067" s="188"/>
      <c r="H4067" s="188"/>
      <c r="I4067" s="188" t="s">
        <v>149</v>
      </c>
      <c r="J4067" s="187" t="s">
        <v>2403</v>
      </c>
      <c r="K4067" s="186"/>
    </row>
    <row r="4068" spans="1:11" x14ac:dyDescent="0.2">
      <c r="A4068" s="8">
        <v>3024</v>
      </c>
      <c r="B4068" s="8">
        <f t="shared" si="132"/>
        <v>2024</v>
      </c>
      <c r="C4068" s="8">
        <f t="shared" si="133"/>
        <v>12</v>
      </c>
      <c r="D4068" s="204">
        <v>45653</v>
      </c>
      <c r="E4068" s="188"/>
      <c r="F4068" s="220">
        <v>15000</v>
      </c>
      <c r="G4068" s="188"/>
      <c r="H4068" s="188"/>
      <c r="I4068" s="188" t="s">
        <v>91</v>
      </c>
      <c r="J4068" s="187" t="s">
        <v>2648</v>
      </c>
      <c r="K4068" s="186"/>
    </row>
    <row r="4069" spans="1:11" x14ac:dyDescent="0.2">
      <c r="A4069" s="8">
        <v>3025</v>
      </c>
      <c r="B4069" s="8">
        <f t="shared" si="132"/>
        <v>2024</v>
      </c>
      <c r="C4069" s="8">
        <f t="shared" si="133"/>
        <v>12</v>
      </c>
      <c r="D4069" s="204">
        <v>45653</v>
      </c>
      <c r="E4069" s="188"/>
      <c r="F4069" s="220">
        <v>180000</v>
      </c>
      <c r="G4069" s="188"/>
      <c r="H4069" s="188"/>
      <c r="I4069" s="188" t="s">
        <v>391</v>
      </c>
      <c r="J4069" s="187" t="s">
        <v>3945</v>
      </c>
      <c r="K4069" s="186"/>
    </row>
    <row r="4070" spans="1:11" x14ac:dyDescent="0.2">
      <c r="A4070" s="8">
        <v>3026</v>
      </c>
      <c r="B4070" s="8">
        <f t="shared" si="132"/>
        <v>2024</v>
      </c>
      <c r="C4070" s="8">
        <f t="shared" si="133"/>
        <v>12</v>
      </c>
      <c r="D4070" s="204">
        <v>45653</v>
      </c>
      <c r="E4070" s="188"/>
      <c r="F4070" s="220">
        <v>91000</v>
      </c>
      <c r="G4070" s="188"/>
      <c r="H4070" s="188"/>
      <c r="I4070" s="188" t="s">
        <v>391</v>
      </c>
      <c r="J4070" s="187" t="s">
        <v>2936</v>
      </c>
      <c r="K4070" s="186"/>
    </row>
    <row r="4071" spans="1:11" x14ac:dyDescent="0.2">
      <c r="A4071" s="8">
        <v>3027</v>
      </c>
      <c r="B4071" s="8">
        <f t="shared" si="132"/>
        <v>2024</v>
      </c>
      <c r="C4071" s="8">
        <f t="shared" si="133"/>
        <v>12</v>
      </c>
      <c r="D4071" s="204">
        <v>45653</v>
      </c>
      <c r="E4071" s="188"/>
      <c r="F4071" s="220">
        <v>181000</v>
      </c>
      <c r="G4071" s="188"/>
      <c r="H4071" s="188"/>
      <c r="I4071" s="188" t="s">
        <v>391</v>
      </c>
      <c r="J4071" s="187" t="s">
        <v>3946</v>
      </c>
      <c r="K4071" s="186"/>
    </row>
    <row r="4072" spans="1:11" x14ac:dyDescent="0.2">
      <c r="A4072" s="8">
        <v>3030</v>
      </c>
      <c r="B4072" s="8">
        <f t="shared" si="132"/>
        <v>2024</v>
      </c>
      <c r="C4072" s="8">
        <f t="shared" si="133"/>
        <v>12</v>
      </c>
      <c r="D4072" s="204">
        <v>45654</v>
      </c>
      <c r="E4072" s="188"/>
      <c r="F4072" s="220">
        <v>14000</v>
      </c>
      <c r="G4072" s="188"/>
      <c r="H4072" s="188"/>
      <c r="I4072" s="188" t="s">
        <v>149</v>
      </c>
      <c r="J4072" s="187" t="s">
        <v>2595</v>
      </c>
      <c r="K4072" s="186"/>
    </row>
    <row r="4073" spans="1:11" x14ac:dyDescent="0.2">
      <c r="A4073" s="8">
        <v>3031</v>
      </c>
      <c r="B4073" s="8">
        <f t="shared" si="132"/>
        <v>2024</v>
      </c>
      <c r="C4073" s="8">
        <f t="shared" si="133"/>
        <v>12</v>
      </c>
      <c r="D4073" s="204">
        <v>45654</v>
      </c>
      <c r="E4073" s="188"/>
      <c r="F4073" s="220">
        <v>18000</v>
      </c>
      <c r="G4073" s="188"/>
      <c r="H4073" s="188"/>
      <c r="I4073" s="188" t="s">
        <v>91</v>
      </c>
      <c r="J4073" s="187" t="s">
        <v>3947</v>
      </c>
      <c r="K4073" s="186"/>
    </row>
    <row r="4074" spans="1:11" x14ac:dyDescent="0.2">
      <c r="A4074" s="8">
        <v>3032</v>
      </c>
      <c r="B4074" s="8">
        <f t="shared" si="132"/>
        <v>2024</v>
      </c>
      <c r="C4074" s="8">
        <f t="shared" si="133"/>
        <v>12</v>
      </c>
      <c r="D4074" s="204">
        <v>45654</v>
      </c>
      <c r="E4074" s="188"/>
      <c r="F4074" s="220">
        <v>200000</v>
      </c>
      <c r="G4074" s="188"/>
      <c r="H4074" s="188"/>
      <c r="I4074" s="188" t="s">
        <v>299</v>
      </c>
      <c r="J4074" s="187" t="s">
        <v>3948</v>
      </c>
      <c r="K4074" s="186"/>
    </row>
    <row r="4075" spans="1:11" x14ac:dyDescent="0.2">
      <c r="A4075" s="8">
        <v>3033</v>
      </c>
      <c r="B4075" s="8">
        <f t="shared" si="132"/>
        <v>2024</v>
      </c>
      <c r="C4075" s="8">
        <f t="shared" si="133"/>
        <v>12</v>
      </c>
      <c r="D4075" s="204">
        <v>45655</v>
      </c>
      <c r="E4075" s="188"/>
      <c r="F4075" s="220">
        <v>89000</v>
      </c>
      <c r="G4075" s="188"/>
      <c r="H4075" s="188"/>
      <c r="I4075" s="188" t="s">
        <v>1999</v>
      </c>
      <c r="J4075" s="187" t="s">
        <v>3949</v>
      </c>
      <c r="K4075" s="186"/>
    </row>
    <row r="4076" spans="1:11" x14ac:dyDescent="0.2">
      <c r="A4076" s="8">
        <v>3034</v>
      </c>
      <c r="B4076" s="8">
        <f t="shared" si="132"/>
        <v>2024</v>
      </c>
      <c r="C4076" s="8">
        <f t="shared" si="133"/>
        <v>12</v>
      </c>
      <c r="D4076" s="204">
        <v>45656</v>
      </c>
      <c r="E4076" s="188"/>
      <c r="F4076" s="220">
        <v>30000</v>
      </c>
      <c r="G4076" s="188"/>
      <c r="H4076" s="188"/>
      <c r="I4076" s="188" t="s">
        <v>91</v>
      </c>
      <c r="J4076" s="187" t="s">
        <v>2467</v>
      </c>
      <c r="K4076" s="186"/>
    </row>
    <row r="4077" spans="1:11" x14ac:dyDescent="0.2">
      <c r="A4077" s="8">
        <v>3035</v>
      </c>
      <c r="B4077" s="8">
        <f t="shared" si="132"/>
        <v>2024</v>
      </c>
      <c r="C4077" s="8">
        <f t="shared" si="133"/>
        <v>12</v>
      </c>
      <c r="D4077" s="204">
        <v>45656</v>
      </c>
      <c r="E4077" s="188"/>
      <c r="F4077" s="220">
        <v>21000</v>
      </c>
      <c r="G4077" s="188"/>
      <c r="H4077" s="188"/>
      <c r="I4077" s="188" t="s">
        <v>149</v>
      </c>
      <c r="J4077" s="187" t="s">
        <v>2495</v>
      </c>
      <c r="K4077" s="186"/>
    </row>
    <row r="4078" spans="1:11" x14ac:dyDescent="0.2">
      <c r="A4078" s="8">
        <v>3037</v>
      </c>
      <c r="B4078" s="8">
        <f t="shared" si="132"/>
        <v>2024</v>
      </c>
      <c r="C4078" s="8">
        <f t="shared" si="133"/>
        <v>12</v>
      </c>
      <c r="D4078" s="204">
        <v>45657</v>
      </c>
      <c r="E4078" s="188"/>
      <c r="F4078" s="220">
        <v>25000</v>
      </c>
      <c r="G4078" s="188"/>
      <c r="H4078" s="188"/>
      <c r="I4078" s="188" t="s">
        <v>91</v>
      </c>
      <c r="J4078" s="187" t="s">
        <v>3950</v>
      </c>
      <c r="K4078" s="186"/>
    </row>
    <row r="4079" spans="1:11" x14ac:dyDescent="0.2">
      <c r="A4079" s="8">
        <v>3038</v>
      </c>
      <c r="B4079" s="8">
        <f t="shared" si="132"/>
        <v>2024</v>
      </c>
      <c r="C4079" s="8">
        <f t="shared" si="133"/>
        <v>12</v>
      </c>
      <c r="D4079" s="204">
        <v>45657</v>
      </c>
      <c r="E4079" s="188"/>
      <c r="F4079" s="220">
        <v>70000</v>
      </c>
      <c r="G4079" s="188"/>
      <c r="H4079" s="188"/>
      <c r="I4079" s="188" t="s">
        <v>85</v>
      </c>
      <c r="J4079" s="187" t="s">
        <v>3951</v>
      </c>
      <c r="K4079" s="186"/>
    </row>
    <row r="4080" spans="1:11" x14ac:dyDescent="0.2">
      <c r="A4080" s="8">
        <v>3039</v>
      </c>
      <c r="B4080" s="8">
        <f t="shared" si="132"/>
        <v>2024</v>
      </c>
      <c r="C4080" s="8">
        <f t="shared" si="133"/>
        <v>12</v>
      </c>
      <c r="D4080" s="204">
        <v>45657</v>
      </c>
      <c r="E4080" s="188"/>
      <c r="F4080" s="220">
        <v>60000</v>
      </c>
      <c r="G4080" s="188"/>
      <c r="H4080" s="188"/>
      <c r="I4080" s="188" t="s">
        <v>1350</v>
      </c>
      <c r="J4080" s="187" t="s">
        <v>3952</v>
      </c>
      <c r="K4080" s="186"/>
    </row>
    <row r="4081" spans="1:11" x14ac:dyDescent="0.2">
      <c r="A4081" s="8">
        <v>3040</v>
      </c>
      <c r="B4081" s="8">
        <f t="shared" si="132"/>
        <v>2024</v>
      </c>
      <c r="C4081" s="8">
        <f t="shared" si="133"/>
        <v>12</v>
      </c>
      <c r="D4081" s="204">
        <v>45657</v>
      </c>
      <c r="E4081" s="188"/>
      <c r="F4081" s="220">
        <v>50000</v>
      </c>
      <c r="G4081" s="188"/>
      <c r="H4081" s="188"/>
      <c r="I4081" s="188" t="s">
        <v>85</v>
      </c>
      <c r="J4081" s="187" t="s">
        <v>3953</v>
      </c>
      <c r="K4081" s="186"/>
    </row>
    <row r="4082" spans="1:11" x14ac:dyDescent="0.2">
      <c r="A4082" s="8">
        <v>3041</v>
      </c>
      <c r="B4082" s="8">
        <f t="shared" si="132"/>
        <v>2024</v>
      </c>
      <c r="C4082" s="8">
        <f t="shared" si="133"/>
        <v>12</v>
      </c>
      <c r="D4082" s="204">
        <v>45657</v>
      </c>
      <c r="E4082" s="188"/>
      <c r="F4082" s="220">
        <v>40000</v>
      </c>
      <c r="G4082" s="188"/>
      <c r="H4082" s="188"/>
      <c r="I4082" s="188" t="s">
        <v>85</v>
      </c>
      <c r="J4082" s="187" t="s">
        <v>3954</v>
      </c>
      <c r="K4082" s="186"/>
    </row>
    <row r="4083" spans="1:11" x14ac:dyDescent="0.2">
      <c r="A4083" s="8">
        <v>3042</v>
      </c>
      <c r="B4083" s="8">
        <f t="shared" si="132"/>
        <v>2025</v>
      </c>
      <c r="C4083" s="8">
        <f t="shared" si="133"/>
        <v>1</v>
      </c>
      <c r="D4083" s="204">
        <v>45658</v>
      </c>
      <c r="E4083" s="188"/>
      <c r="F4083" s="220">
        <v>40000</v>
      </c>
      <c r="G4083" s="188"/>
      <c r="H4083" s="188"/>
      <c r="I4083" s="188" t="s">
        <v>1999</v>
      </c>
      <c r="J4083" s="187" t="s">
        <v>3955</v>
      </c>
      <c r="K4083" s="186"/>
    </row>
    <row r="4084" spans="1:11" x14ac:dyDescent="0.2">
      <c r="A4084" s="8">
        <v>3043</v>
      </c>
      <c r="B4084" s="8">
        <f t="shared" si="132"/>
        <v>2025</v>
      </c>
      <c r="C4084" s="8">
        <f t="shared" si="133"/>
        <v>1</v>
      </c>
      <c r="D4084" s="204">
        <v>45659</v>
      </c>
      <c r="E4084" s="188"/>
      <c r="F4084" s="220">
        <v>16000</v>
      </c>
      <c r="G4084" s="188"/>
      <c r="H4084" s="188"/>
      <c r="I4084" s="188" t="s">
        <v>149</v>
      </c>
      <c r="J4084" s="187" t="s">
        <v>3956</v>
      </c>
      <c r="K4084" s="186"/>
    </row>
    <row r="4085" spans="1:11" x14ac:dyDescent="0.2">
      <c r="A4085" s="8">
        <v>3044</v>
      </c>
      <c r="B4085" s="8">
        <f t="shared" si="132"/>
        <v>2025</v>
      </c>
      <c r="C4085" s="8">
        <f t="shared" si="133"/>
        <v>1</v>
      </c>
      <c r="D4085" s="204">
        <v>45659</v>
      </c>
      <c r="E4085" s="188"/>
      <c r="F4085" s="220">
        <v>25000</v>
      </c>
      <c r="G4085" s="188"/>
      <c r="H4085" s="188"/>
      <c r="I4085" s="188" t="s">
        <v>85</v>
      </c>
      <c r="J4085" s="187" t="s">
        <v>3957</v>
      </c>
      <c r="K4085" s="186"/>
    </row>
    <row r="4086" spans="1:11" x14ac:dyDescent="0.2">
      <c r="A4086" s="8">
        <v>3045</v>
      </c>
      <c r="B4086" s="8">
        <f t="shared" si="132"/>
        <v>2025</v>
      </c>
      <c r="C4086" s="8">
        <f t="shared" si="133"/>
        <v>1</v>
      </c>
      <c r="D4086" s="204">
        <v>45659</v>
      </c>
      <c r="E4086" s="188"/>
      <c r="F4086" s="220">
        <v>550000</v>
      </c>
      <c r="G4086" s="188"/>
      <c r="H4086" s="188"/>
      <c r="I4086" s="188" t="s">
        <v>335</v>
      </c>
      <c r="J4086" s="187" t="s">
        <v>2811</v>
      </c>
      <c r="K4086" s="186"/>
    </row>
    <row r="4087" spans="1:11" x14ac:dyDescent="0.2">
      <c r="A4087" s="8">
        <v>3046</v>
      </c>
      <c r="B4087" s="8">
        <f t="shared" si="132"/>
        <v>2025</v>
      </c>
      <c r="C4087" s="8">
        <f t="shared" si="133"/>
        <v>1</v>
      </c>
      <c r="D4087" s="204">
        <v>45660</v>
      </c>
      <c r="E4087" s="188"/>
      <c r="F4087" s="220">
        <v>24000</v>
      </c>
      <c r="G4087" s="188"/>
      <c r="H4087" s="188"/>
      <c r="I4087" s="188" t="s">
        <v>149</v>
      </c>
      <c r="J4087" s="187" t="s">
        <v>3958</v>
      </c>
      <c r="K4087" s="186"/>
    </row>
    <row r="4088" spans="1:11" x14ac:dyDescent="0.2">
      <c r="A4088" s="8">
        <v>3047</v>
      </c>
      <c r="B4088" s="8">
        <f t="shared" si="132"/>
        <v>2025</v>
      </c>
      <c r="C4088" s="8">
        <f t="shared" si="133"/>
        <v>1</v>
      </c>
      <c r="D4088" s="204">
        <v>45660</v>
      </c>
      <c r="E4088" s="188"/>
      <c r="F4088" s="220">
        <v>22000</v>
      </c>
      <c r="G4088" s="188"/>
      <c r="H4088" s="188"/>
      <c r="I4088" s="188" t="s">
        <v>91</v>
      </c>
      <c r="J4088" s="187" t="s">
        <v>3959</v>
      </c>
      <c r="K4088" s="186"/>
    </row>
    <row r="4089" spans="1:11" x14ac:dyDescent="0.2">
      <c r="A4089" s="8">
        <v>3048</v>
      </c>
      <c r="B4089" s="8">
        <f t="shared" si="132"/>
        <v>2025</v>
      </c>
      <c r="C4089" s="8">
        <f t="shared" si="133"/>
        <v>1</v>
      </c>
      <c r="D4089" s="204">
        <v>45660</v>
      </c>
      <c r="E4089" s="188"/>
      <c r="F4089" s="220">
        <v>48000</v>
      </c>
      <c r="G4089" s="188"/>
      <c r="H4089" s="188"/>
      <c r="I4089" s="188" t="s">
        <v>1815</v>
      </c>
      <c r="J4089" s="187" t="s">
        <v>3960</v>
      </c>
      <c r="K4089" s="186"/>
    </row>
    <row r="4090" spans="1:11" x14ac:dyDescent="0.2">
      <c r="A4090" s="8">
        <v>3049</v>
      </c>
      <c r="B4090" s="8">
        <f t="shared" si="132"/>
        <v>2025</v>
      </c>
      <c r="C4090" s="8">
        <f t="shared" si="133"/>
        <v>1</v>
      </c>
      <c r="D4090" s="204">
        <v>45661</v>
      </c>
      <c r="E4090" s="188"/>
      <c r="F4090" s="220">
        <v>50000</v>
      </c>
      <c r="G4090" s="188"/>
      <c r="H4090" s="188"/>
      <c r="I4090" s="188" t="s">
        <v>91</v>
      </c>
      <c r="J4090" s="187" t="s">
        <v>3961</v>
      </c>
      <c r="K4090" s="186"/>
    </row>
    <row r="4091" spans="1:11" x14ac:dyDescent="0.2">
      <c r="A4091" s="8">
        <v>3050</v>
      </c>
      <c r="B4091" s="8">
        <f t="shared" si="132"/>
        <v>2025</v>
      </c>
      <c r="C4091" s="8">
        <f t="shared" si="133"/>
        <v>1</v>
      </c>
      <c r="D4091" s="204">
        <v>45661</v>
      </c>
      <c r="E4091" s="188"/>
      <c r="F4091" s="220">
        <v>200000</v>
      </c>
      <c r="G4091" s="188"/>
      <c r="H4091" s="188"/>
      <c r="I4091" s="188" t="s">
        <v>1999</v>
      </c>
      <c r="J4091" s="187" t="s">
        <v>3962</v>
      </c>
      <c r="K4091" s="186"/>
    </row>
    <row r="4092" spans="1:11" x14ac:dyDescent="0.2">
      <c r="A4092" s="8">
        <v>3051</v>
      </c>
      <c r="B4092" s="8">
        <f t="shared" si="132"/>
        <v>2025</v>
      </c>
      <c r="C4092" s="8">
        <f t="shared" si="133"/>
        <v>1</v>
      </c>
      <c r="D4092" s="204">
        <v>45661</v>
      </c>
      <c r="E4092" s="188"/>
      <c r="F4092" s="220">
        <v>200000</v>
      </c>
      <c r="G4092" s="188"/>
      <c r="H4092" s="188"/>
      <c r="I4092" s="188" t="s">
        <v>1815</v>
      </c>
      <c r="J4092" s="187" t="s">
        <v>3963</v>
      </c>
      <c r="K4092" s="186"/>
    </row>
    <row r="4093" spans="1:11" x14ac:dyDescent="0.2">
      <c r="A4093" s="8">
        <v>3052</v>
      </c>
      <c r="B4093" s="8">
        <f t="shared" si="132"/>
        <v>2025</v>
      </c>
      <c r="C4093" s="8">
        <f t="shared" si="133"/>
        <v>1</v>
      </c>
      <c r="D4093" s="204">
        <v>45662</v>
      </c>
      <c r="E4093" s="188"/>
      <c r="F4093" s="220">
        <v>49000</v>
      </c>
      <c r="G4093" s="188"/>
      <c r="H4093" s="188"/>
      <c r="I4093" s="188" t="s">
        <v>91</v>
      </c>
      <c r="J4093" s="187" t="s">
        <v>3964</v>
      </c>
      <c r="K4093" s="186"/>
    </row>
    <row r="4094" spans="1:11" x14ac:dyDescent="0.2">
      <c r="A4094" s="8">
        <v>3053</v>
      </c>
      <c r="B4094" s="8">
        <f t="shared" si="132"/>
        <v>2025</v>
      </c>
      <c r="C4094" s="8">
        <f t="shared" si="133"/>
        <v>1</v>
      </c>
      <c r="D4094" s="204">
        <v>45662</v>
      </c>
      <c r="E4094" s="188"/>
      <c r="F4094" s="220">
        <v>30000</v>
      </c>
      <c r="G4094" s="188"/>
      <c r="H4094" s="188"/>
      <c r="I4094" s="188" t="s">
        <v>85</v>
      </c>
      <c r="J4094" s="187" t="s">
        <v>3965</v>
      </c>
      <c r="K4094" s="186"/>
    </row>
    <row r="4095" spans="1:11" x14ac:dyDescent="0.2">
      <c r="A4095" s="8">
        <v>3054</v>
      </c>
      <c r="B4095" s="8">
        <f t="shared" si="132"/>
        <v>2025</v>
      </c>
      <c r="C4095" s="8">
        <f t="shared" si="133"/>
        <v>1</v>
      </c>
      <c r="D4095" s="204">
        <v>45663</v>
      </c>
      <c r="E4095" s="188"/>
      <c r="F4095" s="220">
        <v>50000</v>
      </c>
      <c r="G4095" s="188"/>
      <c r="H4095" s="188"/>
      <c r="I4095" s="188" t="s">
        <v>85</v>
      </c>
      <c r="J4095" s="187" t="s">
        <v>3966</v>
      </c>
      <c r="K4095" s="186"/>
    </row>
    <row r="4096" spans="1:11" x14ac:dyDescent="0.2">
      <c r="A4096" s="8">
        <v>3055</v>
      </c>
      <c r="B4096" s="8">
        <f t="shared" si="132"/>
        <v>2025</v>
      </c>
      <c r="C4096" s="8">
        <f t="shared" si="133"/>
        <v>1</v>
      </c>
      <c r="D4096" s="204">
        <v>45664</v>
      </c>
      <c r="E4096" s="188"/>
      <c r="F4096" s="220">
        <v>50000</v>
      </c>
      <c r="G4096" s="188"/>
      <c r="H4096" s="188"/>
      <c r="I4096" s="188" t="s">
        <v>85</v>
      </c>
      <c r="J4096" s="187" t="s">
        <v>3966</v>
      </c>
      <c r="K4096" s="186"/>
    </row>
    <row r="4097" spans="1:11" x14ac:dyDescent="0.2">
      <c r="A4097" s="8">
        <v>3056</v>
      </c>
      <c r="B4097" s="8">
        <f t="shared" si="132"/>
        <v>2025</v>
      </c>
      <c r="C4097" s="8">
        <f t="shared" si="133"/>
        <v>1</v>
      </c>
      <c r="D4097" s="204">
        <v>45665</v>
      </c>
      <c r="E4097" s="188"/>
      <c r="F4097" s="220">
        <v>14000</v>
      </c>
      <c r="G4097" s="188"/>
      <c r="H4097" s="188"/>
      <c r="I4097" s="188" t="s">
        <v>149</v>
      </c>
      <c r="J4097" s="187" t="s">
        <v>2561</v>
      </c>
      <c r="K4097" s="186"/>
    </row>
    <row r="4098" spans="1:11" x14ac:dyDescent="0.2">
      <c r="A4098" s="8">
        <v>3057</v>
      </c>
      <c r="B4098" s="8">
        <f t="shared" si="132"/>
        <v>2025</v>
      </c>
      <c r="C4098" s="8">
        <f t="shared" si="133"/>
        <v>1</v>
      </c>
      <c r="D4098" s="204">
        <v>45665</v>
      </c>
      <c r="E4098" s="188"/>
      <c r="F4098" s="220">
        <v>16000</v>
      </c>
      <c r="G4098" s="188"/>
      <c r="H4098" s="188"/>
      <c r="I4098" s="188" t="s">
        <v>91</v>
      </c>
      <c r="J4098" s="187" t="s">
        <v>2679</v>
      </c>
      <c r="K4098" s="186"/>
    </row>
    <row r="4099" spans="1:11" x14ac:dyDescent="0.2">
      <c r="A4099" s="8">
        <v>3058</v>
      </c>
      <c r="B4099" s="8">
        <f t="shared" ref="B4099:B4162" si="134">YEAR(D4099)</f>
        <v>2025</v>
      </c>
      <c r="C4099" s="8">
        <f t="shared" ref="C4099:C4162" si="135">MONTH(D4099)</f>
        <v>1</v>
      </c>
      <c r="D4099" s="204">
        <v>45665</v>
      </c>
      <c r="E4099" s="188"/>
      <c r="F4099" s="220">
        <v>190000</v>
      </c>
      <c r="G4099" s="188"/>
      <c r="H4099" s="188"/>
      <c r="I4099" s="188" t="s">
        <v>85</v>
      </c>
      <c r="J4099" s="187" t="s">
        <v>3967</v>
      </c>
      <c r="K4099" s="186"/>
    </row>
    <row r="4100" spans="1:11" x14ac:dyDescent="0.2">
      <c r="A4100" s="8">
        <v>3059</v>
      </c>
      <c r="B4100" s="8">
        <f t="shared" si="134"/>
        <v>2025</v>
      </c>
      <c r="C4100" s="8">
        <f t="shared" si="135"/>
        <v>1</v>
      </c>
      <c r="D4100" s="204">
        <v>45666</v>
      </c>
      <c r="E4100" s="188"/>
      <c r="F4100" s="220">
        <v>50000</v>
      </c>
      <c r="G4100" s="188"/>
      <c r="H4100" s="188"/>
      <c r="I4100" s="188" t="s">
        <v>85</v>
      </c>
      <c r="J4100" s="187" t="s">
        <v>2605</v>
      </c>
      <c r="K4100" s="186"/>
    </row>
    <row r="4101" spans="1:11" x14ac:dyDescent="0.2">
      <c r="A4101" s="8">
        <v>3063</v>
      </c>
      <c r="B4101" s="8">
        <f t="shared" si="134"/>
        <v>2025</v>
      </c>
      <c r="C4101" s="8">
        <f t="shared" si="135"/>
        <v>1</v>
      </c>
      <c r="D4101" s="204">
        <v>45668</v>
      </c>
      <c r="E4101" s="188"/>
      <c r="F4101" s="220">
        <v>180000</v>
      </c>
      <c r="G4101" s="188"/>
      <c r="H4101" s="188"/>
      <c r="I4101" s="188" t="s">
        <v>85</v>
      </c>
      <c r="J4101" s="187" t="s">
        <v>3968</v>
      </c>
      <c r="K4101" s="186"/>
    </row>
    <row r="4102" spans="1:11" x14ac:dyDescent="0.2">
      <c r="A4102" s="8">
        <v>3064</v>
      </c>
      <c r="B4102" s="8">
        <f t="shared" si="134"/>
        <v>2025</v>
      </c>
      <c r="C4102" s="8">
        <f t="shared" si="135"/>
        <v>1</v>
      </c>
      <c r="D4102" s="204">
        <v>45668</v>
      </c>
      <c r="E4102" s="188"/>
      <c r="F4102" s="220">
        <v>74000</v>
      </c>
      <c r="G4102" s="188"/>
      <c r="H4102" s="188"/>
      <c r="I4102" s="188" t="s">
        <v>91</v>
      </c>
      <c r="J4102" s="187" t="s">
        <v>3969</v>
      </c>
      <c r="K4102" s="186"/>
    </row>
    <row r="4103" spans="1:11" x14ac:dyDescent="0.2">
      <c r="A4103" s="8">
        <v>3065</v>
      </c>
      <c r="B4103" s="8">
        <f t="shared" si="134"/>
        <v>2025</v>
      </c>
      <c r="C4103" s="8">
        <f t="shared" si="135"/>
        <v>1</v>
      </c>
      <c r="D4103" s="204">
        <v>45669</v>
      </c>
      <c r="E4103" s="188"/>
      <c r="F4103" s="220">
        <v>65000</v>
      </c>
      <c r="G4103" s="188"/>
      <c r="H4103" s="188"/>
      <c r="I4103" s="188" t="s">
        <v>91</v>
      </c>
      <c r="J4103" s="187" t="s">
        <v>3970</v>
      </c>
      <c r="K4103" s="186"/>
    </row>
    <row r="4104" spans="1:11" x14ac:dyDescent="0.2">
      <c r="A4104" s="8">
        <v>3066</v>
      </c>
      <c r="B4104" s="8">
        <f t="shared" si="134"/>
        <v>2025</v>
      </c>
      <c r="C4104" s="8">
        <f t="shared" si="135"/>
        <v>1</v>
      </c>
      <c r="D4104" s="204">
        <v>45670</v>
      </c>
      <c r="E4104" s="188"/>
      <c r="F4104" s="220">
        <v>20000</v>
      </c>
      <c r="G4104" s="188"/>
      <c r="H4104" s="188"/>
      <c r="I4104" s="188" t="s">
        <v>91</v>
      </c>
      <c r="J4104" s="187" t="s">
        <v>2843</v>
      </c>
      <c r="K4104" s="186"/>
    </row>
    <row r="4105" spans="1:11" x14ac:dyDescent="0.2">
      <c r="A4105" s="8">
        <v>3067</v>
      </c>
      <c r="B4105" s="8">
        <f t="shared" si="134"/>
        <v>2025</v>
      </c>
      <c r="C4105" s="8">
        <f t="shared" si="135"/>
        <v>1</v>
      </c>
      <c r="D4105" s="204">
        <v>45670</v>
      </c>
      <c r="E4105" s="188"/>
      <c r="F4105" s="220">
        <v>24000</v>
      </c>
      <c r="G4105" s="188"/>
      <c r="H4105" s="188"/>
      <c r="I4105" s="188" t="s">
        <v>149</v>
      </c>
      <c r="J4105" s="187" t="s">
        <v>3971</v>
      </c>
      <c r="K4105" s="186"/>
    </row>
    <row r="4106" spans="1:11" x14ac:dyDescent="0.2">
      <c r="A4106" s="8">
        <v>3069</v>
      </c>
      <c r="B4106" s="8">
        <f t="shared" si="134"/>
        <v>2025</v>
      </c>
      <c r="C4106" s="8">
        <f t="shared" si="135"/>
        <v>1</v>
      </c>
      <c r="D4106" s="204">
        <v>45670</v>
      </c>
      <c r="E4106" s="188"/>
      <c r="F4106" s="220">
        <v>100000</v>
      </c>
      <c r="G4106" s="188"/>
      <c r="H4106" s="188"/>
      <c r="I4106" s="188" t="s">
        <v>1350</v>
      </c>
      <c r="J4106" s="187" t="s">
        <v>3972</v>
      </c>
      <c r="K4106" s="186"/>
    </row>
    <row r="4107" spans="1:11" x14ac:dyDescent="0.2">
      <c r="A4107" s="8">
        <v>3070</v>
      </c>
      <c r="B4107" s="8">
        <f t="shared" si="134"/>
        <v>2025</v>
      </c>
      <c r="C4107" s="8">
        <f t="shared" si="135"/>
        <v>1</v>
      </c>
      <c r="D4107" s="204">
        <v>45671</v>
      </c>
      <c r="E4107" s="188"/>
      <c r="F4107" s="220">
        <v>24000</v>
      </c>
      <c r="G4107" s="188"/>
      <c r="H4107" s="188"/>
      <c r="I4107" s="188" t="s">
        <v>149</v>
      </c>
      <c r="J4107" s="187" t="s">
        <v>3971</v>
      </c>
      <c r="K4107" s="186"/>
    </row>
    <row r="4108" spans="1:11" x14ac:dyDescent="0.2">
      <c r="A4108" s="8">
        <v>3071</v>
      </c>
      <c r="B4108" s="8">
        <f t="shared" si="134"/>
        <v>2025</v>
      </c>
      <c r="C4108" s="8">
        <f t="shared" si="135"/>
        <v>1</v>
      </c>
      <c r="D4108" s="204">
        <v>45671</v>
      </c>
      <c r="E4108" s="188"/>
      <c r="F4108" s="220">
        <v>28000</v>
      </c>
      <c r="G4108" s="188"/>
      <c r="H4108" s="188"/>
      <c r="I4108" s="188" t="s">
        <v>91</v>
      </c>
      <c r="J4108" s="187" t="s">
        <v>3973</v>
      </c>
      <c r="K4108" s="186"/>
    </row>
    <row r="4109" spans="1:11" x14ac:dyDescent="0.2">
      <c r="A4109" s="8">
        <v>3072</v>
      </c>
      <c r="B4109" s="8">
        <f t="shared" si="134"/>
        <v>2025</v>
      </c>
      <c r="C4109" s="8">
        <f t="shared" si="135"/>
        <v>1</v>
      </c>
      <c r="D4109" s="204">
        <v>45672</v>
      </c>
      <c r="E4109" s="188"/>
      <c r="F4109" s="220">
        <v>90000</v>
      </c>
      <c r="G4109" s="188"/>
      <c r="H4109" s="188"/>
      <c r="I4109" s="188" t="s">
        <v>1992</v>
      </c>
      <c r="J4109" s="187" t="s">
        <v>3974</v>
      </c>
      <c r="K4109" s="186"/>
    </row>
    <row r="4110" spans="1:11" x14ac:dyDescent="0.2">
      <c r="A4110" s="8">
        <v>3073</v>
      </c>
      <c r="B4110" s="8">
        <f t="shared" si="134"/>
        <v>2025</v>
      </c>
      <c r="C4110" s="8">
        <f t="shared" si="135"/>
        <v>1</v>
      </c>
      <c r="D4110" s="204">
        <v>45672</v>
      </c>
      <c r="E4110" s="188"/>
      <c r="F4110" s="220">
        <v>12000</v>
      </c>
      <c r="G4110" s="188"/>
      <c r="H4110" s="188"/>
      <c r="I4110" s="188" t="s">
        <v>91</v>
      </c>
      <c r="J4110" s="187" t="s">
        <v>3975</v>
      </c>
      <c r="K4110" s="186"/>
    </row>
    <row r="4111" spans="1:11" x14ac:dyDescent="0.2">
      <c r="A4111" s="8">
        <v>3074</v>
      </c>
      <c r="B4111" s="8">
        <f t="shared" si="134"/>
        <v>2025</v>
      </c>
      <c r="C4111" s="8">
        <f t="shared" si="135"/>
        <v>1</v>
      </c>
      <c r="D4111" s="204">
        <v>45672</v>
      </c>
      <c r="E4111" s="188"/>
      <c r="F4111" s="220">
        <v>24000</v>
      </c>
      <c r="G4111" s="188"/>
      <c r="H4111" s="188"/>
      <c r="I4111" s="188" t="s">
        <v>149</v>
      </c>
      <c r="J4111" s="187" t="s">
        <v>3971</v>
      </c>
      <c r="K4111" s="186"/>
    </row>
    <row r="4112" spans="1:11" x14ac:dyDescent="0.2">
      <c r="A4112" s="8">
        <v>3075</v>
      </c>
      <c r="B4112" s="8">
        <f t="shared" si="134"/>
        <v>2025</v>
      </c>
      <c r="C4112" s="8">
        <f t="shared" si="135"/>
        <v>1</v>
      </c>
      <c r="D4112" s="204">
        <v>45672</v>
      </c>
      <c r="E4112" s="188"/>
      <c r="F4112" s="220">
        <v>20000</v>
      </c>
      <c r="G4112" s="188"/>
      <c r="H4112" s="188"/>
      <c r="I4112" s="188" t="s">
        <v>85</v>
      </c>
      <c r="J4112" s="187" t="s">
        <v>3976</v>
      </c>
      <c r="K4112" s="186"/>
    </row>
    <row r="4113" spans="1:11" x14ac:dyDescent="0.2">
      <c r="A4113" s="8">
        <v>3077</v>
      </c>
      <c r="B4113" s="8">
        <f t="shared" si="134"/>
        <v>2025</v>
      </c>
      <c r="C4113" s="8">
        <f t="shared" si="135"/>
        <v>1</v>
      </c>
      <c r="D4113" s="204">
        <v>45673</v>
      </c>
      <c r="E4113" s="188"/>
      <c r="F4113" s="220">
        <v>212000</v>
      </c>
      <c r="G4113" s="188"/>
      <c r="H4113" s="188"/>
      <c r="I4113" s="188"/>
      <c r="J4113" s="187" t="s">
        <v>3978</v>
      </c>
      <c r="K4113" s="186"/>
    </row>
    <row r="4114" spans="1:11" x14ac:dyDescent="0.2">
      <c r="A4114" s="8">
        <v>3078</v>
      </c>
      <c r="B4114" s="8">
        <f t="shared" si="134"/>
        <v>2025</v>
      </c>
      <c r="C4114" s="8">
        <f t="shared" si="135"/>
        <v>1</v>
      </c>
      <c r="D4114" s="204">
        <v>45673</v>
      </c>
      <c r="E4114" s="188"/>
      <c r="F4114" s="220">
        <v>110000</v>
      </c>
      <c r="G4114" s="188"/>
      <c r="H4114" s="188"/>
      <c r="I4114" s="188" t="s">
        <v>335</v>
      </c>
      <c r="J4114" s="187" t="s">
        <v>3979</v>
      </c>
      <c r="K4114" s="186"/>
    </row>
    <row r="4115" spans="1:11" x14ac:dyDescent="0.2">
      <c r="A4115" s="8">
        <v>3079</v>
      </c>
      <c r="B4115" s="8">
        <f t="shared" si="134"/>
        <v>2025</v>
      </c>
      <c r="C4115" s="8">
        <f t="shared" si="135"/>
        <v>1</v>
      </c>
      <c r="D4115" s="204">
        <v>45673</v>
      </c>
      <c r="E4115" s="188"/>
      <c r="F4115" s="220">
        <v>116000</v>
      </c>
      <c r="G4115" s="188"/>
      <c r="H4115" s="188"/>
      <c r="I4115" s="188" t="s">
        <v>1999</v>
      </c>
      <c r="J4115" s="187" t="s">
        <v>3980</v>
      </c>
      <c r="K4115" s="186"/>
    </row>
    <row r="4116" spans="1:11" x14ac:dyDescent="0.2">
      <c r="A4116" s="8">
        <v>3080</v>
      </c>
      <c r="B4116" s="8">
        <f t="shared" si="134"/>
        <v>2025</v>
      </c>
      <c r="C4116" s="8">
        <f t="shared" si="135"/>
        <v>1</v>
      </c>
      <c r="D4116" s="204">
        <v>45673</v>
      </c>
      <c r="E4116" s="188"/>
      <c r="F4116" s="220">
        <v>31000</v>
      </c>
      <c r="G4116" s="188"/>
      <c r="H4116" s="188"/>
      <c r="I4116" s="188" t="s">
        <v>1999</v>
      </c>
      <c r="J4116" s="187" t="s">
        <v>3981</v>
      </c>
      <c r="K4116" s="186"/>
    </row>
    <row r="4117" spans="1:11" x14ac:dyDescent="0.2">
      <c r="A4117" s="8">
        <v>3081</v>
      </c>
      <c r="B4117" s="8">
        <f t="shared" si="134"/>
        <v>2025</v>
      </c>
      <c r="C4117" s="8">
        <f t="shared" si="135"/>
        <v>1</v>
      </c>
      <c r="D4117" s="204">
        <v>45673</v>
      </c>
      <c r="E4117" s="188"/>
      <c r="F4117" s="220">
        <v>200000</v>
      </c>
      <c r="G4117" s="188"/>
      <c r="H4117" s="188"/>
      <c r="I4117" s="188" t="s">
        <v>1999</v>
      </c>
      <c r="J4117" s="187" t="s">
        <v>3982</v>
      </c>
      <c r="K4117" s="186"/>
    </row>
    <row r="4118" spans="1:11" x14ac:dyDescent="0.2">
      <c r="A4118" s="8">
        <v>3082</v>
      </c>
      <c r="B4118" s="8">
        <f t="shared" si="134"/>
        <v>2025</v>
      </c>
      <c r="C4118" s="8">
        <f t="shared" si="135"/>
        <v>1</v>
      </c>
      <c r="D4118" s="204">
        <v>45673</v>
      </c>
      <c r="E4118" s="188"/>
      <c r="F4118" s="220">
        <v>50000</v>
      </c>
      <c r="G4118" s="188"/>
      <c r="H4118" s="188"/>
      <c r="I4118" s="188" t="s">
        <v>85</v>
      </c>
      <c r="J4118" s="187" t="s">
        <v>2605</v>
      </c>
      <c r="K4118" s="186"/>
    </row>
    <row r="4119" spans="1:11" x14ac:dyDescent="0.2">
      <c r="A4119" s="8">
        <v>3083</v>
      </c>
      <c r="B4119" s="8">
        <f t="shared" si="134"/>
        <v>2025</v>
      </c>
      <c r="C4119" s="8">
        <f t="shared" si="135"/>
        <v>1</v>
      </c>
      <c r="D4119" s="204">
        <v>45674</v>
      </c>
      <c r="E4119" s="188"/>
      <c r="F4119" s="220">
        <v>44000</v>
      </c>
      <c r="G4119" s="188"/>
      <c r="H4119" s="188"/>
      <c r="I4119" s="188" t="s">
        <v>1992</v>
      </c>
      <c r="J4119" s="187" t="s">
        <v>3983</v>
      </c>
      <c r="K4119" s="186"/>
    </row>
    <row r="4120" spans="1:11" x14ac:dyDescent="0.2">
      <c r="A4120" s="8">
        <v>3084</v>
      </c>
      <c r="B4120" s="8">
        <f t="shared" si="134"/>
        <v>2025</v>
      </c>
      <c r="C4120" s="8">
        <f t="shared" si="135"/>
        <v>1</v>
      </c>
      <c r="D4120" s="204">
        <v>45674</v>
      </c>
      <c r="E4120" s="188"/>
      <c r="F4120" s="220">
        <v>30000</v>
      </c>
      <c r="G4120" s="188"/>
      <c r="H4120" s="188"/>
      <c r="I4120" s="188" t="s">
        <v>85</v>
      </c>
      <c r="J4120" s="187" t="s">
        <v>3984</v>
      </c>
      <c r="K4120" s="186"/>
    </row>
    <row r="4121" spans="1:11" x14ac:dyDescent="0.2">
      <c r="A4121" s="8">
        <v>3086</v>
      </c>
      <c r="B4121" s="8">
        <f t="shared" si="134"/>
        <v>2025</v>
      </c>
      <c r="C4121" s="8">
        <f t="shared" si="135"/>
        <v>1</v>
      </c>
      <c r="D4121" s="204">
        <v>45674</v>
      </c>
      <c r="E4121" s="188"/>
      <c r="F4121" s="220">
        <v>50000</v>
      </c>
      <c r="G4121" s="188"/>
      <c r="H4121" s="188"/>
      <c r="I4121" s="188" t="s">
        <v>85</v>
      </c>
      <c r="J4121" s="187" t="s">
        <v>2602</v>
      </c>
      <c r="K4121" s="186"/>
    </row>
    <row r="4122" spans="1:11" x14ac:dyDescent="0.2">
      <c r="A4122" s="8">
        <v>3088</v>
      </c>
      <c r="B4122" s="8">
        <f t="shared" si="134"/>
        <v>2025</v>
      </c>
      <c r="C4122" s="8">
        <f t="shared" si="135"/>
        <v>1</v>
      </c>
      <c r="D4122" s="204">
        <v>45675</v>
      </c>
      <c r="E4122" s="188"/>
      <c r="F4122" s="220">
        <v>30000</v>
      </c>
      <c r="G4122" s="188"/>
      <c r="H4122" s="188"/>
      <c r="I4122" s="188" t="s">
        <v>91</v>
      </c>
      <c r="J4122" s="187" t="s">
        <v>3985</v>
      </c>
      <c r="K4122" s="186"/>
    </row>
    <row r="4123" spans="1:11" x14ac:dyDescent="0.2">
      <c r="A4123" s="8">
        <v>3090</v>
      </c>
      <c r="B4123" s="8">
        <f t="shared" si="134"/>
        <v>2025</v>
      </c>
      <c r="C4123" s="8">
        <f t="shared" si="135"/>
        <v>1</v>
      </c>
      <c r="D4123" s="204">
        <v>45675</v>
      </c>
      <c r="E4123" s="188"/>
      <c r="F4123" s="220">
        <v>270000</v>
      </c>
      <c r="G4123" s="188"/>
      <c r="H4123" s="188"/>
      <c r="I4123" s="188" t="s">
        <v>1350</v>
      </c>
      <c r="J4123" s="187" t="s">
        <v>3987</v>
      </c>
      <c r="K4123" s="186"/>
    </row>
    <row r="4124" spans="1:11" x14ac:dyDescent="0.2">
      <c r="A4124" s="8">
        <v>3091</v>
      </c>
      <c r="B4124" s="8">
        <f t="shared" si="134"/>
        <v>2025</v>
      </c>
      <c r="C4124" s="8">
        <f t="shared" si="135"/>
        <v>1</v>
      </c>
      <c r="D4124" s="204">
        <v>45675</v>
      </c>
      <c r="E4124" s="188"/>
      <c r="F4124" s="220">
        <v>30000</v>
      </c>
      <c r="G4124" s="188"/>
      <c r="H4124" s="188"/>
      <c r="I4124" s="188" t="s">
        <v>1815</v>
      </c>
      <c r="J4124" s="187" t="s">
        <v>3988</v>
      </c>
      <c r="K4124" s="186"/>
    </row>
    <row r="4125" spans="1:11" x14ac:dyDescent="0.2">
      <c r="A4125" s="8">
        <v>3092</v>
      </c>
      <c r="B4125" s="8">
        <f t="shared" si="134"/>
        <v>2025</v>
      </c>
      <c r="C4125" s="8">
        <f t="shared" si="135"/>
        <v>1</v>
      </c>
      <c r="D4125" s="204">
        <v>45676</v>
      </c>
      <c r="E4125" s="188"/>
      <c r="F4125" s="220">
        <v>60000</v>
      </c>
      <c r="G4125" s="188"/>
      <c r="H4125" s="188"/>
      <c r="I4125" s="188" t="s">
        <v>91</v>
      </c>
      <c r="J4125" s="187" t="s">
        <v>3989</v>
      </c>
      <c r="K4125" s="186"/>
    </row>
    <row r="4126" spans="1:11" x14ac:dyDescent="0.2">
      <c r="A4126" s="8">
        <v>3093</v>
      </c>
      <c r="B4126" s="8">
        <f t="shared" si="134"/>
        <v>2025</v>
      </c>
      <c r="C4126" s="8">
        <f t="shared" si="135"/>
        <v>1</v>
      </c>
      <c r="D4126" s="204">
        <v>45676</v>
      </c>
      <c r="E4126" s="188"/>
      <c r="F4126" s="220">
        <v>59000</v>
      </c>
      <c r="G4126" s="188"/>
      <c r="H4126" s="188"/>
      <c r="I4126" s="188" t="s">
        <v>1815</v>
      </c>
      <c r="J4126" s="187" t="s">
        <v>3990</v>
      </c>
      <c r="K4126" s="186"/>
    </row>
    <row r="4127" spans="1:11" x14ac:dyDescent="0.2">
      <c r="A4127" s="8">
        <v>3094</v>
      </c>
      <c r="B4127" s="8">
        <f t="shared" si="134"/>
        <v>2025</v>
      </c>
      <c r="C4127" s="8">
        <f t="shared" si="135"/>
        <v>1</v>
      </c>
      <c r="D4127" s="204">
        <v>45677</v>
      </c>
      <c r="E4127" s="188"/>
      <c r="F4127" s="220">
        <v>12000</v>
      </c>
      <c r="G4127" s="188"/>
      <c r="H4127" s="188"/>
      <c r="I4127" s="188" t="s">
        <v>91</v>
      </c>
      <c r="J4127" s="187" t="s">
        <v>2388</v>
      </c>
      <c r="K4127" s="186"/>
    </row>
    <row r="4128" spans="1:11" x14ac:dyDescent="0.2">
      <c r="A4128" s="8">
        <v>3095</v>
      </c>
      <c r="B4128" s="8">
        <f t="shared" si="134"/>
        <v>2025</v>
      </c>
      <c r="C4128" s="8">
        <f t="shared" si="135"/>
        <v>1</v>
      </c>
      <c r="D4128" s="204">
        <v>45677</v>
      </c>
      <c r="E4128" s="188"/>
      <c r="F4128" s="220">
        <v>5000</v>
      </c>
      <c r="G4128" s="188"/>
      <c r="H4128" s="188"/>
      <c r="I4128" s="188" t="s">
        <v>85</v>
      </c>
      <c r="J4128" s="187" t="s">
        <v>3991</v>
      </c>
      <c r="K4128" s="186"/>
    </row>
    <row r="4129" spans="1:11" x14ac:dyDescent="0.2">
      <c r="A4129" s="8">
        <v>3096</v>
      </c>
      <c r="B4129" s="8">
        <f t="shared" si="134"/>
        <v>2025</v>
      </c>
      <c r="C4129" s="8">
        <f t="shared" si="135"/>
        <v>1</v>
      </c>
      <c r="D4129" s="204">
        <v>45677</v>
      </c>
      <c r="E4129" s="188"/>
      <c r="F4129" s="220">
        <v>20000</v>
      </c>
      <c r="G4129" s="188"/>
      <c r="H4129" s="188"/>
      <c r="I4129" s="188" t="s">
        <v>1350</v>
      </c>
      <c r="J4129" s="187" t="s">
        <v>3992</v>
      </c>
      <c r="K4129" s="186"/>
    </row>
    <row r="4130" spans="1:11" x14ac:dyDescent="0.2">
      <c r="A4130" s="8">
        <v>3097</v>
      </c>
      <c r="B4130" s="8">
        <f t="shared" si="134"/>
        <v>2025</v>
      </c>
      <c r="C4130" s="8">
        <f t="shared" si="135"/>
        <v>1</v>
      </c>
      <c r="D4130" s="204">
        <v>45677</v>
      </c>
      <c r="E4130" s="188"/>
      <c r="F4130" s="220">
        <v>24000</v>
      </c>
      <c r="G4130" s="188"/>
      <c r="H4130" s="188"/>
      <c r="I4130" s="188" t="s">
        <v>149</v>
      </c>
      <c r="J4130" s="187" t="s">
        <v>3971</v>
      </c>
      <c r="K4130" s="186"/>
    </row>
    <row r="4131" spans="1:11" x14ac:dyDescent="0.2">
      <c r="A4131" s="8">
        <v>3098</v>
      </c>
      <c r="B4131" s="8">
        <f t="shared" si="134"/>
        <v>2025</v>
      </c>
      <c r="C4131" s="8">
        <f t="shared" si="135"/>
        <v>1</v>
      </c>
      <c r="D4131" s="204">
        <v>45677</v>
      </c>
      <c r="E4131" s="188"/>
      <c r="F4131" s="220">
        <v>92000</v>
      </c>
      <c r="G4131" s="188"/>
      <c r="H4131" s="188"/>
      <c r="I4131" s="188" t="s">
        <v>391</v>
      </c>
      <c r="J4131" s="187" t="s">
        <v>3993</v>
      </c>
      <c r="K4131" s="186"/>
    </row>
    <row r="4132" spans="1:11" x14ac:dyDescent="0.2">
      <c r="A4132" s="8">
        <v>3099</v>
      </c>
      <c r="B4132" s="8">
        <f t="shared" si="134"/>
        <v>2025</v>
      </c>
      <c r="C4132" s="8">
        <f t="shared" si="135"/>
        <v>1</v>
      </c>
      <c r="D4132" s="204">
        <v>45677</v>
      </c>
      <c r="E4132" s="188"/>
      <c r="F4132" s="220">
        <v>376000</v>
      </c>
      <c r="G4132" s="188"/>
      <c r="H4132" s="188"/>
      <c r="I4132" s="188" t="s">
        <v>391</v>
      </c>
      <c r="J4132" s="187" t="s">
        <v>3994</v>
      </c>
      <c r="K4132" s="186"/>
    </row>
    <row r="4133" spans="1:11" x14ac:dyDescent="0.2">
      <c r="A4133" s="8">
        <v>3100</v>
      </c>
      <c r="B4133" s="8">
        <f t="shared" si="134"/>
        <v>2025</v>
      </c>
      <c r="C4133" s="8">
        <f t="shared" si="135"/>
        <v>1</v>
      </c>
      <c r="D4133" s="204">
        <v>45678</v>
      </c>
      <c r="E4133" s="188"/>
      <c r="F4133" s="220">
        <v>32000</v>
      </c>
      <c r="G4133" s="188"/>
      <c r="H4133" s="188"/>
      <c r="I4133" s="188" t="s">
        <v>149</v>
      </c>
      <c r="J4133" s="187" t="s">
        <v>3995</v>
      </c>
      <c r="K4133" s="186"/>
    </row>
    <row r="4134" spans="1:11" x14ac:dyDescent="0.2">
      <c r="A4134" s="8">
        <v>3101</v>
      </c>
      <c r="B4134" s="8">
        <f t="shared" si="134"/>
        <v>2025</v>
      </c>
      <c r="C4134" s="8">
        <f t="shared" si="135"/>
        <v>1</v>
      </c>
      <c r="D4134" s="204">
        <v>45678</v>
      </c>
      <c r="E4134" s="188"/>
      <c r="F4134" s="220">
        <v>14000</v>
      </c>
      <c r="G4134" s="188"/>
      <c r="H4134" s="188"/>
      <c r="I4134" s="188" t="s">
        <v>91</v>
      </c>
      <c r="J4134" s="187" t="s">
        <v>2489</v>
      </c>
      <c r="K4134" s="186"/>
    </row>
    <row r="4135" spans="1:11" x14ac:dyDescent="0.2">
      <c r="A4135" s="8">
        <v>3102</v>
      </c>
      <c r="B4135" s="8">
        <f t="shared" si="134"/>
        <v>2025</v>
      </c>
      <c r="C4135" s="8">
        <f t="shared" si="135"/>
        <v>1</v>
      </c>
      <c r="D4135" s="204">
        <v>45678</v>
      </c>
      <c r="E4135" s="188"/>
      <c r="F4135" s="220">
        <v>6000</v>
      </c>
      <c r="G4135" s="188"/>
      <c r="H4135" s="188"/>
      <c r="I4135" s="188" t="s">
        <v>85</v>
      </c>
      <c r="J4135" s="187" t="s">
        <v>3996</v>
      </c>
      <c r="K4135" s="186"/>
    </row>
    <row r="4136" spans="1:11" x14ac:dyDescent="0.2">
      <c r="A4136" s="8">
        <v>3103</v>
      </c>
      <c r="B4136" s="8">
        <f t="shared" si="134"/>
        <v>2025</v>
      </c>
      <c r="C4136" s="8">
        <f t="shared" si="135"/>
        <v>1</v>
      </c>
      <c r="D4136" s="204">
        <v>45679</v>
      </c>
      <c r="E4136" s="188"/>
      <c r="F4136" s="220">
        <v>24000</v>
      </c>
      <c r="G4136" s="188"/>
      <c r="H4136" s="188"/>
      <c r="I4136" s="188" t="s">
        <v>149</v>
      </c>
      <c r="J4136" s="187" t="s">
        <v>3958</v>
      </c>
      <c r="K4136" s="186"/>
    </row>
    <row r="4137" spans="1:11" x14ac:dyDescent="0.2">
      <c r="A4137" s="8">
        <v>3104</v>
      </c>
      <c r="B4137" s="8">
        <f t="shared" si="134"/>
        <v>2025</v>
      </c>
      <c r="C4137" s="8">
        <f t="shared" si="135"/>
        <v>1</v>
      </c>
      <c r="D4137" s="204">
        <v>45679</v>
      </c>
      <c r="E4137" s="188"/>
      <c r="F4137" s="220">
        <v>12000</v>
      </c>
      <c r="G4137" s="188"/>
      <c r="H4137" s="188"/>
      <c r="I4137" s="188" t="s">
        <v>91</v>
      </c>
      <c r="J4137" s="187" t="s">
        <v>2388</v>
      </c>
      <c r="K4137" s="186"/>
    </row>
    <row r="4138" spans="1:11" x14ac:dyDescent="0.2">
      <c r="A4138" s="8">
        <v>3105</v>
      </c>
      <c r="B4138" s="8">
        <f t="shared" si="134"/>
        <v>2025</v>
      </c>
      <c r="C4138" s="8">
        <f t="shared" si="135"/>
        <v>1</v>
      </c>
      <c r="D4138" s="204">
        <v>45679</v>
      </c>
      <c r="E4138" s="188"/>
      <c r="F4138" s="220">
        <v>20000</v>
      </c>
      <c r="G4138" s="188"/>
      <c r="H4138" s="188"/>
      <c r="I4138" s="188" t="s">
        <v>85</v>
      </c>
      <c r="J4138" s="187" t="s">
        <v>2416</v>
      </c>
      <c r="K4138" s="186"/>
    </row>
    <row r="4139" spans="1:11" x14ac:dyDescent="0.2">
      <c r="A4139" s="8">
        <v>3106</v>
      </c>
      <c r="B4139" s="8">
        <f t="shared" si="134"/>
        <v>2025</v>
      </c>
      <c r="C4139" s="8">
        <f t="shared" si="135"/>
        <v>1</v>
      </c>
      <c r="D4139" s="204">
        <v>45680</v>
      </c>
      <c r="E4139" s="188"/>
      <c r="F4139" s="220">
        <v>150000</v>
      </c>
      <c r="G4139" s="188"/>
      <c r="H4139" s="188"/>
      <c r="I4139" s="188" t="s">
        <v>1815</v>
      </c>
      <c r="J4139" s="187" t="s">
        <v>3997</v>
      </c>
      <c r="K4139" s="186"/>
    </row>
    <row r="4140" spans="1:11" x14ac:dyDescent="0.2">
      <c r="A4140" s="8">
        <v>3107</v>
      </c>
      <c r="B4140" s="8">
        <f t="shared" si="134"/>
        <v>2025</v>
      </c>
      <c r="C4140" s="8">
        <f t="shared" si="135"/>
        <v>1</v>
      </c>
      <c r="D4140" s="204">
        <v>45680</v>
      </c>
      <c r="E4140" s="188"/>
      <c r="F4140" s="220">
        <v>500000</v>
      </c>
      <c r="G4140" s="188"/>
      <c r="H4140" s="188"/>
      <c r="I4140" s="188" t="s">
        <v>1894</v>
      </c>
      <c r="J4140" s="187" t="s">
        <v>3998</v>
      </c>
      <c r="K4140" s="186"/>
    </row>
    <row r="4141" spans="1:11" x14ac:dyDescent="0.2">
      <c r="A4141" s="8">
        <v>3108</v>
      </c>
      <c r="B4141" s="8">
        <f t="shared" si="134"/>
        <v>2025</v>
      </c>
      <c r="C4141" s="8">
        <f t="shared" si="135"/>
        <v>1</v>
      </c>
      <c r="D4141" s="204">
        <v>45681</v>
      </c>
      <c r="E4141" s="188"/>
      <c r="F4141" s="220">
        <v>25000</v>
      </c>
      <c r="G4141" s="188"/>
      <c r="H4141" s="188"/>
      <c r="I4141" s="188" t="s">
        <v>149</v>
      </c>
      <c r="J4141" s="187" t="s">
        <v>3999</v>
      </c>
      <c r="K4141" s="186"/>
    </row>
    <row r="4142" spans="1:11" x14ac:dyDescent="0.2">
      <c r="A4142" s="8">
        <v>3109</v>
      </c>
      <c r="B4142" s="8">
        <f t="shared" si="134"/>
        <v>2025</v>
      </c>
      <c r="C4142" s="8">
        <f t="shared" si="135"/>
        <v>1</v>
      </c>
      <c r="D4142" s="204">
        <v>45681</v>
      </c>
      <c r="E4142" s="188"/>
      <c r="F4142" s="220">
        <v>12000</v>
      </c>
      <c r="G4142" s="188"/>
      <c r="H4142" s="188"/>
      <c r="I4142" s="188" t="s">
        <v>91</v>
      </c>
      <c r="J4142" s="187" t="s">
        <v>3975</v>
      </c>
      <c r="K4142" s="186"/>
    </row>
    <row r="4143" spans="1:11" x14ac:dyDescent="0.2">
      <c r="A4143" s="8">
        <v>3110</v>
      </c>
      <c r="B4143" s="8">
        <f t="shared" si="134"/>
        <v>2025</v>
      </c>
      <c r="C4143" s="8">
        <f t="shared" si="135"/>
        <v>1</v>
      </c>
      <c r="D4143" s="204">
        <v>45681</v>
      </c>
      <c r="E4143" s="188"/>
      <c r="F4143" s="220">
        <v>52000</v>
      </c>
      <c r="G4143" s="188"/>
      <c r="H4143" s="188"/>
      <c r="I4143" s="188" t="s">
        <v>91</v>
      </c>
      <c r="J4143" s="187" t="s">
        <v>4000</v>
      </c>
      <c r="K4143" s="186"/>
    </row>
    <row r="4144" spans="1:11" x14ac:dyDescent="0.2">
      <c r="A4144" s="8">
        <v>3111</v>
      </c>
      <c r="B4144" s="8">
        <f t="shared" si="134"/>
        <v>2025</v>
      </c>
      <c r="C4144" s="8">
        <f t="shared" si="135"/>
        <v>1</v>
      </c>
      <c r="D4144" s="204">
        <v>45681</v>
      </c>
      <c r="E4144" s="188"/>
      <c r="F4144" s="220">
        <v>30000</v>
      </c>
      <c r="G4144" s="188"/>
      <c r="H4144" s="188"/>
      <c r="I4144" s="188" t="s">
        <v>1815</v>
      </c>
      <c r="J4144" s="187" t="s">
        <v>3988</v>
      </c>
      <c r="K4144" s="186"/>
    </row>
    <row r="4145" spans="1:11" x14ac:dyDescent="0.2">
      <c r="A4145" s="8">
        <v>3112</v>
      </c>
      <c r="B4145" s="8">
        <f t="shared" si="134"/>
        <v>2025</v>
      </c>
      <c r="C4145" s="8">
        <f t="shared" si="135"/>
        <v>1</v>
      </c>
      <c r="D4145" s="204">
        <v>45681</v>
      </c>
      <c r="E4145" s="188"/>
      <c r="F4145" s="220">
        <v>70000</v>
      </c>
      <c r="G4145" s="188"/>
      <c r="H4145" s="188"/>
      <c r="I4145" s="188" t="s">
        <v>1992</v>
      </c>
      <c r="J4145" s="187" t="s">
        <v>4001</v>
      </c>
      <c r="K4145" s="186"/>
    </row>
    <row r="4146" spans="1:11" x14ac:dyDescent="0.2">
      <c r="A4146" s="8">
        <v>3113</v>
      </c>
      <c r="B4146" s="8">
        <f t="shared" si="134"/>
        <v>2025</v>
      </c>
      <c r="C4146" s="8">
        <f t="shared" si="135"/>
        <v>1</v>
      </c>
      <c r="D4146" s="204">
        <v>45681</v>
      </c>
      <c r="E4146" s="188"/>
      <c r="F4146" s="220">
        <v>5000</v>
      </c>
      <c r="G4146" s="188"/>
      <c r="H4146" s="188"/>
      <c r="I4146" s="188" t="s">
        <v>1992</v>
      </c>
      <c r="J4146" s="187" t="s">
        <v>4002</v>
      </c>
      <c r="K4146" s="186"/>
    </row>
    <row r="4147" spans="1:11" x14ac:dyDescent="0.2">
      <c r="A4147" s="8">
        <v>3114</v>
      </c>
      <c r="B4147" s="8">
        <f t="shared" si="134"/>
        <v>2025</v>
      </c>
      <c r="C4147" s="8">
        <f t="shared" si="135"/>
        <v>1</v>
      </c>
      <c r="D4147" s="204">
        <v>45682</v>
      </c>
      <c r="E4147" s="188"/>
      <c r="F4147" s="220">
        <v>50000</v>
      </c>
      <c r="G4147" s="188"/>
      <c r="H4147" s="188"/>
      <c r="I4147" s="188" t="s">
        <v>91</v>
      </c>
      <c r="J4147" s="187" t="s">
        <v>4003</v>
      </c>
      <c r="K4147" s="186"/>
    </row>
    <row r="4148" spans="1:11" x14ac:dyDescent="0.2">
      <c r="A4148" s="8">
        <v>3115</v>
      </c>
      <c r="B4148" s="8">
        <f t="shared" si="134"/>
        <v>2025</v>
      </c>
      <c r="C4148" s="8">
        <f t="shared" si="135"/>
        <v>1</v>
      </c>
      <c r="D4148" s="204">
        <v>45682</v>
      </c>
      <c r="E4148" s="188"/>
      <c r="F4148" s="220">
        <v>200000</v>
      </c>
      <c r="G4148" s="188"/>
      <c r="H4148" s="188"/>
      <c r="I4148" s="188" t="s">
        <v>1815</v>
      </c>
      <c r="J4148" s="187" t="s">
        <v>4004</v>
      </c>
      <c r="K4148" s="186"/>
    </row>
    <row r="4149" spans="1:11" x14ac:dyDescent="0.2">
      <c r="A4149" s="8">
        <v>3117</v>
      </c>
      <c r="B4149" s="8">
        <f t="shared" si="134"/>
        <v>2025</v>
      </c>
      <c r="C4149" s="8">
        <f t="shared" si="135"/>
        <v>1</v>
      </c>
      <c r="D4149" s="204">
        <v>45683</v>
      </c>
      <c r="E4149" s="188"/>
      <c r="F4149" s="220">
        <v>65000</v>
      </c>
      <c r="G4149" s="188"/>
      <c r="H4149" s="188"/>
      <c r="I4149" s="188" t="s">
        <v>91</v>
      </c>
      <c r="J4149" s="187" t="s">
        <v>4005</v>
      </c>
      <c r="K4149" s="186"/>
    </row>
    <row r="4150" spans="1:11" x14ac:dyDescent="0.2">
      <c r="A4150" s="8">
        <v>3118</v>
      </c>
      <c r="B4150" s="8">
        <f t="shared" si="134"/>
        <v>2025</v>
      </c>
      <c r="C4150" s="8">
        <f t="shared" si="135"/>
        <v>1</v>
      </c>
      <c r="D4150" s="204">
        <v>45683</v>
      </c>
      <c r="E4150" s="188"/>
      <c r="F4150" s="220">
        <v>100000</v>
      </c>
      <c r="G4150" s="188"/>
      <c r="H4150" s="188"/>
      <c r="I4150" s="188" t="s">
        <v>85</v>
      </c>
      <c r="J4150" s="187" t="s">
        <v>4006</v>
      </c>
      <c r="K4150" s="186"/>
    </row>
    <row r="4151" spans="1:11" x14ac:dyDescent="0.2">
      <c r="A4151" s="8">
        <v>3119</v>
      </c>
      <c r="B4151" s="8">
        <f t="shared" si="134"/>
        <v>2025</v>
      </c>
      <c r="C4151" s="8">
        <f t="shared" si="135"/>
        <v>1</v>
      </c>
      <c r="D4151" s="204">
        <v>45683</v>
      </c>
      <c r="E4151" s="188"/>
      <c r="F4151" s="220">
        <v>15000</v>
      </c>
      <c r="G4151" s="188"/>
      <c r="H4151" s="188"/>
      <c r="I4151" s="188" t="s">
        <v>85</v>
      </c>
      <c r="J4151" s="187" t="s">
        <v>2918</v>
      </c>
      <c r="K4151" s="186"/>
    </row>
    <row r="4152" spans="1:11" x14ac:dyDescent="0.2">
      <c r="A4152" s="8">
        <v>3120</v>
      </c>
      <c r="B4152" s="8">
        <f t="shared" si="134"/>
        <v>2025</v>
      </c>
      <c r="C4152" s="8">
        <f t="shared" si="135"/>
        <v>1</v>
      </c>
      <c r="D4152" s="204">
        <v>45684</v>
      </c>
      <c r="E4152" s="188"/>
      <c r="F4152" s="220">
        <v>270000</v>
      </c>
      <c r="G4152" s="188"/>
      <c r="H4152" s="188"/>
      <c r="I4152" s="188" t="s">
        <v>149</v>
      </c>
      <c r="J4152" s="187" t="s">
        <v>4007</v>
      </c>
      <c r="K4152" s="186"/>
    </row>
    <row r="4153" spans="1:11" x14ac:dyDescent="0.2">
      <c r="A4153" s="8">
        <v>3121</v>
      </c>
      <c r="B4153" s="8">
        <f t="shared" si="134"/>
        <v>2025</v>
      </c>
      <c r="C4153" s="8">
        <f t="shared" si="135"/>
        <v>1</v>
      </c>
      <c r="D4153" s="204">
        <v>45684</v>
      </c>
      <c r="E4153" s="188"/>
      <c r="F4153" s="220">
        <v>12000</v>
      </c>
      <c r="G4153" s="188"/>
      <c r="H4153" s="188"/>
      <c r="I4153" s="188" t="s">
        <v>91</v>
      </c>
      <c r="J4153" s="187" t="s">
        <v>3975</v>
      </c>
      <c r="K4153" s="186"/>
    </row>
    <row r="4154" spans="1:11" x14ac:dyDescent="0.2">
      <c r="A4154" s="8">
        <v>3122</v>
      </c>
      <c r="B4154" s="8">
        <f t="shared" si="134"/>
        <v>2025</v>
      </c>
      <c r="C4154" s="8">
        <f t="shared" si="135"/>
        <v>1</v>
      </c>
      <c r="D4154" s="204">
        <v>45685</v>
      </c>
      <c r="E4154" s="188"/>
      <c r="F4154" s="220">
        <v>12000</v>
      </c>
      <c r="G4154" s="188"/>
      <c r="H4154" s="188"/>
      <c r="I4154" s="188" t="s">
        <v>91</v>
      </c>
      <c r="J4154" s="187" t="s">
        <v>3975</v>
      </c>
      <c r="K4154" s="186"/>
    </row>
    <row r="4155" spans="1:11" x14ac:dyDescent="0.2">
      <c r="A4155" s="8">
        <v>3123</v>
      </c>
      <c r="B4155" s="8">
        <f t="shared" si="134"/>
        <v>2025</v>
      </c>
      <c r="C4155" s="8">
        <f t="shared" si="135"/>
        <v>1</v>
      </c>
      <c r="D4155" s="204">
        <v>45686</v>
      </c>
      <c r="E4155" s="188"/>
      <c r="F4155" s="220">
        <v>50000</v>
      </c>
      <c r="G4155" s="188"/>
      <c r="H4155" s="188"/>
      <c r="I4155" s="188" t="s">
        <v>85</v>
      </c>
      <c r="J4155" s="187" t="s">
        <v>2605</v>
      </c>
      <c r="K4155" s="186"/>
    </row>
    <row r="4156" spans="1:11" x14ac:dyDescent="0.2">
      <c r="A4156" s="8">
        <v>3125</v>
      </c>
      <c r="B4156" s="8">
        <f t="shared" si="134"/>
        <v>2025</v>
      </c>
      <c r="C4156" s="8">
        <f t="shared" si="135"/>
        <v>1</v>
      </c>
      <c r="D4156" s="204">
        <v>45687</v>
      </c>
      <c r="E4156" s="188"/>
      <c r="F4156" s="220">
        <v>500000</v>
      </c>
      <c r="G4156" s="188"/>
      <c r="H4156" s="188"/>
      <c r="I4156" s="188" t="s">
        <v>1894</v>
      </c>
      <c r="J4156" s="187" t="s">
        <v>3998</v>
      </c>
      <c r="K4156" s="186"/>
    </row>
    <row r="4157" spans="1:11" x14ac:dyDescent="0.2">
      <c r="A4157" s="8">
        <v>3126</v>
      </c>
      <c r="B4157" s="8">
        <f t="shared" si="134"/>
        <v>2025</v>
      </c>
      <c r="C4157" s="8">
        <f t="shared" si="135"/>
        <v>1</v>
      </c>
      <c r="D4157" s="204">
        <v>45687</v>
      </c>
      <c r="E4157" s="188"/>
      <c r="F4157" s="220">
        <v>50000</v>
      </c>
      <c r="G4157" s="188"/>
      <c r="H4157" s="188"/>
      <c r="I4157" s="188" t="s">
        <v>85</v>
      </c>
      <c r="J4157" s="187" t="s">
        <v>2602</v>
      </c>
      <c r="K4157" s="186"/>
    </row>
    <row r="4158" spans="1:11" x14ac:dyDescent="0.2">
      <c r="A4158" s="8">
        <v>3127</v>
      </c>
      <c r="B4158" s="8">
        <f t="shared" si="134"/>
        <v>2025</v>
      </c>
      <c r="C4158" s="8">
        <f t="shared" si="135"/>
        <v>1</v>
      </c>
      <c r="D4158" s="204">
        <v>45687</v>
      </c>
      <c r="E4158" s="188"/>
      <c r="F4158" s="220">
        <v>150000</v>
      </c>
      <c r="G4158" s="188"/>
      <c r="H4158" s="188"/>
      <c r="I4158" s="188" t="s">
        <v>1815</v>
      </c>
      <c r="J4158" s="187" t="s">
        <v>4008</v>
      </c>
      <c r="K4158" s="186"/>
    </row>
    <row r="4159" spans="1:11" x14ac:dyDescent="0.2">
      <c r="A4159" s="8">
        <v>3128</v>
      </c>
      <c r="B4159" s="8">
        <f t="shared" si="134"/>
        <v>2025</v>
      </c>
      <c r="C4159" s="8">
        <f t="shared" si="135"/>
        <v>1</v>
      </c>
      <c r="D4159" s="204">
        <v>45688</v>
      </c>
      <c r="E4159" s="188"/>
      <c r="F4159" s="220">
        <v>22000</v>
      </c>
      <c r="G4159" s="188"/>
      <c r="H4159" s="188"/>
      <c r="I4159" s="188" t="s">
        <v>91</v>
      </c>
      <c r="J4159" s="187" t="s">
        <v>4009</v>
      </c>
      <c r="K4159" s="186"/>
    </row>
    <row r="4160" spans="1:11" x14ac:dyDescent="0.2">
      <c r="A4160" s="8">
        <v>3129</v>
      </c>
      <c r="B4160" s="8">
        <f t="shared" si="134"/>
        <v>2025</v>
      </c>
      <c r="C4160" s="8">
        <f t="shared" si="135"/>
        <v>1</v>
      </c>
      <c r="D4160" s="204">
        <v>45688</v>
      </c>
      <c r="E4160" s="188"/>
      <c r="F4160" s="220">
        <v>1000000</v>
      </c>
      <c r="G4160" s="188"/>
      <c r="H4160" s="188"/>
      <c r="I4160" s="188" t="s">
        <v>1999</v>
      </c>
      <c r="J4160" s="187" t="s">
        <v>4010</v>
      </c>
      <c r="K4160" s="186"/>
    </row>
    <row r="4161" spans="1:11" x14ac:dyDescent="0.2">
      <c r="A4161" s="8">
        <v>3131</v>
      </c>
      <c r="B4161" s="8">
        <f t="shared" si="134"/>
        <v>2025</v>
      </c>
      <c r="C4161" s="8">
        <f t="shared" si="135"/>
        <v>2</v>
      </c>
      <c r="D4161" s="204">
        <v>45689</v>
      </c>
      <c r="E4161" s="188"/>
      <c r="F4161" s="220">
        <v>50000</v>
      </c>
      <c r="G4161" s="188"/>
      <c r="H4161" s="188"/>
      <c r="I4161" s="188" t="s">
        <v>85</v>
      </c>
      <c r="J4161" s="187" t="s">
        <v>3966</v>
      </c>
      <c r="K4161" s="186"/>
    </row>
    <row r="4162" spans="1:11" x14ac:dyDescent="0.2">
      <c r="A4162" s="8">
        <v>3132</v>
      </c>
      <c r="B4162" s="8">
        <f t="shared" si="134"/>
        <v>2025</v>
      </c>
      <c r="C4162" s="8">
        <f t="shared" si="135"/>
        <v>2</v>
      </c>
      <c r="D4162" s="204">
        <v>45690</v>
      </c>
      <c r="E4162" s="188"/>
      <c r="F4162" s="220">
        <v>200000</v>
      </c>
      <c r="G4162" s="188"/>
      <c r="H4162" s="188"/>
      <c r="I4162" s="188" t="s">
        <v>299</v>
      </c>
      <c r="J4162" s="187" t="s">
        <v>4011</v>
      </c>
      <c r="K4162" s="186"/>
    </row>
    <row r="4163" spans="1:11" x14ac:dyDescent="0.2">
      <c r="A4163" s="8">
        <v>3133</v>
      </c>
      <c r="B4163" s="8">
        <f t="shared" ref="B4163:B4226" si="136">YEAR(D4163)</f>
        <v>2025</v>
      </c>
      <c r="C4163" s="8">
        <f t="shared" ref="C4163:C4226" si="137">MONTH(D4163)</f>
        <v>2</v>
      </c>
      <c r="D4163" s="204">
        <v>45690</v>
      </c>
      <c r="E4163" s="188"/>
      <c r="F4163" s="220">
        <v>52000</v>
      </c>
      <c r="G4163" s="188"/>
      <c r="H4163" s="188"/>
      <c r="I4163" s="188" t="s">
        <v>91</v>
      </c>
      <c r="J4163" s="187" t="s">
        <v>4012</v>
      </c>
      <c r="K4163" s="186"/>
    </row>
    <row r="4164" spans="1:11" x14ac:dyDescent="0.2">
      <c r="A4164" s="8">
        <v>3134</v>
      </c>
      <c r="B4164" s="8">
        <f t="shared" si="136"/>
        <v>2025</v>
      </c>
      <c r="C4164" s="8">
        <f t="shared" si="137"/>
        <v>2</v>
      </c>
      <c r="D4164" s="204">
        <v>45690</v>
      </c>
      <c r="E4164" s="188"/>
      <c r="F4164" s="220">
        <v>50000</v>
      </c>
      <c r="G4164" s="188"/>
      <c r="H4164" s="188"/>
      <c r="I4164" s="188" t="s">
        <v>85</v>
      </c>
      <c r="J4164" s="187" t="s">
        <v>4013</v>
      </c>
      <c r="K4164" s="186"/>
    </row>
    <row r="4165" spans="1:11" x14ac:dyDescent="0.2">
      <c r="A4165" s="8">
        <v>3135</v>
      </c>
      <c r="B4165" s="8">
        <f t="shared" si="136"/>
        <v>2025</v>
      </c>
      <c r="C4165" s="8">
        <f t="shared" si="137"/>
        <v>2</v>
      </c>
      <c r="D4165" s="204">
        <v>45690</v>
      </c>
      <c r="E4165" s="188"/>
      <c r="F4165" s="220">
        <v>50000</v>
      </c>
      <c r="G4165" s="188"/>
      <c r="H4165" s="188"/>
      <c r="I4165" s="188" t="s">
        <v>85</v>
      </c>
      <c r="J4165" s="187" t="s">
        <v>2361</v>
      </c>
      <c r="K4165" s="186"/>
    </row>
    <row r="4166" spans="1:11" x14ac:dyDescent="0.2">
      <c r="A4166" s="8">
        <v>3136</v>
      </c>
      <c r="B4166" s="8">
        <f t="shared" si="136"/>
        <v>2025</v>
      </c>
      <c r="C4166" s="8">
        <f t="shared" si="137"/>
        <v>2</v>
      </c>
      <c r="D4166" s="204">
        <v>45690</v>
      </c>
      <c r="E4166" s="188"/>
      <c r="F4166" s="220">
        <v>50000</v>
      </c>
      <c r="G4166" s="188"/>
      <c r="H4166" s="188"/>
      <c r="I4166" s="188" t="s">
        <v>85</v>
      </c>
      <c r="J4166" s="187" t="s">
        <v>4014</v>
      </c>
      <c r="K4166" s="186"/>
    </row>
    <row r="4167" spans="1:11" x14ac:dyDescent="0.2">
      <c r="A4167" s="8">
        <v>3137</v>
      </c>
      <c r="B4167" s="8">
        <f t="shared" si="136"/>
        <v>2025</v>
      </c>
      <c r="C4167" s="8">
        <f t="shared" si="137"/>
        <v>2</v>
      </c>
      <c r="D4167" s="204">
        <v>45690</v>
      </c>
      <c r="E4167" s="188"/>
      <c r="F4167" s="220">
        <v>45000</v>
      </c>
      <c r="G4167" s="188"/>
      <c r="H4167" s="188"/>
      <c r="I4167" s="188" t="s">
        <v>85</v>
      </c>
      <c r="J4167" s="187" t="s">
        <v>4015</v>
      </c>
      <c r="K4167" s="186"/>
    </row>
    <row r="4168" spans="1:11" x14ac:dyDescent="0.2">
      <c r="A4168" s="8">
        <v>3138</v>
      </c>
      <c r="B4168" s="8">
        <f t="shared" si="136"/>
        <v>2025</v>
      </c>
      <c r="C4168" s="8">
        <f t="shared" si="137"/>
        <v>2</v>
      </c>
      <c r="D4168" s="204">
        <v>45691</v>
      </c>
      <c r="E4168" s="188"/>
      <c r="F4168" s="220">
        <v>50000</v>
      </c>
      <c r="G4168" s="188"/>
      <c r="H4168" s="188"/>
      <c r="I4168" s="188" t="s">
        <v>85</v>
      </c>
      <c r="J4168" s="187" t="s">
        <v>3966</v>
      </c>
      <c r="K4168" s="186"/>
    </row>
    <row r="4169" spans="1:11" x14ac:dyDescent="0.2">
      <c r="A4169" s="8">
        <v>3140</v>
      </c>
      <c r="B4169" s="8">
        <f t="shared" si="136"/>
        <v>2025</v>
      </c>
      <c r="C4169" s="8">
        <f t="shared" si="137"/>
        <v>2</v>
      </c>
      <c r="D4169" s="204">
        <v>45692</v>
      </c>
      <c r="E4169" s="188"/>
      <c r="F4169" s="220">
        <v>50000</v>
      </c>
      <c r="G4169" s="188"/>
      <c r="H4169" s="188"/>
      <c r="I4169" s="188" t="s">
        <v>85</v>
      </c>
      <c r="J4169" s="187" t="s">
        <v>3966</v>
      </c>
      <c r="K4169" s="186"/>
    </row>
    <row r="4170" spans="1:11" x14ac:dyDescent="0.2">
      <c r="A4170" s="8">
        <v>3141</v>
      </c>
      <c r="B4170" s="8">
        <f t="shared" si="136"/>
        <v>2025</v>
      </c>
      <c r="C4170" s="8">
        <f t="shared" si="137"/>
        <v>2</v>
      </c>
      <c r="D4170" s="204">
        <v>45693</v>
      </c>
      <c r="E4170" s="188"/>
      <c r="F4170" s="220">
        <v>500000</v>
      </c>
      <c r="G4170" s="188"/>
      <c r="H4170" s="188"/>
      <c r="I4170" s="188" t="s">
        <v>2807</v>
      </c>
      <c r="J4170" s="187" t="s">
        <v>4017</v>
      </c>
      <c r="K4170" s="186"/>
    </row>
    <row r="4171" spans="1:11" x14ac:dyDescent="0.2">
      <c r="A4171" s="8">
        <v>3142</v>
      </c>
      <c r="B4171" s="8">
        <f t="shared" si="136"/>
        <v>2025</v>
      </c>
      <c r="C4171" s="8">
        <f t="shared" si="137"/>
        <v>2</v>
      </c>
      <c r="D4171" s="204">
        <v>45693</v>
      </c>
      <c r="E4171" s="188"/>
      <c r="F4171" s="220">
        <v>20000</v>
      </c>
      <c r="G4171" s="188"/>
      <c r="H4171" s="188"/>
      <c r="I4171" s="188" t="s">
        <v>85</v>
      </c>
      <c r="J4171" s="187" t="s">
        <v>4018</v>
      </c>
      <c r="K4171" s="186"/>
    </row>
    <row r="4172" spans="1:11" x14ac:dyDescent="0.2">
      <c r="A4172" s="8">
        <v>3143</v>
      </c>
      <c r="B4172" s="8">
        <f t="shared" si="136"/>
        <v>2025</v>
      </c>
      <c r="C4172" s="8">
        <f t="shared" si="137"/>
        <v>2</v>
      </c>
      <c r="D4172" s="204">
        <v>45693</v>
      </c>
      <c r="E4172" s="188"/>
      <c r="F4172" s="220">
        <v>24000</v>
      </c>
      <c r="G4172" s="188"/>
      <c r="H4172" s="188"/>
      <c r="I4172" s="188" t="s">
        <v>91</v>
      </c>
      <c r="J4172" s="187" t="s">
        <v>4019</v>
      </c>
      <c r="K4172" s="186"/>
    </row>
    <row r="4173" spans="1:11" x14ac:dyDescent="0.2">
      <c r="A4173" s="8">
        <v>3144</v>
      </c>
      <c r="B4173" s="8">
        <f t="shared" si="136"/>
        <v>2025</v>
      </c>
      <c r="C4173" s="8">
        <f t="shared" si="137"/>
        <v>2</v>
      </c>
      <c r="D4173" s="204">
        <v>45693</v>
      </c>
      <c r="E4173" s="188"/>
      <c r="F4173" s="220">
        <v>10000</v>
      </c>
      <c r="G4173" s="188"/>
      <c r="H4173" s="188"/>
      <c r="I4173" s="188" t="s">
        <v>91</v>
      </c>
      <c r="J4173" s="187" t="s">
        <v>2371</v>
      </c>
      <c r="K4173" s="186"/>
    </row>
    <row r="4174" spans="1:11" x14ac:dyDescent="0.2">
      <c r="A4174" s="8">
        <v>3145</v>
      </c>
      <c r="B4174" s="8">
        <f t="shared" si="136"/>
        <v>2025</v>
      </c>
      <c r="C4174" s="8">
        <f t="shared" si="137"/>
        <v>2</v>
      </c>
      <c r="D4174" s="204">
        <v>45694</v>
      </c>
      <c r="E4174" s="188"/>
      <c r="F4174" s="220">
        <v>30000</v>
      </c>
      <c r="G4174" s="188"/>
      <c r="H4174" s="188"/>
      <c r="I4174" s="188" t="s">
        <v>85</v>
      </c>
      <c r="J4174" s="187" t="s">
        <v>4020</v>
      </c>
      <c r="K4174" s="186"/>
    </row>
    <row r="4175" spans="1:11" x14ac:dyDescent="0.2">
      <c r="A4175" s="8">
        <v>3146</v>
      </c>
      <c r="B4175" s="8">
        <f t="shared" si="136"/>
        <v>2025</v>
      </c>
      <c r="C4175" s="8">
        <f t="shared" si="137"/>
        <v>2</v>
      </c>
      <c r="D4175" s="204">
        <v>45694</v>
      </c>
      <c r="E4175" s="188"/>
      <c r="F4175" s="220">
        <v>1000000</v>
      </c>
      <c r="G4175" s="188"/>
      <c r="H4175" s="188"/>
      <c r="I4175" s="188" t="s">
        <v>1999</v>
      </c>
      <c r="J4175" s="187" t="s">
        <v>4021</v>
      </c>
      <c r="K4175" s="186"/>
    </row>
    <row r="4176" spans="1:11" x14ac:dyDescent="0.2">
      <c r="A4176" s="8">
        <v>3147</v>
      </c>
      <c r="B4176" s="8">
        <f t="shared" si="136"/>
        <v>2025</v>
      </c>
      <c r="C4176" s="8">
        <f t="shared" si="137"/>
        <v>2</v>
      </c>
      <c r="D4176" s="204">
        <v>45695</v>
      </c>
      <c r="E4176" s="188"/>
      <c r="F4176" s="220">
        <v>20000</v>
      </c>
      <c r="G4176" s="188"/>
      <c r="H4176" s="188"/>
      <c r="I4176" s="188" t="s">
        <v>91</v>
      </c>
      <c r="J4176" s="187" t="s">
        <v>4022</v>
      </c>
      <c r="K4176" s="186"/>
    </row>
    <row r="4177" spans="1:11" x14ac:dyDescent="0.2">
      <c r="A4177" s="8">
        <v>3148</v>
      </c>
      <c r="B4177" s="8">
        <f t="shared" si="136"/>
        <v>2025</v>
      </c>
      <c r="C4177" s="8">
        <f t="shared" si="137"/>
        <v>2</v>
      </c>
      <c r="D4177" s="204">
        <v>45695</v>
      </c>
      <c r="E4177" s="188"/>
      <c r="F4177" s="220">
        <v>15000</v>
      </c>
      <c r="G4177" s="188"/>
      <c r="H4177" s="188"/>
      <c r="I4177" s="188" t="s">
        <v>91</v>
      </c>
      <c r="J4177" s="187" t="s">
        <v>2648</v>
      </c>
      <c r="K4177" s="186"/>
    </row>
    <row r="4178" spans="1:11" x14ac:dyDescent="0.2">
      <c r="A4178" s="8">
        <v>3149</v>
      </c>
      <c r="B4178" s="8">
        <f t="shared" si="136"/>
        <v>2025</v>
      </c>
      <c r="C4178" s="8">
        <f t="shared" si="137"/>
        <v>2</v>
      </c>
      <c r="D4178" s="204">
        <v>45695</v>
      </c>
      <c r="E4178" s="188"/>
      <c r="F4178" s="220">
        <v>4000</v>
      </c>
      <c r="G4178" s="188"/>
      <c r="H4178" s="188"/>
      <c r="I4178" s="188" t="s">
        <v>91</v>
      </c>
      <c r="J4178" s="187" t="s">
        <v>4023</v>
      </c>
      <c r="K4178" s="186"/>
    </row>
    <row r="4179" spans="1:11" x14ac:dyDescent="0.2">
      <c r="A4179" s="8">
        <v>3150</v>
      </c>
      <c r="B4179" s="8">
        <f t="shared" si="136"/>
        <v>2025</v>
      </c>
      <c r="C4179" s="8">
        <f t="shared" si="137"/>
        <v>2</v>
      </c>
      <c r="D4179" s="204">
        <v>45696</v>
      </c>
      <c r="E4179" s="188"/>
      <c r="F4179" s="220">
        <v>95000</v>
      </c>
      <c r="G4179" s="188"/>
      <c r="H4179" s="188"/>
      <c r="I4179" s="188" t="s">
        <v>85</v>
      </c>
      <c r="J4179" s="187" t="s">
        <v>4024</v>
      </c>
      <c r="K4179" s="186"/>
    </row>
    <row r="4180" spans="1:11" x14ac:dyDescent="0.2">
      <c r="A4180" s="8">
        <v>3151</v>
      </c>
      <c r="B4180" s="8">
        <f t="shared" si="136"/>
        <v>2025</v>
      </c>
      <c r="C4180" s="8">
        <f t="shared" si="137"/>
        <v>2</v>
      </c>
      <c r="D4180" s="204">
        <v>45696</v>
      </c>
      <c r="E4180" s="188"/>
      <c r="F4180" s="220">
        <v>49000</v>
      </c>
      <c r="G4180" s="188"/>
      <c r="H4180" s="188"/>
      <c r="I4180" s="188" t="s">
        <v>85</v>
      </c>
      <c r="J4180" s="187" t="s">
        <v>4025</v>
      </c>
      <c r="K4180" s="186"/>
    </row>
    <row r="4181" spans="1:11" x14ac:dyDescent="0.2">
      <c r="A4181" s="8">
        <v>3152</v>
      </c>
      <c r="B4181" s="8">
        <f t="shared" si="136"/>
        <v>2025</v>
      </c>
      <c r="C4181" s="8">
        <f t="shared" si="137"/>
        <v>2</v>
      </c>
      <c r="D4181" s="204">
        <v>45696</v>
      </c>
      <c r="E4181" s="188"/>
      <c r="F4181" s="220">
        <v>26000</v>
      </c>
      <c r="G4181" s="188"/>
      <c r="H4181" s="188"/>
      <c r="I4181" s="188" t="s">
        <v>85</v>
      </c>
      <c r="J4181" s="187" t="s">
        <v>4026</v>
      </c>
      <c r="K4181" s="186"/>
    </row>
    <row r="4182" spans="1:11" x14ac:dyDescent="0.2">
      <c r="A4182" s="8">
        <v>3153</v>
      </c>
      <c r="B4182" s="8">
        <f t="shared" si="136"/>
        <v>2025</v>
      </c>
      <c r="C4182" s="8">
        <f t="shared" si="137"/>
        <v>2</v>
      </c>
      <c r="D4182" s="204">
        <v>45697</v>
      </c>
      <c r="E4182" s="188"/>
      <c r="F4182" s="220">
        <v>50000</v>
      </c>
      <c r="G4182" s="188"/>
      <c r="H4182" s="188"/>
      <c r="I4182" s="188" t="s">
        <v>85</v>
      </c>
      <c r="J4182" s="187" t="s">
        <v>3966</v>
      </c>
      <c r="K4182" s="186"/>
    </row>
    <row r="4183" spans="1:11" x14ac:dyDescent="0.2">
      <c r="A4183" s="8">
        <v>3154</v>
      </c>
      <c r="B4183" s="8">
        <f t="shared" si="136"/>
        <v>2025</v>
      </c>
      <c r="C4183" s="8">
        <f t="shared" si="137"/>
        <v>2</v>
      </c>
      <c r="D4183" s="204">
        <v>45698</v>
      </c>
      <c r="E4183" s="188"/>
      <c r="F4183" s="220">
        <v>50000</v>
      </c>
      <c r="G4183" s="188"/>
      <c r="H4183" s="188"/>
      <c r="I4183" s="188" t="s">
        <v>85</v>
      </c>
      <c r="J4183" s="187" t="s">
        <v>3966</v>
      </c>
      <c r="K4183" s="186"/>
    </row>
    <row r="4184" spans="1:11" x14ac:dyDescent="0.2">
      <c r="A4184" s="8">
        <v>3155</v>
      </c>
      <c r="B4184" s="8">
        <f t="shared" si="136"/>
        <v>2025</v>
      </c>
      <c r="C4184" s="8">
        <f t="shared" si="137"/>
        <v>2</v>
      </c>
      <c r="D4184" s="204">
        <v>45699</v>
      </c>
      <c r="E4184" s="188"/>
      <c r="F4184" s="220">
        <v>50000</v>
      </c>
      <c r="G4184" s="188"/>
      <c r="H4184" s="188"/>
      <c r="I4184" s="188" t="s">
        <v>1350</v>
      </c>
      <c r="J4184" s="187" t="s">
        <v>4027</v>
      </c>
      <c r="K4184" s="186"/>
    </row>
    <row r="4185" spans="1:11" x14ac:dyDescent="0.2">
      <c r="A4185" s="8">
        <v>3156</v>
      </c>
      <c r="B4185" s="8">
        <f t="shared" si="136"/>
        <v>2025</v>
      </c>
      <c r="C4185" s="8">
        <f t="shared" si="137"/>
        <v>2</v>
      </c>
      <c r="D4185" s="204">
        <v>45699</v>
      </c>
      <c r="E4185" s="188"/>
      <c r="F4185" s="220">
        <v>10000</v>
      </c>
      <c r="G4185" s="188"/>
      <c r="H4185" s="188"/>
      <c r="I4185" s="188" t="s">
        <v>1350</v>
      </c>
      <c r="J4185" s="187" t="s">
        <v>2663</v>
      </c>
      <c r="K4185" s="186"/>
    </row>
    <row r="4186" spans="1:11" x14ac:dyDescent="0.2">
      <c r="A4186" s="8">
        <v>3157</v>
      </c>
      <c r="B4186" s="8">
        <f t="shared" si="136"/>
        <v>2025</v>
      </c>
      <c r="C4186" s="8">
        <f t="shared" si="137"/>
        <v>2</v>
      </c>
      <c r="D4186" s="204">
        <v>45699</v>
      </c>
      <c r="E4186" s="188"/>
      <c r="F4186" s="220">
        <v>40000</v>
      </c>
      <c r="G4186" s="188"/>
      <c r="H4186" s="188"/>
      <c r="I4186" s="188" t="s">
        <v>85</v>
      </c>
      <c r="J4186" s="187" t="s">
        <v>4028</v>
      </c>
      <c r="K4186" s="186"/>
    </row>
    <row r="4187" spans="1:11" x14ac:dyDescent="0.2">
      <c r="A4187" s="8">
        <v>3158</v>
      </c>
      <c r="B4187" s="8">
        <f t="shared" si="136"/>
        <v>2025</v>
      </c>
      <c r="C4187" s="8">
        <f t="shared" si="137"/>
        <v>2</v>
      </c>
      <c r="D4187" s="204">
        <v>45699</v>
      </c>
      <c r="E4187" s="188"/>
      <c r="F4187" s="220">
        <v>20000</v>
      </c>
      <c r="G4187" s="188"/>
      <c r="H4187" s="188"/>
      <c r="I4187" s="188" t="s">
        <v>1992</v>
      </c>
      <c r="J4187" s="187" t="s">
        <v>4029</v>
      </c>
      <c r="K4187" s="186"/>
    </row>
    <row r="4188" spans="1:11" x14ac:dyDescent="0.2">
      <c r="A4188" s="8">
        <v>3159</v>
      </c>
      <c r="B4188" s="8">
        <f t="shared" si="136"/>
        <v>2025</v>
      </c>
      <c r="C4188" s="8">
        <f t="shared" si="137"/>
        <v>2</v>
      </c>
      <c r="D4188" s="204">
        <v>45699</v>
      </c>
      <c r="E4188" s="188"/>
      <c r="F4188" s="220">
        <v>600000</v>
      </c>
      <c r="G4188" s="188"/>
      <c r="H4188" s="188"/>
      <c r="I4188" s="188" t="s">
        <v>1350</v>
      </c>
      <c r="J4188" s="187" t="s">
        <v>4030</v>
      </c>
      <c r="K4188" s="186"/>
    </row>
    <row r="4189" spans="1:11" x14ac:dyDescent="0.2">
      <c r="A4189" s="8">
        <v>3160</v>
      </c>
      <c r="B4189" s="8">
        <f t="shared" si="136"/>
        <v>2025</v>
      </c>
      <c r="C4189" s="8">
        <f t="shared" si="137"/>
        <v>2</v>
      </c>
      <c r="D4189" s="204">
        <v>45700</v>
      </c>
      <c r="E4189" s="188"/>
      <c r="F4189" s="220">
        <v>50000</v>
      </c>
      <c r="G4189" s="188"/>
      <c r="H4189" s="188"/>
      <c r="I4189" s="188" t="s">
        <v>85</v>
      </c>
      <c r="J4189" s="187" t="s">
        <v>2605</v>
      </c>
      <c r="K4189" s="186"/>
    </row>
    <row r="4190" spans="1:11" x14ac:dyDescent="0.2">
      <c r="A4190" s="8">
        <v>3161</v>
      </c>
      <c r="B4190" s="8">
        <f t="shared" si="136"/>
        <v>2025</v>
      </c>
      <c r="C4190" s="8">
        <f t="shared" si="137"/>
        <v>2</v>
      </c>
      <c r="D4190" s="204">
        <v>45701</v>
      </c>
      <c r="E4190" s="188"/>
      <c r="F4190" s="220">
        <v>50000</v>
      </c>
      <c r="G4190" s="188"/>
      <c r="H4190" s="188"/>
      <c r="I4190" s="188" t="s">
        <v>91</v>
      </c>
      <c r="J4190" s="187" t="s">
        <v>4031</v>
      </c>
      <c r="K4190" s="186"/>
    </row>
    <row r="4191" spans="1:11" x14ac:dyDescent="0.2">
      <c r="A4191" s="8">
        <v>3162</v>
      </c>
      <c r="B4191" s="8">
        <f t="shared" si="136"/>
        <v>2025</v>
      </c>
      <c r="C4191" s="8">
        <f t="shared" si="137"/>
        <v>2</v>
      </c>
      <c r="D4191" s="204">
        <v>45701</v>
      </c>
      <c r="E4191" s="188"/>
      <c r="F4191" s="220">
        <v>50000</v>
      </c>
      <c r="G4191" s="188"/>
      <c r="H4191" s="188"/>
      <c r="I4191" s="188" t="s">
        <v>85</v>
      </c>
      <c r="J4191" s="187" t="s">
        <v>2602</v>
      </c>
      <c r="K4191" s="186"/>
    </row>
    <row r="4192" spans="1:11" x14ac:dyDescent="0.2">
      <c r="A4192" s="8">
        <v>3163</v>
      </c>
      <c r="B4192" s="8">
        <f t="shared" si="136"/>
        <v>2025</v>
      </c>
      <c r="C4192" s="8">
        <f t="shared" si="137"/>
        <v>2</v>
      </c>
      <c r="D4192" s="204">
        <v>45702</v>
      </c>
      <c r="E4192" s="188"/>
      <c r="F4192" s="220">
        <v>100000</v>
      </c>
      <c r="G4192" s="188"/>
      <c r="H4192" s="188"/>
      <c r="I4192" s="188" t="s">
        <v>1992</v>
      </c>
      <c r="J4192" s="187" t="s">
        <v>4032</v>
      </c>
      <c r="K4192" s="186"/>
    </row>
    <row r="4193" spans="1:11" x14ac:dyDescent="0.2">
      <c r="A4193" s="8">
        <v>3166</v>
      </c>
      <c r="B4193" s="8">
        <f t="shared" si="136"/>
        <v>2025</v>
      </c>
      <c r="C4193" s="8">
        <f t="shared" si="137"/>
        <v>2</v>
      </c>
      <c r="D4193" s="204">
        <v>45702</v>
      </c>
      <c r="E4193" s="188"/>
      <c r="F4193" s="220">
        <v>80000</v>
      </c>
      <c r="G4193" s="188"/>
      <c r="H4193" s="188"/>
      <c r="I4193" s="188" t="s">
        <v>91</v>
      </c>
      <c r="J4193" s="187" t="s">
        <v>4033</v>
      </c>
      <c r="K4193" s="186"/>
    </row>
    <row r="4194" spans="1:11" x14ac:dyDescent="0.2">
      <c r="A4194" s="8">
        <v>3167</v>
      </c>
      <c r="B4194" s="8">
        <f t="shared" si="136"/>
        <v>2025</v>
      </c>
      <c r="C4194" s="8">
        <f t="shared" si="137"/>
        <v>2</v>
      </c>
      <c r="D4194" s="204">
        <v>45702</v>
      </c>
      <c r="E4194" s="188"/>
      <c r="F4194" s="220">
        <v>20000</v>
      </c>
      <c r="G4194" s="188"/>
      <c r="H4194" s="188"/>
      <c r="I4194" s="188" t="s">
        <v>91</v>
      </c>
      <c r="J4194" s="187" t="s">
        <v>2522</v>
      </c>
      <c r="K4194" s="186"/>
    </row>
    <row r="4195" spans="1:11" x14ac:dyDescent="0.2">
      <c r="A4195" s="8">
        <v>3168</v>
      </c>
      <c r="B4195" s="8">
        <f t="shared" si="136"/>
        <v>2025</v>
      </c>
      <c r="C4195" s="8">
        <f t="shared" si="137"/>
        <v>2</v>
      </c>
      <c r="D4195" s="204">
        <v>45703</v>
      </c>
      <c r="E4195" s="188"/>
      <c r="F4195" s="220">
        <v>60000</v>
      </c>
      <c r="G4195" s="188"/>
      <c r="H4195" s="188"/>
      <c r="I4195" s="188" t="s">
        <v>91</v>
      </c>
      <c r="J4195" s="187" t="s">
        <v>4034</v>
      </c>
      <c r="K4195" s="186"/>
    </row>
    <row r="4196" spans="1:11" x14ac:dyDescent="0.2">
      <c r="A4196" s="8">
        <v>3169</v>
      </c>
      <c r="B4196" s="8">
        <f t="shared" si="136"/>
        <v>2025</v>
      </c>
      <c r="C4196" s="8">
        <f t="shared" si="137"/>
        <v>2</v>
      </c>
      <c r="D4196" s="204">
        <v>45703</v>
      </c>
      <c r="E4196" s="188"/>
      <c r="F4196" s="220">
        <v>101000</v>
      </c>
      <c r="G4196" s="188"/>
      <c r="H4196" s="188"/>
      <c r="I4196" s="188" t="s">
        <v>1815</v>
      </c>
      <c r="J4196" s="187" t="s">
        <v>4035</v>
      </c>
      <c r="K4196" s="186"/>
    </row>
    <row r="4197" spans="1:11" x14ac:dyDescent="0.2">
      <c r="A4197" s="8">
        <v>3170</v>
      </c>
      <c r="B4197" s="8">
        <f t="shared" si="136"/>
        <v>2025</v>
      </c>
      <c r="C4197" s="8">
        <f t="shared" si="137"/>
        <v>2</v>
      </c>
      <c r="D4197" s="204">
        <v>45703</v>
      </c>
      <c r="E4197" s="188"/>
      <c r="F4197" s="220">
        <v>37000</v>
      </c>
      <c r="G4197" s="188"/>
      <c r="H4197" s="188"/>
      <c r="I4197" s="188" t="s">
        <v>1815</v>
      </c>
      <c r="J4197" s="187" t="s">
        <v>2713</v>
      </c>
      <c r="K4197" s="186"/>
    </row>
    <row r="4198" spans="1:11" x14ac:dyDescent="0.2">
      <c r="A4198" s="8">
        <v>3171</v>
      </c>
      <c r="B4198" s="8">
        <f t="shared" si="136"/>
        <v>2025</v>
      </c>
      <c r="C4198" s="8">
        <f t="shared" si="137"/>
        <v>2</v>
      </c>
      <c r="D4198" s="204">
        <v>45704</v>
      </c>
      <c r="E4198" s="188"/>
      <c r="F4198" s="220">
        <v>40000</v>
      </c>
      <c r="G4198" s="188"/>
      <c r="H4198" s="188"/>
      <c r="I4198" s="188" t="s">
        <v>91</v>
      </c>
      <c r="J4198" s="187" t="s">
        <v>2585</v>
      </c>
      <c r="K4198" s="186"/>
    </row>
    <row r="4199" spans="1:11" x14ac:dyDescent="0.2">
      <c r="A4199" s="8">
        <v>3172</v>
      </c>
      <c r="B4199" s="8">
        <f t="shared" si="136"/>
        <v>2025</v>
      </c>
      <c r="C4199" s="8">
        <f t="shared" si="137"/>
        <v>2</v>
      </c>
      <c r="D4199" s="204">
        <v>45704</v>
      </c>
      <c r="E4199" s="188"/>
      <c r="F4199" s="220">
        <v>50000</v>
      </c>
      <c r="G4199" s="188"/>
      <c r="H4199" s="188"/>
      <c r="I4199" s="188" t="s">
        <v>91</v>
      </c>
      <c r="J4199" s="187" t="s">
        <v>4036</v>
      </c>
      <c r="K4199" s="186"/>
    </row>
    <row r="4200" spans="1:11" x14ac:dyDescent="0.2">
      <c r="A4200" s="8">
        <v>3173</v>
      </c>
      <c r="B4200" s="8">
        <f t="shared" si="136"/>
        <v>2025</v>
      </c>
      <c r="C4200" s="8">
        <f t="shared" si="137"/>
        <v>2</v>
      </c>
      <c r="D4200" s="204">
        <v>45705</v>
      </c>
      <c r="E4200" s="188"/>
      <c r="F4200" s="220">
        <v>12000</v>
      </c>
      <c r="G4200" s="188"/>
      <c r="H4200" s="188"/>
      <c r="I4200" s="188" t="s">
        <v>91</v>
      </c>
      <c r="J4200" s="187" t="s">
        <v>2388</v>
      </c>
      <c r="K4200" s="186"/>
    </row>
    <row r="4201" spans="1:11" x14ac:dyDescent="0.2">
      <c r="A4201" s="8">
        <v>3174</v>
      </c>
      <c r="B4201" s="8">
        <f t="shared" si="136"/>
        <v>2025</v>
      </c>
      <c r="C4201" s="8">
        <f t="shared" si="137"/>
        <v>2</v>
      </c>
      <c r="D4201" s="204">
        <v>45705</v>
      </c>
      <c r="E4201" s="188"/>
      <c r="F4201" s="220">
        <v>70000</v>
      </c>
      <c r="G4201" s="188"/>
      <c r="H4201" s="188"/>
      <c r="I4201" s="188" t="s">
        <v>1992</v>
      </c>
      <c r="J4201" s="187" t="s">
        <v>4037</v>
      </c>
      <c r="K4201" s="186"/>
    </row>
    <row r="4202" spans="1:11" x14ac:dyDescent="0.2">
      <c r="A4202" s="8">
        <v>3175</v>
      </c>
      <c r="B4202" s="8">
        <f t="shared" si="136"/>
        <v>2025</v>
      </c>
      <c r="C4202" s="8">
        <f t="shared" si="137"/>
        <v>2</v>
      </c>
      <c r="D4202" s="204">
        <v>45705</v>
      </c>
      <c r="E4202" s="188"/>
      <c r="F4202" s="220">
        <v>460000</v>
      </c>
      <c r="G4202" s="188"/>
      <c r="H4202" s="188"/>
      <c r="I4202" s="188" t="s">
        <v>1992</v>
      </c>
      <c r="J4202" s="187" t="s">
        <v>4038</v>
      </c>
      <c r="K4202" s="186"/>
    </row>
    <row r="4203" spans="1:11" x14ac:dyDescent="0.2">
      <c r="A4203" s="8">
        <v>3176</v>
      </c>
      <c r="B4203" s="8">
        <f t="shared" si="136"/>
        <v>2025</v>
      </c>
      <c r="C4203" s="8">
        <f t="shared" si="137"/>
        <v>2</v>
      </c>
      <c r="D4203" s="204">
        <v>45705</v>
      </c>
      <c r="E4203" s="188"/>
      <c r="F4203" s="220">
        <v>150000</v>
      </c>
      <c r="G4203" s="188"/>
      <c r="H4203" s="188"/>
      <c r="I4203" s="188" t="s">
        <v>1992</v>
      </c>
      <c r="J4203" s="187" t="s">
        <v>4039</v>
      </c>
      <c r="K4203" s="186"/>
    </row>
    <row r="4204" spans="1:11" x14ac:dyDescent="0.2">
      <c r="A4204" s="8">
        <v>3177</v>
      </c>
      <c r="B4204" s="8">
        <f t="shared" si="136"/>
        <v>2025</v>
      </c>
      <c r="C4204" s="8">
        <f t="shared" si="137"/>
        <v>2</v>
      </c>
      <c r="D4204" s="204">
        <v>45705</v>
      </c>
      <c r="E4204" s="188"/>
      <c r="F4204" s="220">
        <v>175000</v>
      </c>
      <c r="G4204" s="188"/>
      <c r="H4204" s="188"/>
      <c r="I4204" s="188" t="s">
        <v>1350</v>
      </c>
      <c r="J4204" s="187" t="s">
        <v>4040</v>
      </c>
      <c r="K4204" s="186"/>
    </row>
    <row r="4205" spans="1:11" x14ac:dyDescent="0.2">
      <c r="A4205" s="8">
        <v>3178</v>
      </c>
      <c r="B4205" s="8">
        <f t="shared" si="136"/>
        <v>2025</v>
      </c>
      <c r="C4205" s="8">
        <f t="shared" si="137"/>
        <v>2</v>
      </c>
      <c r="D4205" s="204">
        <v>45706</v>
      </c>
      <c r="E4205" s="188"/>
      <c r="F4205" s="220">
        <v>28000</v>
      </c>
      <c r="G4205" s="188"/>
      <c r="H4205" s="188"/>
      <c r="I4205" s="188" t="s">
        <v>91</v>
      </c>
      <c r="J4205" s="187" t="s">
        <v>4041</v>
      </c>
      <c r="K4205" s="186"/>
    </row>
    <row r="4206" spans="1:11" x14ac:dyDescent="0.2">
      <c r="A4206" s="8">
        <v>3179</v>
      </c>
      <c r="B4206" s="8">
        <f t="shared" si="136"/>
        <v>2025</v>
      </c>
      <c r="C4206" s="8">
        <f t="shared" si="137"/>
        <v>2</v>
      </c>
      <c r="D4206" s="204">
        <v>45706</v>
      </c>
      <c r="E4206" s="188"/>
      <c r="F4206" s="220">
        <v>15000</v>
      </c>
      <c r="G4206" s="188"/>
      <c r="H4206" s="188"/>
      <c r="I4206" s="188" t="s">
        <v>91</v>
      </c>
      <c r="J4206" s="187" t="s">
        <v>4042</v>
      </c>
      <c r="K4206" s="186"/>
    </row>
    <row r="4207" spans="1:11" x14ac:dyDescent="0.2">
      <c r="A4207" s="8">
        <v>3180</v>
      </c>
      <c r="B4207" s="8">
        <f t="shared" si="136"/>
        <v>2025</v>
      </c>
      <c r="C4207" s="8">
        <f t="shared" si="137"/>
        <v>2</v>
      </c>
      <c r="D4207" s="204">
        <v>45707</v>
      </c>
      <c r="E4207" s="188"/>
      <c r="F4207" s="220">
        <v>50000</v>
      </c>
      <c r="G4207" s="188"/>
      <c r="H4207" s="188"/>
      <c r="I4207" s="188" t="s">
        <v>85</v>
      </c>
      <c r="J4207" s="187" t="s">
        <v>2602</v>
      </c>
      <c r="K4207" s="186"/>
    </row>
    <row r="4208" spans="1:11" x14ac:dyDescent="0.2">
      <c r="A4208" s="8">
        <v>3181</v>
      </c>
      <c r="B4208" s="8">
        <f t="shared" si="136"/>
        <v>2025</v>
      </c>
      <c r="C4208" s="8">
        <f t="shared" si="137"/>
        <v>2</v>
      </c>
      <c r="D4208" s="204">
        <v>45708</v>
      </c>
      <c r="E4208" s="188"/>
      <c r="F4208" s="220">
        <v>20000</v>
      </c>
      <c r="G4208" s="188"/>
      <c r="H4208" s="188"/>
      <c r="I4208" s="188" t="s">
        <v>85</v>
      </c>
      <c r="J4208" s="187">
        <v>45677</v>
      </c>
      <c r="K4208" s="186"/>
    </row>
    <row r="4209" spans="1:11" x14ac:dyDescent="0.2">
      <c r="A4209" s="8">
        <v>3184</v>
      </c>
      <c r="B4209" s="8">
        <f t="shared" si="136"/>
        <v>2025</v>
      </c>
      <c r="C4209" s="8">
        <f t="shared" si="137"/>
        <v>2</v>
      </c>
      <c r="D4209" s="204">
        <v>45708</v>
      </c>
      <c r="E4209" s="188"/>
      <c r="F4209" s="220">
        <v>20000</v>
      </c>
      <c r="G4209" s="188"/>
      <c r="H4209" s="188"/>
      <c r="I4209" s="188" t="s">
        <v>91</v>
      </c>
      <c r="J4209" s="187" t="s">
        <v>2436</v>
      </c>
      <c r="K4209" s="186"/>
    </row>
    <row r="4210" spans="1:11" x14ac:dyDescent="0.2">
      <c r="A4210" s="8">
        <v>3185</v>
      </c>
      <c r="B4210" s="8">
        <f t="shared" si="136"/>
        <v>2025</v>
      </c>
      <c r="C4210" s="8">
        <f t="shared" si="137"/>
        <v>2</v>
      </c>
      <c r="D4210" s="204">
        <v>45708</v>
      </c>
      <c r="E4210" s="188"/>
      <c r="F4210" s="220">
        <v>14000</v>
      </c>
      <c r="G4210" s="188"/>
      <c r="H4210" s="188"/>
      <c r="I4210" s="188" t="s">
        <v>91</v>
      </c>
      <c r="J4210" s="187" t="s">
        <v>4043</v>
      </c>
      <c r="K4210" s="186"/>
    </row>
    <row r="4211" spans="1:11" x14ac:dyDescent="0.2">
      <c r="A4211" s="8">
        <v>3186</v>
      </c>
      <c r="B4211" s="8">
        <f t="shared" si="136"/>
        <v>2025</v>
      </c>
      <c r="C4211" s="8">
        <f t="shared" si="137"/>
        <v>2</v>
      </c>
      <c r="D4211" s="204">
        <v>45708</v>
      </c>
      <c r="E4211" s="188"/>
      <c r="F4211" s="220">
        <v>22000</v>
      </c>
      <c r="G4211" s="188"/>
      <c r="H4211" s="188"/>
      <c r="I4211" s="188" t="s">
        <v>85</v>
      </c>
      <c r="J4211" s="187" t="s">
        <v>4044</v>
      </c>
      <c r="K4211" s="186"/>
    </row>
    <row r="4212" spans="1:11" x14ac:dyDescent="0.2">
      <c r="A4212" s="8">
        <v>3187</v>
      </c>
      <c r="B4212" s="8">
        <f t="shared" si="136"/>
        <v>2025</v>
      </c>
      <c r="C4212" s="8">
        <f t="shared" si="137"/>
        <v>2</v>
      </c>
      <c r="D4212" s="204">
        <v>45708</v>
      </c>
      <c r="E4212" s="188"/>
      <c r="F4212" s="220">
        <v>22000</v>
      </c>
      <c r="G4212" s="188"/>
      <c r="H4212" s="188"/>
      <c r="I4212" s="188" t="s">
        <v>91</v>
      </c>
      <c r="J4212" s="187" t="s">
        <v>4045</v>
      </c>
      <c r="K4212" s="186"/>
    </row>
    <row r="4213" spans="1:11" x14ac:dyDescent="0.2">
      <c r="A4213" s="8">
        <v>3188</v>
      </c>
      <c r="B4213" s="8">
        <f t="shared" si="136"/>
        <v>2025</v>
      </c>
      <c r="C4213" s="8">
        <f t="shared" si="137"/>
        <v>2</v>
      </c>
      <c r="D4213" s="204">
        <v>45708</v>
      </c>
      <c r="E4213" s="188"/>
      <c r="F4213" s="220">
        <v>91000</v>
      </c>
      <c r="G4213" s="188"/>
      <c r="H4213" s="188"/>
      <c r="I4213" s="188" t="s">
        <v>391</v>
      </c>
      <c r="J4213" s="187" t="s">
        <v>2936</v>
      </c>
      <c r="K4213" s="186"/>
    </row>
    <row r="4214" spans="1:11" x14ac:dyDescent="0.2">
      <c r="A4214" s="8">
        <v>3189</v>
      </c>
      <c r="B4214" s="8">
        <f t="shared" si="136"/>
        <v>2025</v>
      </c>
      <c r="C4214" s="8">
        <f t="shared" si="137"/>
        <v>2</v>
      </c>
      <c r="D4214" s="204">
        <v>45709</v>
      </c>
      <c r="E4214" s="188"/>
      <c r="F4214" s="220">
        <v>30000</v>
      </c>
      <c r="G4214" s="188"/>
      <c r="H4214" s="188"/>
      <c r="I4214" s="188" t="s">
        <v>91</v>
      </c>
      <c r="J4214" s="187" t="s">
        <v>2424</v>
      </c>
      <c r="K4214" s="186"/>
    </row>
    <row r="4215" spans="1:11" x14ac:dyDescent="0.2">
      <c r="A4215" s="8">
        <v>3192</v>
      </c>
      <c r="B4215" s="8">
        <f t="shared" si="136"/>
        <v>2025</v>
      </c>
      <c r="C4215" s="8">
        <f t="shared" si="137"/>
        <v>2</v>
      </c>
      <c r="D4215" s="204">
        <v>45710</v>
      </c>
      <c r="E4215" s="188"/>
      <c r="F4215" s="220">
        <v>1000000</v>
      </c>
      <c r="G4215" s="188"/>
      <c r="H4215" s="188"/>
      <c r="I4215" s="188" t="s">
        <v>1999</v>
      </c>
      <c r="J4215" s="187" t="s">
        <v>4046</v>
      </c>
      <c r="K4215" s="186"/>
    </row>
    <row r="4216" spans="1:11" x14ac:dyDescent="0.2">
      <c r="A4216" s="8">
        <v>3193</v>
      </c>
      <c r="B4216" s="8">
        <f t="shared" si="136"/>
        <v>2025</v>
      </c>
      <c r="C4216" s="8">
        <f t="shared" si="137"/>
        <v>2</v>
      </c>
      <c r="D4216" s="204">
        <v>45710</v>
      </c>
      <c r="E4216" s="188"/>
      <c r="F4216" s="220">
        <v>40000</v>
      </c>
      <c r="G4216" s="188"/>
      <c r="H4216" s="188"/>
      <c r="I4216" s="188" t="s">
        <v>1815</v>
      </c>
      <c r="J4216" s="187" t="s">
        <v>4047</v>
      </c>
      <c r="K4216" s="186"/>
    </row>
    <row r="4217" spans="1:11" x14ac:dyDescent="0.2">
      <c r="A4217" s="8">
        <v>3194</v>
      </c>
      <c r="B4217" s="8">
        <f t="shared" si="136"/>
        <v>2025</v>
      </c>
      <c r="C4217" s="8">
        <f t="shared" si="137"/>
        <v>2</v>
      </c>
      <c r="D4217" s="204">
        <v>45711</v>
      </c>
      <c r="E4217" s="188"/>
      <c r="F4217" s="220">
        <v>212000</v>
      </c>
      <c r="G4217" s="188"/>
      <c r="H4217" s="188"/>
      <c r="I4217" s="188" t="s">
        <v>299</v>
      </c>
      <c r="J4217" s="187" t="s">
        <v>4048</v>
      </c>
      <c r="K4217" s="186"/>
    </row>
    <row r="4218" spans="1:11" x14ac:dyDescent="0.2">
      <c r="A4218" s="8">
        <v>3195</v>
      </c>
      <c r="B4218" s="8">
        <f t="shared" si="136"/>
        <v>2025</v>
      </c>
      <c r="C4218" s="8">
        <f t="shared" si="137"/>
        <v>2</v>
      </c>
      <c r="D4218" s="204">
        <v>45711</v>
      </c>
      <c r="E4218" s="188"/>
      <c r="F4218" s="220">
        <v>80000</v>
      </c>
      <c r="G4218" s="188"/>
      <c r="H4218" s="188"/>
      <c r="I4218" s="188" t="s">
        <v>85</v>
      </c>
      <c r="J4218" s="187" t="s">
        <v>4049</v>
      </c>
      <c r="K4218" s="186"/>
    </row>
    <row r="4219" spans="1:11" x14ac:dyDescent="0.2">
      <c r="A4219" s="8">
        <v>3196</v>
      </c>
      <c r="B4219" s="8">
        <f t="shared" si="136"/>
        <v>2025</v>
      </c>
      <c r="C4219" s="8">
        <f t="shared" si="137"/>
        <v>2</v>
      </c>
      <c r="D4219" s="204">
        <v>45711</v>
      </c>
      <c r="E4219" s="188"/>
      <c r="F4219" s="220">
        <v>1000000</v>
      </c>
      <c r="G4219" s="188"/>
      <c r="H4219" s="188"/>
      <c r="I4219" s="188" t="s">
        <v>1729</v>
      </c>
      <c r="J4219" s="187" t="s">
        <v>4050</v>
      </c>
      <c r="K4219" s="186"/>
    </row>
    <row r="4220" spans="1:11" x14ac:dyDescent="0.2">
      <c r="A4220" s="8">
        <v>3197</v>
      </c>
      <c r="B4220" s="8">
        <f t="shared" si="136"/>
        <v>2025</v>
      </c>
      <c r="C4220" s="8">
        <f t="shared" si="137"/>
        <v>2</v>
      </c>
      <c r="D4220" s="204">
        <v>45712</v>
      </c>
      <c r="E4220" s="188"/>
      <c r="F4220" s="220">
        <v>50000</v>
      </c>
      <c r="G4220" s="188"/>
      <c r="H4220" s="188"/>
      <c r="I4220" s="188" t="s">
        <v>85</v>
      </c>
      <c r="J4220" s="187" t="s">
        <v>2605</v>
      </c>
      <c r="K4220" s="186"/>
    </row>
    <row r="4221" spans="1:11" x14ac:dyDescent="0.2">
      <c r="A4221" s="8">
        <v>3198</v>
      </c>
      <c r="B4221" s="8">
        <f t="shared" si="136"/>
        <v>2025</v>
      </c>
      <c r="C4221" s="8">
        <f t="shared" si="137"/>
        <v>2</v>
      </c>
      <c r="D4221" s="204">
        <v>45712</v>
      </c>
      <c r="E4221" s="188"/>
      <c r="F4221" s="220">
        <v>150000</v>
      </c>
      <c r="G4221" s="188"/>
      <c r="H4221" s="188"/>
      <c r="I4221" s="188" t="s">
        <v>1992</v>
      </c>
      <c r="J4221" s="187" t="s">
        <v>4051</v>
      </c>
      <c r="K4221" s="186"/>
    </row>
    <row r="4222" spans="1:11" x14ac:dyDescent="0.2">
      <c r="A4222" s="8">
        <v>3199</v>
      </c>
      <c r="B4222" s="8">
        <f t="shared" si="136"/>
        <v>2025</v>
      </c>
      <c r="C4222" s="8">
        <f t="shared" si="137"/>
        <v>2</v>
      </c>
      <c r="D4222" s="204">
        <v>45713</v>
      </c>
      <c r="E4222" s="188"/>
      <c r="F4222" s="220">
        <v>50000</v>
      </c>
      <c r="G4222" s="188"/>
      <c r="H4222" s="188"/>
      <c r="I4222" s="188" t="s">
        <v>85</v>
      </c>
      <c r="J4222" s="187" t="s">
        <v>2602</v>
      </c>
      <c r="K4222" s="186"/>
    </row>
    <row r="4223" spans="1:11" x14ac:dyDescent="0.2">
      <c r="A4223" s="8">
        <v>3200</v>
      </c>
      <c r="B4223" s="8">
        <f t="shared" si="136"/>
        <v>2025</v>
      </c>
      <c r="C4223" s="8">
        <f t="shared" si="137"/>
        <v>2</v>
      </c>
      <c r="D4223" s="204">
        <v>45714</v>
      </c>
      <c r="E4223" s="188"/>
      <c r="F4223" s="220">
        <v>20000</v>
      </c>
      <c r="G4223" s="188"/>
      <c r="H4223" s="188"/>
      <c r="I4223" s="188" t="s">
        <v>1999</v>
      </c>
      <c r="J4223" s="187" t="s">
        <v>4052</v>
      </c>
      <c r="K4223" s="186"/>
    </row>
    <row r="4224" spans="1:11" x14ac:dyDescent="0.2">
      <c r="A4224" s="8">
        <v>3201</v>
      </c>
      <c r="B4224" s="8">
        <f t="shared" si="136"/>
        <v>2025</v>
      </c>
      <c r="C4224" s="8">
        <f t="shared" si="137"/>
        <v>2</v>
      </c>
      <c r="D4224" s="204">
        <v>45714</v>
      </c>
      <c r="E4224" s="188"/>
      <c r="F4224" s="220">
        <v>59000</v>
      </c>
      <c r="G4224" s="188"/>
      <c r="H4224" s="188"/>
      <c r="I4224" s="188" t="s">
        <v>85</v>
      </c>
      <c r="J4224" s="187" t="s">
        <v>4053</v>
      </c>
      <c r="K4224" s="186"/>
    </row>
    <row r="4225" spans="1:11" x14ac:dyDescent="0.2">
      <c r="A4225" s="8">
        <v>3202</v>
      </c>
      <c r="B4225" s="8">
        <f t="shared" si="136"/>
        <v>2025</v>
      </c>
      <c r="C4225" s="8">
        <f t="shared" si="137"/>
        <v>2</v>
      </c>
      <c r="D4225" s="204">
        <v>45715</v>
      </c>
      <c r="E4225" s="188"/>
      <c r="F4225" s="220">
        <v>16000</v>
      </c>
      <c r="G4225" s="188"/>
      <c r="H4225" s="188"/>
      <c r="I4225" s="188" t="s">
        <v>91</v>
      </c>
      <c r="J4225" s="187" t="s">
        <v>2594</v>
      </c>
      <c r="K4225" s="186"/>
    </row>
    <row r="4226" spans="1:11" x14ac:dyDescent="0.2">
      <c r="A4226" s="8">
        <v>3203</v>
      </c>
      <c r="B4226" s="8">
        <f t="shared" si="136"/>
        <v>2025</v>
      </c>
      <c r="C4226" s="8">
        <f t="shared" si="137"/>
        <v>2</v>
      </c>
      <c r="D4226" s="204">
        <v>45715</v>
      </c>
      <c r="E4226" s="188"/>
      <c r="F4226" s="220">
        <v>40000</v>
      </c>
      <c r="G4226" s="188"/>
      <c r="H4226" s="188"/>
      <c r="I4226" s="188" t="s">
        <v>335</v>
      </c>
      <c r="J4226" s="187" t="s">
        <v>4054</v>
      </c>
      <c r="K4226" s="186"/>
    </row>
    <row r="4227" spans="1:11" x14ac:dyDescent="0.2">
      <c r="A4227" s="8">
        <v>3204</v>
      </c>
      <c r="B4227" s="8">
        <f t="shared" ref="B4227:B4290" si="138">YEAR(D4227)</f>
        <v>2025</v>
      </c>
      <c r="C4227" s="8">
        <f t="shared" ref="C4227:C4290" si="139">MONTH(D4227)</f>
        <v>2</v>
      </c>
      <c r="D4227" s="204">
        <v>45715</v>
      </c>
      <c r="E4227" s="188"/>
      <c r="F4227" s="220">
        <v>350000</v>
      </c>
      <c r="G4227" s="188"/>
      <c r="H4227" s="188"/>
      <c r="I4227" s="188" t="s">
        <v>335</v>
      </c>
      <c r="J4227" s="187" t="s">
        <v>4055</v>
      </c>
      <c r="K4227" s="186"/>
    </row>
    <row r="4228" spans="1:11" x14ac:dyDescent="0.2">
      <c r="A4228" s="8">
        <v>3205</v>
      </c>
      <c r="B4228" s="8">
        <f t="shared" si="138"/>
        <v>2025</v>
      </c>
      <c r="C4228" s="8">
        <f t="shared" si="139"/>
        <v>2</v>
      </c>
      <c r="D4228" s="204">
        <v>45716</v>
      </c>
      <c r="E4228" s="188"/>
      <c r="F4228" s="220">
        <v>281000</v>
      </c>
      <c r="G4228" s="188"/>
      <c r="H4228" s="188"/>
      <c r="I4228" s="188" t="s">
        <v>4137</v>
      </c>
      <c r="J4228" s="187" t="s">
        <v>4056</v>
      </c>
      <c r="K4228" s="186"/>
    </row>
    <row r="4229" spans="1:11" x14ac:dyDescent="0.2">
      <c r="A4229" s="8">
        <v>3206</v>
      </c>
      <c r="B4229" s="8">
        <f t="shared" si="138"/>
        <v>2025</v>
      </c>
      <c r="C4229" s="8">
        <f t="shared" si="139"/>
        <v>2</v>
      </c>
      <c r="D4229" s="204">
        <v>45716</v>
      </c>
      <c r="E4229" s="188"/>
      <c r="F4229" s="220">
        <v>50000</v>
      </c>
      <c r="G4229" s="188"/>
      <c r="H4229" s="188"/>
      <c r="I4229" s="188" t="s">
        <v>1992</v>
      </c>
      <c r="J4229" s="187" t="s">
        <v>4057</v>
      </c>
      <c r="K4229" s="186"/>
    </row>
    <row r="4230" spans="1:11" x14ac:dyDescent="0.2">
      <c r="A4230" s="8">
        <v>3207</v>
      </c>
      <c r="B4230" s="8">
        <f t="shared" si="138"/>
        <v>2025</v>
      </c>
      <c r="C4230" s="8">
        <f t="shared" si="139"/>
        <v>3</v>
      </c>
      <c r="D4230" s="204">
        <v>45717</v>
      </c>
      <c r="E4230" s="188"/>
      <c r="F4230" s="220">
        <v>300000</v>
      </c>
      <c r="G4230" s="188"/>
      <c r="H4230" s="188"/>
      <c r="I4230" s="188" t="s">
        <v>1815</v>
      </c>
      <c r="J4230" s="187" t="s">
        <v>4058</v>
      </c>
      <c r="K4230" s="186"/>
    </row>
    <row r="4231" spans="1:11" x14ac:dyDescent="0.2">
      <c r="A4231" s="8">
        <v>3209</v>
      </c>
      <c r="B4231" s="8">
        <f t="shared" si="138"/>
        <v>2025</v>
      </c>
      <c r="C4231" s="8">
        <f t="shared" si="139"/>
        <v>3</v>
      </c>
      <c r="D4231" s="204">
        <v>45718</v>
      </c>
      <c r="E4231" s="188"/>
      <c r="F4231" s="220">
        <v>300000</v>
      </c>
      <c r="G4231" s="188"/>
      <c r="H4231" s="188"/>
      <c r="I4231" s="188" t="s">
        <v>2807</v>
      </c>
      <c r="J4231" s="187" t="s">
        <v>2527</v>
      </c>
      <c r="K4231" s="186"/>
    </row>
    <row r="4232" spans="1:11" x14ac:dyDescent="0.2">
      <c r="A4232" s="8">
        <v>3210</v>
      </c>
      <c r="B4232" s="8">
        <f t="shared" si="138"/>
        <v>2025</v>
      </c>
      <c r="C4232" s="8">
        <f t="shared" si="139"/>
        <v>3</v>
      </c>
      <c r="D4232" s="204">
        <v>45719</v>
      </c>
      <c r="E4232" s="188"/>
      <c r="F4232" s="220">
        <v>50000</v>
      </c>
      <c r="G4232" s="188"/>
      <c r="H4232" s="188"/>
      <c r="I4232" s="188" t="s">
        <v>85</v>
      </c>
      <c r="J4232" s="187" t="s">
        <v>2602</v>
      </c>
      <c r="K4232" s="186"/>
    </row>
    <row r="4233" spans="1:11" x14ac:dyDescent="0.2">
      <c r="A4233" s="8">
        <v>3211</v>
      </c>
      <c r="B4233" s="8">
        <f t="shared" si="138"/>
        <v>2025</v>
      </c>
      <c r="C4233" s="8">
        <f t="shared" si="139"/>
        <v>3</v>
      </c>
      <c r="D4233" s="204">
        <v>45720</v>
      </c>
      <c r="E4233" s="188"/>
      <c r="F4233" s="220">
        <v>20000</v>
      </c>
      <c r="G4233" s="188"/>
      <c r="H4233" s="188"/>
      <c r="I4233" s="188" t="s">
        <v>85</v>
      </c>
      <c r="J4233" s="187" t="s">
        <v>4059</v>
      </c>
      <c r="K4233" s="186"/>
    </row>
    <row r="4234" spans="1:11" x14ac:dyDescent="0.2">
      <c r="A4234" s="8">
        <v>3212</v>
      </c>
      <c r="B4234" s="8">
        <f t="shared" si="138"/>
        <v>2025</v>
      </c>
      <c r="C4234" s="8">
        <f t="shared" si="139"/>
        <v>3</v>
      </c>
      <c r="D4234" s="204">
        <v>45720</v>
      </c>
      <c r="E4234" s="188"/>
      <c r="F4234" s="220">
        <v>50000</v>
      </c>
      <c r="G4234" s="188"/>
      <c r="H4234" s="188"/>
      <c r="I4234" s="188" t="s">
        <v>85</v>
      </c>
      <c r="J4234" s="187" t="s">
        <v>2602</v>
      </c>
      <c r="K4234" s="186"/>
    </row>
    <row r="4235" spans="1:11" x14ac:dyDescent="0.2">
      <c r="A4235" s="8">
        <v>3213</v>
      </c>
      <c r="B4235" s="8">
        <f t="shared" si="138"/>
        <v>2025</v>
      </c>
      <c r="C4235" s="8">
        <f t="shared" si="139"/>
        <v>2</v>
      </c>
      <c r="D4235" s="204">
        <v>45689</v>
      </c>
      <c r="E4235" s="188"/>
      <c r="F4235" s="220">
        <v>432000</v>
      </c>
      <c r="G4235" s="188"/>
      <c r="H4235" s="188"/>
      <c r="I4235" s="188" t="s">
        <v>85</v>
      </c>
      <c r="J4235" s="187" t="s">
        <v>4066</v>
      </c>
      <c r="K4235" s="186"/>
    </row>
    <row r="4236" spans="1:11" x14ac:dyDescent="0.2">
      <c r="A4236" s="8">
        <v>3214</v>
      </c>
      <c r="B4236" s="8">
        <f t="shared" si="138"/>
        <v>2025</v>
      </c>
      <c r="C4236" s="8">
        <f t="shared" si="139"/>
        <v>2</v>
      </c>
      <c r="D4236" s="204">
        <v>45689</v>
      </c>
      <c r="E4236" s="188"/>
      <c r="F4236" s="220">
        <v>282000</v>
      </c>
      <c r="G4236" s="188"/>
      <c r="H4236" s="188"/>
      <c r="I4236" s="188" t="s">
        <v>1992</v>
      </c>
      <c r="J4236" s="187" t="s">
        <v>4067</v>
      </c>
      <c r="K4236" s="186"/>
    </row>
    <row r="4237" spans="1:11" x14ac:dyDescent="0.2">
      <c r="A4237" s="8">
        <v>3215</v>
      </c>
      <c r="B4237" s="8">
        <f t="shared" si="138"/>
        <v>2025</v>
      </c>
      <c r="C4237" s="8">
        <f t="shared" si="139"/>
        <v>3</v>
      </c>
      <c r="D4237" s="204">
        <v>45717</v>
      </c>
      <c r="E4237" s="188"/>
      <c r="F4237" s="220">
        <v>50000</v>
      </c>
      <c r="G4237" s="188"/>
      <c r="H4237" s="188"/>
      <c r="I4237" s="188" t="s">
        <v>85</v>
      </c>
      <c r="J4237" s="187"/>
      <c r="K4237" s="186"/>
    </row>
    <row r="4238" spans="1:11" x14ac:dyDescent="0.2">
      <c r="A4238" s="8">
        <v>3216</v>
      </c>
      <c r="B4238" s="8">
        <f t="shared" si="138"/>
        <v>2025</v>
      </c>
      <c r="C4238" s="8">
        <f t="shared" si="139"/>
        <v>3</v>
      </c>
      <c r="D4238" s="204">
        <v>45718</v>
      </c>
      <c r="E4238" s="188"/>
      <c r="F4238" s="220">
        <v>50000</v>
      </c>
      <c r="G4238" s="188"/>
      <c r="H4238" s="188"/>
      <c r="I4238" s="188" t="s">
        <v>85</v>
      </c>
      <c r="J4238" s="187"/>
      <c r="K4238" s="186"/>
    </row>
    <row r="4239" spans="1:11" x14ac:dyDescent="0.2">
      <c r="A4239" s="8">
        <v>3217</v>
      </c>
      <c r="B4239" s="8">
        <f t="shared" si="138"/>
        <v>2025</v>
      </c>
      <c r="C4239" s="8">
        <f t="shared" si="139"/>
        <v>3</v>
      </c>
      <c r="D4239" s="204">
        <v>45719</v>
      </c>
      <c r="E4239" s="188"/>
      <c r="F4239" s="220">
        <v>50000</v>
      </c>
      <c r="G4239" s="188"/>
      <c r="H4239" s="188"/>
      <c r="I4239" s="188" t="s">
        <v>85</v>
      </c>
      <c r="J4239" s="187"/>
      <c r="K4239" s="186"/>
    </row>
    <row r="4240" spans="1:11" x14ac:dyDescent="0.2">
      <c r="A4240" s="8">
        <v>3218</v>
      </c>
      <c r="B4240" s="8">
        <f t="shared" si="138"/>
        <v>2025</v>
      </c>
      <c r="C4240" s="8">
        <f t="shared" si="139"/>
        <v>3</v>
      </c>
      <c r="D4240" s="204">
        <v>45720</v>
      </c>
      <c r="E4240" s="188"/>
      <c r="F4240" s="220">
        <v>50000</v>
      </c>
      <c r="G4240" s="188"/>
      <c r="H4240" s="188"/>
      <c r="I4240" s="188" t="s">
        <v>85</v>
      </c>
      <c r="J4240" s="187"/>
      <c r="K4240" s="186"/>
    </row>
    <row r="4241" spans="1:11" x14ac:dyDescent="0.2">
      <c r="A4241" s="8">
        <v>3219</v>
      </c>
      <c r="B4241" s="8">
        <f t="shared" si="138"/>
        <v>2025</v>
      </c>
      <c r="C4241" s="8">
        <f t="shared" si="139"/>
        <v>3</v>
      </c>
      <c r="D4241" s="204">
        <v>45721</v>
      </c>
      <c r="E4241" s="188"/>
      <c r="F4241" s="220">
        <v>50000</v>
      </c>
      <c r="G4241" s="188"/>
      <c r="H4241" s="188"/>
      <c r="I4241" s="188" t="s">
        <v>85</v>
      </c>
      <c r="J4241" s="187"/>
      <c r="K4241" s="186"/>
    </row>
    <row r="4242" spans="1:11" x14ac:dyDescent="0.2">
      <c r="A4242" s="8">
        <v>3220</v>
      </c>
      <c r="B4242" s="8">
        <f t="shared" si="138"/>
        <v>2025</v>
      </c>
      <c r="C4242" s="8">
        <f t="shared" si="139"/>
        <v>3</v>
      </c>
      <c r="D4242" s="204">
        <v>45722</v>
      </c>
      <c r="E4242" s="188"/>
      <c r="F4242" s="220">
        <v>50000</v>
      </c>
      <c r="G4242" s="188"/>
      <c r="H4242" s="188"/>
      <c r="I4242" s="188" t="s">
        <v>85</v>
      </c>
      <c r="J4242" s="187"/>
      <c r="K4242" s="186"/>
    </row>
    <row r="4243" spans="1:11" x14ac:dyDescent="0.2">
      <c r="A4243" s="8">
        <v>3221</v>
      </c>
      <c r="B4243" s="8">
        <f t="shared" si="138"/>
        <v>2025</v>
      </c>
      <c r="C4243" s="8">
        <f t="shared" si="139"/>
        <v>3</v>
      </c>
      <c r="D4243" s="204">
        <v>45723</v>
      </c>
      <c r="E4243" s="188"/>
      <c r="F4243" s="220">
        <v>50000</v>
      </c>
      <c r="G4243" s="188"/>
      <c r="H4243" s="188"/>
      <c r="I4243" s="188" t="s">
        <v>85</v>
      </c>
      <c r="J4243" s="187"/>
      <c r="K4243" s="186"/>
    </row>
    <row r="4244" spans="1:11" x14ac:dyDescent="0.2">
      <c r="A4244" s="8">
        <v>3222</v>
      </c>
      <c r="B4244" s="8">
        <f t="shared" si="138"/>
        <v>2025</v>
      </c>
      <c r="C4244" s="8">
        <f t="shared" si="139"/>
        <v>3</v>
      </c>
      <c r="D4244" s="85">
        <v>45724</v>
      </c>
      <c r="E4244" s="31"/>
      <c r="F4244" s="31">
        <v>20000</v>
      </c>
      <c r="G4244" s="31"/>
      <c r="H4244" s="31"/>
      <c r="I4244" s="31" t="s">
        <v>85</v>
      </c>
      <c r="J4244" s="5" t="s">
        <v>4078</v>
      </c>
      <c r="K4244" s="8"/>
    </row>
    <row r="4245" spans="1:11" x14ac:dyDescent="0.2">
      <c r="A4245" s="8">
        <v>3223</v>
      </c>
      <c r="B4245" s="8">
        <f t="shared" si="138"/>
        <v>2025</v>
      </c>
      <c r="C4245" s="8">
        <f t="shared" si="139"/>
        <v>3</v>
      </c>
      <c r="D4245" s="85">
        <v>45724</v>
      </c>
      <c r="E4245" s="31"/>
      <c r="F4245" s="31">
        <v>82000</v>
      </c>
      <c r="G4245" s="31"/>
      <c r="H4245" s="31"/>
      <c r="I4245" s="31" t="s">
        <v>85</v>
      </c>
      <c r="J4245" s="5" t="s">
        <v>4079</v>
      </c>
      <c r="K4245" s="8"/>
    </row>
    <row r="4246" spans="1:11" x14ac:dyDescent="0.2">
      <c r="A4246" s="8">
        <v>3224</v>
      </c>
      <c r="B4246" s="8">
        <f t="shared" si="138"/>
        <v>2025</v>
      </c>
      <c r="C4246" s="8">
        <f t="shared" si="139"/>
        <v>3</v>
      </c>
      <c r="D4246" s="85">
        <v>45724</v>
      </c>
      <c r="E4246" s="31"/>
      <c r="F4246" s="31">
        <v>52000</v>
      </c>
      <c r="G4246" s="31"/>
      <c r="H4246" s="31"/>
      <c r="I4246" s="31" t="s">
        <v>91</v>
      </c>
      <c r="J4246" s="5" t="s">
        <v>4080</v>
      </c>
      <c r="K4246" s="8"/>
    </row>
    <row r="4247" spans="1:11" x14ac:dyDescent="0.2">
      <c r="A4247" s="8">
        <v>3225</v>
      </c>
      <c r="B4247" s="8">
        <f t="shared" si="138"/>
        <v>2025</v>
      </c>
      <c r="C4247" s="8">
        <f t="shared" si="139"/>
        <v>3</v>
      </c>
      <c r="D4247" s="85">
        <v>45725</v>
      </c>
      <c r="E4247" s="31"/>
      <c r="F4247" s="31">
        <v>36000</v>
      </c>
      <c r="G4247" s="31"/>
      <c r="H4247" s="31"/>
      <c r="I4247" s="31" t="s">
        <v>91</v>
      </c>
      <c r="J4247" s="5" t="s">
        <v>2376</v>
      </c>
      <c r="K4247" s="8"/>
    </row>
    <row r="4248" spans="1:11" x14ac:dyDescent="0.2">
      <c r="A4248" s="8">
        <v>3226</v>
      </c>
      <c r="B4248" s="8">
        <f t="shared" si="138"/>
        <v>2025</v>
      </c>
      <c r="C4248" s="8">
        <f t="shared" si="139"/>
        <v>3</v>
      </c>
      <c r="D4248" s="204">
        <v>45725</v>
      </c>
      <c r="E4248" s="188"/>
      <c r="F4248" s="188">
        <v>100000</v>
      </c>
      <c r="G4248" s="188"/>
      <c r="H4248" s="188"/>
      <c r="I4248" s="188" t="s">
        <v>1350</v>
      </c>
      <c r="J4248" s="187" t="s">
        <v>4081</v>
      </c>
      <c r="K4248" s="186"/>
    </row>
    <row r="4249" spans="1:11" x14ac:dyDescent="0.2">
      <c r="A4249" s="8">
        <v>3227</v>
      </c>
      <c r="B4249" s="8">
        <f t="shared" si="138"/>
        <v>2025</v>
      </c>
      <c r="C4249" s="8">
        <f t="shared" si="139"/>
        <v>3</v>
      </c>
      <c r="D4249" s="204">
        <v>45725</v>
      </c>
      <c r="E4249" s="188"/>
      <c r="F4249" s="188">
        <v>56000</v>
      </c>
      <c r="G4249" s="188"/>
      <c r="H4249" s="188"/>
      <c r="I4249" s="188" t="s">
        <v>91</v>
      </c>
      <c r="J4249" s="187" t="s">
        <v>4082</v>
      </c>
      <c r="K4249" s="186"/>
    </row>
    <row r="4250" spans="1:11" x14ac:dyDescent="0.2">
      <c r="A4250" s="8">
        <v>3228</v>
      </c>
      <c r="B4250" s="8">
        <f t="shared" si="138"/>
        <v>2025</v>
      </c>
      <c r="C4250" s="8">
        <f t="shared" si="139"/>
        <v>3</v>
      </c>
      <c r="D4250" s="204">
        <v>45725</v>
      </c>
      <c r="E4250" s="188"/>
      <c r="F4250" s="188">
        <v>125000</v>
      </c>
      <c r="G4250" s="188"/>
      <c r="H4250" s="188"/>
      <c r="I4250" s="188" t="s">
        <v>335</v>
      </c>
      <c r="J4250" s="187" t="s">
        <v>4083</v>
      </c>
      <c r="K4250" s="186"/>
    </row>
    <row r="4251" spans="1:11" x14ac:dyDescent="0.2">
      <c r="A4251" s="8">
        <v>3229</v>
      </c>
      <c r="B4251" s="8">
        <f t="shared" si="138"/>
        <v>2025</v>
      </c>
      <c r="C4251" s="8">
        <f t="shared" si="139"/>
        <v>3</v>
      </c>
      <c r="D4251" s="204">
        <v>45725</v>
      </c>
      <c r="E4251" s="188"/>
      <c r="F4251" s="188">
        <v>15000</v>
      </c>
      <c r="G4251" s="188"/>
      <c r="H4251" s="188"/>
      <c r="I4251" s="188" t="s">
        <v>1350</v>
      </c>
      <c r="J4251" s="187" t="s">
        <v>4084</v>
      </c>
      <c r="K4251" s="186"/>
    </row>
    <row r="4252" spans="1:11" x14ac:dyDescent="0.2">
      <c r="A4252" s="8">
        <v>3230</v>
      </c>
      <c r="B4252" s="8">
        <f t="shared" si="138"/>
        <v>2025</v>
      </c>
      <c r="C4252" s="8">
        <f t="shared" si="139"/>
        <v>3</v>
      </c>
      <c r="D4252" s="204">
        <v>45725</v>
      </c>
      <c r="E4252" s="188"/>
      <c r="F4252" s="188">
        <v>213000</v>
      </c>
      <c r="G4252" s="188"/>
      <c r="H4252" s="188"/>
      <c r="I4252" s="188" t="s">
        <v>299</v>
      </c>
      <c r="J4252" s="187" t="s">
        <v>4085</v>
      </c>
      <c r="K4252" s="186"/>
    </row>
    <row r="4253" spans="1:11" x14ac:dyDescent="0.2">
      <c r="A4253" s="8">
        <v>3231</v>
      </c>
      <c r="B4253" s="8">
        <f t="shared" si="138"/>
        <v>2025</v>
      </c>
      <c r="C4253" s="8">
        <f t="shared" si="139"/>
        <v>3</v>
      </c>
      <c r="D4253" s="204">
        <v>45726</v>
      </c>
      <c r="E4253" s="188"/>
      <c r="F4253" s="188">
        <v>50000</v>
      </c>
      <c r="G4253" s="188"/>
      <c r="H4253" s="188"/>
      <c r="I4253" s="188" t="s">
        <v>85</v>
      </c>
      <c r="J4253" s="187" t="s">
        <v>2602</v>
      </c>
      <c r="K4253" s="186"/>
    </row>
    <row r="4254" spans="1:11" x14ac:dyDescent="0.2">
      <c r="A4254" s="8">
        <v>3232</v>
      </c>
      <c r="B4254" s="8">
        <f t="shared" si="138"/>
        <v>2025</v>
      </c>
      <c r="C4254" s="8">
        <f t="shared" si="139"/>
        <v>3</v>
      </c>
      <c r="D4254" s="204">
        <v>45726</v>
      </c>
      <c r="E4254" s="188"/>
      <c r="F4254" s="188">
        <v>170000</v>
      </c>
      <c r="G4254" s="188"/>
      <c r="H4254" s="188"/>
      <c r="I4254" s="188" t="s">
        <v>85</v>
      </c>
      <c r="J4254" s="187" t="s">
        <v>4086</v>
      </c>
      <c r="K4254" s="186"/>
    </row>
    <row r="4255" spans="1:11" x14ac:dyDescent="0.2">
      <c r="A4255" s="8">
        <v>3233</v>
      </c>
      <c r="B4255" s="8">
        <f t="shared" si="138"/>
        <v>2025</v>
      </c>
      <c r="C4255" s="8">
        <f t="shared" si="139"/>
        <v>3</v>
      </c>
      <c r="D4255" s="204">
        <v>45727</v>
      </c>
      <c r="E4255" s="188"/>
      <c r="F4255" s="188">
        <v>261000</v>
      </c>
      <c r="G4255" s="188"/>
      <c r="H4255" s="188"/>
      <c r="I4255" s="188" t="s">
        <v>149</v>
      </c>
      <c r="J4255" s="187" t="s">
        <v>4087</v>
      </c>
      <c r="K4255" s="186"/>
    </row>
    <row r="4256" spans="1:11" x14ac:dyDescent="0.2">
      <c r="A4256" s="8">
        <v>3234</v>
      </c>
      <c r="B4256" s="8">
        <f t="shared" si="138"/>
        <v>2025</v>
      </c>
      <c r="C4256" s="8">
        <f t="shared" si="139"/>
        <v>3</v>
      </c>
      <c r="D4256" s="204">
        <v>45727</v>
      </c>
      <c r="E4256" s="188"/>
      <c r="F4256" s="188">
        <v>14000</v>
      </c>
      <c r="G4256" s="188"/>
      <c r="H4256" s="188"/>
      <c r="I4256" s="188" t="s">
        <v>91</v>
      </c>
      <c r="J4256" s="187" t="s">
        <v>2712</v>
      </c>
      <c r="K4256" s="186"/>
    </row>
    <row r="4257" spans="1:11" x14ac:dyDescent="0.2">
      <c r="A4257" s="8">
        <v>3235</v>
      </c>
      <c r="B4257" s="8">
        <f t="shared" si="138"/>
        <v>2025</v>
      </c>
      <c r="C4257" s="8">
        <f t="shared" si="139"/>
        <v>3</v>
      </c>
      <c r="D4257" s="204">
        <v>45727</v>
      </c>
      <c r="E4257" s="188"/>
      <c r="F4257" s="188">
        <v>17000</v>
      </c>
      <c r="G4257" s="188"/>
      <c r="H4257" s="188"/>
      <c r="I4257" s="188" t="s">
        <v>91</v>
      </c>
      <c r="J4257" s="187" t="s">
        <v>2369</v>
      </c>
      <c r="K4257" s="186"/>
    </row>
    <row r="4258" spans="1:11" x14ac:dyDescent="0.2">
      <c r="A4258" s="8">
        <v>3236</v>
      </c>
      <c r="B4258" s="8">
        <f t="shared" si="138"/>
        <v>2025</v>
      </c>
      <c r="C4258" s="8">
        <f t="shared" si="139"/>
        <v>3</v>
      </c>
      <c r="D4258" s="204">
        <v>45727</v>
      </c>
      <c r="E4258" s="188"/>
      <c r="F4258" s="188">
        <v>2000000</v>
      </c>
      <c r="G4258" s="188"/>
      <c r="H4258" s="188"/>
      <c r="I4258" s="188" t="s">
        <v>1999</v>
      </c>
      <c r="J4258" s="187" t="s">
        <v>4088</v>
      </c>
      <c r="K4258" s="186"/>
    </row>
    <row r="4259" spans="1:11" x14ac:dyDescent="0.2">
      <c r="A4259" s="8">
        <v>3237</v>
      </c>
      <c r="B4259" s="8">
        <f t="shared" si="138"/>
        <v>2025</v>
      </c>
      <c r="C4259" s="8">
        <f t="shared" si="139"/>
        <v>3</v>
      </c>
      <c r="D4259" s="204">
        <v>45728</v>
      </c>
      <c r="E4259" s="188"/>
      <c r="F4259" s="188">
        <v>50000</v>
      </c>
      <c r="G4259" s="188"/>
      <c r="H4259" s="188"/>
      <c r="I4259" s="188" t="s">
        <v>85</v>
      </c>
      <c r="J4259" s="187" t="s">
        <v>2605</v>
      </c>
      <c r="K4259" s="186"/>
    </row>
    <row r="4260" spans="1:11" x14ac:dyDescent="0.2">
      <c r="A4260" s="8">
        <v>3238</v>
      </c>
      <c r="B4260" s="8">
        <f t="shared" si="138"/>
        <v>2025</v>
      </c>
      <c r="C4260" s="8">
        <f t="shared" si="139"/>
        <v>3</v>
      </c>
      <c r="D4260" s="204">
        <v>45729</v>
      </c>
      <c r="E4260" s="188"/>
      <c r="F4260" s="188">
        <v>17000</v>
      </c>
      <c r="G4260" s="188"/>
      <c r="H4260" s="188"/>
      <c r="I4260" s="188" t="s">
        <v>91</v>
      </c>
      <c r="J4260" s="187" t="s">
        <v>4089</v>
      </c>
      <c r="K4260" s="186"/>
    </row>
    <row r="4261" spans="1:11" x14ac:dyDescent="0.2">
      <c r="A4261" s="8">
        <v>3239</v>
      </c>
      <c r="B4261" s="8">
        <f t="shared" si="138"/>
        <v>2025</v>
      </c>
      <c r="C4261" s="8">
        <f t="shared" si="139"/>
        <v>3</v>
      </c>
      <c r="D4261" s="204">
        <v>45729</v>
      </c>
      <c r="E4261" s="188"/>
      <c r="F4261" s="188">
        <v>540000</v>
      </c>
      <c r="G4261" s="188"/>
      <c r="H4261" s="188"/>
      <c r="I4261" s="188" t="s">
        <v>1999</v>
      </c>
      <c r="J4261" s="187" t="s">
        <v>4090</v>
      </c>
      <c r="K4261" s="186"/>
    </row>
    <row r="4262" spans="1:11" x14ac:dyDescent="0.2">
      <c r="A4262" s="8">
        <v>3240</v>
      </c>
      <c r="B4262" s="8">
        <f t="shared" si="138"/>
        <v>2025</v>
      </c>
      <c r="C4262" s="8">
        <f t="shared" si="139"/>
        <v>3</v>
      </c>
      <c r="D4262" s="204">
        <v>45730</v>
      </c>
      <c r="E4262" s="188"/>
      <c r="F4262" s="188">
        <v>50000</v>
      </c>
      <c r="G4262" s="188"/>
      <c r="H4262" s="188"/>
      <c r="I4262" s="188" t="s">
        <v>85</v>
      </c>
      <c r="J4262" s="187" t="s">
        <v>2605</v>
      </c>
      <c r="K4262" s="186"/>
    </row>
    <row r="4263" spans="1:11" x14ac:dyDescent="0.2">
      <c r="A4263" s="8">
        <v>3241</v>
      </c>
      <c r="B4263" s="8">
        <f t="shared" si="138"/>
        <v>2025</v>
      </c>
      <c r="C4263" s="8">
        <f t="shared" si="139"/>
        <v>3</v>
      </c>
      <c r="D4263" s="204">
        <v>45731</v>
      </c>
      <c r="E4263" s="188"/>
      <c r="F4263" s="188">
        <v>80000</v>
      </c>
      <c r="G4263" s="188"/>
      <c r="H4263" s="188"/>
      <c r="I4263" s="188" t="s">
        <v>91</v>
      </c>
      <c r="J4263" s="187" t="s">
        <v>4091</v>
      </c>
      <c r="K4263" s="186"/>
    </row>
    <row r="4264" spans="1:11" x14ac:dyDescent="0.2">
      <c r="A4264" s="8">
        <v>3242</v>
      </c>
      <c r="B4264" s="8">
        <f t="shared" si="138"/>
        <v>2025</v>
      </c>
      <c r="C4264" s="8">
        <f t="shared" si="139"/>
        <v>3</v>
      </c>
      <c r="D4264" s="204">
        <v>45731</v>
      </c>
      <c r="E4264" s="188"/>
      <c r="F4264" s="188">
        <v>30000</v>
      </c>
      <c r="G4264" s="188"/>
      <c r="H4264" s="188"/>
      <c r="I4264" s="188" t="s">
        <v>85</v>
      </c>
      <c r="J4264" s="187" t="s">
        <v>2551</v>
      </c>
      <c r="K4264" s="186"/>
    </row>
    <row r="4265" spans="1:11" x14ac:dyDescent="0.2">
      <c r="A4265" s="8">
        <v>3243</v>
      </c>
      <c r="B4265" s="8">
        <f t="shared" si="138"/>
        <v>2025</v>
      </c>
      <c r="C4265" s="8">
        <f t="shared" si="139"/>
        <v>3</v>
      </c>
      <c r="D4265" s="204">
        <v>45732</v>
      </c>
      <c r="E4265" s="188"/>
      <c r="F4265" s="188">
        <v>36000</v>
      </c>
      <c r="G4265" s="188"/>
      <c r="H4265" s="188"/>
      <c r="I4265" s="188" t="s">
        <v>91</v>
      </c>
      <c r="J4265" s="187" t="s">
        <v>2376</v>
      </c>
      <c r="K4265" s="186"/>
    </row>
    <row r="4266" spans="1:11" x14ac:dyDescent="0.2">
      <c r="A4266" s="8">
        <v>3244</v>
      </c>
      <c r="B4266" s="8">
        <f t="shared" si="138"/>
        <v>2025</v>
      </c>
      <c r="C4266" s="8">
        <f t="shared" si="139"/>
        <v>3</v>
      </c>
      <c r="D4266" s="204">
        <v>45732</v>
      </c>
      <c r="E4266" s="188"/>
      <c r="F4266" s="188">
        <v>28000</v>
      </c>
      <c r="G4266" s="188"/>
      <c r="H4266" s="188"/>
      <c r="I4266" s="188" t="s">
        <v>91</v>
      </c>
      <c r="J4266" s="187" t="s">
        <v>3973</v>
      </c>
      <c r="K4266" s="186"/>
    </row>
    <row r="4267" spans="1:11" x14ac:dyDescent="0.2">
      <c r="A4267" s="8">
        <v>3245</v>
      </c>
      <c r="B4267" s="8">
        <f t="shared" si="138"/>
        <v>2025</v>
      </c>
      <c r="C4267" s="8">
        <f t="shared" si="139"/>
        <v>3</v>
      </c>
      <c r="D4267" s="204">
        <v>45733</v>
      </c>
      <c r="E4267" s="188"/>
      <c r="F4267" s="188">
        <v>45000</v>
      </c>
      <c r="G4267" s="188"/>
      <c r="H4267" s="188"/>
      <c r="I4267" s="188" t="s">
        <v>1992</v>
      </c>
      <c r="J4267" s="187" t="s">
        <v>4092</v>
      </c>
      <c r="K4267" s="186"/>
    </row>
    <row r="4268" spans="1:11" x14ac:dyDescent="0.2">
      <c r="A4268" s="8">
        <v>3246</v>
      </c>
      <c r="B4268" s="8">
        <f t="shared" si="138"/>
        <v>2025</v>
      </c>
      <c r="C4268" s="8">
        <f t="shared" si="139"/>
        <v>3</v>
      </c>
      <c r="D4268" s="204">
        <v>45733</v>
      </c>
      <c r="E4268" s="188"/>
      <c r="F4268" s="188">
        <v>30000</v>
      </c>
      <c r="G4268" s="188"/>
      <c r="H4268" s="188"/>
      <c r="I4268" s="188" t="s">
        <v>91</v>
      </c>
      <c r="J4268" s="187" t="s">
        <v>2626</v>
      </c>
      <c r="K4268" s="186"/>
    </row>
    <row r="4269" spans="1:11" x14ac:dyDescent="0.2">
      <c r="A4269" s="8">
        <v>3247</v>
      </c>
      <c r="B4269" s="8">
        <f t="shared" si="138"/>
        <v>2025</v>
      </c>
      <c r="C4269" s="8">
        <f t="shared" si="139"/>
        <v>3</v>
      </c>
      <c r="D4269" s="204">
        <v>45733</v>
      </c>
      <c r="E4269" s="188"/>
      <c r="F4269" s="188">
        <v>17000</v>
      </c>
      <c r="G4269" s="188"/>
      <c r="H4269" s="188"/>
      <c r="I4269" s="188" t="s">
        <v>91</v>
      </c>
      <c r="J4269" s="187" t="s">
        <v>4089</v>
      </c>
      <c r="K4269" s="186"/>
    </row>
    <row r="4270" spans="1:11" x14ac:dyDescent="0.2">
      <c r="A4270" s="8">
        <v>3248</v>
      </c>
      <c r="B4270" s="8">
        <f t="shared" si="138"/>
        <v>2025</v>
      </c>
      <c r="C4270" s="8">
        <f t="shared" si="139"/>
        <v>3</v>
      </c>
      <c r="D4270" s="204">
        <v>45734</v>
      </c>
      <c r="E4270" s="188"/>
      <c r="F4270" s="188">
        <v>18000</v>
      </c>
      <c r="G4270" s="188"/>
      <c r="H4270" s="188"/>
      <c r="I4270" s="188" t="s">
        <v>91</v>
      </c>
      <c r="J4270" s="187" t="s">
        <v>4093</v>
      </c>
      <c r="K4270" s="186"/>
    </row>
    <row r="4271" spans="1:11" x14ac:dyDescent="0.2">
      <c r="A4271" s="8">
        <v>3249</v>
      </c>
      <c r="B4271" s="8">
        <f t="shared" si="138"/>
        <v>2025</v>
      </c>
      <c r="C4271" s="8">
        <f t="shared" si="139"/>
        <v>3</v>
      </c>
      <c r="D4271" s="204">
        <v>45734</v>
      </c>
      <c r="E4271" s="188"/>
      <c r="F4271" s="188">
        <v>20000</v>
      </c>
      <c r="G4271" s="188"/>
      <c r="H4271" s="188"/>
      <c r="I4271" s="188" t="s">
        <v>85</v>
      </c>
      <c r="J4271" s="187" t="s">
        <v>4094</v>
      </c>
      <c r="K4271" s="186"/>
    </row>
    <row r="4272" spans="1:11" x14ac:dyDescent="0.2">
      <c r="A4272" s="8">
        <v>3250</v>
      </c>
      <c r="B4272" s="8">
        <f t="shared" si="138"/>
        <v>2025</v>
      </c>
      <c r="C4272" s="8">
        <f t="shared" si="139"/>
        <v>3</v>
      </c>
      <c r="D4272" s="204">
        <v>45734</v>
      </c>
      <c r="E4272" s="188"/>
      <c r="F4272" s="188">
        <v>12000</v>
      </c>
      <c r="G4272" s="188"/>
      <c r="H4272" s="188"/>
      <c r="I4272" s="188" t="s">
        <v>1992</v>
      </c>
      <c r="J4272" s="187" t="s">
        <v>4095</v>
      </c>
      <c r="K4272" s="186"/>
    </row>
    <row r="4273" spans="1:11" x14ac:dyDescent="0.2">
      <c r="A4273" s="8">
        <v>3251</v>
      </c>
      <c r="B4273" s="8">
        <f t="shared" si="138"/>
        <v>2025</v>
      </c>
      <c r="C4273" s="8">
        <f t="shared" si="139"/>
        <v>3</v>
      </c>
      <c r="D4273" s="204">
        <v>45735</v>
      </c>
      <c r="E4273" s="188"/>
      <c r="F4273" s="188">
        <v>110000</v>
      </c>
      <c r="G4273" s="188"/>
      <c r="H4273" s="188"/>
      <c r="I4273" s="188" t="s">
        <v>1350</v>
      </c>
      <c r="J4273" s="187" t="s">
        <v>4096</v>
      </c>
      <c r="K4273" s="186"/>
    </row>
    <row r="4274" spans="1:11" x14ac:dyDescent="0.2">
      <c r="A4274" s="8">
        <v>3252</v>
      </c>
      <c r="B4274" s="8">
        <f t="shared" si="138"/>
        <v>2025</v>
      </c>
      <c r="C4274" s="8">
        <f t="shared" si="139"/>
        <v>3</v>
      </c>
      <c r="D4274" s="204">
        <v>45735</v>
      </c>
      <c r="E4274" s="188"/>
      <c r="F4274" s="188">
        <v>16000</v>
      </c>
      <c r="G4274" s="188"/>
      <c r="H4274" s="188"/>
      <c r="I4274" s="188" t="s">
        <v>91</v>
      </c>
      <c r="J4274" s="187" t="s">
        <v>2679</v>
      </c>
      <c r="K4274" s="186"/>
    </row>
    <row r="4275" spans="1:11" x14ac:dyDescent="0.2">
      <c r="A4275" s="8">
        <v>3253</v>
      </c>
      <c r="B4275" s="8">
        <f t="shared" si="138"/>
        <v>2025</v>
      </c>
      <c r="C4275" s="8">
        <f t="shared" si="139"/>
        <v>3</v>
      </c>
      <c r="D4275" s="204">
        <v>45735</v>
      </c>
      <c r="E4275" s="188"/>
      <c r="F4275" s="188">
        <v>20000</v>
      </c>
      <c r="G4275" s="188"/>
      <c r="H4275" s="188"/>
      <c r="I4275" s="188" t="s">
        <v>85</v>
      </c>
      <c r="J4275" s="187" t="s">
        <v>4097</v>
      </c>
      <c r="K4275" s="186"/>
    </row>
    <row r="4276" spans="1:11" x14ac:dyDescent="0.2">
      <c r="A4276" s="8">
        <v>3254</v>
      </c>
      <c r="B4276" s="8">
        <f t="shared" si="138"/>
        <v>2025</v>
      </c>
      <c r="C4276" s="8">
        <f t="shared" si="139"/>
        <v>3</v>
      </c>
      <c r="D4276" s="204">
        <v>45736</v>
      </c>
      <c r="E4276" s="188"/>
      <c r="F4276" s="188">
        <v>50000</v>
      </c>
      <c r="G4276" s="188"/>
      <c r="H4276" s="188"/>
      <c r="I4276" s="188" t="s">
        <v>85</v>
      </c>
      <c r="J4276" s="187" t="s">
        <v>2605</v>
      </c>
      <c r="K4276" s="186"/>
    </row>
    <row r="4277" spans="1:11" x14ac:dyDescent="0.2">
      <c r="A4277" s="8">
        <v>3255</v>
      </c>
      <c r="B4277" s="8">
        <f t="shared" si="138"/>
        <v>2025</v>
      </c>
      <c r="C4277" s="8">
        <f t="shared" si="139"/>
        <v>3</v>
      </c>
      <c r="D4277" s="204">
        <v>45737</v>
      </c>
      <c r="E4277" s="188"/>
      <c r="F4277" s="188">
        <v>10000</v>
      </c>
      <c r="G4277" s="188"/>
      <c r="H4277" s="188"/>
      <c r="I4277" s="188" t="s">
        <v>91</v>
      </c>
      <c r="J4277" s="187" t="s">
        <v>2616</v>
      </c>
      <c r="K4277" s="186"/>
    </row>
    <row r="4278" spans="1:11" x14ac:dyDescent="0.2">
      <c r="A4278" s="8">
        <v>3256</v>
      </c>
      <c r="B4278" s="8">
        <f t="shared" si="138"/>
        <v>2025</v>
      </c>
      <c r="C4278" s="8">
        <f t="shared" si="139"/>
        <v>3</v>
      </c>
      <c r="D4278" s="204">
        <v>45737</v>
      </c>
      <c r="E4278" s="188"/>
      <c r="F4278" s="188">
        <v>250000</v>
      </c>
      <c r="G4278" s="188"/>
      <c r="H4278" s="188"/>
      <c r="I4278" s="188" t="s">
        <v>1999</v>
      </c>
      <c r="J4278" s="187" t="s">
        <v>4098</v>
      </c>
      <c r="K4278" s="186"/>
    </row>
    <row r="4279" spans="1:11" x14ac:dyDescent="0.2">
      <c r="A4279" s="8">
        <v>3257</v>
      </c>
      <c r="B4279" s="8">
        <f t="shared" si="138"/>
        <v>2025</v>
      </c>
      <c r="C4279" s="8">
        <f t="shared" si="139"/>
        <v>3</v>
      </c>
      <c r="D4279" s="204">
        <v>45737</v>
      </c>
      <c r="E4279" s="188"/>
      <c r="F4279" s="188">
        <v>90000</v>
      </c>
      <c r="G4279" s="188"/>
      <c r="H4279" s="188"/>
      <c r="I4279" s="188" t="s">
        <v>85</v>
      </c>
      <c r="J4279" s="187" t="s">
        <v>4099</v>
      </c>
      <c r="K4279" s="186"/>
    </row>
    <row r="4280" spans="1:11" x14ac:dyDescent="0.2">
      <c r="A4280" s="8">
        <v>3258</v>
      </c>
      <c r="B4280" s="8">
        <f t="shared" si="138"/>
        <v>2025</v>
      </c>
      <c r="C4280" s="8">
        <f t="shared" si="139"/>
        <v>3</v>
      </c>
      <c r="D4280" s="204">
        <v>45738</v>
      </c>
      <c r="E4280" s="188"/>
      <c r="F4280" s="188">
        <v>100000</v>
      </c>
      <c r="G4280" s="188"/>
      <c r="H4280" s="188"/>
      <c r="I4280" s="188" t="s">
        <v>85</v>
      </c>
      <c r="J4280" s="187"/>
      <c r="K4280" s="186"/>
    </row>
    <row r="4281" spans="1:11" x14ac:dyDescent="0.2">
      <c r="A4281" s="8">
        <v>3259</v>
      </c>
      <c r="B4281" s="8">
        <f t="shared" si="138"/>
        <v>2025</v>
      </c>
      <c r="C4281" s="8">
        <f t="shared" si="139"/>
        <v>3</v>
      </c>
      <c r="D4281" s="204">
        <v>45739</v>
      </c>
      <c r="E4281" s="188"/>
      <c r="F4281" s="188">
        <v>700000</v>
      </c>
      <c r="G4281" s="188"/>
      <c r="H4281" s="188"/>
      <c r="I4281" s="188" t="s">
        <v>1729</v>
      </c>
      <c r="J4281" s="187" t="s">
        <v>4100</v>
      </c>
      <c r="K4281" s="186"/>
    </row>
    <row r="4282" spans="1:11" x14ac:dyDescent="0.2">
      <c r="A4282" s="8">
        <v>3260</v>
      </c>
      <c r="B4282" s="8">
        <f t="shared" si="138"/>
        <v>2025</v>
      </c>
      <c r="C4282" s="8">
        <f t="shared" si="139"/>
        <v>3</v>
      </c>
      <c r="D4282" s="204">
        <v>45739</v>
      </c>
      <c r="E4282" s="188"/>
      <c r="F4282" s="188">
        <v>35000</v>
      </c>
      <c r="G4282" s="188"/>
      <c r="H4282" s="188"/>
      <c r="I4282" s="188" t="s">
        <v>85</v>
      </c>
      <c r="J4282" s="187" t="s">
        <v>4101</v>
      </c>
      <c r="K4282" s="186"/>
    </row>
    <row r="4283" spans="1:11" x14ac:dyDescent="0.2">
      <c r="A4283" s="8">
        <v>3261</v>
      </c>
      <c r="B4283" s="8">
        <f t="shared" si="138"/>
        <v>2025</v>
      </c>
      <c r="C4283" s="8">
        <f t="shared" si="139"/>
        <v>3</v>
      </c>
      <c r="D4283" s="204">
        <v>45739</v>
      </c>
      <c r="E4283" s="188"/>
      <c r="F4283" s="188">
        <v>100000</v>
      </c>
      <c r="G4283" s="188"/>
      <c r="H4283" s="188"/>
      <c r="I4283" s="188" t="s">
        <v>91</v>
      </c>
      <c r="J4283" s="187" t="s">
        <v>2929</v>
      </c>
      <c r="K4283" s="186"/>
    </row>
    <row r="4284" spans="1:11" x14ac:dyDescent="0.2">
      <c r="A4284" s="8">
        <v>3262</v>
      </c>
      <c r="B4284" s="8">
        <f t="shared" si="138"/>
        <v>2025</v>
      </c>
      <c r="C4284" s="8">
        <f t="shared" si="139"/>
        <v>3</v>
      </c>
      <c r="D4284" s="204">
        <v>45739</v>
      </c>
      <c r="E4284" s="188"/>
      <c r="F4284" s="188">
        <v>30000</v>
      </c>
      <c r="G4284" s="188"/>
      <c r="H4284" s="188"/>
      <c r="I4284" s="188" t="s">
        <v>91</v>
      </c>
      <c r="J4284" s="187" t="s">
        <v>3985</v>
      </c>
      <c r="K4284" s="186"/>
    </row>
    <row r="4285" spans="1:11" x14ac:dyDescent="0.2">
      <c r="A4285" s="8">
        <v>3263</v>
      </c>
      <c r="B4285" s="8">
        <f t="shared" si="138"/>
        <v>2025</v>
      </c>
      <c r="C4285" s="8">
        <f t="shared" si="139"/>
        <v>3</v>
      </c>
      <c r="D4285" s="204">
        <v>45740</v>
      </c>
      <c r="E4285" s="188"/>
      <c r="F4285" s="188">
        <v>150000</v>
      </c>
      <c r="G4285" s="188"/>
      <c r="H4285" s="188"/>
      <c r="I4285" s="188" t="s">
        <v>1350</v>
      </c>
      <c r="J4285" s="187" t="s">
        <v>4102</v>
      </c>
      <c r="K4285" s="186"/>
    </row>
    <row r="4286" spans="1:11" x14ac:dyDescent="0.2">
      <c r="A4286" s="8">
        <v>3264</v>
      </c>
      <c r="B4286" s="8">
        <f t="shared" si="138"/>
        <v>2025</v>
      </c>
      <c r="C4286" s="8">
        <f t="shared" si="139"/>
        <v>3</v>
      </c>
      <c r="D4286" s="204">
        <v>45740</v>
      </c>
      <c r="E4286" s="188"/>
      <c r="F4286" s="188">
        <v>50000</v>
      </c>
      <c r="G4286" s="188"/>
      <c r="H4286" s="188"/>
      <c r="I4286" s="188" t="s">
        <v>85</v>
      </c>
      <c r="J4286" s="187" t="s">
        <v>2605</v>
      </c>
      <c r="K4286" s="186"/>
    </row>
    <row r="4287" spans="1:11" x14ac:dyDescent="0.2">
      <c r="A4287" s="8">
        <v>3265</v>
      </c>
      <c r="B4287" s="8">
        <f t="shared" si="138"/>
        <v>2025</v>
      </c>
      <c r="C4287" s="8">
        <f t="shared" si="139"/>
        <v>3</v>
      </c>
      <c r="D4287" s="204">
        <v>45741</v>
      </c>
      <c r="E4287" s="188"/>
      <c r="F4287" s="188">
        <v>120000</v>
      </c>
      <c r="G4287" s="188"/>
      <c r="H4287" s="188"/>
      <c r="I4287" s="188" t="s">
        <v>1350</v>
      </c>
      <c r="J4287" s="187" t="s">
        <v>4103</v>
      </c>
      <c r="K4287" s="186"/>
    </row>
    <row r="4288" spans="1:11" x14ac:dyDescent="0.2">
      <c r="A4288" s="8">
        <v>3266</v>
      </c>
      <c r="B4288" s="8">
        <f t="shared" si="138"/>
        <v>2025</v>
      </c>
      <c r="C4288" s="8">
        <f t="shared" si="139"/>
        <v>3</v>
      </c>
      <c r="D4288" s="204">
        <v>45741</v>
      </c>
      <c r="E4288" s="188"/>
      <c r="F4288" s="188">
        <v>32000</v>
      </c>
      <c r="G4288" s="188"/>
      <c r="H4288" s="188"/>
      <c r="I4288" s="188" t="s">
        <v>1350</v>
      </c>
      <c r="J4288" s="187" t="s">
        <v>4104</v>
      </c>
      <c r="K4288" s="186"/>
    </row>
    <row r="4289" spans="1:11" x14ac:dyDescent="0.2">
      <c r="A4289" s="8">
        <v>3267</v>
      </c>
      <c r="B4289" s="8">
        <f t="shared" si="138"/>
        <v>2025</v>
      </c>
      <c r="C4289" s="8">
        <f t="shared" si="139"/>
        <v>3</v>
      </c>
      <c r="D4289" s="204">
        <v>45741</v>
      </c>
      <c r="E4289" s="188"/>
      <c r="F4289" s="188">
        <v>2750000</v>
      </c>
      <c r="G4289" s="188"/>
      <c r="H4289" s="188"/>
      <c r="I4289" s="188" t="s">
        <v>4137</v>
      </c>
      <c r="J4289" s="187" t="s">
        <v>4105</v>
      </c>
      <c r="K4289" s="186"/>
    </row>
    <row r="4290" spans="1:11" x14ac:dyDescent="0.2">
      <c r="A4290" s="8">
        <v>3268</v>
      </c>
      <c r="B4290" s="8">
        <f t="shared" si="138"/>
        <v>2025</v>
      </c>
      <c r="C4290" s="8">
        <f t="shared" si="139"/>
        <v>3</v>
      </c>
      <c r="D4290" s="204">
        <v>45741</v>
      </c>
      <c r="E4290" s="188"/>
      <c r="F4290" s="188">
        <v>220000</v>
      </c>
      <c r="G4290" s="188"/>
      <c r="H4290" s="188"/>
      <c r="I4290" s="188" t="s">
        <v>299</v>
      </c>
      <c r="J4290" s="187" t="s">
        <v>4106</v>
      </c>
      <c r="K4290" s="186"/>
    </row>
    <row r="4291" spans="1:11" x14ac:dyDescent="0.2">
      <c r="A4291" s="8">
        <v>3269</v>
      </c>
      <c r="B4291" s="8">
        <f t="shared" ref="B4291:B4354" si="140">YEAR(D4291)</f>
        <v>2025</v>
      </c>
      <c r="C4291" s="8">
        <f t="shared" ref="C4291:C4354" si="141">MONTH(D4291)</f>
        <v>3</v>
      </c>
      <c r="D4291" s="204">
        <v>45742</v>
      </c>
      <c r="E4291" s="188"/>
      <c r="F4291" s="188">
        <v>50000</v>
      </c>
      <c r="G4291" s="188"/>
      <c r="H4291" s="188"/>
      <c r="I4291" s="188" t="s">
        <v>85</v>
      </c>
      <c r="J4291" s="187"/>
      <c r="K4291" s="186"/>
    </row>
    <row r="4292" spans="1:11" x14ac:dyDescent="0.2">
      <c r="A4292" s="8">
        <v>3270</v>
      </c>
      <c r="B4292" s="8">
        <f t="shared" si="140"/>
        <v>2025</v>
      </c>
      <c r="C4292" s="8">
        <f t="shared" si="141"/>
        <v>3</v>
      </c>
      <c r="D4292" s="204">
        <v>45743</v>
      </c>
      <c r="E4292" s="188"/>
      <c r="F4292" s="188">
        <v>50000</v>
      </c>
      <c r="G4292" s="188"/>
      <c r="H4292" s="188"/>
      <c r="I4292" s="188" t="s">
        <v>85</v>
      </c>
      <c r="J4292" s="187"/>
      <c r="K4292" s="186"/>
    </row>
    <row r="4293" spans="1:11" x14ac:dyDescent="0.2">
      <c r="A4293" s="8">
        <v>3271</v>
      </c>
      <c r="B4293" s="8">
        <f t="shared" si="140"/>
        <v>2025</v>
      </c>
      <c r="C4293" s="8">
        <f t="shared" si="141"/>
        <v>3</v>
      </c>
      <c r="D4293" s="204">
        <v>45744</v>
      </c>
      <c r="E4293" s="188"/>
      <c r="F4293" s="188">
        <v>50000</v>
      </c>
      <c r="G4293" s="188"/>
      <c r="H4293" s="188"/>
      <c r="I4293" s="188" t="s">
        <v>85</v>
      </c>
      <c r="J4293" s="187"/>
      <c r="K4293" s="186"/>
    </row>
    <row r="4294" spans="1:11" x14ac:dyDescent="0.2">
      <c r="A4294" s="8">
        <v>3272</v>
      </c>
      <c r="B4294" s="8">
        <f t="shared" si="140"/>
        <v>2025</v>
      </c>
      <c r="C4294" s="8">
        <f t="shared" si="141"/>
        <v>3</v>
      </c>
      <c r="D4294" s="204">
        <v>45745</v>
      </c>
      <c r="E4294" s="188"/>
      <c r="F4294" s="188">
        <v>250000</v>
      </c>
      <c r="G4294" s="188"/>
      <c r="H4294" s="188"/>
      <c r="I4294" s="188" t="s">
        <v>335</v>
      </c>
      <c r="J4294" s="187" t="s">
        <v>4107</v>
      </c>
      <c r="K4294" s="186"/>
    </row>
    <row r="4295" spans="1:11" x14ac:dyDescent="0.2">
      <c r="A4295" s="8">
        <v>3273</v>
      </c>
      <c r="B4295" s="8">
        <f t="shared" si="140"/>
        <v>2025</v>
      </c>
      <c r="C4295" s="8">
        <f t="shared" si="141"/>
        <v>3</v>
      </c>
      <c r="D4295" s="204">
        <v>45745</v>
      </c>
      <c r="E4295" s="188"/>
      <c r="F4295" s="188">
        <v>200000</v>
      </c>
      <c r="G4295" s="188"/>
      <c r="H4295" s="188"/>
      <c r="I4295" s="188" t="s">
        <v>1992</v>
      </c>
      <c r="J4295" s="187" t="s">
        <v>4108</v>
      </c>
      <c r="K4295" s="186"/>
    </row>
    <row r="4296" spans="1:11" x14ac:dyDescent="0.2">
      <c r="A4296" s="8">
        <v>3274</v>
      </c>
      <c r="B4296" s="8">
        <f t="shared" si="140"/>
        <v>2025</v>
      </c>
      <c r="C4296" s="8">
        <f t="shared" si="141"/>
        <v>3</v>
      </c>
      <c r="D4296" s="204">
        <v>45745</v>
      </c>
      <c r="E4296" s="188"/>
      <c r="F4296" s="188">
        <v>150000</v>
      </c>
      <c r="G4296" s="188"/>
      <c r="H4296" s="188"/>
      <c r="I4296" s="188" t="s">
        <v>85</v>
      </c>
      <c r="J4296" s="187" t="s">
        <v>4109</v>
      </c>
      <c r="K4296" s="186"/>
    </row>
    <row r="4297" spans="1:11" x14ac:dyDescent="0.2">
      <c r="A4297" s="8">
        <v>3275</v>
      </c>
      <c r="B4297" s="8">
        <f t="shared" si="140"/>
        <v>2025</v>
      </c>
      <c r="C4297" s="8">
        <f t="shared" si="141"/>
        <v>3</v>
      </c>
      <c r="D4297" s="204">
        <v>45746</v>
      </c>
      <c r="E4297" s="188"/>
      <c r="F4297" s="188">
        <v>50000</v>
      </c>
      <c r="G4297" s="188"/>
      <c r="H4297" s="188"/>
      <c r="I4297" s="188" t="s">
        <v>85</v>
      </c>
      <c r="J4297" s="187" t="s">
        <v>4110</v>
      </c>
      <c r="K4297" s="186"/>
    </row>
    <row r="4298" spans="1:11" x14ac:dyDescent="0.2">
      <c r="A4298" s="8">
        <v>3276</v>
      </c>
      <c r="B4298" s="8">
        <f t="shared" si="140"/>
        <v>2025</v>
      </c>
      <c r="C4298" s="8">
        <f t="shared" si="141"/>
        <v>3</v>
      </c>
      <c r="D4298" s="204">
        <v>45747</v>
      </c>
      <c r="E4298" s="188"/>
      <c r="F4298" s="188">
        <v>180000</v>
      </c>
      <c r="G4298" s="188"/>
      <c r="H4298" s="188"/>
      <c r="I4298" s="188" t="s">
        <v>1992</v>
      </c>
      <c r="J4298" s="187" t="s">
        <v>4111</v>
      </c>
      <c r="K4298" s="186"/>
    </row>
    <row r="4299" spans="1:11" x14ac:dyDescent="0.2">
      <c r="A4299" s="8">
        <v>3277</v>
      </c>
      <c r="B4299" s="8">
        <f t="shared" si="140"/>
        <v>2025</v>
      </c>
      <c r="C4299" s="8">
        <f t="shared" si="141"/>
        <v>3</v>
      </c>
      <c r="D4299" s="204">
        <v>45747</v>
      </c>
      <c r="E4299" s="188"/>
      <c r="F4299" s="188">
        <v>8000</v>
      </c>
      <c r="G4299" s="188"/>
      <c r="H4299" s="188"/>
      <c r="I4299" s="188" t="s">
        <v>91</v>
      </c>
      <c r="J4299" s="187" t="s">
        <v>2928</v>
      </c>
      <c r="K4299" s="186"/>
    </row>
    <row r="4300" spans="1:11" x14ac:dyDescent="0.2">
      <c r="A4300" s="8">
        <v>3278</v>
      </c>
      <c r="B4300" s="8">
        <f t="shared" si="140"/>
        <v>2025</v>
      </c>
      <c r="C4300" s="8">
        <f t="shared" si="141"/>
        <v>3</v>
      </c>
      <c r="D4300" s="204">
        <v>45747</v>
      </c>
      <c r="E4300" s="188"/>
      <c r="F4300" s="188">
        <v>180000</v>
      </c>
      <c r="G4300" s="188"/>
      <c r="H4300" s="188"/>
      <c r="I4300" s="188" t="s">
        <v>1992</v>
      </c>
      <c r="J4300" s="187" t="s">
        <v>4112</v>
      </c>
      <c r="K4300" s="186"/>
    </row>
    <row r="4301" spans="1:11" x14ac:dyDescent="0.2">
      <c r="A4301" s="8">
        <v>3279</v>
      </c>
      <c r="B4301" s="8">
        <f t="shared" si="140"/>
        <v>2025</v>
      </c>
      <c r="C4301" s="8">
        <f t="shared" si="141"/>
        <v>3</v>
      </c>
      <c r="D4301" s="204">
        <v>45747</v>
      </c>
      <c r="E4301" s="188">
        <v>11500000</v>
      </c>
      <c r="F4301" s="188"/>
      <c r="G4301" s="188"/>
      <c r="H4301" s="188"/>
      <c r="I4301" s="188" t="s">
        <v>109</v>
      </c>
      <c r="J4301" s="187" t="s">
        <v>4136</v>
      </c>
      <c r="K4301" s="186"/>
    </row>
    <row r="4302" spans="1:11" x14ac:dyDescent="0.2">
      <c r="A4302" s="8">
        <v>3280</v>
      </c>
      <c r="B4302" s="8">
        <f t="shared" si="140"/>
        <v>2025</v>
      </c>
      <c r="C4302" s="8">
        <f t="shared" si="141"/>
        <v>4</v>
      </c>
      <c r="D4302" s="204">
        <v>45748</v>
      </c>
      <c r="E4302" s="188"/>
      <c r="F4302" s="188">
        <v>10000</v>
      </c>
      <c r="G4302" s="188"/>
      <c r="H4302" s="188"/>
      <c r="I4302" s="188" t="s">
        <v>85</v>
      </c>
      <c r="J4302" s="187" t="s">
        <v>4166</v>
      </c>
      <c r="K4302" s="186"/>
    </row>
    <row r="4303" spans="1:11" x14ac:dyDescent="0.2">
      <c r="A4303" s="8">
        <v>3281</v>
      </c>
      <c r="B4303" s="8">
        <f t="shared" si="140"/>
        <v>2025</v>
      </c>
      <c r="C4303" s="8">
        <f t="shared" si="141"/>
        <v>4</v>
      </c>
      <c r="D4303" s="204">
        <v>45748</v>
      </c>
      <c r="E4303" s="188"/>
      <c r="F4303" s="188">
        <v>10000</v>
      </c>
      <c r="G4303" s="188"/>
      <c r="H4303" s="188"/>
      <c r="I4303" s="188" t="s">
        <v>149</v>
      </c>
      <c r="J4303" s="187" t="s">
        <v>4167</v>
      </c>
      <c r="K4303" s="186"/>
    </row>
    <row r="4304" spans="1:11" x14ac:dyDescent="0.2">
      <c r="A4304" s="8">
        <v>3282</v>
      </c>
      <c r="B4304" s="8">
        <f t="shared" si="140"/>
        <v>2025</v>
      </c>
      <c r="C4304" s="8">
        <f t="shared" si="141"/>
        <v>4</v>
      </c>
      <c r="D4304" s="204">
        <v>45748</v>
      </c>
      <c r="E4304" s="188"/>
      <c r="F4304" s="188">
        <v>30000</v>
      </c>
      <c r="G4304" s="188"/>
      <c r="H4304" s="188"/>
      <c r="I4304" s="188" t="s">
        <v>91</v>
      </c>
      <c r="J4304" s="187" t="s">
        <v>2626</v>
      </c>
      <c r="K4304" s="186"/>
    </row>
    <row r="4305" spans="1:11" x14ac:dyDescent="0.2">
      <c r="A4305" s="8">
        <v>3283</v>
      </c>
      <c r="B4305" s="8">
        <f t="shared" si="140"/>
        <v>2025</v>
      </c>
      <c r="C4305" s="8">
        <f t="shared" si="141"/>
        <v>4</v>
      </c>
      <c r="D4305" s="204">
        <v>45749</v>
      </c>
      <c r="E4305" s="188"/>
      <c r="F4305" s="188">
        <v>12000</v>
      </c>
      <c r="G4305" s="188"/>
      <c r="H4305" s="188"/>
      <c r="I4305" s="188" t="s">
        <v>91</v>
      </c>
      <c r="J4305" s="187" t="s">
        <v>4168</v>
      </c>
      <c r="K4305" s="186"/>
    </row>
    <row r="4306" spans="1:11" x14ac:dyDescent="0.2">
      <c r="A4306" s="8">
        <v>3284</v>
      </c>
      <c r="B4306" s="8">
        <f t="shared" si="140"/>
        <v>2025</v>
      </c>
      <c r="C4306" s="8">
        <f t="shared" si="141"/>
        <v>4</v>
      </c>
      <c r="D4306" s="204">
        <v>45749</v>
      </c>
      <c r="E4306" s="188"/>
      <c r="F4306" s="188">
        <v>10000</v>
      </c>
      <c r="G4306" s="188"/>
      <c r="H4306" s="188"/>
      <c r="I4306" s="188" t="s">
        <v>1350</v>
      </c>
      <c r="J4306" s="187" t="s">
        <v>4169</v>
      </c>
      <c r="K4306" s="186"/>
    </row>
    <row r="4307" spans="1:11" x14ac:dyDescent="0.2">
      <c r="A4307" s="8">
        <v>3285</v>
      </c>
      <c r="B4307" s="8">
        <f t="shared" si="140"/>
        <v>2025</v>
      </c>
      <c r="C4307" s="8">
        <f t="shared" si="141"/>
        <v>4</v>
      </c>
      <c r="D4307" s="204">
        <v>45750</v>
      </c>
      <c r="E4307" s="188"/>
      <c r="F4307" s="188">
        <v>10000</v>
      </c>
      <c r="G4307" s="188"/>
      <c r="H4307" s="188"/>
      <c r="I4307" s="188" t="s">
        <v>91</v>
      </c>
      <c r="J4307" s="187" t="s">
        <v>4170</v>
      </c>
      <c r="K4307" s="186"/>
    </row>
    <row r="4308" spans="1:11" x14ac:dyDescent="0.2">
      <c r="A4308" s="8">
        <v>3286</v>
      </c>
      <c r="B4308" s="8">
        <f t="shared" si="140"/>
        <v>2025</v>
      </c>
      <c r="C4308" s="8">
        <f t="shared" si="141"/>
        <v>4</v>
      </c>
      <c r="D4308" s="204">
        <v>45750</v>
      </c>
      <c r="E4308" s="188"/>
      <c r="F4308" s="188">
        <v>16000</v>
      </c>
      <c r="G4308" s="188"/>
      <c r="H4308" s="188"/>
      <c r="I4308" s="188" t="s">
        <v>91</v>
      </c>
      <c r="J4308" s="187" t="s">
        <v>4171</v>
      </c>
      <c r="K4308" s="186"/>
    </row>
    <row r="4309" spans="1:11" x14ac:dyDescent="0.2">
      <c r="A4309" s="8">
        <v>3287</v>
      </c>
      <c r="B4309" s="8">
        <f t="shared" si="140"/>
        <v>2025</v>
      </c>
      <c r="C4309" s="8">
        <f t="shared" si="141"/>
        <v>4</v>
      </c>
      <c r="D4309" s="204">
        <v>45751</v>
      </c>
      <c r="E4309" s="188"/>
      <c r="F4309" s="188">
        <v>16000</v>
      </c>
      <c r="G4309" s="188"/>
      <c r="H4309" s="188"/>
      <c r="I4309" s="188" t="s">
        <v>91</v>
      </c>
      <c r="J4309" s="187" t="s">
        <v>4171</v>
      </c>
      <c r="K4309" s="186"/>
    </row>
    <row r="4310" spans="1:11" x14ac:dyDescent="0.2">
      <c r="A4310" s="8">
        <v>3288</v>
      </c>
      <c r="B4310" s="8">
        <f t="shared" si="140"/>
        <v>2025</v>
      </c>
      <c r="C4310" s="8">
        <f t="shared" si="141"/>
        <v>4</v>
      </c>
      <c r="D4310" s="204">
        <v>45751</v>
      </c>
      <c r="E4310" s="188"/>
      <c r="F4310" s="188">
        <v>160000</v>
      </c>
      <c r="G4310" s="188"/>
      <c r="H4310" s="188"/>
      <c r="I4310" s="188" t="s">
        <v>1815</v>
      </c>
      <c r="J4310" s="187" t="s">
        <v>4172</v>
      </c>
      <c r="K4310" s="186"/>
    </row>
    <row r="4311" spans="1:11" x14ac:dyDescent="0.2">
      <c r="A4311" s="8">
        <v>3289</v>
      </c>
      <c r="B4311" s="8">
        <f t="shared" si="140"/>
        <v>2025</v>
      </c>
      <c r="C4311" s="8">
        <f t="shared" si="141"/>
        <v>4</v>
      </c>
      <c r="D4311" s="204">
        <v>45751</v>
      </c>
      <c r="E4311" s="188"/>
      <c r="F4311" s="188">
        <v>10000</v>
      </c>
      <c r="G4311" s="188"/>
      <c r="H4311" s="188"/>
      <c r="I4311" s="188" t="s">
        <v>91</v>
      </c>
      <c r="J4311" s="187" t="s">
        <v>4173</v>
      </c>
      <c r="K4311" s="186"/>
    </row>
    <row r="4312" spans="1:11" x14ac:dyDescent="0.2">
      <c r="A4312" s="8">
        <v>3290</v>
      </c>
      <c r="B4312" s="8">
        <f t="shared" si="140"/>
        <v>2025</v>
      </c>
      <c r="C4312" s="8">
        <f t="shared" si="141"/>
        <v>4</v>
      </c>
      <c r="D4312" s="204">
        <v>45752</v>
      </c>
      <c r="E4312" s="188"/>
      <c r="F4312" s="188">
        <v>10000</v>
      </c>
      <c r="G4312" s="188"/>
      <c r="H4312" s="188"/>
      <c r="I4312" s="188" t="s">
        <v>91</v>
      </c>
      <c r="J4312" s="187" t="s">
        <v>4174</v>
      </c>
      <c r="K4312" s="186"/>
    </row>
    <row r="4313" spans="1:11" x14ac:dyDescent="0.2">
      <c r="A4313" s="8">
        <v>3291</v>
      </c>
      <c r="B4313" s="8">
        <f t="shared" si="140"/>
        <v>2025</v>
      </c>
      <c r="C4313" s="8">
        <f t="shared" si="141"/>
        <v>4</v>
      </c>
      <c r="D4313" s="204">
        <v>45752</v>
      </c>
      <c r="E4313" s="188"/>
      <c r="F4313" s="188">
        <v>10000</v>
      </c>
      <c r="G4313" s="188"/>
      <c r="H4313" s="188"/>
      <c r="I4313" s="188" t="s">
        <v>91</v>
      </c>
      <c r="J4313" s="187" t="s">
        <v>2614</v>
      </c>
      <c r="K4313" s="186"/>
    </row>
    <row r="4314" spans="1:11" x14ac:dyDescent="0.2">
      <c r="A4314" s="8">
        <v>3292</v>
      </c>
      <c r="B4314" s="8">
        <f t="shared" si="140"/>
        <v>2025</v>
      </c>
      <c r="C4314" s="8">
        <f t="shared" si="141"/>
        <v>4</v>
      </c>
      <c r="D4314" s="204">
        <v>45753</v>
      </c>
      <c r="E4314" s="188"/>
      <c r="F4314" s="188">
        <v>30000</v>
      </c>
      <c r="G4314" s="188"/>
      <c r="H4314" s="188"/>
      <c r="I4314" s="188" t="s">
        <v>85</v>
      </c>
      <c r="J4314" s="187" t="s">
        <v>4175</v>
      </c>
      <c r="K4314" s="186"/>
    </row>
    <row r="4315" spans="1:11" x14ac:dyDescent="0.2">
      <c r="A4315" s="8">
        <v>3293</v>
      </c>
      <c r="B4315" s="8">
        <f t="shared" si="140"/>
        <v>2025</v>
      </c>
      <c r="C4315" s="8">
        <f t="shared" si="141"/>
        <v>4</v>
      </c>
      <c r="D4315" s="204">
        <v>45753</v>
      </c>
      <c r="E4315" s="188"/>
      <c r="F4315" s="188">
        <v>10000</v>
      </c>
      <c r="G4315" s="188"/>
      <c r="H4315" s="188"/>
      <c r="I4315" s="188" t="s">
        <v>91</v>
      </c>
      <c r="J4315" s="187" t="s">
        <v>4173</v>
      </c>
      <c r="K4315" s="186"/>
    </row>
    <row r="4316" spans="1:11" x14ac:dyDescent="0.2">
      <c r="A4316" s="8">
        <v>3294</v>
      </c>
      <c r="B4316" s="8">
        <f t="shared" si="140"/>
        <v>2025</v>
      </c>
      <c r="C4316" s="8">
        <f t="shared" si="141"/>
        <v>4</v>
      </c>
      <c r="D4316" s="204">
        <v>45753</v>
      </c>
      <c r="E4316" s="188"/>
      <c r="F4316" s="188">
        <v>100000</v>
      </c>
      <c r="G4316" s="188"/>
      <c r="H4316" s="188"/>
      <c r="I4316" s="188" t="s">
        <v>335</v>
      </c>
      <c r="J4316" s="187" t="s">
        <v>4176</v>
      </c>
      <c r="K4316" s="186"/>
    </row>
    <row r="4317" spans="1:11" x14ac:dyDescent="0.2">
      <c r="A4317" s="8">
        <v>3295</v>
      </c>
      <c r="B4317" s="8">
        <f t="shared" si="140"/>
        <v>2025</v>
      </c>
      <c r="C4317" s="8">
        <f t="shared" si="141"/>
        <v>4</v>
      </c>
      <c r="D4317" s="204">
        <v>45754</v>
      </c>
      <c r="E4317" s="188"/>
      <c r="F4317" s="188">
        <v>490000</v>
      </c>
      <c r="G4317" s="188"/>
      <c r="H4317" s="188"/>
      <c r="I4317" s="188" t="s">
        <v>85</v>
      </c>
      <c r="J4317" s="187" t="s">
        <v>4177</v>
      </c>
      <c r="K4317" s="186"/>
    </row>
    <row r="4318" spans="1:11" x14ac:dyDescent="0.2">
      <c r="A4318" s="8">
        <v>3296</v>
      </c>
      <c r="B4318" s="8">
        <f t="shared" si="140"/>
        <v>2025</v>
      </c>
      <c r="C4318" s="8">
        <f t="shared" si="141"/>
        <v>4</v>
      </c>
      <c r="D4318" s="204">
        <v>45754</v>
      </c>
      <c r="E4318" s="188"/>
      <c r="F4318" s="188">
        <v>50000</v>
      </c>
      <c r="G4318" s="188"/>
      <c r="H4318" s="188"/>
      <c r="I4318" s="188" t="s">
        <v>85</v>
      </c>
      <c r="J4318" s="187" t="s">
        <v>4178</v>
      </c>
      <c r="K4318" s="186"/>
    </row>
    <row r="4319" spans="1:11" x14ac:dyDescent="0.2">
      <c r="A4319" s="8">
        <v>3297</v>
      </c>
      <c r="B4319" s="8">
        <f t="shared" si="140"/>
        <v>2025</v>
      </c>
      <c r="C4319" s="8">
        <f t="shared" si="141"/>
        <v>4</v>
      </c>
      <c r="D4319" s="204">
        <v>45755</v>
      </c>
      <c r="E4319" s="188"/>
      <c r="F4319" s="188">
        <v>300000</v>
      </c>
      <c r="G4319" s="188"/>
      <c r="H4319" s="188"/>
      <c r="I4319" s="188" t="s">
        <v>1350</v>
      </c>
      <c r="J4319" s="187" t="s">
        <v>4179</v>
      </c>
      <c r="K4319" s="186"/>
    </row>
    <row r="4320" spans="1:11" x14ac:dyDescent="0.2">
      <c r="A4320" s="8">
        <v>3298</v>
      </c>
      <c r="B4320" s="8">
        <f t="shared" si="140"/>
        <v>2025</v>
      </c>
      <c r="C4320" s="8">
        <f t="shared" si="141"/>
        <v>4</v>
      </c>
      <c r="D4320" s="204">
        <v>45755</v>
      </c>
      <c r="E4320" s="188"/>
      <c r="F4320" s="188">
        <v>10000</v>
      </c>
      <c r="G4320" s="188"/>
      <c r="H4320" s="188"/>
      <c r="I4320" s="188" t="s">
        <v>91</v>
      </c>
      <c r="J4320" s="187" t="s">
        <v>4173</v>
      </c>
      <c r="K4320" s="186"/>
    </row>
    <row r="4321" spans="1:11" x14ac:dyDescent="0.2">
      <c r="A4321" s="8">
        <v>3299</v>
      </c>
      <c r="B4321" s="8">
        <f t="shared" si="140"/>
        <v>2025</v>
      </c>
      <c r="C4321" s="8">
        <f t="shared" si="141"/>
        <v>4</v>
      </c>
      <c r="D4321" s="204">
        <v>45756</v>
      </c>
      <c r="E4321" s="188"/>
      <c r="F4321" s="188">
        <v>250000</v>
      </c>
      <c r="G4321" s="188"/>
      <c r="H4321" s="188"/>
      <c r="I4321" s="188" t="s">
        <v>335</v>
      </c>
      <c r="J4321" s="187" t="s">
        <v>4180</v>
      </c>
      <c r="K4321" s="186"/>
    </row>
    <row r="4322" spans="1:11" x14ac:dyDescent="0.2">
      <c r="A4322" s="8">
        <v>3300</v>
      </c>
      <c r="B4322" s="8">
        <f t="shared" si="140"/>
        <v>2025</v>
      </c>
      <c r="C4322" s="8">
        <f t="shared" si="141"/>
        <v>4</v>
      </c>
      <c r="D4322" s="204">
        <v>45756</v>
      </c>
      <c r="E4322" s="188"/>
      <c r="F4322" s="188">
        <v>78000</v>
      </c>
      <c r="G4322" s="188"/>
      <c r="H4322" s="188"/>
      <c r="I4322" s="188" t="s">
        <v>85</v>
      </c>
      <c r="J4322" s="187" t="s">
        <v>4181</v>
      </c>
      <c r="K4322" s="186"/>
    </row>
    <row r="4323" spans="1:11" x14ac:dyDescent="0.2">
      <c r="A4323" s="8">
        <v>3301</v>
      </c>
      <c r="B4323" s="8">
        <f t="shared" si="140"/>
        <v>2025</v>
      </c>
      <c r="C4323" s="8">
        <f t="shared" si="141"/>
        <v>4</v>
      </c>
      <c r="D4323" s="204">
        <v>45756</v>
      </c>
      <c r="E4323" s="188"/>
      <c r="F4323" s="188">
        <v>120000</v>
      </c>
      <c r="G4323" s="188"/>
      <c r="H4323" s="188"/>
      <c r="I4323" s="188" t="s">
        <v>85</v>
      </c>
      <c r="J4323" s="187" t="s">
        <v>4182</v>
      </c>
      <c r="K4323" s="186"/>
    </row>
    <row r="4324" spans="1:11" x14ac:dyDescent="0.2">
      <c r="A4324" s="8">
        <v>3302</v>
      </c>
      <c r="B4324" s="8">
        <f t="shared" si="140"/>
        <v>2025</v>
      </c>
      <c r="C4324" s="8">
        <f t="shared" si="141"/>
        <v>4</v>
      </c>
      <c r="D4324" s="204">
        <v>45756</v>
      </c>
      <c r="E4324" s="188"/>
      <c r="F4324" s="188">
        <v>30000</v>
      </c>
      <c r="G4324" s="188"/>
      <c r="H4324" s="188"/>
      <c r="I4324" s="188" t="s">
        <v>85</v>
      </c>
      <c r="J4324" s="187" t="s">
        <v>4183</v>
      </c>
      <c r="K4324" s="186"/>
    </row>
    <row r="4325" spans="1:11" x14ac:dyDescent="0.2">
      <c r="A4325" s="8">
        <v>3303</v>
      </c>
      <c r="B4325" s="8">
        <f t="shared" si="140"/>
        <v>2025</v>
      </c>
      <c r="C4325" s="8">
        <f t="shared" si="141"/>
        <v>4</v>
      </c>
      <c r="D4325" s="204">
        <v>45756</v>
      </c>
      <c r="E4325" s="188"/>
      <c r="F4325" s="188">
        <v>322000</v>
      </c>
      <c r="G4325" s="188"/>
      <c r="H4325" s="188"/>
      <c r="I4325" s="188" t="s">
        <v>85</v>
      </c>
      <c r="J4325" s="187" t="s">
        <v>4184</v>
      </c>
      <c r="K4325" s="186"/>
    </row>
    <row r="4326" spans="1:11" x14ac:dyDescent="0.2">
      <c r="A4326" s="8">
        <v>3304</v>
      </c>
      <c r="B4326" s="8">
        <f t="shared" si="140"/>
        <v>2025</v>
      </c>
      <c r="C4326" s="8">
        <f t="shared" si="141"/>
        <v>4</v>
      </c>
      <c r="D4326" s="204">
        <v>45757</v>
      </c>
      <c r="E4326" s="188"/>
      <c r="F4326" s="188">
        <v>520000</v>
      </c>
      <c r="G4326" s="188"/>
      <c r="H4326" s="188"/>
      <c r="I4326" s="188" t="s">
        <v>391</v>
      </c>
      <c r="J4326" s="187" t="s">
        <v>4185</v>
      </c>
      <c r="K4326" s="186"/>
    </row>
    <row r="4327" spans="1:11" x14ac:dyDescent="0.2">
      <c r="A4327" s="8">
        <v>3305</v>
      </c>
      <c r="B4327" s="8">
        <f t="shared" si="140"/>
        <v>2025</v>
      </c>
      <c r="C4327" s="8">
        <f t="shared" si="141"/>
        <v>4</v>
      </c>
      <c r="D4327" s="204">
        <v>45757</v>
      </c>
      <c r="E4327" s="188"/>
      <c r="F4327" s="188">
        <v>11000</v>
      </c>
      <c r="G4327" s="188"/>
      <c r="H4327" s="188"/>
      <c r="I4327" s="188" t="s">
        <v>391</v>
      </c>
      <c r="J4327" s="187" t="s">
        <v>4186</v>
      </c>
      <c r="K4327" s="186"/>
    </row>
    <row r="4328" spans="1:11" x14ac:dyDescent="0.2">
      <c r="A4328" s="8">
        <v>3306</v>
      </c>
      <c r="B4328" s="8">
        <f t="shared" si="140"/>
        <v>2025</v>
      </c>
      <c r="C4328" s="8">
        <f t="shared" si="141"/>
        <v>4</v>
      </c>
      <c r="D4328" s="204">
        <v>45757</v>
      </c>
      <c r="E4328" s="188"/>
      <c r="F4328" s="188">
        <v>9000</v>
      </c>
      <c r="G4328" s="188"/>
      <c r="H4328" s="188"/>
      <c r="I4328" s="188" t="s">
        <v>91</v>
      </c>
      <c r="J4328" s="187" t="s">
        <v>4187</v>
      </c>
      <c r="K4328" s="186"/>
    </row>
    <row r="4329" spans="1:11" x14ac:dyDescent="0.2">
      <c r="A4329" s="8">
        <v>3307</v>
      </c>
      <c r="B4329" s="8">
        <f t="shared" si="140"/>
        <v>2025</v>
      </c>
      <c r="C4329" s="8">
        <f t="shared" si="141"/>
        <v>4</v>
      </c>
      <c r="D4329" s="204">
        <v>45757</v>
      </c>
      <c r="E4329" s="188"/>
      <c r="F4329" s="188">
        <v>30000</v>
      </c>
      <c r="G4329" s="188"/>
      <c r="H4329" s="188"/>
      <c r="I4329" s="188" t="s">
        <v>91</v>
      </c>
      <c r="J4329" s="187" t="s">
        <v>4188</v>
      </c>
      <c r="K4329" s="186"/>
    </row>
    <row r="4330" spans="1:11" x14ac:dyDescent="0.2">
      <c r="A4330" s="8">
        <v>3308</v>
      </c>
      <c r="B4330" s="8">
        <f t="shared" si="140"/>
        <v>2025</v>
      </c>
      <c r="C4330" s="8">
        <f t="shared" si="141"/>
        <v>4</v>
      </c>
      <c r="D4330" s="204">
        <v>45757</v>
      </c>
      <c r="E4330" s="188"/>
      <c r="F4330" s="188">
        <v>10000</v>
      </c>
      <c r="G4330" s="188"/>
      <c r="H4330" s="188"/>
      <c r="I4330" s="188" t="s">
        <v>91</v>
      </c>
      <c r="J4330" s="187" t="s">
        <v>4189</v>
      </c>
      <c r="K4330" s="186"/>
    </row>
    <row r="4331" spans="1:11" x14ac:dyDescent="0.2">
      <c r="A4331" s="8">
        <v>3309</v>
      </c>
      <c r="B4331" s="8">
        <f t="shared" si="140"/>
        <v>2025</v>
      </c>
      <c r="C4331" s="8">
        <f t="shared" si="141"/>
        <v>4</v>
      </c>
      <c r="D4331" s="204">
        <v>45758</v>
      </c>
      <c r="E4331" s="188"/>
      <c r="F4331" s="188">
        <v>9000</v>
      </c>
      <c r="G4331" s="188"/>
      <c r="H4331" s="188"/>
      <c r="I4331" s="188" t="s">
        <v>91</v>
      </c>
      <c r="J4331" s="187" t="s">
        <v>4190</v>
      </c>
      <c r="K4331" s="186"/>
    </row>
    <row r="4332" spans="1:11" x14ac:dyDescent="0.2">
      <c r="A4332" s="8">
        <v>3310</v>
      </c>
      <c r="B4332" s="8">
        <f t="shared" si="140"/>
        <v>2025</v>
      </c>
      <c r="C4332" s="8">
        <f t="shared" si="141"/>
        <v>4</v>
      </c>
      <c r="D4332" s="204">
        <v>45758</v>
      </c>
      <c r="E4332" s="188"/>
      <c r="F4332" s="188">
        <v>150000</v>
      </c>
      <c r="G4332" s="188"/>
      <c r="H4332" s="188"/>
      <c r="I4332" s="188" t="s">
        <v>1992</v>
      </c>
      <c r="J4332" s="187" t="s">
        <v>4191</v>
      </c>
      <c r="K4332" s="186"/>
    </row>
    <row r="4333" spans="1:11" x14ac:dyDescent="0.2">
      <c r="A4333" s="8">
        <v>3311</v>
      </c>
      <c r="B4333" s="8">
        <f t="shared" si="140"/>
        <v>2025</v>
      </c>
      <c r="C4333" s="8">
        <f t="shared" si="141"/>
        <v>4</v>
      </c>
      <c r="D4333" s="204">
        <v>45759</v>
      </c>
      <c r="E4333" s="188"/>
      <c r="F4333" s="188">
        <v>30000</v>
      </c>
      <c r="G4333" s="188"/>
      <c r="H4333" s="188"/>
      <c r="I4333" s="188" t="s">
        <v>1815</v>
      </c>
      <c r="J4333" s="187" t="s">
        <v>4192</v>
      </c>
      <c r="K4333" s="186"/>
    </row>
    <row r="4334" spans="1:11" x14ac:dyDescent="0.2">
      <c r="A4334" s="8">
        <v>3312</v>
      </c>
      <c r="B4334" s="8">
        <f t="shared" si="140"/>
        <v>2025</v>
      </c>
      <c r="C4334" s="8">
        <f t="shared" si="141"/>
        <v>4</v>
      </c>
      <c r="D4334" s="204">
        <v>45759</v>
      </c>
      <c r="E4334" s="188"/>
      <c r="F4334" s="188">
        <v>200000</v>
      </c>
      <c r="G4334" s="188"/>
      <c r="H4334" s="188"/>
      <c r="I4334" s="188" t="s">
        <v>299</v>
      </c>
      <c r="J4334" s="187" t="s">
        <v>4193</v>
      </c>
      <c r="K4334" s="186"/>
    </row>
    <row r="4335" spans="1:11" x14ac:dyDescent="0.2">
      <c r="A4335" s="8">
        <v>3313</v>
      </c>
      <c r="B4335" s="8">
        <f t="shared" si="140"/>
        <v>2025</v>
      </c>
      <c r="C4335" s="8">
        <f t="shared" si="141"/>
        <v>4</v>
      </c>
      <c r="D4335" s="204">
        <v>45760</v>
      </c>
      <c r="E4335" s="188"/>
      <c r="F4335" s="188">
        <v>215000</v>
      </c>
      <c r="G4335" s="188"/>
      <c r="H4335" s="188"/>
      <c r="I4335" s="188" t="s">
        <v>85</v>
      </c>
      <c r="J4335" s="187" t="s">
        <v>4194</v>
      </c>
      <c r="K4335" s="186"/>
    </row>
    <row r="4336" spans="1:11" x14ac:dyDescent="0.2">
      <c r="A4336" s="8">
        <v>3314</v>
      </c>
      <c r="B4336" s="8">
        <f t="shared" si="140"/>
        <v>2025</v>
      </c>
      <c r="C4336" s="8">
        <f t="shared" si="141"/>
        <v>4</v>
      </c>
      <c r="D4336" s="204">
        <v>45760</v>
      </c>
      <c r="E4336" s="188"/>
      <c r="F4336" s="188">
        <v>264000</v>
      </c>
      <c r="G4336" s="188"/>
      <c r="H4336" s="188"/>
      <c r="I4336" s="188" t="s">
        <v>85</v>
      </c>
      <c r="J4336" s="187" t="s">
        <v>4195</v>
      </c>
      <c r="K4336" s="186"/>
    </row>
    <row r="4337" spans="1:11" x14ac:dyDescent="0.2">
      <c r="A4337" s="8">
        <v>3315</v>
      </c>
      <c r="B4337" s="8">
        <f t="shared" si="140"/>
        <v>2025</v>
      </c>
      <c r="C4337" s="8">
        <f t="shared" si="141"/>
        <v>4</v>
      </c>
      <c r="D4337" s="204">
        <v>45760</v>
      </c>
      <c r="E4337" s="188"/>
      <c r="F4337" s="188">
        <v>20000</v>
      </c>
      <c r="G4337" s="188"/>
      <c r="H4337" s="188"/>
      <c r="I4337" s="188" t="s">
        <v>1815</v>
      </c>
      <c r="J4337" s="187" t="s">
        <v>4196</v>
      </c>
      <c r="K4337" s="186"/>
    </row>
    <row r="4338" spans="1:11" x14ac:dyDescent="0.2">
      <c r="A4338" s="8">
        <v>3316</v>
      </c>
      <c r="B4338" s="8">
        <f t="shared" si="140"/>
        <v>2025</v>
      </c>
      <c r="C4338" s="8">
        <f t="shared" si="141"/>
        <v>4</v>
      </c>
      <c r="D4338" s="204">
        <v>45761</v>
      </c>
      <c r="E4338" s="188"/>
      <c r="F4338" s="188">
        <v>50000</v>
      </c>
      <c r="G4338" s="188"/>
      <c r="H4338" s="188"/>
      <c r="I4338" s="188" t="s">
        <v>85</v>
      </c>
      <c r="J4338" s="187" t="s">
        <v>2602</v>
      </c>
      <c r="K4338" s="186"/>
    </row>
    <row r="4339" spans="1:11" x14ac:dyDescent="0.2">
      <c r="A4339" s="8">
        <v>3317</v>
      </c>
      <c r="B4339" s="8">
        <f t="shared" si="140"/>
        <v>2025</v>
      </c>
      <c r="C4339" s="8">
        <f t="shared" si="141"/>
        <v>4</v>
      </c>
      <c r="D4339" s="204">
        <v>45762</v>
      </c>
      <c r="E4339" s="188"/>
      <c r="F4339" s="188">
        <v>147000</v>
      </c>
      <c r="G4339" s="188"/>
      <c r="H4339" s="188"/>
      <c r="I4339" s="188" t="s">
        <v>1992</v>
      </c>
      <c r="J4339" s="187" t="s">
        <v>4197</v>
      </c>
      <c r="K4339" s="186"/>
    </row>
    <row r="4340" spans="1:11" x14ac:dyDescent="0.2">
      <c r="A4340" s="8">
        <v>3318</v>
      </c>
      <c r="B4340" s="8">
        <f t="shared" si="140"/>
        <v>2025</v>
      </c>
      <c r="C4340" s="8">
        <f t="shared" si="141"/>
        <v>4</v>
      </c>
      <c r="D4340" s="204">
        <v>45762</v>
      </c>
      <c r="E4340" s="188"/>
      <c r="F4340" s="188">
        <v>500000</v>
      </c>
      <c r="G4340" s="188"/>
      <c r="H4340" s="188"/>
      <c r="I4340" s="188" t="s">
        <v>1999</v>
      </c>
      <c r="J4340" s="187" t="s">
        <v>4198</v>
      </c>
      <c r="K4340" s="186"/>
    </row>
    <row r="4341" spans="1:11" x14ac:dyDescent="0.2">
      <c r="A4341" s="8">
        <v>3319</v>
      </c>
      <c r="B4341" s="8">
        <f t="shared" si="140"/>
        <v>2025</v>
      </c>
      <c r="C4341" s="8">
        <f t="shared" si="141"/>
        <v>4</v>
      </c>
      <c r="D4341" s="204">
        <v>45762</v>
      </c>
      <c r="E4341" s="188"/>
      <c r="F4341" s="188">
        <v>26000</v>
      </c>
      <c r="G4341" s="188"/>
      <c r="H4341" s="188"/>
      <c r="I4341" s="188" t="s">
        <v>1992</v>
      </c>
      <c r="J4341" s="187" t="s">
        <v>4199</v>
      </c>
      <c r="K4341" s="186"/>
    </row>
    <row r="4342" spans="1:11" x14ac:dyDescent="0.2">
      <c r="A4342" s="8">
        <v>3320</v>
      </c>
      <c r="B4342" s="8">
        <f t="shared" si="140"/>
        <v>2025</v>
      </c>
      <c r="C4342" s="8">
        <f t="shared" si="141"/>
        <v>4</v>
      </c>
      <c r="D4342" s="204">
        <v>45762</v>
      </c>
      <c r="E4342" s="188"/>
      <c r="F4342" s="188">
        <v>60000</v>
      </c>
      <c r="G4342" s="188"/>
      <c r="H4342" s="188"/>
      <c r="I4342" s="188" t="s">
        <v>1999</v>
      </c>
      <c r="J4342" s="187" t="s">
        <v>4200</v>
      </c>
      <c r="K4342" s="186"/>
    </row>
    <row r="4343" spans="1:11" x14ac:dyDescent="0.2">
      <c r="A4343" s="8">
        <v>3321</v>
      </c>
      <c r="B4343" s="8">
        <f t="shared" si="140"/>
        <v>2025</v>
      </c>
      <c r="C4343" s="8">
        <f t="shared" si="141"/>
        <v>4</v>
      </c>
      <c r="D4343" s="204">
        <v>45762</v>
      </c>
      <c r="E4343" s="188"/>
      <c r="F4343" s="188">
        <v>50000</v>
      </c>
      <c r="G4343" s="188"/>
      <c r="H4343" s="188"/>
      <c r="I4343" s="188" t="s">
        <v>1992</v>
      </c>
      <c r="J4343" s="187" t="s">
        <v>4201</v>
      </c>
      <c r="K4343" s="186"/>
    </row>
    <row r="4344" spans="1:11" x14ac:dyDescent="0.2">
      <c r="A4344" s="8">
        <v>3322</v>
      </c>
      <c r="B4344" s="8">
        <f t="shared" si="140"/>
        <v>2025</v>
      </c>
      <c r="C4344" s="8">
        <f t="shared" si="141"/>
        <v>4</v>
      </c>
      <c r="D4344" s="204">
        <v>45763</v>
      </c>
      <c r="E4344" s="188"/>
      <c r="F4344" s="188">
        <v>20000</v>
      </c>
      <c r="G4344" s="188"/>
      <c r="H4344" s="188"/>
      <c r="I4344" s="188" t="s">
        <v>91</v>
      </c>
      <c r="J4344" s="187" t="s">
        <v>4202</v>
      </c>
      <c r="K4344" s="186"/>
    </row>
    <row r="4345" spans="1:11" x14ac:dyDescent="0.2">
      <c r="A4345" s="8">
        <v>3323</v>
      </c>
      <c r="B4345" s="8">
        <f t="shared" si="140"/>
        <v>2025</v>
      </c>
      <c r="C4345" s="8">
        <f t="shared" si="141"/>
        <v>4</v>
      </c>
      <c r="D4345" s="204">
        <v>45764</v>
      </c>
      <c r="E4345" s="188"/>
      <c r="F4345" s="188">
        <v>20000</v>
      </c>
      <c r="G4345" s="188"/>
      <c r="H4345" s="188"/>
      <c r="I4345" s="188" t="s">
        <v>335</v>
      </c>
      <c r="J4345" s="187" t="s">
        <v>4203</v>
      </c>
      <c r="K4345" s="186"/>
    </row>
    <row r="4346" spans="1:11" x14ac:dyDescent="0.2">
      <c r="A4346" s="8">
        <v>3324</v>
      </c>
      <c r="B4346" s="8">
        <f t="shared" si="140"/>
        <v>2025</v>
      </c>
      <c r="C4346" s="8">
        <f t="shared" si="141"/>
        <v>4</v>
      </c>
      <c r="D4346" s="204">
        <v>45764</v>
      </c>
      <c r="E4346" s="188"/>
      <c r="F4346" s="188">
        <v>50000</v>
      </c>
      <c r="G4346" s="188"/>
      <c r="H4346" s="188"/>
      <c r="I4346" s="188" t="s">
        <v>85</v>
      </c>
      <c r="J4346" s="187" t="s">
        <v>2602</v>
      </c>
      <c r="K4346" s="186"/>
    </row>
    <row r="4347" spans="1:11" x14ac:dyDescent="0.2">
      <c r="A4347" s="8">
        <v>3325</v>
      </c>
      <c r="B4347" s="8">
        <f t="shared" si="140"/>
        <v>2025</v>
      </c>
      <c r="C4347" s="8">
        <f t="shared" si="141"/>
        <v>4</v>
      </c>
      <c r="D4347" s="204">
        <v>45765</v>
      </c>
      <c r="E4347" s="188"/>
      <c r="F4347" s="188">
        <v>50000</v>
      </c>
      <c r="G4347" s="188"/>
      <c r="H4347" s="188"/>
      <c r="I4347" s="188" t="s">
        <v>85</v>
      </c>
      <c r="J4347" s="187" t="s">
        <v>2602</v>
      </c>
      <c r="K4347" s="186"/>
    </row>
    <row r="4348" spans="1:11" x14ac:dyDescent="0.2">
      <c r="A4348" s="8">
        <v>3326</v>
      </c>
      <c r="B4348" s="8">
        <f t="shared" si="140"/>
        <v>2025</v>
      </c>
      <c r="C4348" s="8">
        <f t="shared" si="141"/>
        <v>4</v>
      </c>
      <c r="D4348" s="204">
        <v>45766</v>
      </c>
      <c r="E4348" s="188"/>
      <c r="F4348" s="188">
        <v>50000</v>
      </c>
      <c r="G4348" s="188"/>
      <c r="H4348" s="188"/>
      <c r="I4348" s="188" t="s">
        <v>85</v>
      </c>
      <c r="J4348" s="187" t="s">
        <v>2602</v>
      </c>
      <c r="K4348" s="186"/>
    </row>
    <row r="4349" spans="1:11" x14ac:dyDescent="0.2">
      <c r="A4349" s="8">
        <v>3327</v>
      </c>
      <c r="B4349" s="8">
        <f t="shared" si="140"/>
        <v>2025</v>
      </c>
      <c r="C4349" s="8">
        <f t="shared" si="141"/>
        <v>4</v>
      </c>
      <c r="D4349" s="204">
        <v>45767</v>
      </c>
      <c r="E4349" s="188"/>
      <c r="F4349" s="188">
        <v>50000</v>
      </c>
      <c r="G4349" s="188"/>
      <c r="H4349" s="188"/>
      <c r="I4349" s="188" t="s">
        <v>85</v>
      </c>
      <c r="J4349" s="187" t="s">
        <v>2602</v>
      </c>
      <c r="K4349" s="186"/>
    </row>
    <row r="4350" spans="1:11" x14ac:dyDescent="0.2">
      <c r="A4350" s="8">
        <v>3328</v>
      </c>
      <c r="B4350" s="8">
        <f t="shared" si="140"/>
        <v>2025</v>
      </c>
      <c r="C4350" s="8">
        <f t="shared" si="141"/>
        <v>4</v>
      </c>
      <c r="D4350" s="204">
        <v>45768</v>
      </c>
      <c r="E4350" s="188"/>
      <c r="F4350" s="188">
        <v>10000</v>
      </c>
      <c r="G4350" s="188"/>
      <c r="H4350" s="188"/>
      <c r="I4350" s="188" t="s">
        <v>91</v>
      </c>
      <c r="J4350" s="187" t="s">
        <v>4204</v>
      </c>
      <c r="K4350" s="186"/>
    </row>
    <row r="4351" spans="1:11" x14ac:dyDescent="0.2">
      <c r="A4351" s="8">
        <v>3329</v>
      </c>
      <c r="B4351" s="8">
        <f t="shared" si="140"/>
        <v>2025</v>
      </c>
      <c r="C4351" s="8">
        <f t="shared" si="141"/>
        <v>4</v>
      </c>
      <c r="D4351" s="204">
        <v>45768</v>
      </c>
      <c r="E4351" s="188"/>
      <c r="F4351" s="188">
        <v>30000</v>
      </c>
      <c r="G4351" s="188"/>
      <c r="H4351" s="188"/>
      <c r="I4351" s="188" t="s">
        <v>85</v>
      </c>
      <c r="J4351" s="187" t="s">
        <v>4205</v>
      </c>
      <c r="K4351" s="186"/>
    </row>
    <row r="4352" spans="1:11" x14ac:dyDescent="0.2">
      <c r="A4352" s="8">
        <v>3330</v>
      </c>
      <c r="B4352" s="8">
        <f t="shared" si="140"/>
        <v>2025</v>
      </c>
      <c r="C4352" s="8">
        <f t="shared" si="141"/>
        <v>4</v>
      </c>
      <c r="D4352" s="204">
        <v>45768</v>
      </c>
      <c r="E4352" s="188"/>
      <c r="F4352" s="188">
        <v>16000</v>
      </c>
      <c r="G4352" s="188"/>
      <c r="H4352" s="188"/>
      <c r="I4352" s="188" t="s">
        <v>91</v>
      </c>
      <c r="J4352" s="187" t="s">
        <v>4171</v>
      </c>
      <c r="K4352" s="186"/>
    </row>
    <row r="4353" spans="1:11" x14ac:dyDescent="0.2">
      <c r="A4353" s="8">
        <v>3331</v>
      </c>
      <c r="B4353" s="8">
        <f t="shared" si="140"/>
        <v>2025</v>
      </c>
      <c r="C4353" s="8">
        <f t="shared" si="141"/>
        <v>4</v>
      </c>
      <c r="D4353" s="204">
        <v>45768</v>
      </c>
      <c r="E4353" s="188"/>
      <c r="F4353" s="188">
        <v>11000</v>
      </c>
      <c r="G4353" s="188"/>
      <c r="H4353" s="188"/>
      <c r="I4353" s="188" t="s">
        <v>91</v>
      </c>
      <c r="J4353" s="187" t="s">
        <v>4206</v>
      </c>
      <c r="K4353" s="186"/>
    </row>
    <row r="4354" spans="1:11" x14ac:dyDescent="0.2">
      <c r="A4354" s="8">
        <v>3332</v>
      </c>
      <c r="B4354" s="8">
        <f t="shared" si="140"/>
        <v>2025</v>
      </c>
      <c r="C4354" s="8">
        <f t="shared" si="141"/>
        <v>4</v>
      </c>
      <c r="D4354" s="204">
        <v>45768</v>
      </c>
      <c r="E4354" s="188"/>
      <c r="F4354" s="188">
        <v>10000</v>
      </c>
      <c r="G4354" s="188"/>
      <c r="H4354" s="188"/>
      <c r="I4354" s="188" t="s">
        <v>1350</v>
      </c>
      <c r="J4354" s="187" t="s">
        <v>4207</v>
      </c>
      <c r="K4354" s="186"/>
    </row>
    <row r="4355" spans="1:11" x14ac:dyDescent="0.2">
      <c r="A4355" s="8">
        <v>3333</v>
      </c>
      <c r="B4355" s="8">
        <f t="shared" ref="B4355:B4418" si="142">YEAR(D4355)</f>
        <v>2025</v>
      </c>
      <c r="C4355" s="8">
        <f t="shared" ref="C4355:C4418" si="143">MONTH(D4355)</f>
        <v>4</v>
      </c>
      <c r="D4355" s="204">
        <v>45769</v>
      </c>
      <c r="E4355" s="188"/>
      <c r="F4355" s="188">
        <v>16000</v>
      </c>
      <c r="G4355" s="188"/>
      <c r="H4355" s="188"/>
      <c r="I4355" s="188" t="s">
        <v>91</v>
      </c>
      <c r="J4355" s="187" t="s">
        <v>4171</v>
      </c>
      <c r="K4355" s="186"/>
    </row>
    <row r="4356" spans="1:11" x14ac:dyDescent="0.2">
      <c r="A4356" s="8">
        <v>3334</v>
      </c>
      <c r="B4356" s="8">
        <f t="shared" si="142"/>
        <v>2025</v>
      </c>
      <c r="C4356" s="8">
        <f t="shared" si="143"/>
        <v>4</v>
      </c>
      <c r="D4356" s="204">
        <v>45769</v>
      </c>
      <c r="E4356" s="188"/>
      <c r="F4356" s="188">
        <v>10000</v>
      </c>
      <c r="G4356" s="188"/>
      <c r="H4356" s="188"/>
      <c r="I4356" s="188" t="s">
        <v>1350</v>
      </c>
      <c r="J4356" s="187" t="s">
        <v>4208</v>
      </c>
      <c r="K4356" s="186"/>
    </row>
    <row r="4357" spans="1:11" x14ac:dyDescent="0.2">
      <c r="A4357" s="8">
        <v>3335</v>
      </c>
      <c r="B4357" s="8">
        <f t="shared" si="142"/>
        <v>2025</v>
      </c>
      <c r="C4357" s="8">
        <f t="shared" si="143"/>
        <v>4</v>
      </c>
      <c r="D4357" s="204">
        <v>45769</v>
      </c>
      <c r="E4357" s="188"/>
      <c r="F4357" s="188">
        <v>20000</v>
      </c>
      <c r="G4357" s="188"/>
      <c r="H4357" s="188"/>
      <c r="I4357" s="188" t="s">
        <v>85</v>
      </c>
      <c r="J4357" s="187" t="s">
        <v>4209</v>
      </c>
      <c r="K4357" s="186"/>
    </row>
    <row r="4358" spans="1:11" x14ac:dyDescent="0.2">
      <c r="A4358" s="8">
        <v>3336</v>
      </c>
      <c r="B4358" s="8">
        <f t="shared" si="142"/>
        <v>2025</v>
      </c>
      <c r="C4358" s="8">
        <f t="shared" si="143"/>
        <v>4</v>
      </c>
      <c r="D4358" s="204">
        <v>45770</v>
      </c>
      <c r="E4358" s="188"/>
      <c r="F4358" s="188">
        <v>20000</v>
      </c>
      <c r="G4358" s="188"/>
      <c r="H4358" s="188"/>
      <c r="I4358" s="188" t="s">
        <v>91</v>
      </c>
      <c r="J4358" s="187" t="s">
        <v>2855</v>
      </c>
      <c r="K4358" s="186"/>
    </row>
    <row r="4359" spans="1:11" x14ac:dyDescent="0.2">
      <c r="A4359" s="8">
        <v>3337</v>
      </c>
      <c r="B4359" s="8">
        <f t="shared" si="142"/>
        <v>2025</v>
      </c>
      <c r="C4359" s="8">
        <f t="shared" si="143"/>
        <v>4</v>
      </c>
      <c r="D4359" s="204">
        <v>45770</v>
      </c>
      <c r="E4359" s="188"/>
      <c r="F4359" s="188">
        <v>30000</v>
      </c>
      <c r="G4359" s="188"/>
      <c r="H4359" s="188"/>
      <c r="I4359" s="188" t="s">
        <v>91</v>
      </c>
      <c r="J4359" s="187" t="s">
        <v>2626</v>
      </c>
      <c r="K4359" s="186"/>
    </row>
    <row r="4360" spans="1:11" x14ac:dyDescent="0.2">
      <c r="A4360" s="8">
        <v>3338</v>
      </c>
      <c r="B4360" s="8">
        <f t="shared" si="142"/>
        <v>2025</v>
      </c>
      <c r="C4360" s="8">
        <f t="shared" si="143"/>
        <v>4</v>
      </c>
      <c r="D4360" s="204">
        <v>45770</v>
      </c>
      <c r="E4360" s="188"/>
      <c r="F4360" s="188">
        <v>1000000</v>
      </c>
      <c r="G4360" s="188"/>
      <c r="H4360" s="188"/>
      <c r="I4360" s="188" t="s">
        <v>85</v>
      </c>
      <c r="J4360" s="187" t="s">
        <v>4210</v>
      </c>
      <c r="K4360" s="186"/>
    </row>
    <row r="4361" spans="1:11" x14ac:dyDescent="0.2">
      <c r="A4361" s="8">
        <v>3339</v>
      </c>
      <c r="B4361" s="8">
        <f t="shared" si="142"/>
        <v>2025</v>
      </c>
      <c r="C4361" s="8">
        <f t="shared" si="143"/>
        <v>4</v>
      </c>
      <c r="D4361" s="204">
        <v>45771</v>
      </c>
      <c r="E4361" s="188"/>
      <c r="F4361" s="188">
        <v>30000</v>
      </c>
      <c r="G4361" s="188"/>
      <c r="H4361" s="188"/>
      <c r="I4361" s="188" t="s">
        <v>85</v>
      </c>
      <c r="J4361" s="187" t="s">
        <v>4211</v>
      </c>
      <c r="K4361" s="186"/>
    </row>
    <row r="4362" spans="1:11" x14ac:dyDescent="0.2">
      <c r="A4362" s="8">
        <v>3340</v>
      </c>
      <c r="B4362" s="8">
        <f t="shared" si="142"/>
        <v>2025</v>
      </c>
      <c r="C4362" s="8">
        <f t="shared" si="143"/>
        <v>4</v>
      </c>
      <c r="D4362" s="204">
        <v>45772</v>
      </c>
      <c r="E4362" s="188"/>
      <c r="F4362" s="188">
        <v>21000</v>
      </c>
      <c r="G4362" s="188"/>
      <c r="H4362" s="188"/>
      <c r="I4362" s="188" t="s">
        <v>91</v>
      </c>
      <c r="J4362" s="187" t="s">
        <v>4212</v>
      </c>
      <c r="K4362" s="186"/>
    </row>
    <row r="4363" spans="1:11" x14ac:dyDescent="0.2">
      <c r="A4363" s="8">
        <v>3341</v>
      </c>
      <c r="B4363" s="8">
        <f t="shared" si="142"/>
        <v>2025</v>
      </c>
      <c r="C4363" s="8">
        <f t="shared" si="143"/>
        <v>4</v>
      </c>
      <c r="D4363" s="204">
        <v>45772</v>
      </c>
      <c r="E4363" s="188"/>
      <c r="F4363" s="188">
        <v>8000</v>
      </c>
      <c r="G4363" s="188"/>
      <c r="H4363" s="188"/>
      <c r="I4363" s="188" t="s">
        <v>85</v>
      </c>
      <c r="J4363" s="187" t="s">
        <v>4213</v>
      </c>
      <c r="K4363" s="186"/>
    </row>
    <row r="4364" spans="1:11" x14ac:dyDescent="0.2">
      <c r="A4364" s="8">
        <v>3342</v>
      </c>
      <c r="B4364" s="8">
        <f t="shared" si="142"/>
        <v>2025</v>
      </c>
      <c r="C4364" s="8">
        <f t="shared" si="143"/>
        <v>4</v>
      </c>
      <c r="D4364" s="204">
        <v>45772</v>
      </c>
      <c r="E4364" s="188"/>
      <c r="F4364" s="188">
        <v>100000</v>
      </c>
      <c r="G4364" s="188"/>
      <c r="H4364" s="188"/>
      <c r="I4364" s="188" t="s">
        <v>1992</v>
      </c>
      <c r="J4364" s="187" t="s">
        <v>4214</v>
      </c>
      <c r="K4364" s="186"/>
    </row>
    <row r="4365" spans="1:11" x14ac:dyDescent="0.2">
      <c r="A4365" s="8">
        <v>3343</v>
      </c>
      <c r="B4365" s="8">
        <f t="shared" si="142"/>
        <v>2025</v>
      </c>
      <c r="C4365" s="8">
        <f t="shared" si="143"/>
        <v>4</v>
      </c>
      <c r="D4365" s="204">
        <v>45772</v>
      </c>
      <c r="E4365" s="188"/>
      <c r="F4365" s="188">
        <v>20000</v>
      </c>
      <c r="G4365" s="188"/>
      <c r="H4365" s="188"/>
      <c r="I4365" s="188" t="s">
        <v>85</v>
      </c>
      <c r="J4365" s="187" t="s">
        <v>2893</v>
      </c>
      <c r="K4365" s="186"/>
    </row>
    <row r="4366" spans="1:11" x14ac:dyDescent="0.2">
      <c r="A4366" s="8">
        <v>3344</v>
      </c>
      <c r="B4366" s="8">
        <f t="shared" si="142"/>
        <v>2025</v>
      </c>
      <c r="C4366" s="8">
        <f t="shared" si="143"/>
        <v>4</v>
      </c>
      <c r="D4366" s="204">
        <v>45773</v>
      </c>
      <c r="E4366" s="188"/>
      <c r="F4366" s="188">
        <v>90000</v>
      </c>
      <c r="G4366" s="188"/>
      <c r="H4366" s="188"/>
      <c r="I4366" s="188" t="s">
        <v>1350</v>
      </c>
      <c r="J4366" s="187" t="s">
        <v>4215</v>
      </c>
      <c r="K4366" s="186"/>
    </row>
    <row r="4367" spans="1:11" x14ac:dyDescent="0.2">
      <c r="A4367" s="8">
        <v>3345</v>
      </c>
      <c r="B4367" s="8">
        <f t="shared" si="142"/>
        <v>2025</v>
      </c>
      <c r="C4367" s="8">
        <f t="shared" si="143"/>
        <v>4</v>
      </c>
      <c r="D4367" s="204">
        <v>45773</v>
      </c>
      <c r="E4367" s="188"/>
      <c r="F4367" s="188">
        <v>50000</v>
      </c>
      <c r="G4367" s="188"/>
      <c r="H4367" s="188"/>
      <c r="I4367" s="188" t="s">
        <v>1350</v>
      </c>
      <c r="J4367" s="187" t="s">
        <v>4216</v>
      </c>
      <c r="K4367" s="186"/>
    </row>
    <row r="4368" spans="1:11" x14ac:dyDescent="0.2">
      <c r="A4368" s="8">
        <v>3346</v>
      </c>
      <c r="B4368" s="8">
        <f t="shared" si="142"/>
        <v>2025</v>
      </c>
      <c r="C4368" s="8">
        <f t="shared" si="143"/>
        <v>4</v>
      </c>
      <c r="D4368" s="204">
        <v>45773</v>
      </c>
      <c r="E4368" s="188"/>
      <c r="F4368" s="188">
        <v>200000</v>
      </c>
      <c r="G4368" s="188"/>
      <c r="H4368" s="188"/>
      <c r="I4368" s="188" t="s">
        <v>1992</v>
      </c>
      <c r="J4368" s="187" t="s">
        <v>4217</v>
      </c>
      <c r="K4368" s="186"/>
    </row>
    <row r="4369" spans="1:11" x14ac:dyDescent="0.2">
      <c r="A4369" s="8">
        <v>3347</v>
      </c>
      <c r="B4369" s="8">
        <f t="shared" si="142"/>
        <v>2025</v>
      </c>
      <c r="C4369" s="8">
        <f t="shared" si="143"/>
        <v>4</v>
      </c>
      <c r="D4369" s="204">
        <v>45774</v>
      </c>
      <c r="E4369" s="188"/>
      <c r="F4369" s="188">
        <v>40000</v>
      </c>
      <c r="G4369" s="188"/>
      <c r="H4369" s="188"/>
      <c r="I4369" s="188" t="s">
        <v>91</v>
      </c>
      <c r="J4369" s="187" t="s">
        <v>4218</v>
      </c>
      <c r="K4369" s="186"/>
    </row>
    <row r="4370" spans="1:11" x14ac:dyDescent="0.2">
      <c r="A4370" s="8">
        <v>3348</v>
      </c>
      <c r="B4370" s="8">
        <f t="shared" si="142"/>
        <v>2025</v>
      </c>
      <c r="C4370" s="8">
        <f t="shared" si="143"/>
        <v>4</v>
      </c>
      <c r="D4370" s="204">
        <v>45774</v>
      </c>
      <c r="E4370" s="188"/>
      <c r="F4370" s="188">
        <v>45000</v>
      </c>
      <c r="G4370" s="188"/>
      <c r="H4370" s="188"/>
      <c r="I4370" s="188" t="s">
        <v>91</v>
      </c>
      <c r="J4370" s="187" t="s">
        <v>4219</v>
      </c>
      <c r="K4370" s="186"/>
    </row>
    <row r="4371" spans="1:11" x14ac:dyDescent="0.2">
      <c r="A4371" s="8">
        <v>3349</v>
      </c>
      <c r="B4371" s="8">
        <f t="shared" si="142"/>
        <v>2025</v>
      </c>
      <c r="C4371" s="8">
        <f t="shared" si="143"/>
        <v>4</v>
      </c>
      <c r="D4371" s="204">
        <v>45774</v>
      </c>
      <c r="E4371" s="188"/>
      <c r="F4371" s="188">
        <v>130000</v>
      </c>
      <c r="G4371" s="188"/>
      <c r="H4371" s="188"/>
      <c r="I4371" s="188" t="s">
        <v>1815</v>
      </c>
      <c r="J4371" s="187" t="s">
        <v>4220</v>
      </c>
      <c r="K4371" s="186"/>
    </row>
    <row r="4372" spans="1:11" x14ac:dyDescent="0.2">
      <c r="A4372" s="8">
        <v>3350</v>
      </c>
      <c r="B4372" s="8">
        <f t="shared" si="142"/>
        <v>2025</v>
      </c>
      <c r="C4372" s="8">
        <f t="shared" si="143"/>
        <v>4</v>
      </c>
      <c r="D4372" s="204">
        <v>45774</v>
      </c>
      <c r="E4372" s="188"/>
      <c r="F4372" s="188">
        <v>200000</v>
      </c>
      <c r="G4372" s="188"/>
      <c r="H4372" s="188"/>
      <c r="I4372" s="188" t="s">
        <v>299</v>
      </c>
      <c r="J4372" s="187" t="s">
        <v>4221</v>
      </c>
      <c r="K4372" s="186"/>
    </row>
    <row r="4373" spans="1:11" x14ac:dyDescent="0.2">
      <c r="A4373" s="8">
        <v>3351</v>
      </c>
      <c r="B4373" s="8">
        <f t="shared" si="142"/>
        <v>2025</v>
      </c>
      <c r="C4373" s="8">
        <f t="shared" si="143"/>
        <v>4</v>
      </c>
      <c r="D4373" s="204">
        <v>45775</v>
      </c>
      <c r="E4373" s="188"/>
      <c r="F4373" s="188">
        <v>40000</v>
      </c>
      <c r="G4373" s="188"/>
      <c r="H4373" s="188"/>
      <c r="I4373" s="188" t="s">
        <v>85</v>
      </c>
      <c r="J4373" s="187" t="s">
        <v>4222</v>
      </c>
      <c r="K4373" s="186"/>
    </row>
    <row r="4374" spans="1:11" x14ac:dyDescent="0.2">
      <c r="A4374" s="8">
        <v>3352</v>
      </c>
      <c r="B4374" s="8">
        <f t="shared" si="142"/>
        <v>2025</v>
      </c>
      <c r="C4374" s="8">
        <f t="shared" si="143"/>
        <v>4</v>
      </c>
      <c r="D4374" s="204">
        <v>45775</v>
      </c>
      <c r="E4374" s="188"/>
      <c r="F4374" s="188">
        <v>50000</v>
      </c>
      <c r="G4374" s="188"/>
      <c r="H4374" s="188"/>
      <c r="I4374" s="188" t="s">
        <v>85</v>
      </c>
      <c r="J4374" s="187" t="s">
        <v>2602</v>
      </c>
      <c r="K4374" s="186"/>
    </row>
    <row r="4375" spans="1:11" x14ac:dyDescent="0.2">
      <c r="A4375" s="8">
        <v>3353</v>
      </c>
      <c r="B4375" s="8">
        <f t="shared" si="142"/>
        <v>2025</v>
      </c>
      <c r="C4375" s="8">
        <f t="shared" si="143"/>
        <v>4</v>
      </c>
      <c r="D4375" s="204">
        <v>45776</v>
      </c>
      <c r="E4375" s="188"/>
      <c r="F4375" s="188">
        <v>15000</v>
      </c>
      <c r="G4375" s="188"/>
      <c r="H4375" s="188"/>
      <c r="I4375" s="188" t="s">
        <v>91</v>
      </c>
      <c r="J4375" s="187" t="s">
        <v>4223</v>
      </c>
      <c r="K4375" s="186"/>
    </row>
    <row r="4376" spans="1:11" x14ac:dyDescent="0.2">
      <c r="A4376" s="8">
        <v>3354</v>
      </c>
      <c r="B4376" s="8">
        <f t="shared" si="142"/>
        <v>2025</v>
      </c>
      <c r="C4376" s="8">
        <f t="shared" si="143"/>
        <v>4</v>
      </c>
      <c r="D4376" s="85">
        <v>45776</v>
      </c>
      <c r="E4376" s="31"/>
      <c r="F4376" s="31">
        <v>50000</v>
      </c>
      <c r="G4376" s="31"/>
      <c r="H4376" s="31"/>
      <c r="I4376" s="31" t="s">
        <v>85</v>
      </c>
      <c r="J4376" s="5" t="s">
        <v>2602</v>
      </c>
      <c r="K4376" s="8"/>
    </row>
    <row r="4377" spans="1:11" x14ac:dyDescent="0.2">
      <c r="A4377" s="8">
        <v>3355</v>
      </c>
      <c r="B4377" s="8">
        <f t="shared" si="142"/>
        <v>2025</v>
      </c>
      <c r="C4377" s="8">
        <f t="shared" si="143"/>
        <v>4</v>
      </c>
      <c r="D4377" s="85">
        <v>45776</v>
      </c>
      <c r="E4377" s="31"/>
      <c r="F4377" s="31">
        <v>287000</v>
      </c>
      <c r="G4377" s="31"/>
      <c r="H4377" s="31"/>
      <c r="I4377" s="31" t="s">
        <v>1815</v>
      </c>
      <c r="J4377" s="5" t="s">
        <v>4224</v>
      </c>
      <c r="K4377" s="8"/>
    </row>
    <row r="4378" spans="1:11" x14ac:dyDescent="0.2">
      <c r="A4378" s="8">
        <v>3356</v>
      </c>
      <c r="B4378" s="8">
        <f t="shared" si="142"/>
        <v>2025</v>
      </c>
      <c r="C4378" s="8">
        <f t="shared" si="143"/>
        <v>5</v>
      </c>
      <c r="D4378" s="85">
        <v>45778</v>
      </c>
      <c r="E4378" s="31"/>
      <c r="F4378" s="31">
        <v>100000</v>
      </c>
      <c r="G4378" s="31"/>
      <c r="H4378" s="31"/>
      <c r="I4378" s="31" t="s">
        <v>335</v>
      </c>
      <c r="J4378" s="5" t="s">
        <v>4268</v>
      </c>
      <c r="K4378" s="8"/>
    </row>
    <row r="4379" spans="1:11" x14ac:dyDescent="0.2">
      <c r="A4379" s="8">
        <v>3357</v>
      </c>
      <c r="B4379" s="8">
        <f t="shared" si="142"/>
        <v>2025</v>
      </c>
      <c r="C4379" s="8">
        <f t="shared" si="143"/>
        <v>5</v>
      </c>
      <c r="D4379" s="85">
        <v>45778</v>
      </c>
      <c r="E4379" s="31"/>
      <c r="F4379" s="31">
        <v>1000000</v>
      </c>
      <c r="G4379" s="31"/>
      <c r="H4379" s="31"/>
      <c r="I4379" s="31" t="s">
        <v>1894</v>
      </c>
      <c r="J4379" s="5" t="s">
        <v>4269</v>
      </c>
      <c r="K4379" s="8"/>
    </row>
    <row r="4380" spans="1:11" x14ac:dyDescent="0.2">
      <c r="A4380" s="8">
        <v>3358</v>
      </c>
      <c r="B4380" s="8">
        <f t="shared" si="142"/>
        <v>2025</v>
      </c>
      <c r="C4380" s="8">
        <f t="shared" si="143"/>
        <v>5</v>
      </c>
      <c r="D4380" s="85">
        <v>45778</v>
      </c>
      <c r="E4380" s="31"/>
      <c r="F4380" s="31">
        <v>22000</v>
      </c>
      <c r="G4380" s="31"/>
      <c r="H4380" s="31"/>
      <c r="I4380" s="31" t="s">
        <v>85</v>
      </c>
      <c r="J4380" s="5" t="s">
        <v>4270</v>
      </c>
      <c r="K4380" s="8"/>
    </row>
    <row r="4381" spans="1:11" x14ac:dyDescent="0.2">
      <c r="A4381" s="8">
        <v>3359</v>
      </c>
      <c r="B4381" s="8">
        <f t="shared" si="142"/>
        <v>2025</v>
      </c>
      <c r="C4381" s="8">
        <f t="shared" si="143"/>
        <v>5</v>
      </c>
      <c r="D4381" s="85">
        <v>45779</v>
      </c>
      <c r="E4381" s="31"/>
      <c r="F4381" s="31">
        <v>18000</v>
      </c>
      <c r="G4381" s="31"/>
      <c r="H4381" s="31"/>
      <c r="I4381" s="31" t="s">
        <v>91</v>
      </c>
      <c r="J4381" s="5" t="s">
        <v>4271</v>
      </c>
      <c r="K4381" s="8"/>
    </row>
    <row r="4382" spans="1:11" x14ac:dyDescent="0.2">
      <c r="A4382" s="8">
        <v>3360</v>
      </c>
      <c r="B4382" s="8">
        <f t="shared" si="142"/>
        <v>2025</v>
      </c>
      <c r="C4382" s="8">
        <f t="shared" si="143"/>
        <v>5</v>
      </c>
      <c r="D4382" s="85">
        <v>45779</v>
      </c>
      <c r="E4382" s="31"/>
      <c r="F4382" s="31">
        <v>84000</v>
      </c>
      <c r="G4382" s="31"/>
      <c r="H4382" s="31"/>
      <c r="I4382" s="31" t="s">
        <v>1992</v>
      </c>
      <c r="J4382" s="5" t="s">
        <v>4272</v>
      </c>
      <c r="K4382" s="8"/>
    </row>
    <row r="4383" spans="1:11" x14ac:dyDescent="0.2">
      <c r="A4383" s="8">
        <v>3361</v>
      </c>
      <c r="B4383" s="8">
        <f t="shared" si="142"/>
        <v>2025</v>
      </c>
      <c r="C4383" s="8">
        <f t="shared" si="143"/>
        <v>5</v>
      </c>
      <c r="D4383" s="85">
        <v>45779</v>
      </c>
      <c r="E4383" s="31"/>
      <c r="F4383" s="31">
        <v>16000</v>
      </c>
      <c r="G4383" s="31"/>
      <c r="H4383" s="31"/>
      <c r="I4383" s="31" t="s">
        <v>91</v>
      </c>
      <c r="J4383" s="5" t="s">
        <v>2594</v>
      </c>
      <c r="K4383" s="8"/>
    </row>
    <row r="4384" spans="1:11" x14ac:dyDescent="0.2">
      <c r="A4384" s="8">
        <v>3362</v>
      </c>
      <c r="B4384" s="8">
        <f t="shared" si="142"/>
        <v>2025</v>
      </c>
      <c r="C4384" s="8">
        <f t="shared" si="143"/>
        <v>5</v>
      </c>
      <c r="D4384" s="85">
        <v>45780</v>
      </c>
      <c r="E4384" s="31"/>
      <c r="F4384" s="31">
        <v>1000000</v>
      </c>
      <c r="G4384" s="31"/>
      <c r="H4384" s="31"/>
      <c r="I4384" s="31"/>
      <c r="J4384" s="5" t="s">
        <v>4273</v>
      </c>
      <c r="K4384" s="8"/>
    </row>
    <row r="4385" spans="1:11" x14ac:dyDescent="0.2">
      <c r="A4385" s="8">
        <v>3363</v>
      </c>
      <c r="B4385" s="8">
        <f t="shared" si="142"/>
        <v>2025</v>
      </c>
      <c r="C4385" s="8">
        <f t="shared" si="143"/>
        <v>5</v>
      </c>
      <c r="D4385" s="85">
        <v>45780</v>
      </c>
      <c r="E4385" s="31"/>
      <c r="F4385" s="31">
        <v>800000</v>
      </c>
      <c r="G4385" s="31"/>
      <c r="H4385" s="31"/>
      <c r="I4385" s="31" t="s">
        <v>1992</v>
      </c>
      <c r="J4385" s="5" t="s">
        <v>4274</v>
      </c>
      <c r="K4385" s="8"/>
    </row>
    <row r="4386" spans="1:11" x14ac:dyDescent="0.2">
      <c r="A4386" s="8">
        <v>3364</v>
      </c>
      <c r="B4386" s="8">
        <f t="shared" si="142"/>
        <v>2025</v>
      </c>
      <c r="C4386" s="8">
        <f t="shared" si="143"/>
        <v>5</v>
      </c>
      <c r="D4386" s="204">
        <v>45780</v>
      </c>
      <c r="E4386" s="188"/>
      <c r="F4386" s="188">
        <v>73000</v>
      </c>
      <c r="G4386" s="188"/>
      <c r="H4386" s="188"/>
      <c r="I4386" s="188" t="s">
        <v>85</v>
      </c>
      <c r="J4386" s="187" t="s">
        <v>4275</v>
      </c>
      <c r="K4386" s="186"/>
    </row>
    <row r="4387" spans="1:11" x14ac:dyDescent="0.2">
      <c r="A4387" s="8">
        <v>3365</v>
      </c>
      <c r="B4387" s="8">
        <f t="shared" si="142"/>
        <v>2025</v>
      </c>
      <c r="C4387" s="8">
        <f t="shared" si="143"/>
        <v>5</v>
      </c>
      <c r="D4387" s="204">
        <v>45780</v>
      </c>
      <c r="E4387" s="188"/>
      <c r="F4387" s="188">
        <v>20000</v>
      </c>
      <c r="G4387" s="188"/>
      <c r="H4387" s="188"/>
      <c r="I4387" s="188" t="s">
        <v>91</v>
      </c>
      <c r="J4387" s="187" t="s">
        <v>2843</v>
      </c>
      <c r="K4387" s="186"/>
    </row>
    <row r="4388" spans="1:11" x14ac:dyDescent="0.2">
      <c r="A4388" s="8">
        <v>3366</v>
      </c>
      <c r="B4388" s="8">
        <f t="shared" si="142"/>
        <v>2025</v>
      </c>
      <c r="C4388" s="8">
        <f t="shared" si="143"/>
        <v>5</v>
      </c>
      <c r="D4388" s="204">
        <v>45780</v>
      </c>
      <c r="E4388" s="188"/>
      <c r="F4388" s="188">
        <v>100000</v>
      </c>
      <c r="G4388" s="188"/>
      <c r="H4388" s="188"/>
      <c r="I4388" s="188" t="s">
        <v>85</v>
      </c>
      <c r="J4388" s="187" t="s">
        <v>4276</v>
      </c>
      <c r="K4388" s="186"/>
    </row>
    <row r="4389" spans="1:11" x14ac:dyDescent="0.2">
      <c r="A4389" s="8">
        <v>3367</v>
      </c>
      <c r="B4389" s="8">
        <f t="shared" si="142"/>
        <v>2025</v>
      </c>
      <c r="C4389" s="8">
        <f t="shared" si="143"/>
        <v>5</v>
      </c>
      <c r="D4389" s="204">
        <v>45780</v>
      </c>
      <c r="E4389" s="188"/>
      <c r="F4389" s="188">
        <v>50000</v>
      </c>
      <c r="G4389" s="188"/>
      <c r="H4389" s="188"/>
      <c r="I4389" s="188" t="s">
        <v>1350</v>
      </c>
      <c r="J4389" s="187" t="s">
        <v>4277</v>
      </c>
      <c r="K4389" s="186"/>
    </row>
    <row r="4390" spans="1:11" x14ac:dyDescent="0.2">
      <c r="A4390" s="8">
        <v>3368</v>
      </c>
      <c r="B4390" s="8">
        <f t="shared" si="142"/>
        <v>2025</v>
      </c>
      <c r="C4390" s="8">
        <f t="shared" si="143"/>
        <v>5</v>
      </c>
      <c r="D4390" s="204">
        <v>45781</v>
      </c>
      <c r="E4390" s="188"/>
      <c r="F4390" s="188">
        <v>100000</v>
      </c>
      <c r="G4390" s="188"/>
      <c r="H4390" s="188"/>
      <c r="I4390" s="188" t="s">
        <v>91</v>
      </c>
      <c r="J4390" s="187" t="s">
        <v>2929</v>
      </c>
      <c r="K4390" s="186"/>
    </row>
    <row r="4391" spans="1:11" x14ac:dyDescent="0.2">
      <c r="A4391" s="8">
        <v>3369</v>
      </c>
      <c r="B4391" s="8">
        <f t="shared" si="142"/>
        <v>2025</v>
      </c>
      <c r="C4391" s="8">
        <f t="shared" si="143"/>
        <v>5</v>
      </c>
      <c r="D4391" s="204">
        <v>45782</v>
      </c>
      <c r="E4391" s="188"/>
      <c r="F4391" s="188">
        <v>20000</v>
      </c>
      <c r="G4391" s="188"/>
      <c r="H4391" s="188"/>
      <c r="I4391" s="188" t="s">
        <v>91</v>
      </c>
      <c r="J4391" s="187" t="s">
        <v>2843</v>
      </c>
      <c r="K4391" s="186"/>
    </row>
    <row r="4392" spans="1:11" x14ac:dyDescent="0.2">
      <c r="A4392" s="8">
        <v>3370</v>
      </c>
      <c r="B4392" s="8">
        <f t="shared" si="142"/>
        <v>2025</v>
      </c>
      <c r="C4392" s="8">
        <f t="shared" si="143"/>
        <v>5</v>
      </c>
      <c r="D4392" s="204">
        <v>45782</v>
      </c>
      <c r="E4392" s="188"/>
      <c r="F4392" s="188">
        <v>300000</v>
      </c>
      <c r="G4392" s="188"/>
      <c r="H4392" s="188"/>
      <c r="I4392" s="188" t="s">
        <v>1350</v>
      </c>
      <c r="J4392" s="187" t="s">
        <v>4278</v>
      </c>
      <c r="K4392" s="186"/>
    </row>
    <row r="4393" spans="1:11" x14ac:dyDescent="0.2">
      <c r="A4393" s="8">
        <v>3371</v>
      </c>
      <c r="B4393" s="8">
        <f t="shared" si="142"/>
        <v>2025</v>
      </c>
      <c r="C4393" s="8">
        <f t="shared" si="143"/>
        <v>5</v>
      </c>
      <c r="D4393" s="204">
        <v>45783</v>
      </c>
      <c r="E4393" s="188"/>
      <c r="F4393" s="188">
        <v>25000</v>
      </c>
      <c r="G4393" s="188"/>
      <c r="H4393" s="188"/>
      <c r="I4393" s="188" t="s">
        <v>91</v>
      </c>
      <c r="J4393" s="187" t="s">
        <v>4279</v>
      </c>
      <c r="K4393" s="186"/>
    </row>
    <row r="4394" spans="1:11" x14ac:dyDescent="0.2">
      <c r="A4394" s="8">
        <v>3372</v>
      </c>
      <c r="B4394" s="8">
        <f t="shared" si="142"/>
        <v>2025</v>
      </c>
      <c r="C4394" s="8">
        <f t="shared" si="143"/>
        <v>5</v>
      </c>
      <c r="D4394" s="204">
        <v>45783</v>
      </c>
      <c r="E4394" s="188"/>
      <c r="F4394" s="188">
        <v>106000</v>
      </c>
      <c r="G4394" s="188"/>
      <c r="H4394" s="188"/>
      <c r="I4394" s="188" t="s">
        <v>85</v>
      </c>
      <c r="J4394" s="187" t="s">
        <v>4280</v>
      </c>
      <c r="K4394" s="186"/>
    </row>
    <row r="4395" spans="1:11" x14ac:dyDescent="0.2">
      <c r="A4395" s="8">
        <v>3373</v>
      </c>
      <c r="B4395" s="8">
        <f t="shared" si="142"/>
        <v>2025</v>
      </c>
      <c r="C4395" s="8">
        <f t="shared" si="143"/>
        <v>5</v>
      </c>
      <c r="D4395" s="204">
        <v>45783</v>
      </c>
      <c r="E4395" s="188"/>
      <c r="F4395" s="188">
        <v>30000</v>
      </c>
      <c r="G4395" s="188"/>
      <c r="H4395" s="188"/>
      <c r="I4395" s="188" t="s">
        <v>85</v>
      </c>
      <c r="J4395" s="187" t="s">
        <v>4281</v>
      </c>
      <c r="K4395" s="186"/>
    </row>
    <row r="4396" spans="1:11" x14ac:dyDescent="0.2">
      <c r="A4396" s="8">
        <v>3374</v>
      </c>
      <c r="B4396" s="8">
        <f t="shared" si="142"/>
        <v>2025</v>
      </c>
      <c r="C4396" s="8">
        <f t="shared" si="143"/>
        <v>5</v>
      </c>
      <c r="D4396" s="204">
        <v>45783</v>
      </c>
      <c r="E4396" s="188"/>
      <c r="F4396" s="188">
        <v>600000</v>
      </c>
      <c r="G4396" s="188"/>
      <c r="H4396" s="188"/>
      <c r="I4396" s="188" t="s">
        <v>1999</v>
      </c>
      <c r="J4396" s="187" t="s">
        <v>4282</v>
      </c>
      <c r="K4396" s="186"/>
    </row>
    <row r="4397" spans="1:11" x14ac:dyDescent="0.2">
      <c r="A4397" s="8">
        <v>3375</v>
      </c>
      <c r="B4397" s="8">
        <f t="shared" si="142"/>
        <v>2025</v>
      </c>
      <c r="C4397" s="8">
        <f t="shared" si="143"/>
        <v>5</v>
      </c>
      <c r="D4397" s="204">
        <v>45784</v>
      </c>
      <c r="E4397" s="188"/>
      <c r="F4397" s="188">
        <v>350000</v>
      </c>
      <c r="G4397" s="188"/>
      <c r="H4397" s="188"/>
      <c r="I4397" s="188" t="s">
        <v>2807</v>
      </c>
      <c r="J4397" s="187" t="s">
        <v>4283</v>
      </c>
      <c r="K4397" s="186"/>
    </row>
    <row r="4398" spans="1:11" x14ac:dyDescent="0.2">
      <c r="A4398" s="8">
        <v>3376</v>
      </c>
      <c r="B4398" s="8">
        <f t="shared" si="142"/>
        <v>2025</v>
      </c>
      <c r="C4398" s="8">
        <f t="shared" si="143"/>
        <v>5</v>
      </c>
      <c r="D4398" s="204">
        <v>45784</v>
      </c>
      <c r="E4398" s="188"/>
      <c r="F4398" s="188">
        <v>15000</v>
      </c>
      <c r="G4398" s="188"/>
      <c r="H4398" s="188"/>
      <c r="I4398" s="188" t="s">
        <v>91</v>
      </c>
      <c r="J4398" s="187" t="s">
        <v>2648</v>
      </c>
      <c r="K4398" s="186"/>
    </row>
    <row r="4399" spans="1:11" x14ac:dyDescent="0.2">
      <c r="A4399" s="8">
        <v>3377</v>
      </c>
      <c r="B4399" s="8">
        <f t="shared" si="142"/>
        <v>2025</v>
      </c>
      <c r="C4399" s="8">
        <f t="shared" si="143"/>
        <v>5</v>
      </c>
      <c r="D4399" s="204">
        <v>45785</v>
      </c>
      <c r="E4399" s="188"/>
      <c r="F4399" s="188">
        <v>15000</v>
      </c>
      <c r="G4399" s="188"/>
      <c r="H4399" s="188"/>
      <c r="I4399" s="188" t="s">
        <v>91</v>
      </c>
      <c r="J4399" s="187" t="s">
        <v>4284</v>
      </c>
      <c r="K4399" s="186"/>
    </row>
    <row r="4400" spans="1:11" x14ac:dyDescent="0.2">
      <c r="A4400" s="8">
        <v>3378</v>
      </c>
      <c r="B4400" s="8">
        <f t="shared" si="142"/>
        <v>2025</v>
      </c>
      <c r="C4400" s="8">
        <f t="shared" si="143"/>
        <v>5</v>
      </c>
      <c r="D4400" s="204">
        <v>45785</v>
      </c>
      <c r="E4400" s="188"/>
      <c r="F4400" s="188">
        <v>1000000</v>
      </c>
      <c r="G4400" s="188"/>
      <c r="H4400" s="188"/>
      <c r="I4400" s="188"/>
      <c r="J4400" s="187" t="s">
        <v>4285</v>
      </c>
      <c r="K4400" s="186"/>
    </row>
    <row r="4401" spans="1:11" x14ac:dyDescent="0.2">
      <c r="A4401" s="8">
        <v>3379</v>
      </c>
      <c r="B4401" s="8">
        <f t="shared" si="142"/>
        <v>2025</v>
      </c>
      <c r="C4401" s="8">
        <f t="shared" si="143"/>
        <v>5</v>
      </c>
      <c r="D4401" s="204">
        <v>45785</v>
      </c>
      <c r="E4401" s="188"/>
      <c r="F4401" s="188">
        <v>33000</v>
      </c>
      <c r="G4401" s="188"/>
      <c r="H4401" s="188"/>
      <c r="I4401" s="188" t="s">
        <v>91</v>
      </c>
      <c r="J4401" s="187" t="s">
        <v>4286</v>
      </c>
      <c r="K4401" s="186"/>
    </row>
    <row r="4402" spans="1:11" x14ac:dyDescent="0.2">
      <c r="A4402" s="8">
        <v>3380</v>
      </c>
      <c r="B4402" s="8">
        <f t="shared" si="142"/>
        <v>2025</v>
      </c>
      <c r="C4402" s="8">
        <f t="shared" si="143"/>
        <v>5</v>
      </c>
      <c r="D4402" s="204">
        <v>45785</v>
      </c>
      <c r="E4402" s="188"/>
      <c r="F4402" s="188">
        <v>20000</v>
      </c>
      <c r="G4402" s="188"/>
      <c r="H4402" s="188"/>
      <c r="I4402" s="188" t="s">
        <v>91</v>
      </c>
      <c r="J4402" s="187" t="s">
        <v>2843</v>
      </c>
      <c r="K4402" s="186"/>
    </row>
    <row r="4403" spans="1:11" x14ac:dyDescent="0.2">
      <c r="A4403" s="8">
        <v>3381</v>
      </c>
      <c r="B4403" s="8">
        <f t="shared" si="142"/>
        <v>2025</v>
      </c>
      <c r="C4403" s="8">
        <f t="shared" si="143"/>
        <v>5</v>
      </c>
      <c r="D4403" s="204">
        <v>45786</v>
      </c>
      <c r="E4403" s="188"/>
      <c r="F4403" s="188">
        <v>20000</v>
      </c>
      <c r="G4403" s="188"/>
      <c r="H4403" s="188"/>
      <c r="I4403" s="188" t="s">
        <v>1350</v>
      </c>
      <c r="J4403" s="187" t="s">
        <v>4287</v>
      </c>
      <c r="K4403" s="186"/>
    </row>
    <row r="4404" spans="1:11" x14ac:dyDescent="0.2">
      <c r="A4404" s="8">
        <v>3382</v>
      </c>
      <c r="B4404" s="8">
        <f t="shared" si="142"/>
        <v>2025</v>
      </c>
      <c r="C4404" s="8">
        <f t="shared" si="143"/>
        <v>5</v>
      </c>
      <c r="D4404" s="204">
        <v>45786</v>
      </c>
      <c r="E4404" s="188"/>
      <c r="F4404" s="188">
        <v>20000</v>
      </c>
      <c r="G4404" s="188"/>
      <c r="H4404" s="188"/>
      <c r="I4404" s="188" t="s">
        <v>91</v>
      </c>
      <c r="J4404" s="187" t="s">
        <v>4288</v>
      </c>
      <c r="K4404" s="186"/>
    </row>
    <row r="4405" spans="1:11" x14ac:dyDescent="0.2">
      <c r="A4405" s="8">
        <v>3383</v>
      </c>
      <c r="B4405" s="8">
        <f t="shared" si="142"/>
        <v>2025</v>
      </c>
      <c r="C4405" s="8">
        <f t="shared" si="143"/>
        <v>5</v>
      </c>
      <c r="D4405" s="204">
        <v>45786</v>
      </c>
      <c r="E4405" s="188"/>
      <c r="F4405" s="188">
        <v>10000</v>
      </c>
      <c r="G4405" s="188"/>
      <c r="H4405" s="188"/>
      <c r="I4405" s="188" t="s">
        <v>91</v>
      </c>
      <c r="J4405" s="187" t="s">
        <v>4289</v>
      </c>
      <c r="K4405" s="186"/>
    </row>
    <row r="4406" spans="1:11" x14ac:dyDescent="0.2">
      <c r="A4406" s="8">
        <v>3384</v>
      </c>
      <c r="B4406" s="8">
        <f t="shared" si="142"/>
        <v>2025</v>
      </c>
      <c r="C4406" s="8">
        <f t="shared" si="143"/>
        <v>5</v>
      </c>
      <c r="D4406" s="204">
        <v>45786</v>
      </c>
      <c r="E4406" s="188"/>
      <c r="F4406" s="188">
        <v>150000</v>
      </c>
      <c r="G4406" s="188"/>
      <c r="H4406" s="188"/>
      <c r="I4406" s="188" t="s">
        <v>1999</v>
      </c>
      <c r="J4406" s="187" t="s">
        <v>4290</v>
      </c>
      <c r="K4406" s="186"/>
    </row>
    <row r="4407" spans="1:11" x14ac:dyDescent="0.2">
      <c r="A4407" s="8">
        <v>3385</v>
      </c>
      <c r="B4407" s="8">
        <f t="shared" si="142"/>
        <v>2025</v>
      </c>
      <c r="C4407" s="8">
        <f t="shared" si="143"/>
        <v>5</v>
      </c>
      <c r="D4407" s="204">
        <v>45786</v>
      </c>
      <c r="E4407" s="188"/>
      <c r="F4407" s="188">
        <v>50000</v>
      </c>
      <c r="G4407" s="188"/>
      <c r="H4407" s="188"/>
      <c r="I4407" s="188" t="s">
        <v>85</v>
      </c>
      <c r="J4407" s="187" t="s">
        <v>4291</v>
      </c>
      <c r="K4407" s="186"/>
    </row>
    <row r="4408" spans="1:11" x14ac:dyDescent="0.2">
      <c r="A4408" s="8">
        <v>3386</v>
      </c>
      <c r="B4408" s="8">
        <f t="shared" si="142"/>
        <v>2025</v>
      </c>
      <c r="C4408" s="8">
        <f t="shared" si="143"/>
        <v>5</v>
      </c>
      <c r="D4408" s="204">
        <v>45786</v>
      </c>
      <c r="E4408" s="188"/>
      <c r="F4408" s="188">
        <v>262000</v>
      </c>
      <c r="G4408" s="188"/>
      <c r="H4408" s="188"/>
      <c r="I4408" s="188" t="s">
        <v>149</v>
      </c>
      <c r="J4408" s="187" t="s">
        <v>4292</v>
      </c>
      <c r="K4408" s="186"/>
    </row>
    <row r="4409" spans="1:11" x14ac:dyDescent="0.2">
      <c r="A4409" s="8">
        <v>3387</v>
      </c>
      <c r="B4409" s="8">
        <f t="shared" si="142"/>
        <v>2025</v>
      </c>
      <c r="C4409" s="8">
        <f t="shared" si="143"/>
        <v>5</v>
      </c>
      <c r="D4409" s="204">
        <v>45786</v>
      </c>
      <c r="E4409" s="188"/>
      <c r="F4409" s="188">
        <v>50000</v>
      </c>
      <c r="G4409" s="188"/>
      <c r="H4409" s="188"/>
      <c r="I4409" s="188" t="s">
        <v>1350</v>
      </c>
      <c r="J4409" s="187" t="s">
        <v>4293</v>
      </c>
      <c r="K4409" s="186"/>
    </row>
    <row r="4410" spans="1:11" x14ac:dyDescent="0.2">
      <c r="A4410" s="8">
        <v>3388</v>
      </c>
      <c r="B4410" s="8">
        <f t="shared" si="142"/>
        <v>2025</v>
      </c>
      <c r="C4410" s="8">
        <f t="shared" si="143"/>
        <v>5</v>
      </c>
      <c r="D4410" s="204">
        <v>45786</v>
      </c>
      <c r="E4410" s="188"/>
      <c r="F4410" s="188">
        <v>20000</v>
      </c>
      <c r="G4410" s="188"/>
      <c r="H4410" s="188"/>
      <c r="I4410" s="188" t="s">
        <v>85</v>
      </c>
      <c r="J4410" s="187" t="s">
        <v>4094</v>
      </c>
      <c r="K4410" s="186"/>
    </row>
    <row r="4411" spans="1:11" x14ac:dyDescent="0.2">
      <c r="A4411" s="8">
        <v>3389</v>
      </c>
      <c r="B4411" s="8">
        <f t="shared" si="142"/>
        <v>2025</v>
      </c>
      <c r="C4411" s="8">
        <f t="shared" si="143"/>
        <v>5</v>
      </c>
      <c r="D4411" s="204">
        <v>45787</v>
      </c>
      <c r="E4411" s="188"/>
      <c r="F4411" s="188">
        <v>160000</v>
      </c>
      <c r="G4411" s="188"/>
      <c r="H4411" s="188"/>
      <c r="I4411" s="188" t="s">
        <v>2807</v>
      </c>
      <c r="J4411" s="187" t="s">
        <v>4294</v>
      </c>
      <c r="K4411" s="186"/>
    </row>
    <row r="4412" spans="1:11" x14ac:dyDescent="0.2">
      <c r="A4412" s="8">
        <v>3390</v>
      </c>
      <c r="B4412" s="8">
        <f t="shared" si="142"/>
        <v>2025</v>
      </c>
      <c r="C4412" s="8">
        <f t="shared" si="143"/>
        <v>5</v>
      </c>
      <c r="D4412" s="204">
        <v>45787</v>
      </c>
      <c r="E4412" s="188"/>
      <c r="F4412" s="188">
        <v>50000</v>
      </c>
      <c r="G4412" s="188"/>
      <c r="H4412" s="188"/>
      <c r="I4412" s="188" t="s">
        <v>1999</v>
      </c>
      <c r="J4412" s="187" t="s">
        <v>4295</v>
      </c>
      <c r="K4412" s="186"/>
    </row>
    <row r="4413" spans="1:11" x14ac:dyDescent="0.2">
      <c r="A4413" s="8">
        <v>3391</v>
      </c>
      <c r="B4413" s="8">
        <f t="shared" si="142"/>
        <v>2025</v>
      </c>
      <c r="C4413" s="8">
        <f t="shared" si="143"/>
        <v>5</v>
      </c>
      <c r="D4413" s="204">
        <v>45787</v>
      </c>
      <c r="E4413" s="188"/>
      <c r="F4413" s="188">
        <v>30000</v>
      </c>
      <c r="G4413" s="188"/>
      <c r="H4413" s="188"/>
      <c r="I4413" s="188" t="s">
        <v>91</v>
      </c>
      <c r="J4413" s="187" t="s">
        <v>2382</v>
      </c>
      <c r="K4413" s="186"/>
    </row>
    <row r="4414" spans="1:11" x14ac:dyDescent="0.2">
      <c r="A4414" s="8">
        <v>3392</v>
      </c>
      <c r="B4414" s="8">
        <f t="shared" si="142"/>
        <v>2025</v>
      </c>
      <c r="C4414" s="8">
        <f t="shared" si="143"/>
        <v>5</v>
      </c>
      <c r="D4414" s="204">
        <v>45787</v>
      </c>
      <c r="E4414" s="188"/>
      <c r="F4414" s="188">
        <v>110000</v>
      </c>
      <c r="G4414" s="188"/>
      <c r="H4414" s="188"/>
      <c r="I4414" s="188" t="s">
        <v>1350</v>
      </c>
      <c r="J4414" s="187" t="s">
        <v>4296</v>
      </c>
      <c r="K4414" s="186"/>
    </row>
    <row r="4415" spans="1:11" x14ac:dyDescent="0.2">
      <c r="A4415" s="8">
        <v>3393</v>
      </c>
      <c r="B4415" s="8">
        <f t="shared" si="142"/>
        <v>2025</v>
      </c>
      <c r="C4415" s="8">
        <f t="shared" si="143"/>
        <v>5</v>
      </c>
      <c r="D4415" s="204">
        <v>45788</v>
      </c>
      <c r="E4415" s="188"/>
      <c r="F4415" s="188">
        <v>75000</v>
      </c>
      <c r="G4415" s="188"/>
      <c r="H4415" s="188"/>
      <c r="I4415" s="188" t="s">
        <v>91</v>
      </c>
      <c r="J4415" s="187" t="s">
        <v>4297</v>
      </c>
      <c r="K4415" s="186"/>
    </row>
    <row r="4416" spans="1:11" x14ac:dyDescent="0.2">
      <c r="A4416" s="8">
        <v>3394</v>
      </c>
      <c r="B4416" s="8">
        <f t="shared" si="142"/>
        <v>2025</v>
      </c>
      <c r="C4416" s="8">
        <f t="shared" si="143"/>
        <v>5</v>
      </c>
      <c r="D4416" s="204">
        <v>45788</v>
      </c>
      <c r="E4416" s="188"/>
      <c r="F4416" s="188">
        <v>50000</v>
      </c>
      <c r="G4416" s="188"/>
      <c r="H4416" s="188"/>
      <c r="I4416" s="188" t="s">
        <v>299</v>
      </c>
      <c r="J4416" s="187" t="s">
        <v>4298</v>
      </c>
      <c r="K4416" s="186"/>
    </row>
    <row r="4417" spans="1:11" x14ac:dyDescent="0.2">
      <c r="A4417" s="8">
        <v>3395</v>
      </c>
      <c r="B4417" s="8">
        <f t="shared" si="142"/>
        <v>2025</v>
      </c>
      <c r="C4417" s="8">
        <f t="shared" si="143"/>
        <v>5</v>
      </c>
      <c r="D4417" s="204">
        <v>45789</v>
      </c>
      <c r="E4417" s="188"/>
      <c r="F4417" s="188">
        <v>17000</v>
      </c>
      <c r="G4417" s="188"/>
      <c r="H4417" s="188"/>
      <c r="I4417" s="188" t="s">
        <v>91</v>
      </c>
      <c r="J4417" s="187" t="s">
        <v>4299</v>
      </c>
      <c r="K4417" s="186"/>
    </row>
    <row r="4418" spans="1:11" x14ac:dyDescent="0.2">
      <c r="A4418" s="8">
        <v>3396</v>
      </c>
      <c r="B4418" s="8">
        <f t="shared" si="142"/>
        <v>2025</v>
      </c>
      <c r="C4418" s="8">
        <f t="shared" si="143"/>
        <v>5</v>
      </c>
      <c r="D4418" s="204">
        <v>45790</v>
      </c>
      <c r="E4418" s="188"/>
      <c r="F4418" s="188">
        <v>50000</v>
      </c>
      <c r="G4418" s="188"/>
      <c r="H4418" s="188"/>
      <c r="I4418" s="188" t="s">
        <v>85</v>
      </c>
      <c r="J4418" s="187" t="s">
        <v>2605</v>
      </c>
      <c r="K4418" s="186"/>
    </row>
    <row r="4419" spans="1:11" x14ac:dyDescent="0.2">
      <c r="A4419" s="8">
        <v>3397</v>
      </c>
      <c r="B4419" s="8">
        <f t="shared" ref="B4419:B4482" si="144">YEAR(D4419)</f>
        <v>2025</v>
      </c>
      <c r="C4419" s="8">
        <f t="shared" ref="C4419:C4482" si="145">MONTH(D4419)</f>
        <v>5</v>
      </c>
      <c r="D4419" s="204">
        <v>45791</v>
      </c>
      <c r="E4419" s="188"/>
      <c r="F4419" s="188">
        <v>25000</v>
      </c>
      <c r="G4419" s="188"/>
      <c r="H4419" s="188"/>
      <c r="I4419" s="188" t="s">
        <v>91</v>
      </c>
      <c r="J4419" s="187" t="s">
        <v>4279</v>
      </c>
      <c r="K4419" s="186"/>
    </row>
    <row r="4420" spans="1:11" x14ac:dyDescent="0.2">
      <c r="A4420" s="8">
        <v>3398</v>
      </c>
      <c r="B4420" s="8">
        <f t="shared" si="144"/>
        <v>2025</v>
      </c>
      <c r="C4420" s="8">
        <f t="shared" si="145"/>
        <v>5</v>
      </c>
      <c r="D4420" s="204">
        <v>45791</v>
      </c>
      <c r="E4420" s="188"/>
      <c r="F4420" s="188">
        <v>214000</v>
      </c>
      <c r="G4420" s="188"/>
      <c r="H4420" s="188"/>
      <c r="I4420" s="188" t="s">
        <v>299</v>
      </c>
      <c r="J4420" s="187" t="s">
        <v>4300</v>
      </c>
      <c r="K4420" s="186"/>
    </row>
    <row r="4421" spans="1:11" x14ac:dyDescent="0.2">
      <c r="A4421" s="8">
        <v>3399</v>
      </c>
      <c r="B4421" s="8">
        <f t="shared" si="144"/>
        <v>2025</v>
      </c>
      <c r="C4421" s="8">
        <f t="shared" si="145"/>
        <v>5</v>
      </c>
      <c r="D4421" s="204">
        <v>45791</v>
      </c>
      <c r="E4421" s="188"/>
      <c r="F4421" s="188">
        <v>17000</v>
      </c>
      <c r="G4421" s="188"/>
      <c r="H4421" s="188"/>
      <c r="I4421" s="188" t="s">
        <v>91</v>
      </c>
      <c r="J4421" s="187" t="s">
        <v>4089</v>
      </c>
      <c r="K4421" s="186"/>
    </row>
    <row r="4422" spans="1:11" x14ac:dyDescent="0.2">
      <c r="A4422" s="8">
        <v>3400</v>
      </c>
      <c r="B4422" s="8">
        <f t="shared" si="144"/>
        <v>2025</v>
      </c>
      <c r="C4422" s="8">
        <f t="shared" si="145"/>
        <v>5</v>
      </c>
      <c r="D4422" s="204">
        <v>45792</v>
      </c>
      <c r="E4422" s="188"/>
      <c r="F4422" s="188">
        <v>20000</v>
      </c>
      <c r="G4422" s="188"/>
      <c r="H4422" s="188"/>
      <c r="I4422" s="188" t="s">
        <v>85</v>
      </c>
      <c r="J4422" s="187" t="s">
        <v>4094</v>
      </c>
      <c r="K4422" s="186"/>
    </row>
    <row r="4423" spans="1:11" x14ac:dyDescent="0.2">
      <c r="A4423" s="8">
        <v>3401</v>
      </c>
      <c r="B4423" s="8">
        <f t="shared" si="144"/>
        <v>2025</v>
      </c>
      <c r="C4423" s="8">
        <f t="shared" si="145"/>
        <v>5</v>
      </c>
      <c r="D4423" s="204">
        <v>45792</v>
      </c>
      <c r="E4423" s="188"/>
      <c r="F4423" s="188">
        <v>24000</v>
      </c>
      <c r="G4423" s="188"/>
      <c r="H4423" s="188"/>
      <c r="I4423" s="188" t="s">
        <v>91</v>
      </c>
      <c r="J4423" s="187" t="s">
        <v>4301</v>
      </c>
      <c r="K4423" s="186"/>
    </row>
    <row r="4424" spans="1:11" x14ac:dyDescent="0.2">
      <c r="A4424" s="8">
        <v>3402</v>
      </c>
      <c r="B4424" s="8">
        <f t="shared" si="144"/>
        <v>2025</v>
      </c>
      <c r="C4424" s="8">
        <f t="shared" si="145"/>
        <v>5</v>
      </c>
      <c r="D4424" s="204">
        <v>45793</v>
      </c>
      <c r="E4424" s="188"/>
      <c r="F4424" s="188">
        <v>20000</v>
      </c>
      <c r="G4424" s="188"/>
      <c r="H4424" s="188"/>
      <c r="I4424" s="188" t="s">
        <v>85</v>
      </c>
      <c r="J4424" s="187" t="s">
        <v>2893</v>
      </c>
      <c r="K4424" s="186"/>
    </row>
    <row r="4425" spans="1:11" x14ac:dyDescent="0.2">
      <c r="A4425" s="8">
        <v>3403</v>
      </c>
      <c r="B4425" s="8">
        <f t="shared" si="144"/>
        <v>2025</v>
      </c>
      <c r="C4425" s="8">
        <f t="shared" si="145"/>
        <v>5</v>
      </c>
      <c r="D4425" s="204">
        <v>45793</v>
      </c>
      <c r="E4425" s="188"/>
      <c r="F4425" s="188">
        <v>15000</v>
      </c>
      <c r="G4425" s="188"/>
      <c r="H4425" s="188"/>
      <c r="I4425" s="188" t="s">
        <v>91</v>
      </c>
      <c r="J4425" s="187" t="s">
        <v>2648</v>
      </c>
      <c r="K4425" s="186"/>
    </row>
    <row r="4426" spans="1:11" x14ac:dyDescent="0.2">
      <c r="A4426" s="8">
        <v>3404</v>
      </c>
      <c r="B4426" s="8">
        <f t="shared" si="144"/>
        <v>2025</v>
      </c>
      <c r="C4426" s="8">
        <f t="shared" si="145"/>
        <v>5</v>
      </c>
      <c r="D4426" s="204">
        <v>45793</v>
      </c>
      <c r="E4426" s="188"/>
      <c r="F4426" s="188">
        <v>700000</v>
      </c>
      <c r="G4426" s="188"/>
      <c r="H4426" s="188"/>
      <c r="I4426" s="188"/>
      <c r="J4426" s="187" t="s">
        <v>4302</v>
      </c>
      <c r="K4426" s="186"/>
    </row>
    <row r="4427" spans="1:11" x14ac:dyDescent="0.2">
      <c r="A4427" s="8">
        <v>3405</v>
      </c>
      <c r="B4427" s="8">
        <f t="shared" si="144"/>
        <v>2025</v>
      </c>
      <c r="C4427" s="8">
        <f t="shared" si="145"/>
        <v>5</v>
      </c>
      <c r="D4427" s="204">
        <v>45794</v>
      </c>
      <c r="E4427" s="188"/>
      <c r="F4427" s="188">
        <v>35000</v>
      </c>
      <c r="G4427" s="188"/>
      <c r="H4427" s="188"/>
      <c r="I4427" s="188" t="s">
        <v>85</v>
      </c>
      <c r="J4427" s="187" t="s">
        <v>4303</v>
      </c>
      <c r="K4427" s="186"/>
    </row>
    <row r="4428" spans="1:11" x14ac:dyDescent="0.2">
      <c r="A4428" s="8">
        <v>3406</v>
      </c>
      <c r="B4428" s="8">
        <f t="shared" si="144"/>
        <v>2025</v>
      </c>
      <c r="C4428" s="8">
        <f t="shared" si="145"/>
        <v>5</v>
      </c>
      <c r="D4428" s="204">
        <v>45794</v>
      </c>
      <c r="E4428" s="188"/>
      <c r="F4428" s="188">
        <v>105000</v>
      </c>
      <c r="G4428" s="188"/>
      <c r="H4428" s="188"/>
      <c r="I4428" s="188" t="s">
        <v>1350</v>
      </c>
      <c r="J4428" s="187" t="s">
        <v>4304</v>
      </c>
      <c r="K4428" s="186"/>
    </row>
    <row r="4429" spans="1:11" x14ac:dyDescent="0.2">
      <c r="A4429" s="8">
        <v>3407</v>
      </c>
      <c r="B4429" s="8">
        <f t="shared" si="144"/>
        <v>2025</v>
      </c>
      <c r="C4429" s="8">
        <f t="shared" si="145"/>
        <v>5</v>
      </c>
      <c r="D4429" s="204">
        <v>45794</v>
      </c>
      <c r="E4429" s="188"/>
      <c r="F4429" s="188">
        <v>83000</v>
      </c>
      <c r="G4429" s="188"/>
      <c r="H4429" s="188"/>
      <c r="I4429" s="188" t="s">
        <v>335</v>
      </c>
      <c r="J4429" s="187" t="s">
        <v>4305</v>
      </c>
      <c r="K4429" s="186"/>
    </row>
    <row r="4430" spans="1:11" x14ac:dyDescent="0.2">
      <c r="A4430" s="8">
        <v>3408</v>
      </c>
      <c r="B4430" s="8">
        <f t="shared" si="144"/>
        <v>2025</v>
      </c>
      <c r="C4430" s="8">
        <f t="shared" si="145"/>
        <v>5</v>
      </c>
      <c r="D4430" s="204">
        <v>45794</v>
      </c>
      <c r="E4430" s="188"/>
      <c r="F4430" s="188">
        <v>17000</v>
      </c>
      <c r="G4430" s="188"/>
      <c r="H4430" s="188"/>
      <c r="I4430" s="188" t="s">
        <v>91</v>
      </c>
      <c r="J4430" s="187" t="s">
        <v>4306</v>
      </c>
      <c r="K4430" s="186"/>
    </row>
    <row r="4431" spans="1:11" x14ac:dyDescent="0.2">
      <c r="A4431" s="8">
        <v>3409</v>
      </c>
      <c r="B4431" s="8">
        <f t="shared" si="144"/>
        <v>2025</v>
      </c>
      <c r="C4431" s="8">
        <f t="shared" si="145"/>
        <v>5</v>
      </c>
      <c r="D4431" s="204">
        <v>45794</v>
      </c>
      <c r="E4431" s="188"/>
      <c r="F4431" s="188">
        <v>30000</v>
      </c>
      <c r="G4431" s="188"/>
      <c r="H4431" s="188"/>
      <c r="I4431" s="188" t="s">
        <v>91</v>
      </c>
      <c r="J4431" s="187" t="s">
        <v>2467</v>
      </c>
      <c r="K4431" s="186"/>
    </row>
    <row r="4432" spans="1:11" x14ac:dyDescent="0.2">
      <c r="A4432" s="8">
        <v>3410</v>
      </c>
      <c r="B4432" s="8">
        <f t="shared" si="144"/>
        <v>2025</v>
      </c>
      <c r="C4432" s="8">
        <f t="shared" si="145"/>
        <v>5</v>
      </c>
      <c r="D4432" s="204">
        <v>45794</v>
      </c>
      <c r="E4432" s="188"/>
      <c r="F4432" s="188">
        <v>180000</v>
      </c>
      <c r="G4432" s="188"/>
      <c r="H4432" s="188"/>
      <c r="I4432" s="188" t="s">
        <v>1350</v>
      </c>
      <c r="J4432" s="187" t="s">
        <v>4307</v>
      </c>
      <c r="K4432" s="186"/>
    </row>
    <row r="4433" spans="1:11" x14ac:dyDescent="0.2">
      <c r="A4433" s="8">
        <v>3411</v>
      </c>
      <c r="B4433" s="8">
        <f t="shared" si="144"/>
        <v>2025</v>
      </c>
      <c r="C4433" s="8">
        <f t="shared" si="145"/>
        <v>5</v>
      </c>
      <c r="D4433" s="204">
        <v>45794</v>
      </c>
      <c r="E4433" s="188"/>
      <c r="F4433" s="188">
        <v>260000</v>
      </c>
      <c r="G4433" s="188"/>
      <c r="H4433" s="188"/>
      <c r="I4433" s="188" t="s">
        <v>335</v>
      </c>
      <c r="J4433" s="187" t="s">
        <v>4308</v>
      </c>
      <c r="K4433" s="186"/>
    </row>
    <row r="4434" spans="1:11" x14ac:dyDescent="0.2">
      <c r="A4434" s="8">
        <v>3412</v>
      </c>
      <c r="B4434" s="8">
        <f t="shared" si="144"/>
        <v>2025</v>
      </c>
      <c r="C4434" s="8">
        <f t="shared" si="145"/>
        <v>5</v>
      </c>
      <c r="D4434" s="204">
        <v>45795</v>
      </c>
      <c r="E4434" s="188"/>
      <c r="F4434" s="188">
        <v>150000</v>
      </c>
      <c r="G4434" s="188"/>
      <c r="H4434" s="188"/>
      <c r="I4434" s="188" t="s">
        <v>1350</v>
      </c>
      <c r="J4434" s="187" t="s">
        <v>4309</v>
      </c>
      <c r="K4434" s="186"/>
    </row>
    <row r="4435" spans="1:11" x14ac:dyDescent="0.2">
      <c r="A4435" s="8">
        <v>3413</v>
      </c>
      <c r="B4435" s="8">
        <f t="shared" si="144"/>
        <v>2025</v>
      </c>
      <c r="C4435" s="8">
        <f t="shared" si="145"/>
        <v>5</v>
      </c>
      <c r="D4435" s="204">
        <v>45795</v>
      </c>
      <c r="E4435" s="188"/>
      <c r="F4435" s="188">
        <v>69000</v>
      </c>
      <c r="G4435" s="188"/>
      <c r="H4435" s="188"/>
      <c r="I4435" s="188" t="s">
        <v>85</v>
      </c>
      <c r="J4435" s="187" t="s">
        <v>4310</v>
      </c>
      <c r="K4435" s="186"/>
    </row>
    <row r="4436" spans="1:11" x14ac:dyDescent="0.2">
      <c r="A4436" s="8">
        <v>3414</v>
      </c>
      <c r="B4436" s="8">
        <f t="shared" si="144"/>
        <v>2025</v>
      </c>
      <c r="C4436" s="8">
        <f t="shared" si="145"/>
        <v>5</v>
      </c>
      <c r="D4436" s="204">
        <v>45795</v>
      </c>
      <c r="E4436" s="188"/>
      <c r="F4436" s="188">
        <v>20000</v>
      </c>
      <c r="G4436" s="188"/>
      <c r="H4436" s="188"/>
      <c r="I4436" s="188" t="s">
        <v>1350</v>
      </c>
      <c r="J4436" s="187" t="s">
        <v>4311</v>
      </c>
      <c r="K4436" s="186"/>
    </row>
    <row r="4437" spans="1:11" x14ac:dyDescent="0.2">
      <c r="A4437" s="8">
        <v>3415</v>
      </c>
      <c r="B4437" s="8">
        <f t="shared" si="144"/>
        <v>2025</v>
      </c>
      <c r="C4437" s="8">
        <f t="shared" si="145"/>
        <v>5</v>
      </c>
      <c r="D4437" s="204">
        <v>45795</v>
      </c>
      <c r="E4437" s="188"/>
      <c r="F4437" s="188">
        <v>5000</v>
      </c>
      <c r="G4437" s="188"/>
      <c r="H4437" s="188"/>
      <c r="I4437" s="188" t="s">
        <v>149</v>
      </c>
      <c r="J4437" s="187" t="s">
        <v>2831</v>
      </c>
      <c r="K4437" s="186"/>
    </row>
    <row r="4438" spans="1:11" x14ac:dyDescent="0.2">
      <c r="A4438" s="8">
        <v>3416</v>
      </c>
      <c r="B4438" s="8">
        <f t="shared" si="144"/>
        <v>2025</v>
      </c>
      <c r="C4438" s="8">
        <f t="shared" si="145"/>
        <v>5</v>
      </c>
      <c r="D4438" s="204">
        <v>45795</v>
      </c>
      <c r="E4438" s="188"/>
      <c r="F4438" s="188">
        <v>80000</v>
      </c>
      <c r="G4438" s="188"/>
      <c r="H4438" s="188"/>
      <c r="I4438" s="188" t="s">
        <v>1350</v>
      </c>
      <c r="J4438" s="187" t="s">
        <v>4312</v>
      </c>
      <c r="K4438" s="186"/>
    </row>
    <row r="4439" spans="1:11" x14ac:dyDescent="0.2">
      <c r="A4439" s="8">
        <v>3417</v>
      </c>
      <c r="B4439" s="8">
        <f t="shared" si="144"/>
        <v>2025</v>
      </c>
      <c r="C4439" s="8">
        <f t="shared" si="145"/>
        <v>5</v>
      </c>
      <c r="D4439" s="204">
        <v>45796</v>
      </c>
      <c r="E4439" s="188"/>
      <c r="F4439" s="188">
        <v>50000</v>
      </c>
      <c r="G4439" s="188"/>
      <c r="H4439" s="188"/>
      <c r="I4439" s="188" t="s">
        <v>85</v>
      </c>
      <c r="J4439" s="187" t="s">
        <v>4313</v>
      </c>
      <c r="K4439" s="186"/>
    </row>
    <row r="4440" spans="1:11" x14ac:dyDescent="0.2">
      <c r="A4440" s="8">
        <v>3418</v>
      </c>
      <c r="B4440" s="8">
        <f t="shared" si="144"/>
        <v>2025</v>
      </c>
      <c r="C4440" s="8">
        <f t="shared" si="145"/>
        <v>5</v>
      </c>
      <c r="D4440" s="204">
        <v>45796</v>
      </c>
      <c r="E4440" s="188"/>
      <c r="F4440" s="188">
        <v>15000</v>
      </c>
      <c r="G4440" s="188"/>
      <c r="H4440" s="188"/>
      <c r="I4440" s="188" t="s">
        <v>91</v>
      </c>
      <c r="J4440" s="187" t="s">
        <v>4284</v>
      </c>
      <c r="K4440" s="186"/>
    </row>
    <row r="4441" spans="1:11" x14ac:dyDescent="0.2">
      <c r="A4441" s="8">
        <v>3419</v>
      </c>
      <c r="B4441" s="8">
        <f t="shared" si="144"/>
        <v>2025</v>
      </c>
      <c r="C4441" s="8">
        <f t="shared" si="145"/>
        <v>5</v>
      </c>
      <c r="D4441" s="204">
        <v>45797</v>
      </c>
      <c r="E4441" s="188"/>
      <c r="F4441" s="188">
        <v>20000</v>
      </c>
      <c r="G4441" s="188"/>
      <c r="H4441" s="188"/>
      <c r="I4441" s="188" t="s">
        <v>91</v>
      </c>
      <c r="J4441" s="187" t="s">
        <v>2843</v>
      </c>
      <c r="K4441" s="186"/>
    </row>
    <row r="4442" spans="1:11" x14ac:dyDescent="0.2">
      <c r="A4442" s="8">
        <v>3420</v>
      </c>
      <c r="B4442" s="8">
        <f t="shared" si="144"/>
        <v>2025</v>
      </c>
      <c r="C4442" s="8">
        <f t="shared" si="145"/>
        <v>5</v>
      </c>
      <c r="D4442" s="204">
        <v>45797</v>
      </c>
      <c r="E4442" s="188"/>
      <c r="F4442" s="188">
        <v>150000</v>
      </c>
      <c r="G4442" s="188"/>
      <c r="H4442" s="188"/>
      <c r="I4442" s="188" t="s">
        <v>1350</v>
      </c>
      <c r="J4442" s="187" t="s">
        <v>4314</v>
      </c>
      <c r="K4442" s="186"/>
    </row>
    <row r="4443" spans="1:11" x14ac:dyDescent="0.2">
      <c r="A4443" s="8">
        <v>3421</v>
      </c>
      <c r="B4443" s="8">
        <f t="shared" si="144"/>
        <v>2025</v>
      </c>
      <c r="C4443" s="8">
        <f t="shared" si="145"/>
        <v>5</v>
      </c>
      <c r="D4443" s="204">
        <v>45798</v>
      </c>
      <c r="E4443" s="188"/>
      <c r="F4443" s="188">
        <v>150000</v>
      </c>
      <c r="G4443" s="188"/>
      <c r="H4443" s="188"/>
      <c r="I4443" s="188" t="s">
        <v>1350</v>
      </c>
      <c r="J4443" s="187" t="s">
        <v>4315</v>
      </c>
      <c r="K4443" s="186"/>
    </row>
    <row r="4444" spans="1:11" x14ac:dyDescent="0.2">
      <c r="A4444" s="8">
        <v>3422</v>
      </c>
      <c r="B4444" s="8">
        <f t="shared" si="144"/>
        <v>2025</v>
      </c>
      <c r="C4444" s="8">
        <f t="shared" si="145"/>
        <v>5</v>
      </c>
      <c r="D4444" s="204">
        <v>45798</v>
      </c>
      <c r="E4444" s="188"/>
      <c r="F4444" s="188">
        <v>200000</v>
      </c>
      <c r="G4444" s="188"/>
      <c r="H4444" s="188"/>
      <c r="I4444" s="188" t="s">
        <v>85</v>
      </c>
      <c r="J4444" s="187" t="s">
        <v>4316</v>
      </c>
      <c r="K4444" s="186"/>
    </row>
    <row r="4445" spans="1:11" x14ac:dyDescent="0.2">
      <c r="A4445" s="8">
        <v>3423</v>
      </c>
      <c r="B4445" s="8">
        <f t="shared" si="144"/>
        <v>2025</v>
      </c>
      <c r="C4445" s="8">
        <f t="shared" si="145"/>
        <v>5</v>
      </c>
      <c r="D4445" s="204">
        <v>45798</v>
      </c>
      <c r="E4445" s="188"/>
      <c r="F4445" s="188">
        <v>880000</v>
      </c>
      <c r="G4445" s="188"/>
      <c r="H4445" s="188"/>
      <c r="I4445" s="188" t="s">
        <v>85</v>
      </c>
      <c r="J4445" s="187" t="s">
        <v>4317</v>
      </c>
      <c r="K4445" s="186"/>
    </row>
    <row r="4446" spans="1:11" x14ac:dyDescent="0.2">
      <c r="A4446" s="8">
        <v>3424</v>
      </c>
      <c r="B4446" s="8">
        <f t="shared" si="144"/>
        <v>2025</v>
      </c>
      <c r="C4446" s="8">
        <f t="shared" si="145"/>
        <v>5</v>
      </c>
      <c r="D4446" s="204">
        <v>45798</v>
      </c>
      <c r="E4446" s="188"/>
      <c r="F4446" s="188">
        <v>20000</v>
      </c>
      <c r="G4446" s="188"/>
      <c r="H4446" s="188"/>
      <c r="I4446" s="188" t="s">
        <v>91</v>
      </c>
      <c r="J4446" s="187" t="s">
        <v>2843</v>
      </c>
      <c r="K4446" s="186"/>
    </row>
    <row r="4447" spans="1:11" x14ac:dyDescent="0.2">
      <c r="A4447" s="8">
        <v>3425</v>
      </c>
      <c r="B4447" s="8">
        <f t="shared" si="144"/>
        <v>2025</v>
      </c>
      <c r="C4447" s="8">
        <f t="shared" si="145"/>
        <v>5</v>
      </c>
      <c r="D4447" s="204">
        <v>45798</v>
      </c>
      <c r="E4447" s="188"/>
      <c r="F4447" s="188">
        <v>300000</v>
      </c>
      <c r="G4447" s="188"/>
      <c r="H4447" s="188"/>
      <c r="I4447" s="188" t="s">
        <v>1815</v>
      </c>
      <c r="J4447" s="187" t="s">
        <v>4318</v>
      </c>
      <c r="K4447" s="186"/>
    </row>
    <row r="4448" spans="1:11" x14ac:dyDescent="0.2">
      <c r="A4448" s="8">
        <v>3426</v>
      </c>
      <c r="B4448" s="8">
        <f t="shared" si="144"/>
        <v>2025</v>
      </c>
      <c r="C4448" s="8">
        <f t="shared" si="145"/>
        <v>5</v>
      </c>
      <c r="D4448" s="204">
        <v>45798</v>
      </c>
      <c r="E4448" s="188"/>
      <c r="F4448" s="188">
        <v>900000</v>
      </c>
      <c r="G4448" s="188"/>
      <c r="H4448" s="188"/>
      <c r="I4448" s="188" t="s">
        <v>1894</v>
      </c>
      <c r="J4448" s="187" t="s">
        <v>4319</v>
      </c>
      <c r="K4448" s="186"/>
    </row>
    <row r="4449" spans="1:11" x14ac:dyDescent="0.2">
      <c r="A4449" s="8">
        <v>3427</v>
      </c>
      <c r="B4449" s="8">
        <f t="shared" si="144"/>
        <v>2025</v>
      </c>
      <c r="C4449" s="8">
        <f t="shared" si="145"/>
        <v>5</v>
      </c>
      <c r="D4449" s="204">
        <v>45799</v>
      </c>
      <c r="E4449" s="188"/>
      <c r="F4449" s="188">
        <v>300000</v>
      </c>
      <c r="G4449" s="188"/>
      <c r="H4449" s="188"/>
      <c r="I4449" s="188" t="s">
        <v>2807</v>
      </c>
      <c r="J4449" s="187" t="s">
        <v>4320</v>
      </c>
      <c r="K4449" s="186"/>
    </row>
    <row r="4450" spans="1:11" x14ac:dyDescent="0.2">
      <c r="A4450" s="8">
        <v>3428</v>
      </c>
      <c r="B4450" s="8">
        <f t="shared" si="144"/>
        <v>2025</v>
      </c>
      <c r="C4450" s="8">
        <f t="shared" si="145"/>
        <v>5</v>
      </c>
      <c r="D4450" s="204">
        <v>45799</v>
      </c>
      <c r="E4450" s="188"/>
      <c r="F4450" s="188">
        <v>25000</v>
      </c>
      <c r="G4450" s="188"/>
      <c r="H4450" s="188"/>
      <c r="I4450" s="188" t="s">
        <v>91</v>
      </c>
      <c r="J4450" s="187" t="s">
        <v>4321</v>
      </c>
      <c r="K4450" s="186"/>
    </row>
    <row r="4451" spans="1:11" x14ac:dyDescent="0.2">
      <c r="A4451" s="8">
        <v>3429</v>
      </c>
      <c r="B4451" s="8">
        <f t="shared" si="144"/>
        <v>2025</v>
      </c>
      <c r="C4451" s="8">
        <f t="shared" si="145"/>
        <v>5</v>
      </c>
      <c r="D4451" s="204">
        <v>45800</v>
      </c>
      <c r="E4451" s="188"/>
      <c r="F4451" s="188">
        <v>50000</v>
      </c>
      <c r="G4451" s="188"/>
      <c r="H4451" s="188"/>
      <c r="I4451" s="188" t="s">
        <v>85</v>
      </c>
      <c r="J4451" s="187" t="s">
        <v>2602</v>
      </c>
      <c r="K4451" s="186"/>
    </row>
    <row r="4452" spans="1:11" x14ac:dyDescent="0.2">
      <c r="A4452" s="8">
        <v>3430</v>
      </c>
      <c r="B4452" s="8">
        <f t="shared" si="144"/>
        <v>2025</v>
      </c>
      <c r="C4452" s="8">
        <f t="shared" si="145"/>
        <v>5</v>
      </c>
      <c r="D4452" s="204">
        <v>45801</v>
      </c>
      <c r="E4452" s="188"/>
      <c r="F4452" s="188">
        <v>150000</v>
      </c>
      <c r="G4452" s="188"/>
      <c r="H4452" s="188"/>
      <c r="I4452" s="188" t="s">
        <v>299</v>
      </c>
      <c r="J4452" s="187" t="s">
        <v>4322</v>
      </c>
      <c r="K4452" s="186"/>
    </row>
    <row r="4453" spans="1:11" x14ac:dyDescent="0.2">
      <c r="A4453" s="8">
        <v>3431</v>
      </c>
      <c r="B4453" s="8">
        <f t="shared" si="144"/>
        <v>2025</v>
      </c>
      <c r="C4453" s="8">
        <f t="shared" si="145"/>
        <v>5</v>
      </c>
      <c r="D4453" s="204">
        <v>45801</v>
      </c>
      <c r="E4453" s="188"/>
      <c r="F4453" s="188">
        <v>200000</v>
      </c>
      <c r="G4453" s="188"/>
      <c r="H4453" s="188"/>
      <c r="I4453" s="188" t="s">
        <v>85</v>
      </c>
      <c r="J4453" s="187" t="s">
        <v>4323</v>
      </c>
      <c r="K4453" s="186"/>
    </row>
    <row r="4454" spans="1:11" x14ac:dyDescent="0.2">
      <c r="A4454" s="8">
        <v>3432</v>
      </c>
      <c r="B4454" s="8">
        <f t="shared" si="144"/>
        <v>2025</v>
      </c>
      <c r="C4454" s="8">
        <f t="shared" si="145"/>
        <v>5</v>
      </c>
      <c r="D4454" s="204">
        <v>45802</v>
      </c>
      <c r="E4454" s="188"/>
      <c r="F4454" s="188">
        <v>200000</v>
      </c>
      <c r="G4454" s="188"/>
      <c r="H4454" s="188"/>
      <c r="I4454" s="188" t="s">
        <v>1350</v>
      </c>
      <c r="J4454" s="187" t="s">
        <v>4324</v>
      </c>
      <c r="K4454" s="186"/>
    </row>
    <row r="4455" spans="1:11" x14ac:dyDescent="0.2">
      <c r="A4455" s="8">
        <v>3433</v>
      </c>
      <c r="B4455" s="8">
        <f t="shared" si="144"/>
        <v>2025</v>
      </c>
      <c r="C4455" s="8">
        <f t="shared" si="145"/>
        <v>5</v>
      </c>
      <c r="D4455" s="204">
        <v>45802</v>
      </c>
      <c r="E4455" s="188"/>
      <c r="F4455" s="188">
        <v>215000</v>
      </c>
      <c r="G4455" s="188"/>
      <c r="H4455" s="188"/>
      <c r="I4455" s="188" t="s">
        <v>85</v>
      </c>
      <c r="J4455" s="187" t="s">
        <v>4325</v>
      </c>
      <c r="K4455" s="186"/>
    </row>
    <row r="4456" spans="1:11" x14ac:dyDescent="0.2">
      <c r="A4456" s="8">
        <v>3434</v>
      </c>
      <c r="B4456" s="8">
        <f t="shared" si="144"/>
        <v>2025</v>
      </c>
      <c r="C4456" s="8">
        <f t="shared" si="145"/>
        <v>5</v>
      </c>
      <c r="D4456" s="204">
        <v>45802</v>
      </c>
      <c r="E4456" s="188"/>
      <c r="F4456" s="188">
        <v>100000</v>
      </c>
      <c r="G4456" s="188"/>
      <c r="H4456" s="188"/>
      <c r="I4456" s="188" t="s">
        <v>91</v>
      </c>
      <c r="J4456" s="187" t="s">
        <v>4326</v>
      </c>
      <c r="K4456" s="186"/>
    </row>
    <row r="4457" spans="1:11" x14ac:dyDescent="0.2">
      <c r="A4457" s="8">
        <v>3435</v>
      </c>
      <c r="B4457" s="8">
        <f t="shared" si="144"/>
        <v>2025</v>
      </c>
      <c r="C4457" s="8">
        <f t="shared" si="145"/>
        <v>5</v>
      </c>
      <c r="D4457" s="204">
        <v>45802</v>
      </c>
      <c r="E4457" s="188"/>
      <c r="F4457" s="188">
        <v>175000</v>
      </c>
      <c r="G4457" s="188"/>
      <c r="H4457" s="188"/>
      <c r="I4457" s="188" t="s">
        <v>1350</v>
      </c>
      <c r="J4457" s="187" t="s">
        <v>4327</v>
      </c>
      <c r="K4457" s="186"/>
    </row>
    <row r="4458" spans="1:11" x14ac:dyDescent="0.2">
      <c r="A4458" s="8">
        <v>3436</v>
      </c>
      <c r="B4458" s="8">
        <f t="shared" si="144"/>
        <v>2025</v>
      </c>
      <c r="C4458" s="8">
        <f t="shared" si="145"/>
        <v>5</v>
      </c>
      <c r="D4458" s="204">
        <v>45802</v>
      </c>
      <c r="E4458" s="188"/>
      <c r="F4458" s="188">
        <v>35000</v>
      </c>
      <c r="G4458" s="188"/>
      <c r="H4458" s="188"/>
      <c r="I4458" s="188" t="s">
        <v>85</v>
      </c>
      <c r="J4458" s="187" t="s">
        <v>4328</v>
      </c>
      <c r="K4458" s="186"/>
    </row>
    <row r="4459" spans="1:11" x14ac:dyDescent="0.2">
      <c r="A4459" s="8">
        <v>3437</v>
      </c>
      <c r="B4459" s="8">
        <f t="shared" si="144"/>
        <v>2025</v>
      </c>
      <c r="C4459" s="8">
        <f t="shared" si="145"/>
        <v>5</v>
      </c>
      <c r="D4459" s="204">
        <v>45803</v>
      </c>
      <c r="E4459" s="188"/>
      <c r="F4459" s="188">
        <v>4250000</v>
      </c>
      <c r="G4459" s="188"/>
      <c r="H4459" s="188"/>
      <c r="I4459" s="188" t="s">
        <v>85</v>
      </c>
      <c r="J4459" s="187" t="s">
        <v>4329</v>
      </c>
      <c r="K4459" s="186"/>
    </row>
    <row r="4460" spans="1:11" x14ac:dyDescent="0.2">
      <c r="A4460" s="8">
        <v>3438</v>
      </c>
      <c r="B4460" s="8">
        <f t="shared" si="144"/>
        <v>2025</v>
      </c>
      <c r="C4460" s="8">
        <f t="shared" si="145"/>
        <v>5</v>
      </c>
      <c r="D4460" s="204">
        <v>45803</v>
      </c>
      <c r="E4460" s="188"/>
      <c r="F4460" s="188">
        <v>30000</v>
      </c>
      <c r="G4460" s="188"/>
      <c r="H4460" s="188"/>
      <c r="I4460" s="188" t="s">
        <v>85</v>
      </c>
      <c r="J4460" s="187" t="s">
        <v>3984</v>
      </c>
      <c r="K4460" s="186"/>
    </row>
    <row r="4461" spans="1:11" x14ac:dyDescent="0.2">
      <c r="A4461" s="8">
        <v>3439</v>
      </c>
      <c r="B4461" s="8">
        <f t="shared" si="144"/>
        <v>2025</v>
      </c>
      <c r="C4461" s="8">
        <f t="shared" si="145"/>
        <v>5</v>
      </c>
      <c r="D4461" s="204">
        <v>45803</v>
      </c>
      <c r="E4461" s="188"/>
      <c r="F4461" s="188">
        <v>60000</v>
      </c>
      <c r="G4461" s="188"/>
      <c r="H4461" s="188"/>
      <c r="I4461" s="188" t="s">
        <v>85</v>
      </c>
      <c r="J4461" s="187" t="s">
        <v>4330</v>
      </c>
      <c r="K4461" s="186"/>
    </row>
    <row r="4462" spans="1:11" x14ac:dyDescent="0.2">
      <c r="A4462" s="8">
        <v>3440</v>
      </c>
      <c r="B4462" s="8">
        <f t="shared" si="144"/>
        <v>2025</v>
      </c>
      <c r="C4462" s="8">
        <f t="shared" si="145"/>
        <v>5</v>
      </c>
      <c r="D4462" s="204">
        <v>45804</v>
      </c>
      <c r="E4462" s="188"/>
      <c r="F4462" s="188">
        <v>100000</v>
      </c>
      <c r="G4462" s="188"/>
      <c r="H4462" s="188"/>
      <c r="I4462" s="188" t="s">
        <v>85</v>
      </c>
      <c r="J4462" s="187" t="s">
        <v>3891</v>
      </c>
      <c r="K4462" s="186"/>
    </row>
    <row r="4463" spans="1:11" x14ac:dyDescent="0.2">
      <c r="A4463" s="8">
        <v>3441</v>
      </c>
      <c r="B4463" s="8">
        <f t="shared" si="144"/>
        <v>2025</v>
      </c>
      <c r="C4463" s="8">
        <f t="shared" si="145"/>
        <v>5</v>
      </c>
      <c r="D4463" s="204">
        <v>45805</v>
      </c>
      <c r="E4463" s="188"/>
      <c r="F4463" s="188">
        <v>1250000</v>
      </c>
      <c r="G4463" s="188"/>
      <c r="H4463" s="188"/>
      <c r="I4463" s="188" t="s">
        <v>391</v>
      </c>
      <c r="J4463" s="187" t="s">
        <v>4331</v>
      </c>
      <c r="K4463" s="186"/>
    </row>
    <row r="4464" spans="1:11" x14ac:dyDescent="0.2">
      <c r="A4464" s="8">
        <v>3442</v>
      </c>
      <c r="B4464" s="8">
        <f t="shared" si="144"/>
        <v>2025</v>
      </c>
      <c r="C4464" s="8">
        <f t="shared" si="145"/>
        <v>5</v>
      </c>
      <c r="D4464" s="204">
        <v>45805</v>
      </c>
      <c r="E4464" s="188"/>
      <c r="F4464" s="188">
        <v>210000</v>
      </c>
      <c r="G4464" s="188"/>
      <c r="H4464" s="188"/>
      <c r="I4464" s="188" t="s">
        <v>391</v>
      </c>
      <c r="J4464" s="187" t="s">
        <v>4332</v>
      </c>
      <c r="K4464" s="186"/>
    </row>
    <row r="4465" spans="1:11" x14ac:dyDescent="0.2">
      <c r="A4465" s="8">
        <v>3443</v>
      </c>
      <c r="B4465" s="8">
        <f t="shared" si="144"/>
        <v>2025</v>
      </c>
      <c r="C4465" s="8">
        <f t="shared" si="145"/>
        <v>5</v>
      </c>
      <c r="D4465" s="204">
        <v>45805</v>
      </c>
      <c r="E4465" s="188"/>
      <c r="F4465" s="188">
        <v>20000</v>
      </c>
      <c r="G4465" s="188"/>
      <c r="H4465" s="188"/>
      <c r="I4465" s="188" t="s">
        <v>91</v>
      </c>
      <c r="J4465" s="187" t="s">
        <v>2522</v>
      </c>
      <c r="K4465" s="186"/>
    </row>
    <row r="4466" spans="1:11" x14ac:dyDescent="0.2">
      <c r="A4466" s="8">
        <v>3444</v>
      </c>
      <c r="B4466" s="8">
        <f t="shared" si="144"/>
        <v>2025</v>
      </c>
      <c r="C4466" s="8">
        <f t="shared" si="145"/>
        <v>5</v>
      </c>
      <c r="D4466" s="204">
        <v>45806</v>
      </c>
      <c r="E4466" s="188"/>
      <c r="F4466" s="188">
        <v>15000</v>
      </c>
      <c r="G4466" s="188"/>
      <c r="H4466" s="188"/>
      <c r="I4466" s="188" t="s">
        <v>91</v>
      </c>
      <c r="J4466" s="187" t="s">
        <v>2418</v>
      </c>
      <c r="K4466" s="186"/>
    </row>
    <row r="4467" spans="1:11" x14ac:dyDescent="0.2">
      <c r="A4467" s="8">
        <v>3445</v>
      </c>
      <c r="B4467" s="8">
        <f t="shared" si="144"/>
        <v>2025</v>
      </c>
      <c r="C4467" s="8">
        <f t="shared" si="145"/>
        <v>5</v>
      </c>
      <c r="D4467" s="204">
        <v>45807</v>
      </c>
      <c r="E4467" s="188"/>
      <c r="F4467" s="188">
        <v>50000</v>
      </c>
      <c r="G4467" s="188"/>
      <c r="H4467" s="188"/>
      <c r="I4467" s="188" t="s">
        <v>85</v>
      </c>
      <c r="J4467" s="187" t="s">
        <v>2605</v>
      </c>
      <c r="K4467" s="186"/>
    </row>
    <row r="4468" spans="1:11" x14ac:dyDescent="0.2">
      <c r="A4468" s="8">
        <v>3446</v>
      </c>
      <c r="B4468" s="8">
        <f t="shared" si="144"/>
        <v>2025</v>
      </c>
      <c r="C4468" s="8">
        <f t="shared" si="145"/>
        <v>5</v>
      </c>
      <c r="D4468" s="204">
        <v>45807</v>
      </c>
      <c r="E4468" s="188"/>
      <c r="F4468" s="188">
        <v>60000</v>
      </c>
      <c r="G4468" s="188"/>
      <c r="H4468" s="188"/>
      <c r="I4468" s="188" t="s">
        <v>1350</v>
      </c>
      <c r="J4468" s="187" t="s">
        <v>4348</v>
      </c>
      <c r="K4468" s="186"/>
    </row>
    <row r="4469" spans="1:11" x14ac:dyDescent="0.2">
      <c r="A4469" s="8">
        <v>3447</v>
      </c>
      <c r="B4469" s="8">
        <f t="shared" si="144"/>
        <v>2025</v>
      </c>
      <c r="C4469" s="8">
        <f t="shared" si="145"/>
        <v>5</v>
      </c>
      <c r="D4469" s="204">
        <v>45808</v>
      </c>
      <c r="E4469" s="188"/>
      <c r="F4469" s="188">
        <v>40000</v>
      </c>
      <c r="G4469" s="188"/>
      <c r="H4469" s="188"/>
      <c r="I4469" s="188" t="s">
        <v>91</v>
      </c>
      <c r="J4469" s="187" t="s">
        <v>2585</v>
      </c>
      <c r="K4469" s="186"/>
    </row>
    <row r="4470" spans="1:11" x14ac:dyDescent="0.2">
      <c r="A4470" s="8">
        <v>3448</v>
      </c>
      <c r="B4470" s="8">
        <f t="shared" si="144"/>
        <v>2025</v>
      </c>
      <c r="C4470" s="8">
        <f t="shared" si="145"/>
        <v>5</v>
      </c>
      <c r="D4470" s="204">
        <v>45808</v>
      </c>
      <c r="E4470" s="188"/>
      <c r="F4470" s="188">
        <v>230000</v>
      </c>
      <c r="G4470" s="188"/>
      <c r="H4470" s="188"/>
      <c r="I4470" s="188" t="s">
        <v>1999</v>
      </c>
      <c r="J4470" s="187" t="s">
        <v>4333</v>
      </c>
      <c r="K4470" s="186"/>
    </row>
    <row r="4471" spans="1:11" x14ac:dyDescent="0.2">
      <c r="A4471" s="8">
        <v>3449</v>
      </c>
      <c r="B4471" s="8">
        <f t="shared" si="144"/>
        <v>2025</v>
      </c>
      <c r="C4471" s="8">
        <f t="shared" si="145"/>
        <v>5</v>
      </c>
      <c r="D4471" s="204">
        <v>45808</v>
      </c>
      <c r="E4471" s="188"/>
      <c r="F4471" s="188">
        <v>50000</v>
      </c>
      <c r="G4471" s="188"/>
      <c r="H4471" s="188"/>
      <c r="I4471" s="188" t="s">
        <v>335</v>
      </c>
      <c r="J4471" s="187" t="s">
        <v>4334</v>
      </c>
      <c r="K4471" s="186"/>
    </row>
    <row r="4472" spans="1:11" x14ac:dyDescent="0.2">
      <c r="A4472" s="8">
        <v>3450</v>
      </c>
      <c r="B4472" s="8">
        <f t="shared" si="144"/>
        <v>2025</v>
      </c>
      <c r="C4472" s="8">
        <f t="shared" si="145"/>
        <v>5</v>
      </c>
      <c r="D4472" s="204">
        <v>45808</v>
      </c>
      <c r="E4472" s="188"/>
      <c r="F4472" s="188">
        <v>50000</v>
      </c>
      <c r="G4472" s="188"/>
      <c r="H4472" s="188"/>
      <c r="I4472" s="188" t="s">
        <v>335</v>
      </c>
      <c r="J4472" s="187" t="s">
        <v>4003</v>
      </c>
      <c r="K4472" s="186"/>
    </row>
    <row r="4473" spans="1:11" x14ac:dyDescent="0.2">
      <c r="A4473" s="8">
        <v>3451</v>
      </c>
      <c r="B4473" s="8">
        <f t="shared" si="144"/>
        <v>2025</v>
      </c>
      <c r="C4473" s="8">
        <f t="shared" si="145"/>
        <v>5</v>
      </c>
      <c r="D4473" s="204">
        <v>45808</v>
      </c>
      <c r="E4473" s="188"/>
      <c r="F4473" s="188">
        <v>30000</v>
      </c>
      <c r="G4473" s="188"/>
      <c r="H4473" s="188"/>
      <c r="I4473" s="188" t="s">
        <v>1992</v>
      </c>
      <c r="J4473" s="187" t="s">
        <v>4335</v>
      </c>
      <c r="K4473" s="186"/>
    </row>
    <row r="4474" spans="1:11" x14ac:dyDescent="0.2">
      <c r="A4474" s="8">
        <v>3452</v>
      </c>
      <c r="B4474" s="8">
        <f t="shared" si="144"/>
        <v>2025</v>
      </c>
      <c r="C4474" s="8">
        <f t="shared" si="145"/>
        <v>5</v>
      </c>
      <c r="D4474" s="204">
        <v>45808</v>
      </c>
      <c r="E4474" s="188"/>
      <c r="F4474" s="188">
        <v>124000</v>
      </c>
      <c r="G4474" s="188"/>
      <c r="H4474" s="188"/>
      <c r="I4474" s="188" t="s">
        <v>85</v>
      </c>
      <c r="J4474" s="187" t="s">
        <v>4336</v>
      </c>
      <c r="K4474" s="186"/>
    </row>
    <row r="4475" spans="1:11" x14ac:dyDescent="0.2">
      <c r="A4475" s="8">
        <v>3453</v>
      </c>
      <c r="B4475" s="8">
        <f t="shared" si="144"/>
        <v>2025</v>
      </c>
      <c r="C4475" s="8">
        <f t="shared" si="145"/>
        <v>5</v>
      </c>
      <c r="D4475" s="204">
        <v>45808</v>
      </c>
      <c r="E4475" s="188"/>
      <c r="F4475" s="188">
        <v>62000</v>
      </c>
      <c r="G4475" s="188"/>
      <c r="H4475" s="188"/>
      <c r="I4475" s="188" t="s">
        <v>85</v>
      </c>
      <c r="J4475" s="187" t="s">
        <v>4337</v>
      </c>
      <c r="K4475" s="186"/>
    </row>
    <row r="4476" spans="1:11" x14ac:dyDescent="0.2">
      <c r="A4476" s="8">
        <v>3454</v>
      </c>
      <c r="B4476" s="8">
        <f t="shared" si="144"/>
        <v>2025</v>
      </c>
      <c r="C4476" s="8">
        <f t="shared" si="145"/>
        <v>5</v>
      </c>
      <c r="D4476" s="204">
        <v>45808</v>
      </c>
      <c r="E4476" s="188"/>
      <c r="F4476" s="188">
        <v>35000</v>
      </c>
      <c r="G4476" s="188"/>
      <c r="H4476" s="188"/>
      <c r="I4476" s="188" t="s">
        <v>85</v>
      </c>
      <c r="J4476" s="187" t="s">
        <v>4338</v>
      </c>
      <c r="K4476" s="186"/>
    </row>
    <row r="4477" spans="1:11" x14ac:dyDescent="0.2">
      <c r="A4477" s="8">
        <v>3455</v>
      </c>
      <c r="B4477" s="8">
        <f t="shared" si="144"/>
        <v>2025</v>
      </c>
      <c r="C4477" s="8">
        <f t="shared" si="145"/>
        <v>5</v>
      </c>
      <c r="D4477" s="204">
        <v>45808</v>
      </c>
      <c r="E4477" s="188"/>
      <c r="F4477" s="188">
        <v>42000</v>
      </c>
      <c r="G4477" s="188"/>
      <c r="H4477" s="188"/>
      <c r="I4477" s="188" t="s">
        <v>1350</v>
      </c>
      <c r="J4477" s="187" t="s">
        <v>4339</v>
      </c>
      <c r="K4477" s="186"/>
    </row>
    <row r="4478" spans="1:11" x14ac:dyDescent="0.2">
      <c r="A4478" s="8">
        <v>3456</v>
      </c>
      <c r="B4478" s="8">
        <f t="shared" si="144"/>
        <v>2025</v>
      </c>
      <c r="C4478" s="8">
        <f t="shared" si="145"/>
        <v>5</v>
      </c>
      <c r="D4478" s="204">
        <v>45808</v>
      </c>
      <c r="E4478" s="188"/>
      <c r="F4478" s="188">
        <v>60000</v>
      </c>
      <c r="G4478" s="188"/>
      <c r="H4478" s="188"/>
      <c r="I4478" s="188" t="s">
        <v>2807</v>
      </c>
      <c r="J4478" s="187" t="s">
        <v>4340</v>
      </c>
      <c r="K4478" s="186"/>
    </row>
    <row r="4479" spans="1:11" x14ac:dyDescent="0.2">
      <c r="A4479" s="8">
        <v>3457</v>
      </c>
      <c r="B4479" s="8">
        <f t="shared" si="144"/>
        <v>2025</v>
      </c>
      <c r="C4479" s="8">
        <f t="shared" si="145"/>
        <v>6</v>
      </c>
      <c r="D4479" s="204">
        <v>45809</v>
      </c>
      <c r="E4479" s="188"/>
      <c r="F4479" s="188">
        <v>750000</v>
      </c>
      <c r="G4479" s="188"/>
      <c r="H4479" s="188"/>
      <c r="I4479" s="188" t="s">
        <v>1729</v>
      </c>
      <c r="J4479" s="187" t="s">
        <v>4341</v>
      </c>
      <c r="K4479" s="186"/>
    </row>
    <row r="4480" spans="1:11" x14ac:dyDescent="0.2">
      <c r="A4480" s="8">
        <v>3458</v>
      </c>
      <c r="B4480" s="8">
        <f t="shared" si="144"/>
        <v>2025</v>
      </c>
      <c r="C4480" s="8">
        <f t="shared" si="145"/>
        <v>6</v>
      </c>
      <c r="D4480" s="204">
        <v>45809</v>
      </c>
      <c r="E4480" s="188"/>
      <c r="F4480" s="188">
        <v>150000</v>
      </c>
      <c r="G4480" s="188"/>
      <c r="H4480" s="188"/>
      <c r="I4480" s="188" t="s">
        <v>91</v>
      </c>
      <c r="J4480" s="187" t="s">
        <v>4342</v>
      </c>
      <c r="K4480" s="186"/>
    </row>
    <row r="4481" spans="1:11" x14ac:dyDescent="0.2">
      <c r="A4481" s="8">
        <v>3459</v>
      </c>
      <c r="B4481" s="8">
        <f t="shared" si="144"/>
        <v>2025</v>
      </c>
      <c r="C4481" s="8">
        <f t="shared" si="145"/>
        <v>6</v>
      </c>
      <c r="D4481" s="204">
        <v>45810</v>
      </c>
      <c r="E4481" s="188"/>
      <c r="F4481" s="188">
        <v>200000</v>
      </c>
      <c r="G4481" s="188"/>
      <c r="H4481" s="188"/>
      <c r="I4481" s="188" t="s">
        <v>299</v>
      </c>
      <c r="J4481" s="187" t="s">
        <v>4343</v>
      </c>
      <c r="K4481" s="186"/>
    </row>
    <row r="4482" spans="1:11" x14ac:dyDescent="0.2">
      <c r="A4482" s="8">
        <v>3460</v>
      </c>
      <c r="B4482" s="8">
        <f t="shared" si="144"/>
        <v>2025</v>
      </c>
      <c r="C4482" s="8">
        <f t="shared" si="145"/>
        <v>6</v>
      </c>
      <c r="D4482" s="204">
        <v>45810</v>
      </c>
      <c r="E4482" s="188"/>
      <c r="F4482" s="188">
        <v>50000</v>
      </c>
      <c r="G4482" s="188"/>
      <c r="H4482" s="188"/>
      <c r="I4482" s="188" t="s">
        <v>91</v>
      </c>
      <c r="J4482" s="187" t="s">
        <v>4344</v>
      </c>
      <c r="K4482" s="186"/>
    </row>
    <row r="4483" spans="1:11" x14ac:dyDescent="0.2">
      <c r="A4483" s="8">
        <v>3461</v>
      </c>
      <c r="B4483" s="8">
        <f t="shared" ref="B4483:B4546" si="146">YEAR(D4483)</f>
        <v>2025</v>
      </c>
      <c r="C4483" s="8">
        <f t="shared" ref="C4483:C4546" si="147">MONTH(D4483)</f>
        <v>6</v>
      </c>
      <c r="D4483" s="204">
        <v>45810</v>
      </c>
      <c r="E4483" s="188"/>
      <c r="F4483" s="188">
        <v>50000</v>
      </c>
      <c r="G4483" s="188"/>
      <c r="H4483" s="188"/>
      <c r="I4483" s="188" t="s">
        <v>91</v>
      </c>
      <c r="J4483" s="187" t="s">
        <v>3961</v>
      </c>
      <c r="K4483" s="186"/>
    </row>
    <row r="4484" spans="1:11" x14ac:dyDescent="0.2">
      <c r="A4484" s="8">
        <v>3462</v>
      </c>
      <c r="B4484" s="8">
        <f t="shared" si="146"/>
        <v>2025</v>
      </c>
      <c r="C4484" s="8">
        <f t="shared" si="147"/>
        <v>6</v>
      </c>
      <c r="D4484" s="204">
        <v>45810</v>
      </c>
      <c r="E4484" s="188"/>
      <c r="F4484" s="188">
        <v>21000</v>
      </c>
      <c r="G4484" s="188"/>
      <c r="H4484" s="188"/>
      <c r="I4484" s="188" t="s">
        <v>335</v>
      </c>
      <c r="J4484" s="187" t="s">
        <v>4345</v>
      </c>
      <c r="K4484" s="186"/>
    </row>
    <row r="4485" spans="1:11" x14ac:dyDescent="0.2">
      <c r="A4485" s="8">
        <v>3463</v>
      </c>
      <c r="B4485" s="8">
        <f t="shared" si="146"/>
        <v>2025</v>
      </c>
      <c r="C4485" s="8">
        <f t="shared" si="147"/>
        <v>6</v>
      </c>
      <c r="D4485" s="204">
        <v>45810</v>
      </c>
      <c r="E4485" s="188"/>
      <c r="F4485" s="188">
        <v>82000</v>
      </c>
      <c r="G4485" s="188"/>
      <c r="H4485" s="188"/>
      <c r="I4485" s="188" t="s">
        <v>1992</v>
      </c>
      <c r="J4485" s="187" t="s">
        <v>4346</v>
      </c>
      <c r="K4485" s="186"/>
    </row>
    <row r="4486" spans="1:11" x14ac:dyDescent="0.2">
      <c r="A4486" s="8">
        <v>3464</v>
      </c>
      <c r="B4486" s="8">
        <f t="shared" si="146"/>
        <v>2025</v>
      </c>
      <c r="C4486" s="8">
        <f t="shared" si="147"/>
        <v>6</v>
      </c>
      <c r="D4486" s="204">
        <v>45811</v>
      </c>
      <c r="E4486" s="188"/>
      <c r="F4486" s="188">
        <v>700000</v>
      </c>
      <c r="G4486" s="188"/>
      <c r="H4486" s="188"/>
      <c r="I4486" s="188" t="s">
        <v>2807</v>
      </c>
      <c r="J4486" s="187" t="s">
        <v>4347</v>
      </c>
      <c r="K4486" s="186"/>
    </row>
    <row r="4487" spans="1:11" x14ac:dyDescent="0.2">
      <c r="A4487" s="8">
        <v>3465</v>
      </c>
      <c r="B4487" s="8">
        <f t="shared" si="146"/>
        <v>2025</v>
      </c>
      <c r="C4487" s="8">
        <f t="shared" si="147"/>
        <v>6</v>
      </c>
      <c r="D4487" s="204">
        <v>45812</v>
      </c>
      <c r="E4487" s="188"/>
      <c r="F4487" s="188">
        <v>200000</v>
      </c>
      <c r="G4487" s="188"/>
      <c r="H4487" s="188"/>
      <c r="I4487" s="188" t="s">
        <v>1350</v>
      </c>
      <c r="J4487" s="187" t="s">
        <v>4353</v>
      </c>
      <c r="K4487" s="186"/>
    </row>
    <row r="4488" spans="1:11" x14ac:dyDescent="0.2">
      <c r="A4488" s="8">
        <v>3466</v>
      </c>
      <c r="B4488" s="8">
        <f t="shared" si="146"/>
        <v>2025</v>
      </c>
      <c r="C4488" s="8">
        <f t="shared" si="147"/>
        <v>6</v>
      </c>
      <c r="D4488" s="204">
        <v>45812</v>
      </c>
      <c r="E4488" s="188"/>
      <c r="F4488" s="188">
        <v>16000</v>
      </c>
      <c r="G4488" s="188"/>
      <c r="H4488" s="188"/>
      <c r="I4488" s="188" t="s">
        <v>91</v>
      </c>
      <c r="J4488" s="187" t="s">
        <v>2594</v>
      </c>
      <c r="K4488" s="186"/>
    </row>
    <row r="4489" spans="1:11" x14ac:dyDescent="0.2">
      <c r="A4489" s="8">
        <v>3467</v>
      </c>
      <c r="B4489" s="8">
        <f t="shared" si="146"/>
        <v>2025</v>
      </c>
      <c r="C4489" s="8">
        <f t="shared" si="147"/>
        <v>6</v>
      </c>
      <c r="D4489" s="204">
        <v>45812</v>
      </c>
      <c r="E4489" s="188"/>
      <c r="F4489" s="188">
        <v>15000</v>
      </c>
      <c r="G4489" s="188"/>
      <c r="H4489" s="188"/>
      <c r="I4489" s="188" t="s">
        <v>85</v>
      </c>
      <c r="J4489" s="187" t="s">
        <v>2662</v>
      </c>
      <c r="K4489" s="186"/>
    </row>
    <row r="4490" spans="1:11" x14ac:dyDescent="0.2">
      <c r="A4490" s="8">
        <v>3468</v>
      </c>
      <c r="B4490" s="8">
        <f t="shared" si="146"/>
        <v>2025</v>
      </c>
      <c r="C4490" s="8">
        <f t="shared" si="147"/>
        <v>6</v>
      </c>
      <c r="D4490" s="204">
        <v>45813</v>
      </c>
      <c r="E4490" s="188"/>
      <c r="F4490" s="188">
        <v>20000</v>
      </c>
      <c r="G4490" s="188"/>
      <c r="H4490" s="188"/>
      <c r="I4490" s="188" t="s">
        <v>91</v>
      </c>
      <c r="J4490" s="187" t="s">
        <v>2843</v>
      </c>
      <c r="K4490" s="186"/>
    </row>
    <row r="4491" spans="1:11" x14ac:dyDescent="0.2">
      <c r="A4491" s="8">
        <v>3469</v>
      </c>
      <c r="B4491" s="8">
        <f t="shared" si="146"/>
        <v>2025</v>
      </c>
      <c r="C4491" s="8">
        <f t="shared" si="147"/>
        <v>6</v>
      </c>
      <c r="D4491" s="204">
        <v>45814</v>
      </c>
      <c r="E4491" s="188"/>
      <c r="F4491" s="188">
        <v>30000</v>
      </c>
      <c r="G4491" s="188"/>
      <c r="H4491" s="188"/>
      <c r="I4491" s="188" t="s">
        <v>91</v>
      </c>
      <c r="J4491" s="187" t="s">
        <v>2382</v>
      </c>
      <c r="K4491" s="186"/>
    </row>
    <row r="4492" spans="1:11" x14ac:dyDescent="0.2">
      <c r="A4492" s="8">
        <v>3470</v>
      </c>
      <c r="B4492" s="8">
        <f t="shared" si="146"/>
        <v>2025</v>
      </c>
      <c r="C4492" s="8">
        <f t="shared" si="147"/>
        <v>6</v>
      </c>
      <c r="D4492" s="204">
        <v>45814</v>
      </c>
      <c r="E4492" s="188"/>
      <c r="F4492" s="188">
        <v>40000</v>
      </c>
      <c r="G4492" s="188"/>
      <c r="H4492" s="188"/>
      <c r="I4492" s="188" t="s">
        <v>85</v>
      </c>
      <c r="J4492" s="187" t="s">
        <v>4354</v>
      </c>
      <c r="K4492" s="186"/>
    </row>
    <row r="4493" spans="1:11" x14ac:dyDescent="0.2">
      <c r="A4493" s="8">
        <v>3471</v>
      </c>
      <c r="B4493" s="8">
        <f t="shared" si="146"/>
        <v>2025</v>
      </c>
      <c r="C4493" s="8">
        <f t="shared" si="147"/>
        <v>6</v>
      </c>
      <c r="D4493" s="204">
        <v>45814</v>
      </c>
      <c r="E4493" s="188"/>
      <c r="F4493" s="188">
        <v>32000</v>
      </c>
      <c r="G4493" s="188"/>
      <c r="H4493" s="188"/>
      <c r="I4493" s="188" t="s">
        <v>91</v>
      </c>
      <c r="J4493" s="187" t="s">
        <v>4355</v>
      </c>
      <c r="K4493" s="186"/>
    </row>
    <row r="4494" spans="1:11" x14ac:dyDescent="0.2">
      <c r="A4494" s="8">
        <v>3472</v>
      </c>
      <c r="B4494" s="8">
        <f t="shared" si="146"/>
        <v>2025</v>
      </c>
      <c r="C4494" s="8">
        <f t="shared" si="147"/>
        <v>6</v>
      </c>
      <c r="D4494" s="204">
        <v>45814</v>
      </c>
      <c r="E4494" s="188"/>
      <c r="F4494" s="188">
        <v>100000</v>
      </c>
      <c r="G4494" s="188"/>
      <c r="H4494" s="188"/>
      <c r="I4494" s="188" t="s">
        <v>1999</v>
      </c>
      <c r="J4494" s="187" t="s">
        <v>4358</v>
      </c>
      <c r="K4494" s="186"/>
    </row>
    <row r="4495" spans="1:11" x14ac:dyDescent="0.2">
      <c r="A4495" s="8">
        <v>3473</v>
      </c>
      <c r="B4495" s="8">
        <f t="shared" si="146"/>
        <v>2025</v>
      </c>
      <c r="C4495" s="8">
        <f t="shared" si="147"/>
        <v>6</v>
      </c>
      <c r="D4495" s="204">
        <v>45815</v>
      </c>
      <c r="E4495" s="188"/>
      <c r="F4495" s="188">
        <v>50000</v>
      </c>
      <c r="G4495" s="188"/>
      <c r="H4495" s="188"/>
      <c r="I4495" s="188" t="s">
        <v>85</v>
      </c>
      <c r="J4495" s="187" t="s">
        <v>2602</v>
      </c>
      <c r="K4495" s="186"/>
    </row>
    <row r="4496" spans="1:11" x14ac:dyDescent="0.2">
      <c r="A4496" s="8">
        <v>3474</v>
      </c>
      <c r="B4496" s="8">
        <f t="shared" si="146"/>
        <v>2025</v>
      </c>
      <c r="C4496" s="8">
        <f t="shared" si="147"/>
        <v>6</v>
      </c>
      <c r="D4496" s="204">
        <v>45815</v>
      </c>
      <c r="E4496" s="188"/>
      <c r="F4496" s="188">
        <v>260000</v>
      </c>
      <c r="G4496" s="188"/>
      <c r="H4496" s="188"/>
      <c r="I4496" s="188" t="s">
        <v>1815</v>
      </c>
      <c r="J4496" s="187" t="s">
        <v>4359</v>
      </c>
      <c r="K4496" s="186"/>
    </row>
    <row r="4497" spans="1:11" x14ac:dyDescent="0.2">
      <c r="A4497" s="8">
        <v>3475</v>
      </c>
      <c r="B4497" s="8">
        <f t="shared" si="146"/>
        <v>2025</v>
      </c>
      <c r="C4497" s="8">
        <f t="shared" si="147"/>
        <v>6</v>
      </c>
      <c r="D4497" s="204">
        <v>45816</v>
      </c>
      <c r="E4497" s="188"/>
      <c r="F4497" s="188">
        <v>223000</v>
      </c>
      <c r="G4497" s="188"/>
      <c r="H4497" s="188"/>
      <c r="I4497" s="188" t="s">
        <v>91</v>
      </c>
      <c r="J4497" s="187" t="s">
        <v>4360</v>
      </c>
      <c r="K4497" s="186"/>
    </row>
    <row r="4498" spans="1:11" x14ac:dyDescent="0.2">
      <c r="A4498" s="8">
        <v>3476</v>
      </c>
      <c r="B4498" s="8">
        <f t="shared" si="146"/>
        <v>2025</v>
      </c>
      <c r="C4498" s="8">
        <f t="shared" si="147"/>
        <v>6</v>
      </c>
      <c r="D4498" s="204">
        <v>45816</v>
      </c>
      <c r="E4498" s="188"/>
      <c r="F4498" s="188">
        <v>100000</v>
      </c>
      <c r="G4498" s="188"/>
      <c r="H4498" s="188"/>
      <c r="I4498" s="188" t="s">
        <v>1999</v>
      </c>
      <c r="J4498" s="187" t="s">
        <v>4361</v>
      </c>
      <c r="K4498" s="186"/>
    </row>
    <row r="4499" spans="1:11" x14ac:dyDescent="0.2">
      <c r="A4499" s="8">
        <v>3477</v>
      </c>
      <c r="B4499" s="8">
        <f t="shared" si="146"/>
        <v>2025</v>
      </c>
      <c r="C4499" s="8">
        <f t="shared" si="147"/>
        <v>6</v>
      </c>
      <c r="D4499" s="204">
        <v>45817</v>
      </c>
      <c r="E4499" s="188"/>
      <c r="F4499" s="188">
        <v>50000</v>
      </c>
      <c r="G4499" s="188"/>
      <c r="H4499" s="188"/>
      <c r="I4499" s="188" t="s">
        <v>1350</v>
      </c>
      <c r="J4499" s="187" t="s">
        <v>4362</v>
      </c>
      <c r="K4499" s="186"/>
    </row>
    <row r="4500" spans="1:11" x14ac:dyDescent="0.2">
      <c r="A4500" s="8">
        <v>3478</v>
      </c>
      <c r="B4500" s="8">
        <f t="shared" si="146"/>
        <v>2025</v>
      </c>
      <c r="C4500" s="8">
        <f t="shared" si="147"/>
        <v>6</v>
      </c>
      <c r="D4500" s="204">
        <v>45817</v>
      </c>
      <c r="E4500" s="188"/>
      <c r="F4500" s="188">
        <v>20000</v>
      </c>
      <c r="G4500" s="188"/>
      <c r="H4500" s="188"/>
      <c r="I4500" s="188" t="s">
        <v>1992</v>
      </c>
      <c r="J4500" s="187" t="s">
        <v>4363</v>
      </c>
      <c r="K4500" s="186"/>
    </row>
    <row r="4501" spans="1:11" x14ac:dyDescent="0.2">
      <c r="A4501" s="8">
        <v>3479</v>
      </c>
      <c r="B4501" s="8">
        <f t="shared" si="146"/>
        <v>2025</v>
      </c>
      <c r="C4501" s="8">
        <f t="shared" si="147"/>
        <v>6</v>
      </c>
      <c r="D4501" s="204">
        <v>45818</v>
      </c>
      <c r="E4501" s="188"/>
      <c r="F4501" s="188">
        <v>400000</v>
      </c>
      <c r="G4501" s="188"/>
      <c r="H4501" s="188"/>
      <c r="I4501" s="188" t="s">
        <v>335</v>
      </c>
      <c r="J4501" s="187" t="s">
        <v>4364</v>
      </c>
      <c r="K4501" s="186"/>
    </row>
    <row r="4502" spans="1:11" x14ac:dyDescent="0.2">
      <c r="A4502" s="8">
        <v>3480</v>
      </c>
      <c r="B4502" s="8">
        <f t="shared" si="146"/>
        <v>2025</v>
      </c>
      <c r="C4502" s="8">
        <f t="shared" si="147"/>
        <v>6</v>
      </c>
      <c r="D4502" s="204">
        <v>45818</v>
      </c>
      <c r="E4502" s="188"/>
      <c r="F4502" s="188">
        <v>20000</v>
      </c>
      <c r="G4502" s="188"/>
      <c r="H4502" s="188"/>
      <c r="I4502" s="188" t="s">
        <v>91</v>
      </c>
      <c r="J4502" s="187" t="s">
        <v>2843</v>
      </c>
      <c r="K4502" s="186"/>
    </row>
    <row r="4503" spans="1:11" x14ac:dyDescent="0.2">
      <c r="A4503" s="8">
        <v>3481</v>
      </c>
      <c r="B4503" s="8">
        <f t="shared" si="146"/>
        <v>2025</v>
      </c>
      <c r="C4503" s="8">
        <f t="shared" si="147"/>
        <v>6</v>
      </c>
      <c r="D4503" s="204">
        <v>45819</v>
      </c>
      <c r="E4503" s="188"/>
      <c r="F4503" s="188">
        <v>5000</v>
      </c>
      <c r="G4503" s="188"/>
      <c r="H4503" s="188"/>
      <c r="I4503" s="188" t="s">
        <v>1350</v>
      </c>
      <c r="J4503" s="187" t="s">
        <v>4365</v>
      </c>
      <c r="K4503" s="186"/>
    </row>
    <row r="4504" spans="1:11" x14ac:dyDescent="0.2">
      <c r="A4504" s="8">
        <v>3482</v>
      </c>
      <c r="B4504" s="8">
        <f t="shared" si="146"/>
        <v>2025</v>
      </c>
      <c r="C4504" s="8">
        <f t="shared" si="147"/>
        <v>6</v>
      </c>
      <c r="D4504" s="204">
        <v>45819</v>
      </c>
      <c r="E4504" s="188"/>
      <c r="F4504" s="188">
        <v>50000</v>
      </c>
      <c r="G4504" s="188"/>
      <c r="H4504" s="188"/>
      <c r="I4504" s="188" t="s">
        <v>85</v>
      </c>
      <c r="J4504" s="187" t="s">
        <v>4366</v>
      </c>
      <c r="K4504" s="186"/>
    </row>
    <row r="4505" spans="1:11" x14ac:dyDescent="0.2">
      <c r="A4505" s="8">
        <v>3483</v>
      </c>
      <c r="B4505" s="8">
        <f t="shared" si="146"/>
        <v>2025</v>
      </c>
      <c r="C4505" s="8">
        <f t="shared" si="147"/>
        <v>6</v>
      </c>
      <c r="D4505" s="204">
        <v>45819</v>
      </c>
      <c r="E4505" s="188"/>
      <c r="F4505" s="188">
        <v>25000</v>
      </c>
      <c r="G4505" s="188"/>
      <c r="H4505" s="188"/>
      <c r="I4505" s="188" t="s">
        <v>1350</v>
      </c>
      <c r="J4505" s="187" t="s">
        <v>4367</v>
      </c>
      <c r="K4505" s="186"/>
    </row>
    <row r="4506" spans="1:11" x14ac:dyDescent="0.2">
      <c r="A4506" s="8">
        <v>3484</v>
      </c>
      <c r="B4506" s="8">
        <f t="shared" si="146"/>
        <v>2025</v>
      </c>
      <c r="C4506" s="8">
        <f t="shared" si="147"/>
        <v>6</v>
      </c>
      <c r="D4506" s="204">
        <v>45819</v>
      </c>
      <c r="E4506" s="188"/>
      <c r="F4506" s="188">
        <v>20000</v>
      </c>
      <c r="G4506" s="188"/>
      <c r="H4506" s="188"/>
      <c r="I4506" s="188" t="s">
        <v>91</v>
      </c>
      <c r="J4506" s="187" t="s">
        <v>2855</v>
      </c>
      <c r="K4506" s="186"/>
    </row>
    <row r="4507" spans="1:11" x14ac:dyDescent="0.2">
      <c r="A4507" s="8">
        <v>3485</v>
      </c>
      <c r="B4507" s="8">
        <f t="shared" si="146"/>
        <v>2025</v>
      </c>
      <c r="C4507" s="8">
        <f t="shared" si="147"/>
        <v>6</v>
      </c>
      <c r="D4507" s="204">
        <v>45819</v>
      </c>
      <c r="E4507" s="188"/>
      <c r="F4507" s="188">
        <v>20000</v>
      </c>
      <c r="G4507" s="188"/>
      <c r="H4507" s="188"/>
      <c r="I4507" s="188" t="s">
        <v>335</v>
      </c>
      <c r="J4507" s="187" t="s">
        <v>4368</v>
      </c>
      <c r="K4507" s="186"/>
    </row>
    <row r="4508" spans="1:11" x14ac:dyDescent="0.2">
      <c r="A4508" s="8">
        <v>3486</v>
      </c>
      <c r="B4508" s="8">
        <f t="shared" si="146"/>
        <v>2025</v>
      </c>
      <c r="C4508" s="8">
        <f t="shared" si="147"/>
        <v>6</v>
      </c>
      <c r="D4508" s="204">
        <v>45820</v>
      </c>
      <c r="E4508" s="188"/>
      <c r="F4508" s="188">
        <v>15000</v>
      </c>
      <c r="G4508" s="188"/>
      <c r="H4508" s="188"/>
      <c r="I4508" s="188" t="s">
        <v>91</v>
      </c>
      <c r="J4508" s="187" t="s">
        <v>4284</v>
      </c>
      <c r="K4508" s="186"/>
    </row>
    <row r="4509" spans="1:11" x14ac:dyDescent="0.2">
      <c r="A4509" s="8">
        <v>3487</v>
      </c>
      <c r="B4509" s="8">
        <f t="shared" si="146"/>
        <v>2025</v>
      </c>
      <c r="C4509" s="8">
        <f t="shared" si="147"/>
        <v>6</v>
      </c>
      <c r="D4509" s="204">
        <v>45820</v>
      </c>
      <c r="E4509" s="188"/>
      <c r="F4509" s="188">
        <v>20000</v>
      </c>
      <c r="G4509" s="188"/>
      <c r="H4509" s="188"/>
      <c r="I4509" s="188" t="s">
        <v>91</v>
      </c>
      <c r="J4509" s="187" t="s">
        <v>2843</v>
      </c>
      <c r="K4509" s="186"/>
    </row>
    <row r="4510" spans="1:11" x14ac:dyDescent="0.2">
      <c r="A4510" s="8">
        <v>3488</v>
      </c>
      <c r="B4510" s="8">
        <f t="shared" si="146"/>
        <v>2025</v>
      </c>
      <c r="C4510" s="8">
        <f t="shared" si="147"/>
        <v>6</v>
      </c>
      <c r="D4510" s="204">
        <v>45820</v>
      </c>
      <c r="E4510" s="188"/>
      <c r="F4510" s="188">
        <v>20000</v>
      </c>
      <c r="G4510" s="188"/>
      <c r="H4510" s="188"/>
      <c r="I4510" s="188" t="s">
        <v>85</v>
      </c>
      <c r="J4510" s="187" t="s">
        <v>2893</v>
      </c>
      <c r="K4510" s="186"/>
    </row>
    <row r="4511" spans="1:11" x14ac:dyDescent="0.2">
      <c r="A4511" s="8">
        <v>3489</v>
      </c>
      <c r="B4511" s="8">
        <f t="shared" si="146"/>
        <v>2025</v>
      </c>
      <c r="C4511" s="8">
        <f t="shared" si="147"/>
        <v>6</v>
      </c>
      <c r="D4511" s="204">
        <v>45820</v>
      </c>
      <c r="E4511" s="188"/>
      <c r="F4511" s="188">
        <v>300000</v>
      </c>
      <c r="G4511" s="188"/>
      <c r="H4511" s="188"/>
      <c r="I4511" s="188" t="s">
        <v>1815</v>
      </c>
      <c r="J4511" s="187" t="s">
        <v>4369</v>
      </c>
      <c r="K4511" s="186"/>
    </row>
    <row r="4512" spans="1:11" x14ac:dyDescent="0.2">
      <c r="A4512" s="8">
        <v>3490</v>
      </c>
      <c r="B4512" s="8">
        <f t="shared" si="146"/>
        <v>2025</v>
      </c>
      <c r="C4512" s="8">
        <f t="shared" si="147"/>
        <v>6</v>
      </c>
      <c r="D4512" s="204">
        <v>45821</v>
      </c>
      <c r="E4512" s="188"/>
      <c r="F4512" s="188">
        <v>20000</v>
      </c>
      <c r="G4512" s="188"/>
      <c r="H4512" s="188"/>
      <c r="I4512" s="188" t="s">
        <v>91</v>
      </c>
      <c r="J4512" s="187" t="s">
        <v>2522</v>
      </c>
      <c r="K4512" s="186"/>
    </row>
    <row r="4513" spans="1:11" x14ac:dyDescent="0.2">
      <c r="A4513" s="8">
        <v>3491</v>
      </c>
      <c r="B4513" s="8">
        <f t="shared" si="146"/>
        <v>2025</v>
      </c>
      <c r="C4513" s="8">
        <f t="shared" si="147"/>
        <v>6</v>
      </c>
      <c r="D4513" s="204">
        <v>45821</v>
      </c>
      <c r="E4513" s="188"/>
      <c r="F4513" s="188">
        <v>20000</v>
      </c>
      <c r="G4513" s="188"/>
      <c r="H4513" s="188"/>
      <c r="I4513" s="188" t="s">
        <v>85</v>
      </c>
      <c r="J4513" s="187" t="s">
        <v>4094</v>
      </c>
      <c r="K4513" s="186"/>
    </row>
    <row r="4514" spans="1:11" x14ac:dyDescent="0.2">
      <c r="A4514" s="8">
        <v>3492</v>
      </c>
      <c r="B4514" s="8">
        <f t="shared" si="146"/>
        <v>2025</v>
      </c>
      <c r="C4514" s="8">
        <f t="shared" si="147"/>
        <v>6</v>
      </c>
      <c r="D4514" s="204">
        <v>45822</v>
      </c>
      <c r="E4514" s="188"/>
      <c r="F4514" s="188">
        <v>172000</v>
      </c>
      <c r="G4514" s="188"/>
      <c r="H4514" s="188"/>
      <c r="I4514" s="188" t="s">
        <v>299</v>
      </c>
      <c r="J4514" s="187" t="s">
        <v>4370</v>
      </c>
      <c r="K4514" s="186"/>
    </row>
    <row r="4515" spans="1:11" x14ac:dyDescent="0.2">
      <c r="A4515" s="8">
        <v>3493</v>
      </c>
      <c r="B4515" s="8">
        <f t="shared" si="146"/>
        <v>2025</v>
      </c>
      <c r="C4515" s="8">
        <f t="shared" si="147"/>
        <v>6</v>
      </c>
      <c r="D4515" s="204">
        <v>45822</v>
      </c>
      <c r="E4515" s="188"/>
      <c r="F4515" s="188">
        <v>8000</v>
      </c>
      <c r="G4515" s="188"/>
      <c r="H4515" s="188"/>
      <c r="I4515" s="188" t="s">
        <v>85</v>
      </c>
      <c r="J4515" s="187" t="s">
        <v>4371</v>
      </c>
      <c r="K4515" s="186"/>
    </row>
    <row r="4516" spans="1:11" x14ac:dyDescent="0.2">
      <c r="A4516" s="8">
        <v>3494</v>
      </c>
      <c r="B4516" s="8">
        <f t="shared" si="146"/>
        <v>2025</v>
      </c>
      <c r="C4516" s="8">
        <f t="shared" si="147"/>
        <v>6</v>
      </c>
      <c r="D4516" s="204">
        <v>45822</v>
      </c>
      <c r="E4516" s="188"/>
      <c r="F4516" s="188">
        <v>400000</v>
      </c>
      <c r="G4516" s="188"/>
      <c r="H4516" s="188"/>
      <c r="I4516" s="188" t="s">
        <v>1815</v>
      </c>
      <c r="J4516" s="187" t="s">
        <v>4372</v>
      </c>
      <c r="K4516" s="186"/>
    </row>
    <row r="4517" spans="1:11" x14ac:dyDescent="0.2">
      <c r="A4517" s="8">
        <v>3495</v>
      </c>
      <c r="B4517" s="8">
        <f t="shared" si="146"/>
        <v>2025</v>
      </c>
      <c r="C4517" s="8">
        <f t="shared" si="147"/>
        <v>6</v>
      </c>
      <c r="D4517" s="204">
        <v>45822</v>
      </c>
      <c r="E4517" s="188"/>
      <c r="F4517" s="188">
        <v>15000</v>
      </c>
      <c r="G4517" s="188"/>
      <c r="H4517" s="188"/>
      <c r="I4517" s="188" t="s">
        <v>91</v>
      </c>
      <c r="J4517" s="187" t="s">
        <v>4373</v>
      </c>
      <c r="K4517" s="186"/>
    </row>
    <row r="4518" spans="1:11" x14ac:dyDescent="0.2">
      <c r="A4518" s="8">
        <v>3496</v>
      </c>
      <c r="B4518" s="8">
        <f t="shared" si="146"/>
        <v>2025</v>
      </c>
      <c r="C4518" s="8">
        <f t="shared" si="147"/>
        <v>6</v>
      </c>
      <c r="D4518" s="204">
        <v>45822</v>
      </c>
      <c r="E4518" s="188"/>
      <c r="F4518" s="188">
        <v>20000</v>
      </c>
      <c r="G4518" s="188"/>
      <c r="H4518" s="188"/>
      <c r="I4518" s="188" t="s">
        <v>91</v>
      </c>
      <c r="J4518" s="187" t="s">
        <v>4374</v>
      </c>
      <c r="K4518" s="186"/>
    </row>
    <row r="4519" spans="1:11" x14ac:dyDescent="0.2">
      <c r="A4519" s="8">
        <v>3497</v>
      </c>
      <c r="B4519" s="8">
        <f t="shared" si="146"/>
        <v>2025</v>
      </c>
      <c r="C4519" s="8">
        <f t="shared" si="147"/>
        <v>6</v>
      </c>
      <c r="D4519" s="204">
        <v>45822</v>
      </c>
      <c r="E4519" s="188"/>
      <c r="F4519" s="188">
        <v>30000</v>
      </c>
      <c r="G4519" s="188"/>
      <c r="H4519" s="188"/>
      <c r="I4519" s="188" t="s">
        <v>1815</v>
      </c>
      <c r="J4519" s="187" t="s">
        <v>2913</v>
      </c>
      <c r="K4519" s="186"/>
    </row>
    <row r="4520" spans="1:11" x14ac:dyDescent="0.2">
      <c r="A4520" s="8">
        <v>3498</v>
      </c>
      <c r="B4520" s="8">
        <f t="shared" si="146"/>
        <v>2025</v>
      </c>
      <c r="C4520" s="8">
        <f t="shared" si="147"/>
        <v>6</v>
      </c>
      <c r="D4520" s="204">
        <v>45823</v>
      </c>
      <c r="E4520" s="188"/>
      <c r="F4520" s="188">
        <v>73000</v>
      </c>
      <c r="G4520" s="188"/>
      <c r="H4520" s="188"/>
      <c r="I4520" s="188" t="s">
        <v>91</v>
      </c>
      <c r="J4520" s="187" t="s">
        <v>4375</v>
      </c>
      <c r="K4520" s="186"/>
    </row>
    <row r="4521" spans="1:11" x14ac:dyDescent="0.2">
      <c r="A4521" s="8">
        <v>3499</v>
      </c>
      <c r="B4521" s="8">
        <f t="shared" si="146"/>
        <v>2025</v>
      </c>
      <c r="C4521" s="8">
        <f t="shared" si="147"/>
        <v>6</v>
      </c>
      <c r="D4521" s="204">
        <v>45824</v>
      </c>
      <c r="E4521" s="188"/>
      <c r="F4521" s="188">
        <v>100000</v>
      </c>
      <c r="G4521" s="188"/>
      <c r="H4521" s="188"/>
      <c r="I4521" s="188" t="s">
        <v>85</v>
      </c>
      <c r="J4521" s="187" t="s">
        <v>3891</v>
      </c>
      <c r="K4521" s="186"/>
    </row>
    <row r="4522" spans="1:11" x14ac:dyDescent="0.2">
      <c r="A4522" s="8">
        <v>3500</v>
      </c>
      <c r="B4522" s="8">
        <f t="shared" si="146"/>
        <v>2025</v>
      </c>
      <c r="C4522" s="8">
        <f t="shared" si="147"/>
        <v>6</v>
      </c>
      <c r="D4522" s="204">
        <v>45825</v>
      </c>
      <c r="E4522" s="188"/>
      <c r="F4522" s="188">
        <v>100000</v>
      </c>
      <c r="G4522" s="188"/>
      <c r="H4522" s="188"/>
      <c r="I4522" s="188" t="s">
        <v>85</v>
      </c>
      <c r="J4522" s="187" t="s">
        <v>3891</v>
      </c>
      <c r="K4522" s="186"/>
    </row>
    <row r="4523" spans="1:11" x14ac:dyDescent="0.2">
      <c r="A4523" s="8">
        <v>3501</v>
      </c>
      <c r="B4523" s="8">
        <f t="shared" si="146"/>
        <v>2025</v>
      </c>
      <c r="C4523" s="8">
        <f t="shared" si="147"/>
        <v>6</v>
      </c>
      <c r="D4523" s="204">
        <v>45826</v>
      </c>
      <c r="E4523" s="188"/>
      <c r="F4523" s="188">
        <v>20000</v>
      </c>
      <c r="G4523" s="188"/>
      <c r="H4523" s="188"/>
      <c r="I4523" s="188" t="s">
        <v>91</v>
      </c>
      <c r="J4523" s="187" t="s">
        <v>2843</v>
      </c>
      <c r="K4523" s="186"/>
    </row>
    <row r="4524" spans="1:11" x14ac:dyDescent="0.2">
      <c r="A4524" s="8">
        <v>3502</v>
      </c>
      <c r="B4524" s="8">
        <f t="shared" si="146"/>
        <v>2025</v>
      </c>
      <c r="C4524" s="8">
        <f t="shared" si="147"/>
        <v>6</v>
      </c>
      <c r="D4524" s="204">
        <v>45827</v>
      </c>
      <c r="E4524" s="188"/>
      <c r="F4524" s="188">
        <v>100000</v>
      </c>
      <c r="G4524" s="188"/>
      <c r="H4524" s="188"/>
      <c r="I4524" s="188" t="s">
        <v>85</v>
      </c>
      <c r="J4524" s="187" t="s">
        <v>3891</v>
      </c>
      <c r="K4524" s="186"/>
    </row>
    <row r="4525" spans="1:11" x14ac:dyDescent="0.2">
      <c r="A4525" s="8">
        <v>3503</v>
      </c>
      <c r="B4525" s="8">
        <f t="shared" si="146"/>
        <v>2025</v>
      </c>
      <c r="C4525" s="8">
        <f t="shared" si="147"/>
        <v>6</v>
      </c>
      <c r="D4525" s="204">
        <v>45828</v>
      </c>
      <c r="E4525" s="188"/>
      <c r="F4525" s="188">
        <v>18000</v>
      </c>
      <c r="G4525" s="188"/>
      <c r="H4525" s="188"/>
      <c r="I4525" s="188" t="s">
        <v>91</v>
      </c>
      <c r="J4525" s="187" t="s">
        <v>4093</v>
      </c>
      <c r="K4525" s="186"/>
    </row>
    <row r="4526" spans="1:11" x14ac:dyDescent="0.2">
      <c r="A4526" s="8">
        <v>3504</v>
      </c>
      <c r="B4526" s="8">
        <f t="shared" si="146"/>
        <v>2025</v>
      </c>
      <c r="C4526" s="8">
        <f t="shared" si="147"/>
        <v>6</v>
      </c>
      <c r="D4526" s="204">
        <v>45828</v>
      </c>
      <c r="E4526" s="188"/>
      <c r="F4526" s="188">
        <v>20000</v>
      </c>
      <c r="G4526" s="188"/>
      <c r="H4526" s="188"/>
      <c r="I4526" s="188" t="s">
        <v>91</v>
      </c>
      <c r="J4526" s="187" t="s">
        <v>4378</v>
      </c>
      <c r="K4526" s="186"/>
    </row>
    <row r="4527" spans="1:11" x14ac:dyDescent="0.2">
      <c r="A4527" s="8">
        <v>3505</v>
      </c>
      <c r="B4527" s="8">
        <f t="shared" si="146"/>
        <v>2025</v>
      </c>
      <c r="C4527" s="8">
        <f t="shared" si="147"/>
        <v>6</v>
      </c>
      <c r="D4527" s="204">
        <v>45829</v>
      </c>
      <c r="E4527" s="188"/>
      <c r="F4527" s="188">
        <v>45000</v>
      </c>
      <c r="G4527" s="188"/>
      <c r="H4527" s="188"/>
      <c r="I4527" s="188" t="s">
        <v>91</v>
      </c>
      <c r="J4527" s="187" t="s">
        <v>4379</v>
      </c>
      <c r="K4527" s="186"/>
    </row>
    <row r="4528" spans="1:11" x14ac:dyDescent="0.2">
      <c r="A4528" s="8">
        <v>3506</v>
      </c>
      <c r="B4528" s="8">
        <f t="shared" si="146"/>
        <v>2025</v>
      </c>
      <c r="C4528" s="8">
        <f t="shared" si="147"/>
        <v>6</v>
      </c>
      <c r="D4528" s="204">
        <v>45829</v>
      </c>
      <c r="E4528" s="188"/>
      <c r="F4528" s="188">
        <v>10000</v>
      </c>
      <c r="G4528" s="188"/>
      <c r="H4528" s="188"/>
      <c r="I4528" s="188" t="s">
        <v>85</v>
      </c>
      <c r="J4528" s="187" t="s">
        <v>2747</v>
      </c>
      <c r="K4528" s="186"/>
    </row>
    <row r="4529" spans="1:11" x14ac:dyDescent="0.2">
      <c r="A4529" s="8">
        <v>3507</v>
      </c>
      <c r="B4529" s="8">
        <f t="shared" si="146"/>
        <v>2025</v>
      </c>
      <c r="C4529" s="8">
        <f t="shared" si="147"/>
        <v>6</v>
      </c>
      <c r="D4529" s="204">
        <v>45829</v>
      </c>
      <c r="E4529" s="188"/>
      <c r="F4529" s="188">
        <v>165000</v>
      </c>
      <c r="G4529" s="188"/>
      <c r="H4529" s="188"/>
      <c r="I4529" s="188" t="s">
        <v>1815</v>
      </c>
      <c r="J4529" s="187" t="s">
        <v>4382</v>
      </c>
      <c r="K4529" s="186"/>
    </row>
    <row r="4530" spans="1:11" x14ac:dyDescent="0.2">
      <c r="A4530" s="8">
        <v>3508</v>
      </c>
      <c r="B4530" s="8">
        <f t="shared" si="146"/>
        <v>2025</v>
      </c>
      <c r="C4530" s="8">
        <f t="shared" si="147"/>
        <v>6</v>
      </c>
      <c r="D4530" s="204">
        <v>45829</v>
      </c>
      <c r="E4530" s="188"/>
      <c r="F4530" s="188">
        <v>40000</v>
      </c>
      <c r="G4530" s="188"/>
      <c r="H4530" s="188"/>
      <c r="I4530" s="188" t="s">
        <v>85</v>
      </c>
      <c r="J4530" s="187" t="s">
        <v>4383</v>
      </c>
      <c r="K4530" s="186"/>
    </row>
    <row r="4531" spans="1:11" x14ac:dyDescent="0.2">
      <c r="A4531" s="8">
        <v>3509</v>
      </c>
      <c r="B4531" s="8">
        <f t="shared" si="146"/>
        <v>2025</v>
      </c>
      <c r="C4531" s="8">
        <f t="shared" si="147"/>
        <v>6</v>
      </c>
      <c r="D4531" s="204">
        <v>45830</v>
      </c>
      <c r="E4531" s="188"/>
      <c r="F4531" s="188">
        <v>100000</v>
      </c>
      <c r="G4531" s="188"/>
      <c r="H4531" s="188"/>
      <c r="I4531" s="188" t="s">
        <v>85</v>
      </c>
      <c r="J4531" s="187" t="s">
        <v>3891</v>
      </c>
      <c r="K4531" s="186"/>
    </row>
    <row r="4532" spans="1:11" x14ac:dyDescent="0.2">
      <c r="A4532" s="8">
        <v>3510</v>
      </c>
      <c r="B4532" s="8">
        <f t="shared" si="146"/>
        <v>2025</v>
      </c>
      <c r="C4532" s="8">
        <f t="shared" si="147"/>
        <v>6</v>
      </c>
      <c r="D4532" s="204">
        <v>45831</v>
      </c>
      <c r="E4532" s="188"/>
      <c r="F4532" s="188">
        <v>153000</v>
      </c>
      <c r="G4532" s="188"/>
      <c r="H4532" s="188"/>
      <c r="I4532" s="188" t="s">
        <v>91</v>
      </c>
      <c r="J4532" s="187" t="s">
        <v>4384</v>
      </c>
      <c r="K4532" s="186"/>
    </row>
    <row r="4533" spans="1:11" x14ac:dyDescent="0.2">
      <c r="A4533" s="8">
        <v>3511</v>
      </c>
      <c r="B4533" s="8">
        <f t="shared" si="146"/>
        <v>2025</v>
      </c>
      <c r="C4533" s="8">
        <f t="shared" si="147"/>
        <v>6</v>
      </c>
      <c r="D4533" s="204">
        <v>45831</v>
      </c>
      <c r="E4533" s="188"/>
      <c r="F4533" s="188">
        <v>80000</v>
      </c>
      <c r="G4533" s="188"/>
      <c r="H4533" s="188"/>
      <c r="I4533" s="188" t="s">
        <v>1815</v>
      </c>
      <c r="J4533" s="187" t="s">
        <v>4385</v>
      </c>
      <c r="K4533" s="186"/>
    </row>
    <row r="4534" spans="1:11" x14ac:dyDescent="0.2">
      <c r="A4534" s="8">
        <v>3512</v>
      </c>
      <c r="B4534" s="8">
        <f t="shared" si="146"/>
        <v>2025</v>
      </c>
      <c r="C4534" s="8">
        <f t="shared" si="147"/>
        <v>6</v>
      </c>
      <c r="D4534" s="204">
        <v>45832</v>
      </c>
      <c r="E4534" s="188"/>
      <c r="F4534" s="188">
        <v>90000</v>
      </c>
      <c r="G4534" s="188"/>
      <c r="H4534" s="188"/>
      <c r="I4534" s="188" t="s">
        <v>1350</v>
      </c>
      <c r="J4534" s="187" t="s">
        <v>4388</v>
      </c>
      <c r="K4534" s="186"/>
    </row>
    <row r="4535" spans="1:11" x14ac:dyDescent="0.2">
      <c r="A4535" s="8">
        <v>3513</v>
      </c>
      <c r="B4535" s="8">
        <f t="shared" si="146"/>
        <v>2025</v>
      </c>
      <c r="C4535" s="8">
        <f t="shared" si="147"/>
        <v>6</v>
      </c>
      <c r="D4535" s="204">
        <v>45832</v>
      </c>
      <c r="E4535" s="188"/>
      <c r="F4535" s="188">
        <v>33000</v>
      </c>
      <c r="G4535" s="188"/>
      <c r="H4535" s="188"/>
      <c r="I4535" s="188" t="s">
        <v>1992</v>
      </c>
      <c r="J4535" s="187" t="s">
        <v>4389</v>
      </c>
      <c r="K4535" s="186"/>
    </row>
    <row r="4536" spans="1:11" x14ac:dyDescent="0.2">
      <c r="A4536" s="8">
        <v>3514</v>
      </c>
      <c r="B4536" s="8">
        <f t="shared" si="146"/>
        <v>2025</v>
      </c>
      <c r="C4536" s="8">
        <f t="shared" si="147"/>
        <v>6</v>
      </c>
      <c r="D4536" s="204">
        <v>45833</v>
      </c>
      <c r="E4536" s="188"/>
      <c r="F4536" s="188">
        <v>20000</v>
      </c>
      <c r="G4536" s="188"/>
      <c r="H4536" s="188"/>
      <c r="I4536" s="188" t="s">
        <v>91</v>
      </c>
      <c r="J4536" s="187" t="s">
        <v>2855</v>
      </c>
      <c r="K4536" s="186"/>
    </row>
    <row r="4537" spans="1:11" x14ac:dyDescent="0.2">
      <c r="A4537" s="8">
        <v>3515</v>
      </c>
      <c r="B4537" s="8">
        <f t="shared" si="146"/>
        <v>2025</v>
      </c>
      <c r="C4537" s="8">
        <f t="shared" si="147"/>
        <v>6</v>
      </c>
      <c r="D4537" s="204">
        <v>45833</v>
      </c>
      <c r="E4537" s="188"/>
      <c r="F4537" s="188">
        <v>30000</v>
      </c>
      <c r="G4537" s="188"/>
      <c r="H4537" s="188"/>
      <c r="I4537" s="188" t="s">
        <v>85</v>
      </c>
      <c r="J4537" s="187" t="s">
        <v>2835</v>
      </c>
      <c r="K4537" s="186"/>
    </row>
    <row r="4538" spans="1:11" x14ac:dyDescent="0.2">
      <c r="A4538" s="8">
        <v>3516</v>
      </c>
      <c r="B4538" s="8">
        <f t="shared" si="146"/>
        <v>2025</v>
      </c>
      <c r="C4538" s="8">
        <f t="shared" si="147"/>
        <v>6</v>
      </c>
      <c r="D4538" s="204">
        <v>45834</v>
      </c>
      <c r="E4538" s="188"/>
      <c r="F4538" s="188">
        <v>300000</v>
      </c>
      <c r="G4538" s="188"/>
      <c r="H4538" s="188"/>
      <c r="I4538" s="188" t="s">
        <v>1350</v>
      </c>
      <c r="J4538" s="187" t="s">
        <v>4390</v>
      </c>
      <c r="K4538" s="186"/>
    </row>
    <row r="4539" spans="1:11" x14ac:dyDescent="0.2">
      <c r="A4539" s="8">
        <v>3517</v>
      </c>
      <c r="B4539" s="8">
        <f t="shared" si="146"/>
        <v>2025</v>
      </c>
      <c r="C4539" s="8">
        <f t="shared" si="147"/>
        <v>6</v>
      </c>
      <c r="D4539" s="204">
        <v>45834</v>
      </c>
      <c r="E4539" s="188"/>
      <c r="F4539" s="188">
        <v>150000</v>
      </c>
      <c r="G4539" s="188"/>
      <c r="H4539" s="188"/>
      <c r="I4539" s="188" t="s">
        <v>1350</v>
      </c>
      <c r="J4539" s="187" t="s">
        <v>4391</v>
      </c>
      <c r="K4539" s="186"/>
    </row>
    <row r="4540" spans="1:11" x14ac:dyDescent="0.2">
      <c r="A4540" s="8">
        <v>3518</v>
      </c>
      <c r="B4540" s="8">
        <f t="shared" si="146"/>
        <v>2025</v>
      </c>
      <c r="C4540" s="8">
        <f t="shared" si="147"/>
        <v>6</v>
      </c>
      <c r="D4540" s="204">
        <v>45834</v>
      </c>
      <c r="E4540" s="188"/>
      <c r="F4540" s="188">
        <v>20000</v>
      </c>
      <c r="G4540" s="188"/>
      <c r="H4540" s="188"/>
      <c r="I4540" s="188" t="s">
        <v>91</v>
      </c>
      <c r="J4540" s="187" t="s">
        <v>2855</v>
      </c>
      <c r="K4540" s="186"/>
    </row>
    <row r="4541" spans="1:11" x14ac:dyDescent="0.2">
      <c r="A4541" s="8">
        <v>3519</v>
      </c>
      <c r="B4541" s="8">
        <f t="shared" si="146"/>
        <v>2025</v>
      </c>
      <c r="C4541" s="8">
        <f t="shared" si="147"/>
        <v>6</v>
      </c>
      <c r="D4541" s="204">
        <v>45834</v>
      </c>
      <c r="E4541" s="188"/>
      <c r="F4541" s="188">
        <v>4000000</v>
      </c>
      <c r="G4541" s="188"/>
      <c r="H4541" s="188"/>
      <c r="I4541" s="188" t="s">
        <v>4137</v>
      </c>
      <c r="J4541" s="187" t="s">
        <v>4392</v>
      </c>
      <c r="K4541" s="186"/>
    </row>
    <row r="4542" spans="1:11" x14ac:dyDescent="0.2">
      <c r="A4542" s="8">
        <v>3520</v>
      </c>
      <c r="B4542" s="8">
        <f t="shared" si="146"/>
        <v>2025</v>
      </c>
      <c r="C4542" s="8">
        <f t="shared" si="147"/>
        <v>6</v>
      </c>
      <c r="D4542" s="204">
        <v>45835</v>
      </c>
      <c r="E4542" s="188"/>
      <c r="F4542" s="188">
        <v>50000</v>
      </c>
      <c r="G4542" s="188"/>
      <c r="H4542" s="188"/>
      <c r="I4542" s="188" t="s">
        <v>91</v>
      </c>
      <c r="J4542" s="187" t="s">
        <v>4393</v>
      </c>
      <c r="K4542" s="186"/>
    </row>
    <row r="4543" spans="1:11" x14ac:dyDescent="0.2">
      <c r="A4543" s="8">
        <v>3521</v>
      </c>
      <c r="B4543" s="8">
        <f t="shared" si="146"/>
        <v>2025</v>
      </c>
      <c r="C4543" s="8">
        <f t="shared" si="147"/>
        <v>6</v>
      </c>
      <c r="D4543" s="204">
        <v>45835</v>
      </c>
      <c r="E4543" s="188"/>
      <c r="F4543" s="188">
        <v>25000</v>
      </c>
      <c r="G4543" s="188"/>
      <c r="H4543" s="188"/>
      <c r="I4543" s="188" t="s">
        <v>85</v>
      </c>
      <c r="J4543" s="187" t="s">
        <v>4394</v>
      </c>
      <c r="K4543" s="186"/>
    </row>
    <row r="4544" spans="1:11" x14ac:dyDescent="0.2">
      <c r="A4544" s="8">
        <v>3522</v>
      </c>
      <c r="B4544" s="8">
        <f t="shared" si="146"/>
        <v>2025</v>
      </c>
      <c r="C4544" s="8">
        <f t="shared" si="147"/>
        <v>6</v>
      </c>
      <c r="D4544" s="204">
        <v>45836</v>
      </c>
      <c r="E4544" s="188"/>
      <c r="F4544" s="188">
        <v>22000</v>
      </c>
      <c r="G4544" s="188"/>
      <c r="H4544" s="188"/>
      <c r="I4544" s="188" t="s">
        <v>85</v>
      </c>
      <c r="J4544" s="187" t="s">
        <v>4044</v>
      </c>
      <c r="K4544" s="186"/>
    </row>
    <row r="4545" spans="1:11" x14ac:dyDescent="0.2">
      <c r="A4545" s="8">
        <v>3523</v>
      </c>
      <c r="B4545" s="8">
        <f t="shared" si="146"/>
        <v>2025</v>
      </c>
      <c r="C4545" s="8">
        <f t="shared" si="147"/>
        <v>6</v>
      </c>
      <c r="D4545" s="204">
        <v>45836</v>
      </c>
      <c r="E4545" s="188"/>
      <c r="F4545" s="188">
        <v>225000</v>
      </c>
      <c r="G4545" s="188"/>
      <c r="H4545" s="188"/>
      <c r="I4545" s="188" t="s">
        <v>1815</v>
      </c>
      <c r="J4545" s="187" t="s">
        <v>4395</v>
      </c>
      <c r="K4545" s="186"/>
    </row>
    <row r="4546" spans="1:11" x14ac:dyDescent="0.2">
      <c r="A4546" s="8">
        <v>3524</v>
      </c>
      <c r="B4546" s="8">
        <f t="shared" si="146"/>
        <v>2025</v>
      </c>
      <c r="C4546" s="8">
        <f t="shared" si="147"/>
        <v>6</v>
      </c>
      <c r="D4546" s="204">
        <v>45836</v>
      </c>
      <c r="E4546" s="188"/>
      <c r="F4546" s="188">
        <v>30000</v>
      </c>
      <c r="G4546" s="188"/>
      <c r="H4546" s="188"/>
      <c r="I4546" s="188" t="s">
        <v>85</v>
      </c>
      <c r="J4546" s="187" t="s">
        <v>2655</v>
      </c>
      <c r="K4546" s="186"/>
    </row>
    <row r="4547" spans="1:11" x14ac:dyDescent="0.2">
      <c r="A4547" s="8">
        <v>3525</v>
      </c>
      <c r="B4547" s="8">
        <f t="shared" ref="B4547:B4610" si="148">YEAR(D4547)</f>
        <v>2025</v>
      </c>
      <c r="C4547" s="8">
        <f t="shared" ref="C4547:C4610" si="149">MONTH(D4547)</f>
        <v>6</v>
      </c>
      <c r="D4547" s="204">
        <v>45837</v>
      </c>
      <c r="E4547" s="188"/>
      <c r="F4547" s="188">
        <v>222000</v>
      </c>
      <c r="G4547" s="188"/>
      <c r="H4547" s="188"/>
      <c r="I4547" s="188" t="s">
        <v>299</v>
      </c>
      <c r="J4547" s="187" t="s">
        <v>4396</v>
      </c>
      <c r="K4547" s="186"/>
    </row>
    <row r="4548" spans="1:11" x14ac:dyDescent="0.2">
      <c r="A4548" s="8">
        <v>3526</v>
      </c>
      <c r="B4548" s="8">
        <f t="shared" si="148"/>
        <v>2025</v>
      </c>
      <c r="C4548" s="8">
        <f t="shared" si="149"/>
        <v>6</v>
      </c>
      <c r="D4548" s="204">
        <v>45837</v>
      </c>
      <c r="E4548" s="188"/>
      <c r="F4548" s="188">
        <v>151000</v>
      </c>
      <c r="G4548" s="188"/>
      <c r="H4548" s="188"/>
      <c r="I4548" s="188" t="s">
        <v>335</v>
      </c>
      <c r="J4548" s="187" t="s">
        <v>4397</v>
      </c>
      <c r="K4548" s="186"/>
    </row>
    <row r="4549" spans="1:11" x14ac:dyDescent="0.2">
      <c r="A4549" s="8">
        <v>3527</v>
      </c>
      <c r="B4549" s="8">
        <f t="shared" si="148"/>
        <v>2025</v>
      </c>
      <c r="C4549" s="8">
        <f t="shared" si="149"/>
        <v>6</v>
      </c>
      <c r="D4549" s="204">
        <v>45837</v>
      </c>
      <c r="E4549" s="188"/>
      <c r="F4549" s="188">
        <v>144000</v>
      </c>
      <c r="G4549" s="188"/>
      <c r="H4549" s="188"/>
      <c r="I4549" s="188" t="s">
        <v>335</v>
      </c>
      <c r="J4549" s="187" t="s">
        <v>4398</v>
      </c>
      <c r="K4549" s="186"/>
    </row>
    <row r="4550" spans="1:11" x14ac:dyDescent="0.2">
      <c r="A4550" s="8">
        <v>3528</v>
      </c>
      <c r="B4550" s="8">
        <f t="shared" si="148"/>
        <v>2025</v>
      </c>
      <c r="C4550" s="8">
        <f t="shared" si="149"/>
        <v>6</v>
      </c>
      <c r="D4550" s="204">
        <v>45837</v>
      </c>
      <c r="E4550" s="188"/>
      <c r="F4550" s="188">
        <v>50000</v>
      </c>
      <c r="G4550" s="188"/>
      <c r="H4550" s="188"/>
      <c r="I4550" s="188" t="s">
        <v>85</v>
      </c>
      <c r="J4550" s="187" t="s">
        <v>2605</v>
      </c>
      <c r="K4550" s="186"/>
    </row>
    <row r="4551" spans="1:11" x14ac:dyDescent="0.2">
      <c r="A4551" s="8">
        <v>3529</v>
      </c>
      <c r="B4551" s="8">
        <f t="shared" si="148"/>
        <v>2025</v>
      </c>
      <c r="C4551" s="8">
        <f t="shared" si="149"/>
        <v>6</v>
      </c>
      <c r="D4551" s="204">
        <v>45838</v>
      </c>
      <c r="E4551" s="188"/>
      <c r="F4551" s="188">
        <v>50000</v>
      </c>
      <c r="G4551" s="188"/>
      <c r="H4551" s="188"/>
      <c r="I4551" s="188" t="s">
        <v>85</v>
      </c>
      <c r="J4551" s="187" t="s">
        <v>2605</v>
      </c>
      <c r="K4551" s="186"/>
    </row>
    <row r="4552" spans="1:11" x14ac:dyDescent="0.2">
      <c r="A4552" s="8">
        <v>3530</v>
      </c>
      <c r="B4552" s="8">
        <f t="shared" si="148"/>
        <v>2025</v>
      </c>
      <c r="C4552" s="8">
        <f t="shared" si="149"/>
        <v>7</v>
      </c>
      <c r="D4552" s="204">
        <v>45840</v>
      </c>
      <c r="E4552" s="188"/>
      <c r="F4552" s="188">
        <v>20000</v>
      </c>
      <c r="G4552" s="188"/>
      <c r="H4552" s="188"/>
      <c r="I4552" s="188" t="s">
        <v>91</v>
      </c>
      <c r="J4552" s="187" t="s">
        <v>2522</v>
      </c>
      <c r="K4552" s="186"/>
    </row>
    <row r="4553" spans="1:11" x14ac:dyDescent="0.2">
      <c r="A4553" s="8">
        <v>3533</v>
      </c>
      <c r="B4553" s="8">
        <f t="shared" si="148"/>
        <v>2025</v>
      </c>
      <c r="C4553" s="8">
        <f t="shared" si="149"/>
        <v>7</v>
      </c>
      <c r="D4553" s="204">
        <v>45841</v>
      </c>
      <c r="E4553" s="188"/>
      <c r="F4553" s="188">
        <v>100000</v>
      </c>
      <c r="G4553" s="188"/>
      <c r="H4553" s="188"/>
      <c r="I4553" s="188" t="s">
        <v>85</v>
      </c>
      <c r="J4553" s="187" t="s">
        <v>287</v>
      </c>
      <c r="K4553" s="186"/>
    </row>
    <row r="4554" spans="1:11" x14ac:dyDescent="0.2">
      <c r="A4554" s="8">
        <v>3534</v>
      </c>
      <c r="B4554" s="8">
        <f t="shared" si="148"/>
        <v>2025</v>
      </c>
      <c r="C4554" s="8">
        <f t="shared" si="149"/>
        <v>7</v>
      </c>
      <c r="D4554" s="204">
        <v>45842</v>
      </c>
      <c r="E4554" s="188"/>
      <c r="F4554" s="188">
        <v>80000</v>
      </c>
      <c r="G4554" s="188"/>
      <c r="H4554" s="188"/>
      <c r="I4554" s="188" t="s">
        <v>85</v>
      </c>
      <c r="J4554" s="187" t="s">
        <v>4428</v>
      </c>
      <c r="K4554" s="186"/>
    </row>
    <row r="4555" spans="1:11" x14ac:dyDescent="0.2">
      <c r="A4555" s="8">
        <v>3535</v>
      </c>
      <c r="B4555" s="8">
        <f t="shared" si="148"/>
        <v>2025</v>
      </c>
      <c r="C4555" s="8">
        <f t="shared" si="149"/>
        <v>7</v>
      </c>
      <c r="D4555" s="204">
        <v>45842</v>
      </c>
      <c r="E4555" s="188"/>
      <c r="F4555" s="188">
        <v>300000</v>
      </c>
      <c r="G4555" s="188"/>
      <c r="H4555" s="188"/>
      <c r="I4555" s="188" t="s">
        <v>85</v>
      </c>
      <c r="J4555" s="187" t="s">
        <v>4429</v>
      </c>
      <c r="K4555" s="186"/>
    </row>
    <row r="4556" spans="1:11" x14ac:dyDescent="0.2">
      <c r="A4556" s="8">
        <v>3536</v>
      </c>
      <c r="B4556" s="8">
        <f t="shared" si="148"/>
        <v>2025</v>
      </c>
      <c r="C4556" s="8">
        <f t="shared" si="149"/>
        <v>7</v>
      </c>
      <c r="D4556" s="204">
        <v>45842</v>
      </c>
      <c r="E4556" s="188"/>
      <c r="F4556" s="188">
        <v>460000</v>
      </c>
      <c r="G4556" s="188"/>
      <c r="H4556" s="188"/>
      <c r="I4556" s="188" t="s">
        <v>85</v>
      </c>
      <c r="J4556" s="187" t="s">
        <v>4430</v>
      </c>
      <c r="K4556" s="186"/>
    </row>
    <row r="4557" spans="1:11" x14ac:dyDescent="0.2">
      <c r="A4557" s="8">
        <v>3537</v>
      </c>
      <c r="B4557" s="8">
        <f t="shared" si="148"/>
        <v>2025</v>
      </c>
      <c r="C4557" s="8">
        <f t="shared" si="149"/>
        <v>7</v>
      </c>
      <c r="D4557" s="204">
        <v>45842</v>
      </c>
      <c r="E4557" s="188"/>
      <c r="F4557" s="188">
        <v>190000</v>
      </c>
      <c r="G4557" s="188"/>
      <c r="H4557" s="188"/>
      <c r="I4557" s="188" t="s">
        <v>1815</v>
      </c>
      <c r="J4557" s="187" t="s">
        <v>4431</v>
      </c>
      <c r="K4557" s="186"/>
    </row>
    <row r="4558" spans="1:11" x14ac:dyDescent="0.2">
      <c r="A4558" s="8">
        <v>3538</v>
      </c>
      <c r="B4558" s="8">
        <f t="shared" si="148"/>
        <v>2025</v>
      </c>
      <c r="C4558" s="8">
        <f t="shared" si="149"/>
        <v>7</v>
      </c>
      <c r="D4558" s="204">
        <v>45842</v>
      </c>
      <c r="E4558" s="188"/>
      <c r="F4558" s="188">
        <v>60000</v>
      </c>
      <c r="G4558" s="188"/>
      <c r="H4558" s="188"/>
      <c r="I4558" s="188" t="s">
        <v>1815</v>
      </c>
      <c r="J4558" s="187" t="s">
        <v>4432</v>
      </c>
      <c r="K4558" s="186"/>
    </row>
    <row r="4559" spans="1:11" x14ac:dyDescent="0.2">
      <c r="A4559" s="8">
        <v>3540</v>
      </c>
      <c r="B4559" s="8">
        <f t="shared" si="148"/>
        <v>2025</v>
      </c>
      <c r="C4559" s="8">
        <f t="shared" si="149"/>
        <v>7</v>
      </c>
      <c r="D4559" s="204">
        <v>45843</v>
      </c>
      <c r="E4559" s="188"/>
      <c r="F4559" s="188">
        <v>250000</v>
      </c>
      <c r="G4559" s="188"/>
      <c r="H4559" s="188"/>
      <c r="I4559" s="188" t="s">
        <v>85</v>
      </c>
      <c r="J4559" s="187" t="s">
        <v>4434</v>
      </c>
      <c r="K4559" s="186"/>
    </row>
    <row r="4560" spans="1:11" x14ac:dyDescent="0.2">
      <c r="A4560" s="8">
        <v>3542</v>
      </c>
      <c r="B4560" s="8">
        <f t="shared" si="148"/>
        <v>2025</v>
      </c>
      <c r="C4560" s="8">
        <f t="shared" si="149"/>
        <v>7</v>
      </c>
      <c r="D4560" s="204">
        <v>45843</v>
      </c>
      <c r="E4560" s="188"/>
      <c r="F4560" s="188">
        <v>30000</v>
      </c>
      <c r="G4560" s="188"/>
      <c r="H4560" s="188"/>
      <c r="I4560" s="188" t="s">
        <v>91</v>
      </c>
      <c r="J4560" s="187" t="s">
        <v>2467</v>
      </c>
      <c r="K4560" s="186"/>
    </row>
    <row r="4561" spans="1:11" x14ac:dyDescent="0.2">
      <c r="A4561" s="8">
        <v>3543</v>
      </c>
      <c r="B4561" s="8">
        <f t="shared" si="148"/>
        <v>2025</v>
      </c>
      <c r="C4561" s="8">
        <f t="shared" si="149"/>
        <v>7</v>
      </c>
      <c r="D4561" s="204">
        <v>45843</v>
      </c>
      <c r="E4561" s="188"/>
      <c r="F4561" s="188">
        <v>250000</v>
      </c>
      <c r="G4561" s="188"/>
      <c r="H4561" s="188"/>
      <c r="I4561" s="188" t="s">
        <v>1815</v>
      </c>
      <c r="J4561" s="187" t="s">
        <v>4435</v>
      </c>
      <c r="K4561" s="186"/>
    </row>
    <row r="4562" spans="1:11" x14ac:dyDescent="0.2">
      <c r="A4562" s="8">
        <v>3544</v>
      </c>
      <c r="B4562" s="8">
        <f t="shared" si="148"/>
        <v>2025</v>
      </c>
      <c r="C4562" s="8">
        <f t="shared" si="149"/>
        <v>7</v>
      </c>
      <c r="D4562" s="204">
        <v>45844</v>
      </c>
      <c r="E4562" s="188"/>
      <c r="F4562" s="188">
        <v>259000</v>
      </c>
      <c r="G4562" s="188"/>
      <c r="H4562" s="188"/>
      <c r="I4562" s="188" t="s">
        <v>1999</v>
      </c>
      <c r="J4562" s="187" t="s">
        <v>4436</v>
      </c>
      <c r="K4562" s="186"/>
    </row>
    <row r="4563" spans="1:11" x14ac:dyDescent="0.2">
      <c r="A4563" s="8">
        <v>3545</v>
      </c>
      <c r="B4563" s="8">
        <f t="shared" si="148"/>
        <v>2025</v>
      </c>
      <c r="C4563" s="8">
        <f t="shared" si="149"/>
        <v>7</v>
      </c>
      <c r="D4563" s="204">
        <v>45844</v>
      </c>
      <c r="E4563" s="188"/>
      <c r="F4563" s="188">
        <v>230000</v>
      </c>
      <c r="G4563" s="188"/>
      <c r="H4563" s="188"/>
      <c r="I4563" s="188" t="s">
        <v>335</v>
      </c>
      <c r="J4563" s="187" t="s">
        <v>4437</v>
      </c>
      <c r="K4563" s="186"/>
    </row>
    <row r="4564" spans="1:11" x14ac:dyDescent="0.2">
      <c r="A4564" s="8">
        <v>3546</v>
      </c>
      <c r="B4564" s="8">
        <f t="shared" si="148"/>
        <v>2025</v>
      </c>
      <c r="C4564" s="8">
        <f t="shared" si="149"/>
        <v>7</v>
      </c>
      <c r="D4564" s="204">
        <v>45844</v>
      </c>
      <c r="E4564" s="188"/>
      <c r="F4564" s="188">
        <v>175000</v>
      </c>
      <c r="G4564" s="188"/>
      <c r="H4564" s="188"/>
      <c r="I4564" s="188" t="s">
        <v>1999</v>
      </c>
      <c r="J4564" s="187" t="s">
        <v>4438</v>
      </c>
      <c r="K4564" s="186"/>
    </row>
    <row r="4565" spans="1:11" x14ac:dyDescent="0.2">
      <c r="A4565" s="8">
        <v>3547</v>
      </c>
      <c r="B4565" s="8">
        <f t="shared" si="148"/>
        <v>2025</v>
      </c>
      <c r="C4565" s="8">
        <f t="shared" si="149"/>
        <v>7</v>
      </c>
      <c r="D4565" s="204">
        <v>45844</v>
      </c>
      <c r="E4565" s="188"/>
      <c r="F4565" s="188">
        <v>30000</v>
      </c>
      <c r="G4565" s="188"/>
      <c r="H4565" s="188"/>
      <c r="I4565" s="188" t="s">
        <v>85</v>
      </c>
      <c r="J4565" s="187" t="s">
        <v>2626</v>
      </c>
      <c r="K4565" s="186"/>
    </row>
    <row r="4566" spans="1:11" x14ac:dyDescent="0.2">
      <c r="A4566" s="8">
        <v>3548</v>
      </c>
      <c r="B4566" s="8">
        <f t="shared" si="148"/>
        <v>2025</v>
      </c>
      <c r="C4566" s="8">
        <f t="shared" si="149"/>
        <v>7</v>
      </c>
      <c r="D4566" s="204">
        <v>45844</v>
      </c>
      <c r="E4566" s="188"/>
      <c r="F4566" s="188">
        <v>157000</v>
      </c>
      <c r="G4566" s="188"/>
      <c r="H4566" s="188"/>
      <c r="I4566" s="188" t="s">
        <v>1815</v>
      </c>
      <c r="J4566" s="187" t="s">
        <v>4439</v>
      </c>
      <c r="K4566" s="186"/>
    </row>
    <row r="4567" spans="1:11" x14ac:dyDescent="0.2">
      <c r="A4567" s="8">
        <v>3549</v>
      </c>
      <c r="B4567" s="8">
        <f t="shared" si="148"/>
        <v>2025</v>
      </c>
      <c r="C4567" s="8">
        <f t="shared" si="149"/>
        <v>7</v>
      </c>
      <c r="D4567" s="204">
        <v>45844</v>
      </c>
      <c r="E4567" s="188"/>
      <c r="F4567" s="188">
        <v>176000</v>
      </c>
      <c r="G4567" s="188"/>
      <c r="H4567" s="188"/>
      <c r="I4567" s="188" t="s">
        <v>299</v>
      </c>
      <c r="J4567" s="187" t="s">
        <v>4440</v>
      </c>
      <c r="K4567" s="186"/>
    </row>
    <row r="4568" spans="1:11" x14ac:dyDescent="0.2">
      <c r="A4568" s="8">
        <v>3550</v>
      </c>
      <c r="B4568" s="8">
        <f t="shared" si="148"/>
        <v>2025</v>
      </c>
      <c r="C4568" s="8">
        <f t="shared" si="149"/>
        <v>7</v>
      </c>
      <c r="D4568" s="204">
        <v>45845</v>
      </c>
      <c r="E4568" s="188"/>
      <c r="F4568" s="188">
        <v>261000</v>
      </c>
      <c r="G4568" s="188"/>
      <c r="H4568" s="188"/>
      <c r="I4568" s="188" t="s">
        <v>149</v>
      </c>
      <c r="J4568" s="187" t="s">
        <v>4087</v>
      </c>
      <c r="K4568" s="186"/>
    </row>
    <row r="4569" spans="1:11" x14ac:dyDescent="0.2">
      <c r="A4569" s="8">
        <v>3551</v>
      </c>
      <c r="B4569" s="8">
        <f t="shared" si="148"/>
        <v>2025</v>
      </c>
      <c r="C4569" s="8">
        <f t="shared" si="149"/>
        <v>7</v>
      </c>
      <c r="D4569" s="204">
        <v>45845</v>
      </c>
      <c r="E4569" s="188"/>
      <c r="F4569" s="188">
        <v>50000</v>
      </c>
      <c r="G4569" s="188"/>
      <c r="H4569" s="188"/>
      <c r="I4569" s="188" t="s">
        <v>85</v>
      </c>
      <c r="J4569" s="187" t="s">
        <v>2605</v>
      </c>
      <c r="K4569" s="186"/>
    </row>
    <row r="4570" spans="1:11" x14ac:dyDescent="0.2">
      <c r="A4570" s="8">
        <v>3552</v>
      </c>
      <c r="B4570" s="8">
        <f t="shared" si="148"/>
        <v>2025</v>
      </c>
      <c r="C4570" s="8">
        <f t="shared" si="149"/>
        <v>7</v>
      </c>
      <c r="D4570" s="204">
        <v>45846</v>
      </c>
      <c r="E4570" s="188"/>
      <c r="F4570" s="188">
        <v>100000</v>
      </c>
      <c r="G4570" s="188"/>
      <c r="H4570" s="188"/>
      <c r="I4570" s="188" t="s">
        <v>85</v>
      </c>
      <c r="J4570" s="187" t="s">
        <v>3891</v>
      </c>
      <c r="K4570" s="186"/>
    </row>
    <row r="4571" spans="1:11" x14ac:dyDescent="0.2">
      <c r="A4571" s="8">
        <v>3553</v>
      </c>
      <c r="B4571" s="8">
        <f t="shared" si="148"/>
        <v>2025</v>
      </c>
      <c r="C4571" s="8">
        <f t="shared" si="149"/>
        <v>7</v>
      </c>
      <c r="D4571" s="204">
        <v>45847</v>
      </c>
      <c r="E4571" s="188"/>
      <c r="F4571" s="188">
        <v>30000</v>
      </c>
      <c r="G4571" s="188"/>
      <c r="H4571" s="188"/>
      <c r="I4571" s="188" t="s">
        <v>85</v>
      </c>
      <c r="J4571" s="187" t="s">
        <v>4441</v>
      </c>
      <c r="K4571" s="186"/>
    </row>
    <row r="4572" spans="1:11" x14ac:dyDescent="0.2">
      <c r="A4572" s="8">
        <v>3554</v>
      </c>
      <c r="B4572" s="8">
        <f t="shared" si="148"/>
        <v>2025</v>
      </c>
      <c r="C4572" s="8">
        <f t="shared" si="149"/>
        <v>7</v>
      </c>
      <c r="D4572" s="204">
        <v>45847</v>
      </c>
      <c r="E4572" s="188"/>
      <c r="F4572" s="188">
        <v>350000</v>
      </c>
      <c r="G4572" s="188"/>
      <c r="H4572" s="188"/>
      <c r="I4572" s="188" t="s">
        <v>85</v>
      </c>
      <c r="J4572" s="187" t="s">
        <v>4442</v>
      </c>
      <c r="K4572" s="186"/>
    </row>
    <row r="4573" spans="1:11" x14ac:dyDescent="0.2">
      <c r="A4573" s="8">
        <v>3555</v>
      </c>
      <c r="B4573" s="8">
        <f t="shared" si="148"/>
        <v>2025</v>
      </c>
      <c r="C4573" s="8">
        <f t="shared" si="149"/>
        <v>7</v>
      </c>
      <c r="D4573" s="204">
        <v>45847</v>
      </c>
      <c r="E4573" s="188"/>
      <c r="F4573" s="188">
        <v>150000</v>
      </c>
      <c r="G4573" s="188"/>
      <c r="H4573" s="188"/>
      <c r="I4573" s="188" t="s">
        <v>2807</v>
      </c>
      <c r="J4573" s="187" t="s">
        <v>4443</v>
      </c>
      <c r="K4573" s="186"/>
    </row>
    <row r="4574" spans="1:11" x14ac:dyDescent="0.2">
      <c r="A4574" s="8">
        <v>3557</v>
      </c>
      <c r="B4574" s="8">
        <f t="shared" si="148"/>
        <v>2025</v>
      </c>
      <c r="C4574" s="8">
        <f t="shared" si="149"/>
        <v>7</v>
      </c>
      <c r="D4574" s="204">
        <v>45847</v>
      </c>
      <c r="E4574" s="188"/>
      <c r="F4574" s="188">
        <v>2700000</v>
      </c>
      <c r="G4574" s="188"/>
      <c r="H4574" s="188"/>
      <c r="I4574" s="188" t="s">
        <v>1992</v>
      </c>
      <c r="J4574" s="187" t="s">
        <v>4445</v>
      </c>
      <c r="K4574" s="186"/>
    </row>
    <row r="4575" spans="1:11" x14ac:dyDescent="0.2">
      <c r="A4575" s="8">
        <v>3558</v>
      </c>
      <c r="B4575" s="8">
        <f t="shared" si="148"/>
        <v>2025</v>
      </c>
      <c r="C4575" s="8">
        <f t="shared" si="149"/>
        <v>7</v>
      </c>
      <c r="D4575" s="204">
        <v>45848</v>
      </c>
      <c r="E4575" s="188"/>
      <c r="F4575" s="188">
        <v>20000</v>
      </c>
      <c r="G4575" s="188"/>
      <c r="H4575" s="188"/>
      <c r="I4575" s="188" t="s">
        <v>91</v>
      </c>
      <c r="J4575" s="187" t="s">
        <v>2843</v>
      </c>
      <c r="K4575" s="186"/>
    </row>
    <row r="4576" spans="1:11" x14ac:dyDescent="0.2">
      <c r="A4576" s="8">
        <v>3559</v>
      </c>
      <c r="B4576" s="8">
        <f t="shared" si="148"/>
        <v>2025</v>
      </c>
      <c r="C4576" s="8">
        <f t="shared" si="149"/>
        <v>7</v>
      </c>
      <c r="D4576" s="204">
        <v>45848</v>
      </c>
      <c r="E4576" s="188"/>
      <c r="F4576" s="188">
        <v>710000</v>
      </c>
      <c r="G4576" s="188"/>
      <c r="H4576" s="188"/>
      <c r="I4576" s="188" t="s">
        <v>1992</v>
      </c>
      <c r="J4576" s="187" t="s">
        <v>4446</v>
      </c>
      <c r="K4576" s="186"/>
    </row>
    <row r="4577" spans="1:11" x14ac:dyDescent="0.2">
      <c r="A4577" s="8">
        <v>3560</v>
      </c>
      <c r="B4577" s="8">
        <f t="shared" si="148"/>
        <v>2025</v>
      </c>
      <c r="C4577" s="8">
        <f t="shared" si="149"/>
        <v>7</v>
      </c>
      <c r="D4577" s="204">
        <v>45849</v>
      </c>
      <c r="E4577" s="188"/>
      <c r="F4577" s="188">
        <v>103000</v>
      </c>
      <c r="G4577" s="188"/>
      <c r="H4577" s="188"/>
      <c r="I4577" s="188" t="s">
        <v>1815</v>
      </c>
      <c r="J4577" s="187" t="s">
        <v>4447</v>
      </c>
      <c r="K4577" s="186"/>
    </row>
    <row r="4578" spans="1:11" x14ac:dyDescent="0.2">
      <c r="A4578" s="8">
        <v>3561</v>
      </c>
      <c r="B4578" s="8">
        <f t="shared" si="148"/>
        <v>2025</v>
      </c>
      <c r="C4578" s="8">
        <f t="shared" si="149"/>
        <v>7</v>
      </c>
      <c r="D4578" s="204">
        <v>45849</v>
      </c>
      <c r="E4578" s="188"/>
      <c r="F4578" s="188">
        <v>50000</v>
      </c>
      <c r="G4578" s="188"/>
      <c r="H4578" s="188"/>
      <c r="I4578" s="188" t="s">
        <v>85</v>
      </c>
      <c r="J4578" s="187" t="s">
        <v>2605</v>
      </c>
      <c r="K4578" s="186"/>
    </row>
    <row r="4579" spans="1:11" x14ac:dyDescent="0.2">
      <c r="A4579" s="8">
        <v>3562</v>
      </c>
      <c r="B4579" s="8">
        <f t="shared" si="148"/>
        <v>2025</v>
      </c>
      <c r="C4579" s="8">
        <f t="shared" si="149"/>
        <v>7</v>
      </c>
      <c r="D4579" s="204">
        <v>45849</v>
      </c>
      <c r="E4579" s="188"/>
      <c r="F4579" s="188">
        <v>130000</v>
      </c>
      <c r="G4579" s="188"/>
      <c r="H4579" s="188"/>
      <c r="I4579" s="188" t="s">
        <v>85</v>
      </c>
      <c r="J4579" s="187" t="s">
        <v>4448</v>
      </c>
      <c r="K4579" s="186"/>
    </row>
    <row r="4580" spans="1:11" x14ac:dyDescent="0.2">
      <c r="A4580" s="8">
        <v>3563</v>
      </c>
      <c r="B4580" s="8">
        <f t="shared" si="148"/>
        <v>2025</v>
      </c>
      <c r="C4580" s="8">
        <f t="shared" si="149"/>
        <v>7</v>
      </c>
      <c r="D4580" s="204">
        <v>45849</v>
      </c>
      <c r="E4580" s="188"/>
      <c r="F4580" s="188">
        <v>45000</v>
      </c>
      <c r="G4580" s="188"/>
      <c r="H4580" s="188"/>
      <c r="I4580" s="188" t="s">
        <v>85</v>
      </c>
      <c r="J4580" s="187" t="s">
        <v>4449</v>
      </c>
      <c r="K4580" s="186"/>
    </row>
    <row r="4581" spans="1:11" x14ac:dyDescent="0.2">
      <c r="A4581" s="8">
        <v>3564</v>
      </c>
      <c r="B4581" s="8">
        <f t="shared" si="148"/>
        <v>2025</v>
      </c>
      <c r="C4581" s="8">
        <f t="shared" si="149"/>
        <v>7</v>
      </c>
      <c r="D4581" s="204">
        <v>45850</v>
      </c>
      <c r="E4581" s="188"/>
      <c r="F4581" s="188">
        <v>26000</v>
      </c>
      <c r="G4581" s="188"/>
      <c r="H4581" s="188"/>
      <c r="I4581" s="188" t="s">
        <v>91</v>
      </c>
      <c r="J4581" s="187" t="s">
        <v>2594</v>
      </c>
      <c r="K4581" s="186"/>
    </row>
    <row r="4582" spans="1:11" x14ac:dyDescent="0.2">
      <c r="A4582" s="8">
        <v>3565</v>
      </c>
      <c r="B4582" s="8">
        <f t="shared" si="148"/>
        <v>2025</v>
      </c>
      <c r="C4582" s="8">
        <f t="shared" si="149"/>
        <v>7</v>
      </c>
      <c r="D4582" s="204">
        <v>45850</v>
      </c>
      <c r="E4582" s="188"/>
      <c r="F4582" s="188">
        <v>220000</v>
      </c>
      <c r="G4582" s="188"/>
      <c r="H4582" s="188"/>
      <c r="I4582" s="188" t="s">
        <v>85</v>
      </c>
      <c r="J4582" s="187" t="s">
        <v>4450</v>
      </c>
      <c r="K4582" s="186"/>
    </row>
    <row r="4583" spans="1:11" x14ac:dyDescent="0.2">
      <c r="A4583" s="8">
        <v>3566</v>
      </c>
      <c r="B4583" s="8">
        <f t="shared" si="148"/>
        <v>2025</v>
      </c>
      <c r="C4583" s="8">
        <f t="shared" si="149"/>
        <v>7</v>
      </c>
      <c r="D4583" s="204">
        <v>45850</v>
      </c>
      <c r="E4583" s="188"/>
      <c r="F4583" s="188">
        <v>245000</v>
      </c>
      <c r="G4583" s="188"/>
      <c r="H4583" s="188"/>
      <c r="I4583" s="188" t="s">
        <v>85</v>
      </c>
      <c r="J4583" s="187" t="s">
        <v>4451</v>
      </c>
      <c r="K4583" s="186"/>
    </row>
    <row r="4584" spans="1:11" x14ac:dyDescent="0.2">
      <c r="A4584" s="8">
        <v>3567</v>
      </c>
      <c r="B4584" s="8">
        <f t="shared" si="148"/>
        <v>2025</v>
      </c>
      <c r="C4584" s="8">
        <f t="shared" si="149"/>
        <v>7</v>
      </c>
      <c r="D4584" s="204">
        <v>45851</v>
      </c>
      <c r="E4584" s="188"/>
      <c r="F4584" s="188">
        <v>700000</v>
      </c>
      <c r="G4584" s="188"/>
      <c r="H4584" s="188"/>
      <c r="I4584" s="188" t="s">
        <v>1729</v>
      </c>
      <c r="J4584" s="187" t="s">
        <v>4452</v>
      </c>
      <c r="K4584" s="186"/>
    </row>
    <row r="4585" spans="1:11" x14ac:dyDescent="0.2">
      <c r="A4585" s="8">
        <v>3568</v>
      </c>
      <c r="B4585" s="8">
        <f t="shared" si="148"/>
        <v>2025</v>
      </c>
      <c r="C4585" s="8">
        <f t="shared" si="149"/>
        <v>7</v>
      </c>
      <c r="D4585" s="204">
        <v>45851</v>
      </c>
      <c r="E4585" s="188"/>
      <c r="F4585" s="188">
        <v>25000</v>
      </c>
      <c r="G4585" s="188"/>
      <c r="H4585" s="188"/>
      <c r="I4585" s="188" t="s">
        <v>91</v>
      </c>
      <c r="J4585" s="187" t="s">
        <v>2879</v>
      </c>
      <c r="K4585" s="186"/>
    </row>
    <row r="4586" spans="1:11" x14ac:dyDescent="0.2">
      <c r="A4586" s="8">
        <v>3569</v>
      </c>
      <c r="B4586" s="8">
        <f t="shared" si="148"/>
        <v>2025</v>
      </c>
      <c r="C4586" s="8">
        <f t="shared" si="149"/>
        <v>7</v>
      </c>
      <c r="D4586" s="204">
        <v>45851</v>
      </c>
      <c r="E4586" s="188"/>
      <c r="F4586" s="188">
        <v>142000</v>
      </c>
      <c r="G4586" s="188"/>
      <c r="H4586" s="188"/>
      <c r="I4586" s="188" t="s">
        <v>85</v>
      </c>
      <c r="J4586" s="187" t="s">
        <v>4453</v>
      </c>
      <c r="K4586" s="186"/>
    </row>
    <row r="4587" spans="1:11" x14ac:dyDescent="0.2">
      <c r="A4587" s="8">
        <v>3570</v>
      </c>
      <c r="B4587" s="8">
        <f t="shared" si="148"/>
        <v>2025</v>
      </c>
      <c r="C4587" s="8">
        <f t="shared" si="149"/>
        <v>7</v>
      </c>
      <c r="D4587" s="204">
        <v>45851</v>
      </c>
      <c r="E4587" s="188"/>
      <c r="F4587" s="188">
        <v>20000</v>
      </c>
      <c r="G4587" s="188"/>
      <c r="H4587" s="188"/>
      <c r="I4587" s="188" t="s">
        <v>91</v>
      </c>
      <c r="J4587" s="187" t="s">
        <v>4454</v>
      </c>
      <c r="K4587" s="186"/>
    </row>
    <row r="4588" spans="1:11" x14ac:dyDescent="0.2">
      <c r="A4588" s="8">
        <v>3571</v>
      </c>
      <c r="B4588" s="8">
        <f t="shared" si="148"/>
        <v>2025</v>
      </c>
      <c r="C4588" s="8">
        <f t="shared" si="149"/>
        <v>7</v>
      </c>
      <c r="D4588" s="204">
        <v>45851</v>
      </c>
      <c r="E4588" s="188"/>
      <c r="F4588" s="188">
        <v>25000</v>
      </c>
      <c r="G4588" s="188"/>
      <c r="H4588" s="188"/>
      <c r="I4588" s="188" t="s">
        <v>85</v>
      </c>
      <c r="J4588" s="187" t="s">
        <v>4455</v>
      </c>
      <c r="K4588" s="186"/>
    </row>
    <row r="4589" spans="1:11" x14ac:dyDescent="0.2">
      <c r="A4589" s="8">
        <v>3572</v>
      </c>
      <c r="B4589" s="8">
        <f t="shared" si="148"/>
        <v>2025</v>
      </c>
      <c r="C4589" s="8">
        <f t="shared" si="149"/>
        <v>7</v>
      </c>
      <c r="D4589" s="204">
        <v>45851</v>
      </c>
      <c r="E4589" s="188"/>
      <c r="F4589" s="188">
        <v>55000</v>
      </c>
      <c r="G4589" s="188"/>
      <c r="H4589" s="188"/>
      <c r="I4589" s="188" t="s">
        <v>1815</v>
      </c>
      <c r="J4589" s="187" t="s">
        <v>4456</v>
      </c>
      <c r="K4589" s="186"/>
    </row>
    <row r="4590" spans="1:11" x14ac:dyDescent="0.2">
      <c r="A4590" s="8">
        <v>3573</v>
      </c>
      <c r="B4590" s="8">
        <f t="shared" si="148"/>
        <v>2025</v>
      </c>
      <c r="C4590" s="8">
        <f t="shared" si="149"/>
        <v>7</v>
      </c>
      <c r="D4590" s="204">
        <v>45852</v>
      </c>
      <c r="E4590" s="188"/>
      <c r="F4590" s="188">
        <v>60000</v>
      </c>
      <c r="G4590" s="188"/>
      <c r="H4590" s="188"/>
      <c r="I4590" s="188" t="s">
        <v>85</v>
      </c>
      <c r="J4590" s="187" t="s">
        <v>4457</v>
      </c>
      <c r="K4590" s="186"/>
    </row>
    <row r="4591" spans="1:11" x14ac:dyDescent="0.2">
      <c r="A4591" s="8">
        <v>3574</v>
      </c>
      <c r="B4591" s="8">
        <f t="shared" si="148"/>
        <v>2025</v>
      </c>
      <c r="C4591" s="8">
        <f t="shared" si="149"/>
        <v>7</v>
      </c>
      <c r="D4591" s="204">
        <v>45852</v>
      </c>
      <c r="E4591" s="188"/>
      <c r="F4591" s="188">
        <v>20000</v>
      </c>
      <c r="G4591" s="188"/>
      <c r="H4591" s="188"/>
      <c r="I4591" s="188" t="s">
        <v>91</v>
      </c>
      <c r="J4591" s="187" t="s">
        <v>2855</v>
      </c>
      <c r="K4591" s="186"/>
    </row>
    <row r="4592" spans="1:11" x14ac:dyDescent="0.2">
      <c r="A4592" s="8">
        <v>3575</v>
      </c>
      <c r="B4592" s="8">
        <f t="shared" si="148"/>
        <v>2025</v>
      </c>
      <c r="C4592" s="8">
        <f t="shared" si="149"/>
        <v>7</v>
      </c>
      <c r="D4592" s="204">
        <v>45852</v>
      </c>
      <c r="E4592" s="188"/>
      <c r="F4592" s="188">
        <v>25000</v>
      </c>
      <c r="G4592" s="188"/>
      <c r="H4592" s="188"/>
      <c r="I4592" s="188" t="s">
        <v>91</v>
      </c>
      <c r="J4592" s="187" t="s">
        <v>4279</v>
      </c>
      <c r="K4592" s="186"/>
    </row>
    <row r="4593" spans="1:11" x14ac:dyDescent="0.2">
      <c r="A4593" s="8">
        <v>3576</v>
      </c>
      <c r="B4593" s="8">
        <f t="shared" si="148"/>
        <v>2025</v>
      </c>
      <c r="C4593" s="8">
        <f t="shared" si="149"/>
        <v>7</v>
      </c>
      <c r="D4593" s="204">
        <v>45852</v>
      </c>
      <c r="E4593" s="188"/>
      <c r="F4593" s="188">
        <v>10000</v>
      </c>
      <c r="G4593" s="188"/>
      <c r="H4593" s="188"/>
      <c r="I4593" s="188" t="s">
        <v>91</v>
      </c>
      <c r="J4593" s="187" t="s">
        <v>4458</v>
      </c>
      <c r="K4593" s="186"/>
    </row>
    <row r="4594" spans="1:11" x14ac:dyDescent="0.2">
      <c r="A4594" s="8">
        <v>3577</v>
      </c>
      <c r="B4594" s="8">
        <f t="shared" si="148"/>
        <v>2025</v>
      </c>
      <c r="C4594" s="8">
        <f t="shared" si="149"/>
        <v>7</v>
      </c>
      <c r="D4594" s="204">
        <v>45852</v>
      </c>
      <c r="E4594" s="188"/>
      <c r="F4594" s="188">
        <v>50000</v>
      </c>
      <c r="G4594" s="188"/>
      <c r="H4594" s="188"/>
      <c r="I4594" s="188" t="s">
        <v>85</v>
      </c>
      <c r="J4594" s="187" t="s">
        <v>2605</v>
      </c>
      <c r="K4594" s="186"/>
    </row>
    <row r="4595" spans="1:11" x14ac:dyDescent="0.2">
      <c r="A4595" s="8">
        <v>3578</v>
      </c>
      <c r="B4595" s="8">
        <f t="shared" si="148"/>
        <v>2025</v>
      </c>
      <c r="C4595" s="8">
        <f t="shared" si="149"/>
        <v>7</v>
      </c>
      <c r="D4595" s="204">
        <v>45853</v>
      </c>
      <c r="E4595" s="188"/>
      <c r="F4595" s="188">
        <v>20000</v>
      </c>
      <c r="G4595" s="188"/>
      <c r="H4595" s="188"/>
      <c r="I4595" s="188" t="s">
        <v>91</v>
      </c>
      <c r="J4595" s="187" t="s">
        <v>2843</v>
      </c>
      <c r="K4595" s="186"/>
    </row>
    <row r="4596" spans="1:11" x14ac:dyDescent="0.2">
      <c r="A4596" s="8">
        <v>3579</v>
      </c>
      <c r="B4596" s="8">
        <f t="shared" si="148"/>
        <v>2025</v>
      </c>
      <c r="C4596" s="8">
        <f t="shared" si="149"/>
        <v>7</v>
      </c>
      <c r="D4596" s="204">
        <v>45854</v>
      </c>
      <c r="E4596" s="188"/>
      <c r="F4596" s="188">
        <v>55000</v>
      </c>
      <c r="G4596" s="188"/>
      <c r="H4596" s="188"/>
      <c r="I4596" s="188" t="s">
        <v>1992</v>
      </c>
      <c r="J4596" s="187" t="s">
        <v>4459</v>
      </c>
      <c r="K4596" s="186"/>
    </row>
    <row r="4597" spans="1:11" x14ac:dyDescent="0.2">
      <c r="A4597" s="8">
        <v>3580</v>
      </c>
      <c r="B4597" s="8">
        <f t="shared" si="148"/>
        <v>2025</v>
      </c>
      <c r="C4597" s="8">
        <f t="shared" si="149"/>
        <v>7</v>
      </c>
      <c r="D4597" s="204">
        <v>45854</v>
      </c>
      <c r="E4597" s="188"/>
      <c r="F4597" s="188">
        <v>20000</v>
      </c>
      <c r="G4597" s="188"/>
      <c r="H4597" s="188"/>
      <c r="I4597" s="188" t="s">
        <v>91</v>
      </c>
      <c r="J4597" s="187" t="s">
        <v>2522</v>
      </c>
      <c r="K4597" s="186"/>
    </row>
    <row r="4598" spans="1:11" x14ac:dyDescent="0.2">
      <c r="A4598" s="8">
        <v>3581</v>
      </c>
      <c r="B4598" s="8">
        <f t="shared" si="148"/>
        <v>2025</v>
      </c>
      <c r="C4598" s="8">
        <f t="shared" si="149"/>
        <v>7</v>
      </c>
      <c r="D4598" s="204">
        <v>45854</v>
      </c>
      <c r="E4598" s="188"/>
      <c r="F4598" s="188">
        <v>157000</v>
      </c>
      <c r="G4598" s="188"/>
      <c r="H4598" s="188"/>
      <c r="I4598" s="188" t="s">
        <v>85</v>
      </c>
      <c r="J4598" s="187" t="s">
        <v>4460</v>
      </c>
      <c r="K4598" s="186"/>
    </row>
    <row r="4599" spans="1:11" x14ac:dyDescent="0.2">
      <c r="A4599" s="8">
        <v>3582</v>
      </c>
      <c r="B4599" s="8">
        <f t="shared" si="148"/>
        <v>2025</v>
      </c>
      <c r="C4599" s="8">
        <f t="shared" si="149"/>
        <v>7</v>
      </c>
      <c r="D4599" s="204">
        <v>45855</v>
      </c>
      <c r="E4599" s="188"/>
      <c r="F4599" s="188">
        <v>20000</v>
      </c>
      <c r="G4599" s="188"/>
      <c r="H4599" s="188"/>
      <c r="I4599" s="188" t="s">
        <v>85</v>
      </c>
      <c r="J4599" s="187" t="s">
        <v>2522</v>
      </c>
      <c r="K4599" s="186"/>
    </row>
    <row r="4600" spans="1:11" x14ac:dyDescent="0.2">
      <c r="A4600" s="8">
        <v>3583</v>
      </c>
      <c r="B4600" s="8">
        <f t="shared" si="148"/>
        <v>2025</v>
      </c>
      <c r="C4600" s="8">
        <f t="shared" si="149"/>
        <v>7</v>
      </c>
      <c r="D4600" s="204">
        <v>45855</v>
      </c>
      <c r="E4600" s="188"/>
      <c r="F4600" s="188">
        <v>92000</v>
      </c>
      <c r="G4600" s="188"/>
      <c r="H4600" s="188"/>
      <c r="I4600" s="188" t="s">
        <v>1350</v>
      </c>
      <c r="J4600" s="187" t="s">
        <v>4461</v>
      </c>
      <c r="K4600" s="186"/>
    </row>
    <row r="4601" spans="1:11" x14ac:dyDescent="0.2">
      <c r="A4601" s="8">
        <v>3584</v>
      </c>
      <c r="B4601" s="8">
        <f t="shared" si="148"/>
        <v>2025</v>
      </c>
      <c r="C4601" s="8">
        <f t="shared" si="149"/>
        <v>7</v>
      </c>
      <c r="D4601" s="204">
        <v>45855</v>
      </c>
      <c r="E4601" s="188"/>
      <c r="F4601" s="188">
        <v>1000000</v>
      </c>
      <c r="G4601" s="188"/>
      <c r="H4601" s="188"/>
      <c r="I4601" s="188" t="s">
        <v>85</v>
      </c>
      <c r="J4601" s="187" t="s">
        <v>4462</v>
      </c>
      <c r="K4601" s="186"/>
    </row>
    <row r="4602" spans="1:11" x14ac:dyDescent="0.2">
      <c r="A4602" s="8">
        <v>3585</v>
      </c>
      <c r="B4602" s="8">
        <f t="shared" si="148"/>
        <v>2025</v>
      </c>
      <c r="C4602" s="8">
        <f t="shared" si="149"/>
        <v>7</v>
      </c>
      <c r="D4602" s="204">
        <v>45855</v>
      </c>
      <c r="E4602" s="188"/>
      <c r="F4602" s="188">
        <v>150000</v>
      </c>
      <c r="G4602" s="188"/>
      <c r="H4602" s="188"/>
      <c r="I4602" s="188" t="s">
        <v>1350</v>
      </c>
      <c r="J4602" s="187" t="s">
        <v>4463</v>
      </c>
      <c r="K4602" s="186"/>
    </row>
    <row r="4603" spans="1:11" x14ac:dyDescent="0.2">
      <c r="A4603" s="8">
        <v>3586</v>
      </c>
      <c r="B4603" s="8">
        <f t="shared" si="148"/>
        <v>2025</v>
      </c>
      <c r="C4603" s="8">
        <f t="shared" si="149"/>
        <v>7</v>
      </c>
      <c r="D4603" s="204">
        <v>45856</v>
      </c>
      <c r="E4603" s="188"/>
      <c r="F4603" s="188">
        <v>20000</v>
      </c>
      <c r="G4603" s="188"/>
      <c r="H4603" s="188"/>
      <c r="I4603" s="188" t="s">
        <v>91</v>
      </c>
      <c r="J4603" s="187" t="s">
        <v>2843</v>
      </c>
      <c r="K4603" s="186"/>
    </row>
    <row r="4604" spans="1:11" x14ac:dyDescent="0.2">
      <c r="A4604" s="8">
        <v>3587</v>
      </c>
      <c r="B4604" s="8">
        <f t="shared" si="148"/>
        <v>2025</v>
      </c>
      <c r="C4604" s="8">
        <f t="shared" si="149"/>
        <v>7</v>
      </c>
      <c r="D4604" s="204">
        <v>45856</v>
      </c>
      <c r="E4604" s="188"/>
      <c r="F4604" s="188">
        <v>14000</v>
      </c>
      <c r="G4604" s="188"/>
      <c r="H4604" s="188"/>
      <c r="I4604" s="188" t="s">
        <v>91</v>
      </c>
      <c r="J4604" s="187" t="s">
        <v>4464</v>
      </c>
      <c r="K4604" s="186"/>
    </row>
    <row r="4605" spans="1:11" x14ac:dyDescent="0.2">
      <c r="A4605" s="8">
        <v>3588</v>
      </c>
      <c r="B4605" s="8">
        <f t="shared" si="148"/>
        <v>2025</v>
      </c>
      <c r="C4605" s="8">
        <f t="shared" si="149"/>
        <v>7</v>
      </c>
      <c r="D4605" s="204">
        <v>45856</v>
      </c>
      <c r="E4605" s="188"/>
      <c r="F4605" s="188">
        <v>59000</v>
      </c>
      <c r="G4605" s="188"/>
      <c r="H4605" s="188"/>
      <c r="I4605" s="188" t="s">
        <v>1350</v>
      </c>
      <c r="J4605" s="187" t="s">
        <v>4465</v>
      </c>
      <c r="K4605" s="186"/>
    </row>
    <row r="4606" spans="1:11" x14ac:dyDescent="0.2">
      <c r="A4606" s="8">
        <v>3589</v>
      </c>
      <c r="B4606" s="8">
        <f t="shared" si="148"/>
        <v>2025</v>
      </c>
      <c r="C4606" s="8">
        <f t="shared" si="149"/>
        <v>7</v>
      </c>
      <c r="D4606" s="204">
        <v>45857</v>
      </c>
      <c r="E4606" s="188"/>
      <c r="F4606" s="188">
        <v>20000</v>
      </c>
      <c r="G4606" s="188"/>
      <c r="H4606" s="188"/>
      <c r="I4606" s="188" t="s">
        <v>91</v>
      </c>
      <c r="J4606" s="187" t="s">
        <v>2855</v>
      </c>
      <c r="K4606" s="186"/>
    </row>
    <row r="4607" spans="1:11" x14ac:dyDescent="0.2">
      <c r="A4607" s="8">
        <v>3592</v>
      </c>
      <c r="B4607" s="8">
        <f t="shared" si="148"/>
        <v>2025</v>
      </c>
      <c r="C4607" s="8">
        <f t="shared" si="149"/>
        <v>7</v>
      </c>
      <c r="D4607" s="204">
        <v>45857</v>
      </c>
      <c r="E4607" s="188"/>
      <c r="F4607" s="188">
        <v>115000</v>
      </c>
      <c r="G4607" s="188"/>
      <c r="H4607" s="188"/>
      <c r="I4607" s="188" t="s">
        <v>85</v>
      </c>
      <c r="J4607" s="187" t="s">
        <v>4467</v>
      </c>
      <c r="K4607" s="186"/>
    </row>
    <row r="4608" spans="1:11" x14ac:dyDescent="0.2">
      <c r="A4608" s="8">
        <v>3593</v>
      </c>
      <c r="B4608" s="8">
        <f t="shared" si="148"/>
        <v>2025</v>
      </c>
      <c r="C4608" s="8">
        <f t="shared" si="149"/>
        <v>7</v>
      </c>
      <c r="D4608" s="204">
        <v>45857</v>
      </c>
      <c r="E4608" s="188"/>
      <c r="F4608" s="188">
        <v>150000</v>
      </c>
      <c r="G4608" s="188"/>
      <c r="H4608" s="188"/>
      <c r="I4608" s="188" t="s">
        <v>1815</v>
      </c>
      <c r="J4608" s="187" t="s">
        <v>4468</v>
      </c>
      <c r="K4608" s="186"/>
    </row>
    <row r="4609" spans="1:11" x14ac:dyDescent="0.2">
      <c r="A4609" s="8">
        <v>3594</v>
      </c>
      <c r="B4609" s="8">
        <f t="shared" si="148"/>
        <v>2025</v>
      </c>
      <c r="C4609" s="8">
        <f t="shared" si="149"/>
        <v>7</v>
      </c>
      <c r="D4609" s="204">
        <v>45858</v>
      </c>
      <c r="E4609" s="188"/>
      <c r="F4609" s="188">
        <v>100000</v>
      </c>
      <c r="G4609" s="188"/>
      <c r="H4609" s="188"/>
      <c r="I4609" s="188" t="s">
        <v>85</v>
      </c>
      <c r="J4609" s="187" t="s">
        <v>4469</v>
      </c>
      <c r="K4609" s="186"/>
    </row>
    <row r="4610" spans="1:11" x14ac:dyDescent="0.2">
      <c r="A4610" s="8">
        <v>3595</v>
      </c>
      <c r="B4610" s="8">
        <f t="shared" si="148"/>
        <v>2025</v>
      </c>
      <c r="C4610" s="8">
        <f t="shared" si="149"/>
        <v>7</v>
      </c>
      <c r="D4610" s="204">
        <v>45859</v>
      </c>
      <c r="E4610" s="188"/>
      <c r="F4610" s="188">
        <v>20000</v>
      </c>
      <c r="G4610" s="188"/>
      <c r="H4610" s="188"/>
      <c r="I4610" s="188" t="s">
        <v>91</v>
      </c>
      <c r="J4610" s="187" t="s">
        <v>2843</v>
      </c>
      <c r="K4610" s="186"/>
    </row>
    <row r="4611" spans="1:11" x14ac:dyDescent="0.2">
      <c r="A4611" s="8">
        <v>3596</v>
      </c>
      <c r="B4611" s="8">
        <f t="shared" ref="B4611:B4674" si="150">YEAR(D4611)</f>
        <v>2025</v>
      </c>
      <c r="C4611" s="8">
        <f t="shared" ref="C4611:C4674" si="151">MONTH(D4611)</f>
        <v>7</v>
      </c>
      <c r="D4611" s="204">
        <v>45859</v>
      </c>
      <c r="E4611" s="188"/>
      <c r="F4611" s="188">
        <v>420000</v>
      </c>
      <c r="G4611" s="188"/>
      <c r="H4611" s="188"/>
      <c r="I4611" s="188" t="s">
        <v>1350</v>
      </c>
      <c r="J4611" s="187" t="s">
        <v>4470</v>
      </c>
      <c r="K4611" s="186"/>
    </row>
    <row r="4612" spans="1:11" x14ac:dyDescent="0.2">
      <c r="A4612" s="8">
        <v>3597</v>
      </c>
      <c r="B4612" s="8">
        <f t="shared" si="150"/>
        <v>2025</v>
      </c>
      <c r="C4612" s="8">
        <f t="shared" si="151"/>
        <v>7</v>
      </c>
      <c r="D4612" s="204">
        <v>45859</v>
      </c>
      <c r="E4612" s="188"/>
      <c r="F4612" s="188">
        <v>20000</v>
      </c>
      <c r="G4612" s="188"/>
      <c r="H4612" s="188"/>
      <c r="I4612" s="188" t="s">
        <v>85</v>
      </c>
      <c r="J4612" s="187" t="s">
        <v>4094</v>
      </c>
      <c r="K4612" s="186"/>
    </row>
    <row r="4613" spans="1:11" x14ac:dyDescent="0.2">
      <c r="A4613" s="8">
        <v>3598</v>
      </c>
      <c r="B4613" s="8">
        <f t="shared" si="150"/>
        <v>2025</v>
      </c>
      <c r="C4613" s="8">
        <f t="shared" si="151"/>
        <v>7</v>
      </c>
      <c r="D4613" s="204">
        <v>45860</v>
      </c>
      <c r="E4613" s="188"/>
      <c r="F4613" s="188">
        <v>12000</v>
      </c>
      <c r="G4613" s="188"/>
      <c r="H4613" s="188"/>
      <c r="I4613" s="188" t="s">
        <v>91</v>
      </c>
      <c r="J4613" s="187" t="s">
        <v>4471</v>
      </c>
      <c r="K4613" s="186"/>
    </row>
    <row r="4614" spans="1:11" x14ac:dyDescent="0.2">
      <c r="A4614" s="8">
        <v>3599</v>
      </c>
      <c r="B4614" s="8">
        <f t="shared" si="150"/>
        <v>2025</v>
      </c>
      <c r="C4614" s="8">
        <f t="shared" si="151"/>
        <v>7</v>
      </c>
      <c r="D4614" s="204">
        <v>45860</v>
      </c>
      <c r="E4614" s="188"/>
      <c r="F4614" s="188">
        <v>17000</v>
      </c>
      <c r="G4614" s="188"/>
      <c r="H4614" s="188"/>
      <c r="I4614" s="188" t="s">
        <v>91</v>
      </c>
      <c r="J4614" s="187" t="s">
        <v>4089</v>
      </c>
      <c r="K4614" s="186"/>
    </row>
    <row r="4615" spans="1:11" x14ac:dyDescent="0.2">
      <c r="A4615" s="8">
        <v>3600</v>
      </c>
      <c r="B4615" s="8">
        <f t="shared" si="150"/>
        <v>2025</v>
      </c>
      <c r="C4615" s="8">
        <f t="shared" si="151"/>
        <v>7</v>
      </c>
      <c r="D4615" s="204">
        <v>45861</v>
      </c>
      <c r="E4615" s="188"/>
      <c r="F4615" s="188">
        <v>100000</v>
      </c>
      <c r="G4615" s="188"/>
      <c r="H4615" s="188"/>
      <c r="I4615" s="188" t="s">
        <v>85</v>
      </c>
      <c r="J4615" s="187"/>
      <c r="K4615" s="186"/>
    </row>
    <row r="4616" spans="1:11" x14ac:dyDescent="0.2">
      <c r="A4616" s="8">
        <v>3601</v>
      </c>
      <c r="B4616" s="8">
        <f t="shared" si="150"/>
        <v>2025</v>
      </c>
      <c r="C4616" s="8">
        <f t="shared" si="151"/>
        <v>7</v>
      </c>
      <c r="D4616" s="204">
        <v>45862</v>
      </c>
      <c r="E4616" s="188"/>
      <c r="F4616" s="188">
        <v>100000</v>
      </c>
      <c r="G4616" s="188"/>
      <c r="H4616" s="188"/>
      <c r="I4616" s="188" t="s">
        <v>85</v>
      </c>
      <c r="J4616" s="187"/>
      <c r="K4616" s="186"/>
    </row>
    <row r="4617" spans="1:11" x14ac:dyDescent="0.2">
      <c r="A4617" s="8">
        <v>3602</v>
      </c>
      <c r="B4617" s="8">
        <f t="shared" si="150"/>
        <v>2025</v>
      </c>
      <c r="C4617" s="8">
        <f t="shared" si="151"/>
        <v>7</v>
      </c>
      <c r="D4617" s="204">
        <v>45863</v>
      </c>
      <c r="E4617" s="188"/>
      <c r="F4617" s="188">
        <v>47000</v>
      </c>
      <c r="G4617" s="188"/>
      <c r="H4617" s="188"/>
      <c r="I4617" s="188" t="s">
        <v>1992</v>
      </c>
      <c r="J4617" s="187" t="s">
        <v>4472</v>
      </c>
      <c r="K4617" s="186"/>
    </row>
    <row r="4618" spans="1:11" x14ac:dyDescent="0.2">
      <c r="A4618" s="8">
        <v>3603</v>
      </c>
      <c r="B4618" s="8">
        <f t="shared" si="150"/>
        <v>2025</v>
      </c>
      <c r="C4618" s="8">
        <f t="shared" si="151"/>
        <v>7</v>
      </c>
      <c r="D4618" s="204">
        <v>45863</v>
      </c>
      <c r="E4618" s="188"/>
      <c r="F4618" s="188">
        <v>20000</v>
      </c>
      <c r="G4618" s="188"/>
      <c r="H4618" s="188"/>
      <c r="I4618" s="188" t="s">
        <v>91</v>
      </c>
      <c r="J4618" s="187" t="s">
        <v>2522</v>
      </c>
      <c r="K4618" s="186"/>
    </row>
    <row r="4619" spans="1:11" x14ac:dyDescent="0.2">
      <c r="A4619" s="8">
        <v>3604</v>
      </c>
      <c r="B4619" s="8">
        <f t="shared" si="150"/>
        <v>2025</v>
      </c>
      <c r="C4619" s="8">
        <f t="shared" si="151"/>
        <v>7</v>
      </c>
      <c r="D4619" s="204">
        <v>45863</v>
      </c>
      <c r="E4619" s="188"/>
      <c r="F4619" s="188">
        <v>20000</v>
      </c>
      <c r="G4619" s="188"/>
      <c r="H4619" s="188"/>
      <c r="I4619" s="188" t="s">
        <v>91</v>
      </c>
      <c r="J4619" s="187" t="s">
        <v>2843</v>
      </c>
      <c r="K4619" s="186"/>
    </row>
    <row r="4620" spans="1:11" x14ac:dyDescent="0.2">
      <c r="A4620" s="8">
        <v>3605</v>
      </c>
      <c r="B4620" s="8">
        <f t="shared" si="150"/>
        <v>2025</v>
      </c>
      <c r="C4620" s="8">
        <f t="shared" si="151"/>
        <v>7</v>
      </c>
      <c r="D4620" s="204">
        <v>45863</v>
      </c>
      <c r="E4620" s="188"/>
      <c r="F4620" s="188">
        <v>30000</v>
      </c>
      <c r="G4620" s="188"/>
      <c r="H4620" s="188"/>
      <c r="I4620" s="188" t="s">
        <v>1350</v>
      </c>
      <c r="J4620" s="187" t="s">
        <v>4473</v>
      </c>
      <c r="K4620" s="186"/>
    </row>
    <row r="4621" spans="1:11" x14ac:dyDescent="0.2">
      <c r="A4621" s="8">
        <v>3606</v>
      </c>
      <c r="B4621" s="8">
        <f t="shared" si="150"/>
        <v>2025</v>
      </c>
      <c r="C4621" s="8">
        <f t="shared" si="151"/>
        <v>7</v>
      </c>
      <c r="D4621" s="204">
        <v>45863</v>
      </c>
      <c r="E4621" s="188"/>
      <c r="F4621" s="188">
        <v>200000</v>
      </c>
      <c r="G4621" s="188"/>
      <c r="H4621" s="188"/>
      <c r="I4621" s="188" t="s">
        <v>299</v>
      </c>
      <c r="J4621" s="187" t="s">
        <v>4474</v>
      </c>
      <c r="K4621" s="186"/>
    </row>
    <row r="4622" spans="1:11" x14ac:dyDescent="0.2">
      <c r="A4622" s="8">
        <v>3607</v>
      </c>
      <c r="B4622" s="8">
        <f t="shared" si="150"/>
        <v>2025</v>
      </c>
      <c r="C4622" s="8">
        <f t="shared" si="151"/>
        <v>7</v>
      </c>
      <c r="D4622" s="204">
        <v>45863</v>
      </c>
      <c r="E4622" s="188"/>
      <c r="F4622" s="188">
        <v>120000</v>
      </c>
      <c r="G4622" s="188"/>
      <c r="H4622" s="188"/>
      <c r="I4622" s="188" t="s">
        <v>1992</v>
      </c>
      <c r="J4622" s="187" t="s">
        <v>4475</v>
      </c>
      <c r="K4622" s="186"/>
    </row>
    <row r="4623" spans="1:11" x14ac:dyDescent="0.2">
      <c r="A4623" s="8">
        <v>3608</v>
      </c>
      <c r="B4623" s="8">
        <f t="shared" si="150"/>
        <v>2025</v>
      </c>
      <c r="C4623" s="8">
        <f t="shared" si="151"/>
        <v>7</v>
      </c>
      <c r="D4623" s="204">
        <v>45864</v>
      </c>
      <c r="E4623" s="188"/>
      <c r="F4623" s="188">
        <v>100000</v>
      </c>
      <c r="G4623" s="188"/>
      <c r="H4623" s="188"/>
      <c r="I4623" s="188" t="s">
        <v>1350</v>
      </c>
      <c r="J4623" s="187" t="s">
        <v>4476</v>
      </c>
      <c r="K4623" s="186"/>
    </row>
    <row r="4624" spans="1:11" x14ac:dyDescent="0.2">
      <c r="A4624" s="8">
        <v>3609</v>
      </c>
      <c r="B4624" s="8">
        <f t="shared" si="150"/>
        <v>2025</v>
      </c>
      <c r="C4624" s="8">
        <f t="shared" si="151"/>
        <v>7</v>
      </c>
      <c r="D4624" s="204">
        <v>45865</v>
      </c>
      <c r="E4624" s="188">
        <v>2100000</v>
      </c>
      <c r="F4624" s="188">
        <v>0</v>
      </c>
      <c r="G4624" s="188"/>
      <c r="H4624" s="188"/>
      <c r="I4624" s="188" t="s">
        <v>109</v>
      </c>
      <c r="J4624" s="187" t="s">
        <v>4657</v>
      </c>
      <c r="K4624" s="186"/>
    </row>
    <row r="4625" spans="1:11" x14ac:dyDescent="0.2">
      <c r="A4625" s="8">
        <v>3609</v>
      </c>
      <c r="B4625" s="8">
        <f t="shared" si="150"/>
        <v>2025</v>
      </c>
      <c r="C4625" s="8">
        <f t="shared" si="151"/>
        <v>7</v>
      </c>
      <c r="D4625" s="204">
        <v>45865</v>
      </c>
      <c r="E4625" s="188"/>
      <c r="F4625" s="188">
        <v>600000</v>
      </c>
      <c r="G4625" s="188"/>
      <c r="H4625" s="188"/>
      <c r="I4625" s="188" t="s">
        <v>85</v>
      </c>
      <c r="J4625" s="187" t="s">
        <v>4477</v>
      </c>
      <c r="K4625" s="186"/>
    </row>
    <row r="4626" spans="1:11" x14ac:dyDescent="0.2">
      <c r="A4626" s="8">
        <v>3610</v>
      </c>
      <c r="B4626" s="8">
        <f t="shared" si="150"/>
        <v>2025</v>
      </c>
      <c r="C4626" s="8">
        <f t="shared" si="151"/>
        <v>7</v>
      </c>
      <c r="D4626" s="204">
        <v>45866</v>
      </c>
      <c r="E4626" s="188"/>
      <c r="F4626" s="188">
        <v>20000</v>
      </c>
      <c r="G4626" s="188"/>
      <c r="H4626" s="188"/>
      <c r="I4626" s="188" t="s">
        <v>91</v>
      </c>
      <c r="J4626" s="187" t="s">
        <v>2843</v>
      </c>
      <c r="K4626" s="186"/>
    </row>
    <row r="4627" spans="1:11" x14ac:dyDescent="0.2">
      <c r="A4627" s="8">
        <v>3611</v>
      </c>
      <c r="B4627" s="8">
        <f t="shared" si="150"/>
        <v>2025</v>
      </c>
      <c r="C4627" s="8">
        <f t="shared" si="151"/>
        <v>7</v>
      </c>
      <c r="D4627" s="204">
        <v>45866</v>
      </c>
      <c r="E4627" s="188"/>
      <c r="F4627" s="188">
        <v>500000</v>
      </c>
      <c r="G4627" s="188"/>
      <c r="H4627" s="188"/>
      <c r="I4627" s="188" t="s">
        <v>1992</v>
      </c>
      <c r="J4627" s="187" t="s">
        <v>4478</v>
      </c>
      <c r="K4627" s="186"/>
    </row>
    <row r="4628" spans="1:11" x14ac:dyDescent="0.2">
      <c r="A4628" s="8">
        <v>3612</v>
      </c>
      <c r="B4628" s="8">
        <f t="shared" si="150"/>
        <v>2025</v>
      </c>
      <c r="C4628" s="8">
        <f t="shared" si="151"/>
        <v>7</v>
      </c>
      <c r="D4628" s="204">
        <v>45866</v>
      </c>
      <c r="E4628" s="188"/>
      <c r="F4628" s="188">
        <v>47000</v>
      </c>
      <c r="G4628" s="188"/>
      <c r="H4628" s="188"/>
      <c r="I4628" s="188" t="s">
        <v>1992</v>
      </c>
      <c r="J4628" s="187" t="s">
        <v>4479</v>
      </c>
      <c r="K4628" s="186"/>
    </row>
    <row r="4629" spans="1:11" x14ac:dyDescent="0.2">
      <c r="A4629" s="8">
        <v>3613</v>
      </c>
      <c r="B4629" s="8">
        <f t="shared" si="150"/>
        <v>2025</v>
      </c>
      <c r="C4629" s="8">
        <f t="shared" si="151"/>
        <v>7</v>
      </c>
      <c r="D4629" s="204">
        <v>45867</v>
      </c>
      <c r="E4629" s="188"/>
      <c r="F4629" s="188">
        <v>358000</v>
      </c>
      <c r="G4629" s="188"/>
      <c r="H4629" s="188"/>
      <c r="I4629" s="188" t="s">
        <v>1992</v>
      </c>
      <c r="J4629" s="187" t="s">
        <v>4511</v>
      </c>
      <c r="K4629" s="186"/>
    </row>
    <row r="4630" spans="1:11" x14ac:dyDescent="0.2">
      <c r="A4630" s="8">
        <v>3614</v>
      </c>
      <c r="B4630" s="8">
        <f t="shared" si="150"/>
        <v>2025</v>
      </c>
      <c r="C4630" s="8">
        <f t="shared" si="151"/>
        <v>7</v>
      </c>
      <c r="D4630" s="204">
        <v>45867</v>
      </c>
      <c r="E4630" s="188"/>
      <c r="F4630" s="188">
        <v>140000</v>
      </c>
      <c r="G4630" s="188"/>
      <c r="H4630" s="188"/>
      <c r="I4630" s="188" t="s">
        <v>1992</v>
      </c>
      <c r="J4630" s="187" t="s">
        <v>4512</v>
      </c>
      <c r="K4630" s="186"/>
    </row>
    <row r="4631" spans="1:11" x14ac:dyDescent="0.2">
      <c r="A4631" s="8">
        <v>3615</v>
      </c>
      <c r="B4631" s="8">
        <f t="shared" si="150"/>
        <v>2025</v>
      </c>
      <c r="C4631" s="8">
        <f t="shared" si="151"/>
        <v>7</v>
      </c>
      <c r="D4631" s="204">
        <v>45867</v>
      </c>
      <c r="E4631" s="188"/>
      <c r="F4631" s="188">
        <v>50000</v>
      </c>
      <c r="G4631" s="188"/>
      <c r="H4631" s="188"/>
      <c r="I4631" s="188" t="s">
        <v>85</v>
      </c>
      <c r="J4631" s="187" t="s">
        <v>4513</v>
      </c>
      <c r="K4631" s="186"/>
    </row>
    <row r="4632" spans="1:11" x14ac:dyDescent="0.2">
      <c r="A4632" s="8">
        <v>3616</v>
      </c>
      <c r="B4632" s="8">
        <f t="shared" si="150"/>
        <v>2025</v>
      </c>
      <c r="C4632" s="8">
        <f t="shared" si="151"/>
        <v>7</v>
      </c>
      <c r="D4632" s="204">
        <v>45868</v>
      </c>
      <c r="E4632" s="188"/>
      <c r="F4632" s="188">
        <v>50000</v>
      </c>
      <c r="G4632" s="188"/>
      <c r="H4632" s="188"/>
      <c r="I4632" s="188" t="s">
        <v>1815</v>
      </c>
      <c r="J4632" s="187" t="s">
        <v>4514</v>
      </c>
      <c r="K4632" s="186"/>
    </row>
    <row r="4633" spans="1:11" x14ac:dyDescent="0.2">
      <c r="A4633" s="8">
        <v>3663</v>
      </c>
      <c r="B4633" s="8">
        <f t="shared" si="150"/>
        <v>2025</v>
      </c>
      <c r="C4633" s="8">
        <f t="shared" si="151"/>
        <v>7</v>
      </c>
      <c r="D4633" s="204">
        <v>45869</v>
      </c>
      <c r="E4633" s="188"/>
      <c r="F4633" s="188">
        <v>320000</v>
      </c>
      <c r="G4633" s="188"/>
      <c r="H4633" s="188"/>
      <c r="I4633" s="188" t="s">
        <v>1350</v>
      </c>
      <c r="J4633" s="187" t="s">
        <v>4515</v>
      </c>
      <c r="K4633" s="186"/>
    </row>
    <row r="4634" spans="1:11" x14ac:dyDescent="0.2">
      <c r="A4634" s="8">
        <v>3710</v>
      </c>
      <c r="B4634" s="8">
        <f t="shared" si="150"/>
        <v>2025</v>
      </c>
      <c r="C4634" s="8">
        <f t="shared" si="151"/>
        <v>7</v>
      </c>
      <c r="D4634" s="204">
        <v>45869</v>
      </c>
      <c r="E4634" s="188"/>
      <c r="F4634" s="188">
        <v>20000</v>
      </c>
      <c r="G4634" s="188"/>
      <c r="H4634" s="188"/>
      <c r="I4634" s="188" t="s">
        <v>91</v>
      </c>
      <c r="J4634" s="187" t="s">
        <v>89</v>
      </c>
      <c r="K4634" s="186"/>
    </row>
    <row r="4635" spans="1:11" x14ac:dyDescent="0.2">
      <c r="A4635" s="8">
        <v>3757</v>
      </c>
      <c r="B4635" s="8">
        <f t="shared" si="150"/>
        <v>2025</v>
      </c>
      <c r="C4635" s="8">
        <f t="shared" si="151"/>
        <v>7</v>
      </c>
      <c r="D4635" s="204">
        <v>45869</v>
      </c>
      <c r="E4635" s="188"/>
      <c r="F4635" s="188">
        <v>20000</v>
      </c>
      <c r="G4635" s="188"/>
      <c r="H4635" s="188"/>
      <c r="I4635" s="188" t="s">
        <v>91</v>
      </c>
      <c r="J4635" s="187" t="s">
        <v>89</v>
      </c>
      <c r="K4635" s="186"/>
    </row>
    <row r="4636" spans="1:11" x14ac:dyDescent="0.2">
      <c r="A4636" s="8">
        <v>3804</v>
      </c>
      <c r="B4636" s="8">
        <f t="shared" si="150"/>
        <v>2025</v>
      </c>
      <c r="C4636" s="8">
        <f t="shared" si="151"/>
        <v>7</v>
      </c>
      <c r="D4636" s="204">
        <v>45869</v>
      </c>
      <c r="E4636" s="188"/>
      <c r="F4636" s="188">
        <v>95000</v>
      </c>
      <c r="G4636" s="188"/>
      <c r="H4636" s="188"/>
      <c r="I4636" s="188" t="s">
        <v>85</v>
      </c>
      <c r="J4636" s="187" t="s">
        <v>4516</v>
      </c>
      <c r="K4636" s="186"/>
    </row>
    <row r="4637" spans="1:11" x14ac:dyDescent="0.2">
      <c r="A4637" s="8">
        <v>3851</v>
      </c>
      <c r="B4637" s="8">
        <f t="shared" si="150"/>
        <v>2025</v>
      </c>
      <c r="C4637" s="8">
        <f t="shared" si="151"/>
        <v>8</v>
      </c>
      <c r="D4637" s="204">
        <v>45870</v>
      </c>
      <c r="E4637" s="188"/>
      <c r="F4637" s="188">
        <v>300000</v>
      </c>
      <c r="G4637" s="188"/>
      <c r="H4637" s="188"/>
      <c r="I4637" s="188" t="s">
        <v>85</v>
      </c>
      <c r="J4637" s="187" t="s">
        <v>4521</v>
      </c>
      <c r="K4637" s="186"/>
    </row>
    <row r="4638" spans="1:11" x14ac:dyDescent="0.2">
      <c r="A4638" s="8">
        <v>3898</v>
      </c>
      <c r="B4638" s="8">
        <f t="shared" si="150"/>
        <v>2025</v>
      </c>
      <c r="C4638" s="8">
        <f t="shared" si="151"/>
        <v>8</v>
      </c>
      <c r="D4638" s="204">
        <v>45870</v>
      </c>
      <c r="E4638" s="188"/>
      <c r="F4638" s="188">
        <v>120000</v>
      </c>
      <c r="G4638" s="188"/>
      <c r="H4638" s="188"/>
      <c r="I4638" s="188" t="s">
        <v>335</v>
      </c>
      <c r="J4638" s="187" t="s">
        <v>4522</v>
      </c>
      <c r="K4638" s="186"/>
    </row>
    <row r="4639" spans="1:11" x14ac:dyDescent="0.2">
      <c r="A4639" s="8">
        <v>3945</v>
      </c>
      <c r="B4639" s="8">
        <f t="shared" si="150"/>
        <v>2025</v>
      </c>
      <c r="C4639" s="8">
        <f t="shared" si="151"/>
        <v>8</v>
      </c>
      <c r="D4639" s="204">
        <v>45870</v>
      </c>
      <c r="E4639" s="188"/>
      <c r="F4639" s="188">
        <v>50000</v>
      </c>
      <c r="G4639" s="188"/>
      <c r="H4639" s="188"/>
      <c r="I4639" s="188" t="s">
        <v>85</v>
      </c>
      <c r="J4639" s="187" t="s">
        <v>2605</v>
      </c>
      <c r="K4639" s="186"/>
    </row>
    <row r="4640" spans="1:11" x14ac:dyDescent="0.2">
      <c r="A4640" s="8">
        <v>3992</v>
      </c>
      <c r="B4640" s="8">
        <f t="shared" si="150"/>
        <v>2025</v>
      </c>
      <c r="C4640" s="8">
        <f t="shared" si="151"/>
        <v>8</v>
      </c>
      <c r="D4640" s="204">
        <v>45871</v>
      </c>
      <c r="E4640" s="188"/>
      <c r="F4640" s="188">
        <v>1100000</v>
      </c>
      <c r="G4640" s="188"/>
      <c r="H4640" s="188"/>
      <c r="I4640" s="188" t="s">
        <v>2807</v>
      </c>
      <c r="J4640" s="187" t="s">
        <v>4523</v>
      </c>
      <c r="K4640" s="186"/>
    </row>
    <row r="4641" spans="1:11" x14ac:dyDescent="0.2">
      <c r="A4641" s="8">
        <v>4039</v>
      </c>
      <c r="B4641" s="8">
        <f t="shared" si="150"/>
        <v>2025</v>
      </c>
      <c r="C4641" s="8">
        <f t="shared" si="151"/>
        <v>8</v>
      </c>
      <c r="D4641" s="204">
        <v>45871</v>
      </c>
      <c r="E4641" s="188"/>
      <c r="F4641" s="188">
        <v>50000</v>
      </c>
      <c r="G4641" s="188"/>
      <c r="H4641" s="188"/>
      <c r="I4641" s="188" t="s">
        <v>85</v>
      </c>
      <c r="J4641" s="187" t="s">
        <v>2605</v>
      </c>
      <c r="K4641" s="186"/>
    </row>
    <row r="4642" spans="1:11" x14ac:dyDescent="0.2">
      <c r="A4642" s="8">
        <v>4086</v>
      </c>
      <c r="B4642" s="8">
        <f t="shared" si="150"/>
        <v>2025</v>
      </c>
      <c r="C4642" s="8">
        <f t="shared" si="151"/>
        <v>8</v>
      </c>
      <c r="D4642" s="204">
        <v>45871</v>
      </c>
      <c r="E4642" s="188"/>
      <c r="F4642" s="188">
        <v>45000</v>
      </c>
      <c r="G4642" s="188"/>
      <c r="H4642" s="188"/>
      <c r="I4642" s="188" t="s">
        <v>91</v>
      </c>
      <c r="J4642" s="187" t="s">
        <v>4379</v>
      </c>
      <c r="K4642" s="186"/>
    </row>
    <row r="4643" spans="1:11" x14ac:dyDescent="0.2">
      <c r="A4643" s="8">
        <v>4133</v>
      </c>
      <c r="B4643" s="8">
        <f t="shared" si="150"/>
        <v>2025</v>
      </c>
      <c r="C4643" s="8">
        <f t="shared" si="151"/>
        <v>8</v>
      </c>
      <c r="D4643" s="204">
        <v>45871</v>
      </c>
      <c r="E4643" s="188"/>
      <c r="F4643" s="188">
        <v>250000</v>
      </c>
      <c r="G4643" s="188"/>
      <c r="H4643" s="188"/>
      <c r="I4643" s="188" t="s">
        <v>2807</v>
      </c>
      <c r="J4643" s="187" t="s">
        <v>4524</v>
      </c>
      <c r="K4643" s="186"/>
    </row>
    <row r="4644" spans="1:11" x14ac:dyDescent="0.2">
      <c r="A4644" s="8">
        <v>4180</v>
      </c>
      <c r="B4644" s="8">
        <f t="shared" si="150"/>
        <v>2025</v>
      </c>
      <c r="C4644" s="8">
        <f t="shared" si="151"/>
        <v>8</v>
      </c>
      <c r="D4644" s="204">
        <v>45872</v>
      </c>
      <c r="E4644" s="188"/>
      <c r="F4644" s="188">
        <v>45000</v>
      </c>
      <c r="G4644" s="188"/>
      <c r="H4644" s="188"/>
      <c r="I4644" s="188" t="s">
        <v>91</v>
      </c>
      <c r="J4644" s="187" t="s">
        <v>2625</v>
      </c>
      <c r="K4644" s="186"/>
    </row>
    <row r="4645" spans="1:11" x14ac:dyDescent="0.2">
      <c r="A4645" s="8">
        <v>4227</v>
      </c>
      <c r="B4645" s="8">
        <f t="shared" si="150"/>
        <v>2025</v>
      </c>
      <c r="C4645" s="8">
        <f t="shared" si="151"/>
        <v>8</v>
      </c>
      <c r="D4645" s="204">
        <v>45872</v>
      </c>
      <c r="E4645" s="188"/>
      <c r="F4645" s="188">
        <v>30000</v>
      </c>
      <c r="G4645" s="188"/>
      <c r="H4645" s="188"/>
      <c r="I4645" s="188" t="s">
        <v>91</v>
      </c>
      <c r="J4645" s="187" t="s">
        <v>3985</v>
      </c>
      <c r="K4645" s="186"/>
    </row>
    <row r="4646" spans="1:11" x14ac:dyDescent="0.2">
      <c r="A4646" s="8">
        <v>4274</v>
      </c>
      <c r="B4646" s="8">
        <f t="shared" si="150"/>
        <v>2025</v>
      </c>
      <c r="C4646" s="8">
        <f t="shared" si="151"/>
        <v>8</v>
      </c>
      <c r="D4646" s="204">
        <v>45873</v>
      </c>
      <c r="E4646" s="188"/>
      <c r="F4646" s="188">
        <v>20000</v>
      </c>
      <c r="G4646" s="188"/>
      <c r="H4646" s="188"/>
      <c r="I4646" s="188" t="s">
        <v>91</v>
      </c>
      <c r="J4646" s="187" t="s">
        <v>2843</v>
      </c>
      <c r="K4646" s="186"/>
    </row>
    <row r="4647" spans="1:11" x14ac:dyDescent="0.2">
      <c r="A4647" s="8">
        <v>4321</v>
      </c>
      <c r="B4647" s="8">
        <f t="shared" si="150"/>
        <v>2025</v>
      </c>
      <c r="C4647" s="8">
        <f t="shared" si="151"/>
        <v>8</v>
      </c>
      <c r="D4647" s="204">
        <v>45873</v>
      </c>
      <c r="E4647" s="188"/>
      <c r="F4647" s="188">
        <v>160000</v>
      </c>
      <c r="G4647" s="188"/>
      <c r="H4647" s="188"/>
      <c r="I4647" s="188" t="s">
        <v>4569</v>
      </c>
      <c r="J4647" s="187" t="s">
        <v>4525</v>
      </c>
      <c r="K4647" s="186"/>
    </row>
    <row r="4648" spans="1:11" x14ac:dyDescent="0.2">
      <c r="A4648" s="8">
        <v>4368</v>
      </c>
      <c r="B4648" s="8">
        <f t="shared" si="150"/>
        <v>2025</v>
      </c>
      <c r="C4648" s="8">
        <f t="shared" si="151"/>
        <v>8</v>
      </c>
      <c r="D4648" s="204">
        <v>45873</v>
      </c>
      <c r="E4648" s="188"/>
      <c r="F4648" s="188">
        <v>220000</v>
      </c>
      <c r="G4648" s="188"/>
      <c r="H4648" s="188"/>
      <c r="I4648" s="188" t="s">
        <v>299</v>
      </c>
      <c r="J4648" s="187" t="s">
        <v>4526</v>
      </c>
      <c r="K4648" s="186"/>
    </row>
    <row r="4649" spans="1:11" x14ac:dyDescent="0.2">
      <c r="A4649" s="8">
        <v>4415</v>
      </c>
      <c r="B4649" s="8">
        <f t="shared" si="150"/>
        <v>2025</v>
      </c>
      <c r="C4649" s="8">
        <f t="shared" si="151"/>
        <v>8</v>
      </c>
      <c r="D4649" s="204">
        <v>45874</v>
      </c>
      <c r="E4649" s="188"/>
      <c r="F4649" s="188">
        <v>50000</v>
      </c>
      <c r="G4649" s="188"/>
      <c r="H4649" s="188"/>
      <c r="I4649" s="188" t="s">
        <v>85</v>
      </c>
      <c r="J4649" s="187" t="s">
        <v>2605</v>
      </c>
      <c r="K4649" s="186"/>
    </row>
    <row r="4650" spans="1:11" x14ac:dyDescent="0.2">
      <c r="A4650" s="8">
        <v>4462</v>
      </c>
      <c r="B4650" s="8">
        <f t="shared" si="150"/>
        <v>2025</v>
      </c>
      <c r="C4650" s="8">
        <f t="shared" si="151"/>
        <v>8</v>
      </c>
      <c r="D4650" s="204">
        <v>45874</v>
      </c>
      <c r="E4650" s="188"/>
      <c r="F4650" s="188">
        <v>100000</v>
      </c>
      <c r="G4650" s="188"/>
      <c r="H4650" s="188"/>
      <c r="I4650" s="188" t="s">
        <v>85</v>
      </c>
      <c r="J4650" s="187" t="s">
        <v>4527</v>
      </c>
      <c r="K4650" s="186"/>
    </row>
    <row r="4651" spans="1:11" x14ac:dyDescent="0.2">
      <c r="A4651" s="8">
        <v>4509</v>
      </c>
      <c r="B4651" s="8">
        <f t="shared" si="150"/>
        <v>2025</v>
      </c>
      <c r="C4651" s="8">
        <f t="shared" si="151"/>
        <v>8</v>
      </c>
      <c r="D4651" s="204">
        <v>45875</v>
      </c>
      <c r="E4651" s="188"/>
      <c r="F4651" s="188">
        <v>20000</v>
      </c>
      <c r="G4651" s="188"/>
      <c r="H4651" s="188"/>
      <c r="I4651" s="188" t="s">
        <v>91</v>
      </c>
      <c r="J4651" s="187" t="s">
        <v>2843</v>
      </c>
      <c r="K4651" s="186"/>
    </row>
    <row r="4652" spans="1:11" x14ac:dyDescent="0.2">
      <c r="A4652" s="8">
        <v>4556</v>
      </c>
      <c r="B4652" s="8">
        <f t="shared" si="150"/>
        <v>2025</v>
      </c>
      <c r="C4652" s="8">
        <f t="shared" si="151"/>
        <v>8</v>
      </c>
      <c r="D4652" s="204">
        <v>45876</v>
      </c>
      <c r="E4652" s="188"/>
      <c r="F4652" s="188">
        <v>80000</v>
      </c>
      <c r="G4652" s="188"/>
      <c r="H4652" s="188"/>
      <c r="I4652" s="188" t="s">
        <v>1999</v>
      </c>
      <c r="J4652" s="187" t="s">
        <v>4528</v>
      </c>
      <c r="K4652" s="186"/>
    </row>
    <row r="4653" spans="1:11" x14ac:dyDescent="0.2">
      <c r="A4653" s="8">
        <v>4603</v>
      </c>
      <c r="B4653" s="8">
        <f t="shared" si="150"/>
        <v>2025</v>
      </c>
      <c r="C4653" s="8">
        <f t="shared" si="151"/>
        <v>8</v>
      </c>
      <c r="D4653" s="204">
        <v>45877</v>
      </c>
      <c r="E4653" s="188"/>
      <c r="F4653" s="188">
        <v>23000</v>
      </c>
      <c r="G4653" s="188"/>
      <c r="H4653" s="188"/>
      <c r="I4653" s="188" t="s">
        <v>91</v>
      </c>
      <c r="J4653" s="187" t="s">
        <v>4529</v>
      </c>
      <c r="K4653" s="186"/>
    </row>
    <row r="4654" spans="1:11" x14ac:dyDescent="0.2">
      <c r="A4654" s="8">
        <v>4650</v>
      </c>
      <c r="B4654" s="8">
        <f t="shared" si="150"/>
        <v>2025</v>
      </c>
      <c r="C4654" s="8">
        <f t="shared" si="151"/>
        <v>8</v>
      </c>
      <c r="D4654" s="204">
        <v>45878</v>
      </c>
      <c r="E4654" s="188"/>
      <c r="F4654" s="188">
        <v>150000</v>
      </c>
      <c r="G4654" s="188"/>
      <c r="H4654" s="188"/>
      <c r="I4654" s="188" t="s">
        <v>1815</v>
      </c>
      <c r="J4654" s="187" t="s">
        <v>4530</v>
      </c>
      <c r="K4654" s="186"/>
    </row>
    <row r="4655" spans="1:11" x14ac:dyDescent="0.2">
      <c r="A4655" s="8">
        <v>4697</v>
      </c>
      <c r="B4655" s="8">
        <f t="shared" si="150"/>
        <v>2025</v>
      </c>
      <c r="C4655" s="8">
        <f t="shared" si="151"/>
        <v>8</v>
      </c>
      <c r="D4655" s="204">
        <v>45878</v>
      </c>
      <c r="E4655" s="188"/>
      <c r="F4655" s="188">
        <v>30000</v>
      </c>
      <c r="G4655" s="188"/>
      <c r="H4655" s="188"/>
      <c r="I4655" s="188" t="s">
        <v>85</v>
      </c>
      <c r="J4655" s="187" t="s">
        <v>2655</v>
      </c>
      <c r="K4655" s="186"/>
    </row>
    <row r="4656" spans="1:11" x14ac:dyDescent="0.2">
      <c r="A4656" s="8">
        <v>4744</v>
      </c>
      <c r="B4656" s="8">
        <f t="shared" si="150"/>
        <v>2025</v>
      </c>
      <c r="C4656" s="8">
        <f t="shared" si="151"/>
        <v>8</v>
      </c>
      <c r="D4656" s="204">
        <v>45878</v>
      </c>
      <c r="E4656" s="188"/>
      <c r="F4656" s="188">
        <v>55000</v>
      </c>
      <c r="G4656" s="188"/>
      <c r="H4656" s="188"/>
      <c r="I4656" s="188" t="s">
        <v>2807</v>
      </c>
      <c r="J4656" s="187" t="s">
        <v>4531</v>
      </c>
      <c r="K4656" s="186"/>
    </row>
    <row r="4657" spans="1:11" x14ac:dyDescent="0.2">
      <c r="A4657" s="8">
        <v>4791</v>
      </c>
      <c r="B4657" s="8">
        <f t="shared" si="150"/>
        <v>2025</v>
      </c>
      <c r="C4657" s="8">
        <f t="shared" si="151"/>
        <v>8</v>
      </c>
      <c r="D4657" s="204">
        <v>45879</v>
      </c>
      <c r="E4657" s="188"/>
      <c r="F4657" s="188">
        <v>185000</v>
      </c>
      <c r="G4657" s="188"/>
      <c r="H4657" s="188"/>
      <c r="I4657" s="188" t="s">
        <v>91</v>
      </c>
      <c r="J4657" s="187" t="s">
        <v>4532</v>
      </c>
      <c r="K4657" s="186"/>
    </row>
    <row r="4658" spans="1:11" x14ac:dyDescent="0.2">
      <c r="A4658" s="8">
        <v>4838</v>
      </c>
      <c r="B4658" s="8">
        <f t="shared" si="150"/>
        <v>2025</v>
      </c>
      <c r="C4658" s="8">
        <f t="shared" si="151"/>
        <v>8</v>
      </c>
      <c r="D4658" s="204">
        <v>45879</v>
      </c>
      <c r="E4658" s="188"/>
      <c r="F4658" s="188">
        <v>30000</v>
      </c>
      <c r="G4658" s="188"/>
      <c r="H4658" s="188"/>
      <c r="I4658" s="188" t="s">
        <v>1815</v>
      </c>
      <c r="J4658" s="187" t="s">
        <v>4533</v>
      </c>
      <c r="K4658" s="186"/>
    </row>
    <row r="4659" spans="1:11" x14ac:dyDescent="0.2">
      <c r="A4659" s="8">
        <v>4885</v>
      </c>
      <c r="B4659" s="8">
        <f t="shared" si="150"/>
        <v>2025</v>
      </c>
      <c r="C4659" s="8">
        <f t="shared" si="151"/>
        <v>8</v>
      </c>
      <c r="D4659" s="204">
        <v>45879</v>
      </c>
      <c r="E4659" s="188"/>
      <c r="F4659" s="188">
        <v>130000</v>
      </c>
      <c r="G4659" s="188"/>
      <c r="H4659" s="188"/>
      <c r="I4659" s="188" t="s">
        <v>335</v>
      </c>
      <c r="J4659" s="187" t="s">
        <v>4534</v>
      </c>
      <c r="K4659" s="186"/>
    </row>
    <row r="4660" spans="1:11" x14ac:dyDescent="0.2">
      <c r="A4660" s="8">
        <v>4932</v>
      </c>
      <c r="B4660" s="8">
        <f t="shared" si="150"/>
        <v>2025</v>
      </c>
      <c r="C4660" s="8">
        <f t="shared" si="151"/>
        <v>8</v>
      </c>
      <c r="D4660" s="204">
        <v>45879</v>
      </c>
      <c r="E4660" s="188"/>
      <c r="F4660" s="188">
        <v>25000</v>
      </c>
      <c r="G4660" s="188"/>
      <c r="H4660" s="188"/>
      <c r="I4660" s="188" t="s">
        <v>335</v>
      </c>
      <c r="J4660" s="187" t="s">
        <v>4535</v>
      </c>
      <c r="K4660" s="186"/>
    </row>
    <row r="4661" spans="1:11" x14ac:dyDescent="0.2">
      <c r="A4661" s="8">
        <v>4979</v>
      </c>
      <c r="B4661" s="8">
        <f t="shared" si="150"/>
        <v>2025</v>
      </c>
      <c r="C4661" s="8">
        <f t="shared" si="151"/>
        <v>8</v>
      </c>
      <c r="D4661" s="204">
        <v>45880</v>
      </c>
      <c r="E4661" s="188"/>
      <c r="F4661" s="188">
        <v>100000</v>
      </c>
      <c r="G4661" s="188"/>
      <c r="H4661" s="188"/>
      <c r="I4661" s="188" t="s">
        <v>85</v>
      </c>
      <c r="J4661" s="187" t="s">
        <v>3891</v>
      </c>
      <c r="K4661" s="186"/>
    </row>
    <row r="4662" spans="1:11" x14ac:dyDescent="0.2">
      <c r="A4662" s="8">
        <v>5026</v>
      </c>
      <c r="B4662" s="8">
        <f t="shared" si="150"/>
        <v>2025</v>
      </c>
      <c r="C4662" s="8">
        <f t="shared" si="151"/>
        <v>8</v>
      </c>
      <c r="D4662" s="204">
        <v>45881</v>
      </c>
      <c r="E4662" s="188"/>
      <c r="F4662" s="188">
        <v>25000</v>
      </c>
      <c r="G4662" s="188"/>
      <c r="H4662" s="188"/>
      <c r="I4662" s="188" t="s">
        <v>1999</v>
      </c>
      <c r="J4662" s="187" t="s">
        <v>4538</v>
      </c>
      <c r="K4662" s="186"/>
    </row>
    <row r="4663" spans="1:11" x14ac:dyDescent="0.2">
      <c r="A4663" s="8">
        <v>5073</v>
      </c>
      <c r="B4663" s="8">
        <f t="shared" si="150"/>
        <v>2025</v>
      </c>
      <c r="C4663" s="8">
        <f t="shared" si="151"/>
        <v>8</v>
      </c>
      <c r="D4663" s="204">
        <v>45881</v>
      </c>
      <c r="E4663" s="188"/>
      <c r="F4663" s="188">
        <v>20000</v>
      </c>
      <c r="G4663" s="188"/>
      <c r="H4663" s="188"/>
      <c r="I4663" s="188" t="s">
        <v>85</v>
      </c>
      <c r="J4663" s="187" t="s">
        <v>4094</v>
      </c>
      <c r="K4663" s="186"/>
    </row>
    <row r="4664" spans="1:11" x14ac:dyDescent="0.2">
      <c r="A4664" s="8">
        <v>5120</v>
      </c>
      <c r="B4664" s="8">
        <f t="shared" si="150"/>
        <v>2025</v>
      </c>
      <c r="C4664" s="8">
        <f t="shared" si="151"/>
        <v>8</v>
      </c>
      <c r="D4664" s="204">
        <v>45882</v>
      </c>
      <c r="E4664" s="188"/>
      <c r="F4664" s="188">
        <v>35000</v>
      </c>
      <c r="G4664" s="188"/>
      <c r="H4664" s="188"/>
      <c r="I4664" s="188" t="s">
        <v>91</v>
      </c>
      <c r="J4664" s="187" t="s">
        <v>2331</v>
      </c>
      <c r="K4664" s="186"/>
    </row>
    <row r="4665" spans="1:11" x14ac:dyDescent="0.2">
      <c r="A4665" s="8">
        <v>5167</v>
      </c>
      <c r="B4665" s="8">
        <f t="shared" si="150"/>
        <v>2025</v>
      </c>
      <c r="C4665" s="8">
        <f t="shared" si="151"/>
        <v>8</v>
      </c>
      <c r="D4665" s="204">
        <v>45882</v>
      </c>
      <c r="E4665" s="188"/>
      <c r="F4665" s="188">
        <v>89000</v>
      </c>
      <c r="G4665" s="188"/>
      <c r="H4665" s="188"/>
      <c r="I4665" s="188" t="s">
        <v>1350</v>
      </c>
      <c r="J4665" s="187" t="s">
        <v>4539</v>
      </c>
      <c r="K4665" s="186"/>
    </row>
    <row r="4666" spans="1:11" x14ac:dyDescent="0.2">
      <c r="A4666" s="8">
        <v>5214</v>
      </c>
      <c r="B4666" s="8">
        <f t="shared" si="150"/>
        <v>2025</v>
      </c>
      <c r="C4666" s="8">
        <f t="shared" si="151"/>
        <v>8</v>
      </c>
      <c r="D4666" s="204">
        <v>45882</v>
      </c>
      <c r="E4666" s="188"/>
      <c r="F4666" s="188">
        <v>220000</v>
      </c>
      <c r="G4666" s="188"/>
      <c r="H4666" s="188"/>
      <c r="I4666" s="188" t="s">
        <v>1350</v>
      </c>
      <c r="J4666" s="187" t="s">
        <v>4540</v>
      </c>
      <c r="K4666" s="186"/>
    </row>
    <row r="4667" spans="1:11" x14ac:dyDescent="0.2">
      <c r="A4667" s="8">
        <v>5261</v>
      </c>
      <c r="B4667" s="8">
        <f t="shared" si="150"/>
        <v>2025</v>
      </c>
      <c r="C4667" s="8">
        <f t="shared" si="151"/>
        <v>8</v>
      </c>
      <c r="D4667" s="204">
        <v>45883</v>
      </c>
      <c r="E4667" s="188"/>
      <c r="F4667" s="188">
        <v>230000</v>
      </c>
      <c r="G4667" s="188"/>
      <c r="H4667" s="188"/>
      <c r="I4667" s="188" t="s">
        <v>1350</v>
      </c>
      <c r="J4667" s="187" t="s">
        <v>4541</v>
      </c>
      <c r="K4667" s="186"/>
    </row>
    <row r="4668" spans="1:11" x14ac:dyDescent="0.2">
      <c r="A4668" s="8">
        <v>5308</v>
      </c>
      <c r="B4668" s="8">
        <f t="shared" si="150"/>
        <v>2025</v>
      </c>
      <c r="C4668" s="8">
        <f t="shared" si="151"/>
        <v>8</v>
      </c>
      <c r="D4668" s="204">
        <v>45883</v>
      </c>
      <c r="E4668" s="188"/>
      <c r="F4668" s="188">
        <v>30000</v>
      </c>
      <c r="G4668" s="188"/>
      <c r="H4668" s="188"/>
      <c r="I4668" s="188" t="s">
        <v>91</v>
      </c>
      <c r="J4668" s="187" t="s">
        <v>2467</v>
      </c>
      <c r="K4668" s="186"/>
    </row>
    <row r="4669" spans="1:11" x14ac:dyDescent="0.2">
      <c r="A4669" s="8">
        <v>5402</v>
      </c>
      <c r="B4669" s="8">
        <f t="shared" si="150"/>
        <v>2025</v>
      </c>
      <c r="C4669" s="8">
        <f t="shared" si="151"/>
        <v>8</v>
      </c>
      <c r="D4669" s="204">
        <v>45884</v>
      </c>
      <c r="E4669" s="188"/>
      <c r="F4669" s="188">
        <v>20000</v>
      </c>
      <c r="G4669" s="188"/>
      <c r="H4669" s="188"/>
      <c r="I4669" s="188" t="s">
        <v>91</v>
      </c>
      <c r="J4669" s="187" t="s">
        <v>2843</v>
      </c>
      <c r="K4669" s="186"/>
    </row>
    <row r="4670" spans="1:11" x14ac:dyDescent="0.2">
      <c r="A4670" s="8">
        <v>5449</v>
      </c>
      <c r="B4670" s="8">
        <f t="shared" si="150"/>
        <v>2025</v>
      </c>
      <c r="C4670" s="8">
        <f t="shared" si="151"/>
        <v>8</v>
      </c>
      <c r="D4670" s="204">
        <v>45885</v>
      </c>
      <c r="E4670" s="188"/>
      <c r="F4670" s="188">
        <v>25000</v>
      </c>
      <c r="G4670" s="188"/>
      <c r="H4670" s="188"/>
      <c r="I4670" s="188" t="s">
        <v>91</v>
      </c>
      <c r="J4670" s="187" t="s">
        <v>4543</v>
      </c>
      <c r="K4670" s="186"/>
    </row>
    <row r="4671" spans="1:11" x14ac:dyDescent="0.2">
      <c r="A4671" s="8">
        <v>5496</v>
      </c>
      <c r="B4671" s="8">
        <f t="shared" si="150"/>
        <v>2025</v>
      </c>
      <c r="C4671" s="8">
        <f t="shared" si="151"/>
        <v>8</v>
      </c>
      <c r="D4671" s="204">
        <v>45885</v>
      </c>
      <c r="E4671" s="188"/>
      <c r="F4671" s="188">
        <v>20000</v>
      </c>
      <c r="G4671" s="188"/>
      <c r="H4671" s="188"/>
      <c r="I4671" s="188" t="s">
        <v>91</v>
      </c>
      <c r="J4671" s="187" t="s">
        <v>2843</v>
      </c>
      <c r="K4671" s="186"/>
    </row>
    <row r="4672" spans="1:11" x14ac:dyDescent="0.2">
      <c r="A4672" s="8">
        <v>5543</v>
      </c>
      <c r="B4672" s="8">
        <f t="shared" si="150"/>
        <v>2025</v>
      </c>
      <c r="C4672" s="8">
        <f t="shared" si="151"/>
        <v>8</v>
      </c>
      <c r="D4672" s="204">
        <v>45885</v>
      </c>
      <c r="E4672" s="188"/>
      <c r="F4672" s="188">
        <v>150000</v>
      </c>
      <c r="G4672" s="188"/>
      <c r="H4672" s="188"/>
      <c r="I4672" s="188" t="s">
        <v>299</v>
      </c>
      <c r="J4672" s="187" t="s">
        <v>4545</v>
      </c>
      <c r="K4672" s="186"/>
    </row>
    <row r="4673" spans="1:11" x14ac:dyDescent="0.2">
      <c r="A4673" s="8">
        <v>5590</v>
      </c>
      <c r="B4673" s="8">
        <f t="shared" si="150"/>
        <v>2025</v>
      </c>
      <c r="C4673" s="8">
        <f t="shared" si="151"/>
        <v>8</v>
      </c>
      <c r="D4673" s="204">
        <v>45886</v>
      </c>
      <c r="E4673" s="188"/>
      <c r="F4673" s="188">
        <v>300000</v>
      </c>
      <c r="G4673" s="188"/>
      <c r="H4673" s="188"/>
      <c r="I4673" s="188" t="s">
        <v>1815</v>
      </c>
      <c r="J4673" s="187" t="s">
        <v>4546</v>
      </c>
      <c r="K4673" s="186"/>
    </row>
    <row r="4674" spans="1:11" x14ac:dyDescent="0.2">
      <c r="A4674" s="8">
        <v>5637</v>
      </c>
      <c r="B4674" s="8">
        <f t="shared" si="150"/>
        <v>2025</v>
      </c>
      <c r="C4674" s="8">
        <f t="shared" si="151"/>
        <v>8</v>
      </c>
      <c r="D4674" s="204">
        <v>45887</v>
      </c>
      <c r="E4674" s="188"/>
      <c r="F4674" s="188">
        <v>209000</v>
      </c>
      <c r="G4674" s="188"/>
      <c r="H4674" s="188"/>
      <c r="I4674" s="188" t="s">
        <v>1350</v>
      </c>
      <c r="J4674" s="187" t="s">
        <v>4547</v>
      </c>
      <c r="K4674" s="186"/>
    </row>
    <row r="4675" spans="1:11" x14ac:dyDescent="0.2">
      <c r="A4675" s="8">
        <v>5684</v>
      </c>
      <c r="B4675" s="8">
        <f t="shared" ref="B4675:B4738" si="152">YEAR(D4675)</f>
        <v>2025</v>
      </c>
      <c r="C4675" s="8">
        <f t="shared" ref="C4675:C4738" si="153">MONTH(D4675)</f>
        <v>8</v>
      </c>
      <c r="D4675" s="204">
        <v>45887</v>
      </c>
      <c r="E4675" s="188"/>
      <c r="F4675" s="188">
        <v>65000</v>
      </c>
      <c r="G4675" s="188"/>
      <c r="H4675" s="188"/>
      <c r="I4675" s="188" t="s">
        <v>91</v>
      </c>
      <c r="J4675" s="187" t="s">
        <v>4548</v>
      </c>
      <c r="K4675" s="186"/>
    </row>
    <row r="4676" spans="1:11" x14ac:dyDescent="0.2">
      <c r="A4676" s="8">
        <v>5731</v>
      </c>
      <c r="B4676" s="8">
        <f t="shared" si="152"/>
        <v>2025</v>
      </c>
      <c r="C4676" s="8">
        <f t="shared" si="153"/>
        <v>8</v>
      </c>
      <c r="D4676" s="204">
        <v>45887</v>
      </c>
      <c r="E4676" s="188"/>
      <c r="F4676" s="188">
        <v>70000</v>
      </c>
      <c r="G4676" s="188"/>
      <c r="H4676" s="188"/>
      <c r="I4676" s="188" t="s">
        <v>1815</v>
      </c>
      <c r="J4676" s="187" t="s">
        <v>4549</v>
      </c>
      <c r="K4676" s="186"/>
    </row>
    <row r="4677" spans="1:11" x14ac:dyDescent="0.2">
      <c r="A4677" s="8">
        <v>5778</v>
      </c>
      <c r="B4677" s="8">
        <f t="shared" si="152"/>
        <v>2025</v>
      </c>
      <c r="C4677" s="8">
        <f t="shared" si="153"/>
        <v>8</v>
      </c>
      <c r="D4677" s="204">
        <v>45888</v>
      </c>
      <c r="E4677" s="188"/>
      <c r="F4677" s="188">
        <v>35000</v>
      </c>
      <c r="G4677" s="188"/>
      <c r="H4677" s="188"/>
      <c r="I4677" s="188" t="s">
        <v>85</v>
      </c>
      <c r="J4677" s="187" t="s">
        <v>4550</v>
      </c>
      <c r="K4677" s="186"/>
    </row>
    <row r="4678" spans="1:11" x14ac:dyDescent="0.2">
      <c r="A4678" s="8">
        <v>5825</v>
      </c>
      <c r="B4678" s="8">
        <f t="shared" si="152"/>
        <v>2025</v>
      </c>
      <c r="C4678" s="8">
        <f t="shared" si="153"/>
        <v>8</v>
      </c>
      <c r="D4678" s="204">
        <v>45888</v>
      </c>
      <c r="E4678" s="188"/>
      <c r="F4678" s="188">
        <v>15000</v>
      </c>
      <c r="G4678" s="188"/>
      <c r="H4678" s="188"/>
      <c r="I4678" s="188" t="s">
        <v>91</v>
      </c>
      <c r="J4678" s="187" t="s">
        <v>2648</v>
      </c>
      <c r="K4678" s="186"/>
    </row>
    <row r="4679" spans="1:11" x14ac:dyDescent="0.2">
      <c r="A4679" s="8">
        <v>5872</v>
      </c>
      <c r="B4679" s="8">
        <f t="shared" si="152"/>
        <v>2025</v>
      </c>
      <c r="C4679" s="8">
        <f t="shared" si="153"/>
        <v>8</v>
      </c>
      <c r="D4679" s="204">
        <v>45889</v>
      </c>
      <c r="E4679" s="188"/>
      <c r="F4679" s="188">
        <v>30000</v>
      </c>
      <c r="G4679" s="188"/>
      <c r="H4679" s="188"/>
      <c r="I4679" s="188" t="s">
        <v>91</v>
      </c>
      <c r="J4679" s="187" t="s">
        <v>2467</v>
      </c>
      <c r="K4679" s="186"/>
    </row>
    <row r="4680" spans="1:11" x14ac:dyDescent="0.2">
      <c r="A4680" s="8">
        <v>5919</v>
      </c>
      <c r="B4680" s="8">
        <f t="shared" si="152"/>
        <v>2025</v>
      </c>
      <c r="C4680" s="8">
        <f t="shared" si="153"/>
        <v>8</v>
      </c>
      <c r="D4680" s="204">
        <v>45890</v>
      </c>
      <c r="E4680" s="188"/>
      <c r="F4680" s="188">
        <v>70000</v>
      </c>
      <c r="G4680" s="188"/>
      <c r="H4680" s="188"/>
      <c r="I4680" s="188" t="s">
        <v>1350</v>
      </c>
      <c r="J4680" s="187" t="s">
        <v>4551</v>
      </c>
      <c r="K4680" s="186"/>
    </row>
    <row r="4681" spans="1:11" x14ac:dyDescent="0.2">
      <c r="A4681" s="8">
        <v>6060</v>
      </c>
      <c r="B4681" s="8">
        <f t="shared" si="152"/>
        <v>2025</v>
      </c>
      <c r="C4681" s="8">
        <f t="shared" si="153"/>
        <v>8</v>
      </c>
      <c r="D4681" s="204">
        <v>45892</v>
      </c>
      <c r="E4681" s="188"/>
      <c r="F4681" s="188">
        <v>500000</v>
      </c>
      <c r="G4681" s="188"/>
      <c r="H4681" s="188"/>
      <c r="I4681" s="188" t="s">
        <v>1999</v>
      </c>
      <c r="J4681" s="187" t="s">
        <v>4554</v>
      </c>
      <c r="K4681" s="186"/>
    </row>
    <row r="4682" spans="1:11" x14ac:dyDescent="0.2">
      <c r="A4682" s="8">
        <v>6107</v>
      </c>
      <c r="B4682" s="8">
        <f t="shared" si="152"/>
        <v>2025</v>
      </c>
      <c r="C4682" s="8">
        <f t="shared" si="153"/>
        <v>8</v>
      </c>
      <c r="D4682" s="204">
        <v>45892</v>
      </c>
      <c r="E4682" s="188"/>
      <c r="F4682" s="188">
        <v>65000</v>
      </c>
      <c r="G4682" s="188"/>
      <c r="H4682" s="188"/>
      <c r="I4682" s="188" t="s">
        <v>1815</v>
      </c>
      <c r="J4682" s="187" t="s">
        <v>4555</v>
      </c>
      <c r="K4682" s="186"/>
    </row>
    <row r="4683" spans="1:11" x14ac:dyDescent="0.2">
      <c r="A4683" s="8">
        <v>6154</v>
      </c>
      <c r="B4683" s="8">
        <f t="shared" si="152"/>
        <v>2025</v>
      </c>
      <c r="C4683" s="8">
        <f t="shared" si="153"/>
        <v>8</v>
      </c>
      <c r="D4683" s="204">
        <v>45892</v>
      </c>
      <c r="E4683" s="188"/>
      <c r="F4683" s="188">
        <v>461000</v>
      </c>
      <c r="G4683" s="188"/>
      <c r="H4683" s="188"/>
      <c r="I4683" s="188" t="s">
        <v>391</v>
      </c>
      <c r="J4683" s="187" t="s">
        <v>4556</v>
      </c>
      <c r="K4683" s="186"/>
    </row>
    <row r="4684" spans="1:11" x14ac:dyDescent="0.2">
      <c r="A4684" s="8">
        <v>6201</v>
      </c>
      <c r="B4684" s="8">
        <f t="shared" si="152"/>
        <v>2025</v>
      </c>
      <c r="C4684" s="8">
        <f t="shared" si="153"/>
        <v>8</v>
      </c>
      <c r="D4684" s="204">
        <v>45892</v>
      </c>
      <c r="E4684" s="188"/>
      <c r="F4684" s="188">
        <v>22000</v>
      </c>
      <c r="G4684" s="188"/>
      <c r="H4684" s="188"/>
      <c r="I4684" s="188" t="s">
        <v>391</v>
      </c>
      <c r="J4684" s="187" t="s">
        <v>4557</v>
      </c>
      <c r="K4684" s="186"/>
    </row>
    <row r="4685" spans="1:11" x14ac:dyDescent="0.2">
      <c r="A4685" s="8">
        <v>6248</v>
      </c>
      <c r="B4685" s="8">
        <f t="shared" si="152"/>
        <v>2025</v>
      </c>
      <c r="C4685" s="8">
        <f t="shared" si="153"/>
        <v>8</v>
      </c>
      <c r="D4685" s="204">
        <v>45893</v>
      </c>
      <c r="E4685" s="188"/>
      <c r="F4685" s="188">
        <v>100000</v>
      </c>
      <c r="G4685" s="188"/>
      <c r="H4685" s="188"/>
      <c r="I4685" s="188" t="s">
        <v>85</v>
      </c>
      <c r="J4685" s="187" t="s">
        <v>4469</v>
      </c>
      <c r="K4685" s="186"/>
    </row>
    <row r="4686" spans="1:11" x14ac:dyDescent="0.2">
      <c r="A4686" s="8">
        <v>6295</v>
      </c>
      <c r="B4686" s="8">
        <f t="shared" si="152"/>
        <v>2025</v>
      </c>
      <c r="C4686" s="8">
        <f t="shared" si="153"/>
        <v>8</v>
      </c>
      <c r="D4686" s="204">
        <v>45893</v>
      </c>
      <c r="E4686" s="188"/>
      <c r="F4686" s="188">
        <v>140000</v>
      </c>
      <c r="G4686" s="188"/>
      <c r="H4686" s="188"/>
      <c r="I4686" s="188" t="s">
        <v>91</v>
      </c>
      <c r="J4686" s="187" t="s">
        <v>4558</v>
      </c>
      <c r="K4686" s="186"/>
    </row>
    <row r="4687" spans="1:11" x14ac:dyDescent="0.2">
      <c r="A4687" s="8">
        <v>6342</v>
      </c>
      <c r="B4687" s="8">
        <f t="shared" si="152"/>
        <v>2025</v>
      </c>
      <c r="C4687" s="8">
        <f t="shared" si="153"/>
        <v>8</v>
      </c>
      <c r="D4687" s="204">
        <v>45893</v>
      </c>
      <c r="E4687" s="188"/>
      <c r="F4687" s="188">
        <v>130000</v>
      </c>
      <c r="G4687" s="188"/>
      <c r="H4687" s="188"/>
      <c r="I4687" s="188" t="s">
        <v>335</v>
      </c>
      <c r="J4687" s="187" t="s">
        <v>4559</v>
      </c>
      <c r="K4687" s="186"/>
    </row>
    <row r="4688" spans="1:11" x14ac:dyDescent="0.2">
      <c r="A4688" s="8">
        <v>6389</v>
      </c>
      <c r="B4688" s="8">
        <f t="shared" si="152"/>
        <v>2025</v>
      </c>
      <c r="C4688" s="8">
        <f t="shared" si="153"/>
        <v>8</v>
      </c>
      <c r="D4688" s="204">
        <v>45894</v>
      </c>
      <c r="E4688" s="188"/>
      <c r="F4688" s="188">
        <v>50000</v>
      </c>
      <c r="G4688" s="188"/>
      <c r="H4688" s="188"/>
      <c r="I4688" s="188" t="s">
        <v>85</v>
      </c>
      <c r="J4688" s="187" t="s">
        <v>2605</v>
      </c>
      <c r="K4688" s="186"/>
    </row>
    <row r="4689" spans="1:11" x14ac:dyDescent="0.2">
      <c r="A4689" s="8">
        <v>6436</v>
      </c>
      <c r="B4689" s="8">
        <f t="shared" si="152"/>
        <v>2025</v>
      </c>
      <c r="C4689" s="8">
        <f t="shared" si="153"/>
        <v>8</v>
      </c>
      <c r="D4689" s="204">
        <v>45894</v>
      </c>
      <c r="E4689" s="188"/>
      <c r="F4689" s="188">
        <v>50000</v>
      </c>
      <c r="G4689" s="188"/>
      <c r="H4689" s="188"/>
      <c r="I4689" s="188" t="s">
        <v>91</v>
      </c>
      <c r="J4689" s="187" t="s">
        <v>4560</v>
      </c>
      <c r="K4689" s="186"/>
    </row>
    <row r="4690" spans="1:11" x14ac:dyDescent="0.2">
      <c r="A4690" s="8">
        <v>6483</v>
      </c>
      <c r="B4690" s="8">
        <f t="shared" si="152"/>
        <v>2025</v>
      </c>
      <c r="C4690" s="8">
        <f t="shared" si="153"/>
        <v>8</v>
      </c>
      <c r="D4690" s="204">
        <v>45895</v>
      </c>
      <c r="E4690" s="188"/>
      <c r="F4690" s="188">
        <v>75000</v>
      </c>
      <c r="G4690" s="188"/>
      <c r="H4690" s="188"/>
      <c r="I4690" s="188" t="s">
        <v>4569</v>
      </c>
      <c r="J4690" s="187" t="s">
        <v>4561</v>
      </c>
      <c r="K4690" s="186"/>
    </row>
    <row r="4691" spans="1:11" x14ac:dyDescent="0.2">
      <c r="A4691" s="8">
        <v>6530</v>
      </c>
      <c r="B4691" s="8">
        <f t="shared" si="152"/>
        <v>2025</v>
      </c>
      <c r="C4691" s="8">
        <f t="shared" si="153"/>
        <v>8</v>
      </c>
      <c r="D4691" s="204">
        <v>45895</v>
      </c>
      <c r="E4691" s="188"/>
      <c r="F4691" s="188">
        <v>47000</v>
      </c>
      <c r="G4691" s="188"/>
      <c r="H4691" s="188"/>
      <c r="I4691" s="188" t="s">
        <v>1992</v>
      </c>
      <c r="J4691" s="187" t="s">
        <v>4562</v>
      </c>
      <c r="K4691" s="186"/>
    </row>
    <row r="4692" spans="1:11" x14ac:dyDescent="0.2">
      <c r="A4692" s="8">
        <v>6577</v>
      </c>
      <c r="B4692" s="8">
        <f t="shared" si="152"/>
        <v>2025</v>
      </c>
      <c r="C4692" s="8">
        <f t="shared" si="153"/>
        <v>8</v>
      </c>
      <c r="D4692" s="204">
        <v>45895</v>
      </c>
      <c r="E4692" s="188"/>
      <c r="F4692" s="188">
        <v>47000</v>
      </c>
      <c r="G4692" s="188"/>
      <c r="H4692" s="188"/>
      <c r="I4692" s="188" t="s">
        <v>1992</v>
      </c>
      <c r="J4692" s="187" t="s">
        <v>4563</v>
      </c>
      <c r="K4692" s="186"/>
    </row>
    <row r="4693" spans="1:11" x14ac:dyDescent="0.2">
      <c r="A4693" s="8">
        <v>6624</v>
      </c>
      <c r="B4693" s="8">
        <f t="shared" si="152"/>
        <v>2025</v>
      </c>
      <c r="C4693" s="8">
        <f t="shared" si="153"/>
        <v>8</v>
      </c>
      <c r="D4693" s="204">
        <v>45895</v>
      </c>
      <c r="E4693" s="188">
        <v>2000000</v>
      </c>
      <c r="F4693" s="188"/>
      <c r="G4693" s="188"/>
      <c r="H4693" s="188"/>
      <c r="I4693" s="188" t="s">
        <v>109</v>
      </c>
      <c r="J4693" s="187" t="s">
        <v>1546</v>
      </c>
      <c r="K4693" s="186"/>
    </row>
    <row r="4694" spans="1:11" x14ac:dyDescent="0.2">
      <c r="A4694" s="8">
        <v>6624</v>
      </c>
      <c r="B4694" s="8">
        <f t="shared" si="152"/>
        <v>2025</v>
      </c>
      <c r="C4694" s="8">
        <f t="shared" si="153"/>
        <v>8</v>
      </c>
      <c r="D4694" s="204">
        <v>45896</v>
      </c>
      <c r="E4694" s="188"/>
      <c r="F4694" s="188">
        <v>50000</v>
      </c>
      <c r="G4694" s="188"/>
      <c r="H4694" s="188"/>
      <c r="I4694" s="188" t="s">
        <v>85</v>
      </c>
      <c r="J4694" s="187" t="s">
        <v>2605</v>
      </c>
      <c r="K4694" s="186"/>
    </row>
    <row r="4695" spans="1:11" x14ac:dyDescent="0.2">
      <c r="A4695" s="8">
        <v>6671</v>
      </c>
      <c r="B4695" s="8">
        <f t="shared" si="152"/>
        <v>2025</v>
      </c>
      <c r="C4695" s="8">
        <f t="shared" si="153"/>
        <v>8</v>
      </c>
      <c r="D4695" s="204">
        <v>45897</v>
      </c>
      <c r="E4695" s="188"/>
      <c r="F4695" s="188">
        <v>187000</v>
      </c>
      <c r="G4695" s="188"/>
      <c r="H4695" s="188"/>
      <c r="I4695" s="188" t="s">
        <v>4569</v>
      </c>
      <c r="J4695" s="187" t="s">
        <v>4564</v>
      </c>
      <c r="K4695" s="186"/>
    </row>
    <row r="4696" spans="1:11" x14ac:dyDescent="0.2">
      <c r="A4696" s="8">
        <v>6718</v>
      </c>
      <c r="B4696" s="8">
        <f t="shared" si="152"/>
        <v>2025</v>
      </c>
      <c r="C4696" s="8">
        <f t="shared" si="153"/>
        <v>8</v>
      </c>
      <c r="D4696" s="204">
        <v>45898</v>
      </c>
      <c r="E4696" s="188"/>
      <c r="F4696" s="188">
        <v>40000</v>
      </c>
      <c r="G4696" s="188"/>
      <c r="H4696" s="188"/>
      <c r="I4696" s="188" t="s">
        <v>85</v>
      </c>
      <c r="J4696" s="187" t="s">
        <v>3906</v>
      </c>
      <c r="K4696" s="186"/>
    </row>
    <row r="4697" spans="1:11" x14ac:dyDescent="0.2">
      <c r="A4697" s="8">
        <v>6765</v>
      </c>
      <c r="B4697" s="8">
        <f t="shared" si="152"/>
        <v>2025</v>
      </c>
      <c r="C4697" s="8">
        <f t="shared" si="153"/>
        <v>8</v>
      </c>
      <c r="D4697" s="204">
        <v>45899</v>
      </c>
      <c r="E4697" s="188"/>
      <c r="F4697" s="188">
        <v>220000</v>
      </c>
      <c r="G4697" s="188"/>
      <c r="H4697" s="188"/>
      <c r="I4697" s="188" t="s">
        <v>299</v>
      </c>
      <c r="J4697" s="187" t="s">
        <v>4565</v>
      </c>
      <c r="K4697" s="186"/>
    </row>
    <row r="4698" spans="1:11" x14ac:dyDescent="0.2">
      <c r="A4698" s="8">
        <v>6812</v>
      </c>
      <c r="B4698" s="8">
        <f t="shared" si="152"/>
        <v>2025</v>
      </c>
      <c r="C4698" s="8">
        <f t="shared" si="153"/>
        <v>8</v>
      </c>
      <c r="D4698" s="204">
        <v>45899</v>
      </c>
      <c r="E4698" s="188"/>
      <c r="F4698" s="188">
        <v>45000</v>
      </c>
      <c r="G4698" s="188"/>
      <c r="H4698" s="188"/>
      <c r="I4698" s="188" t="s">
        <v>1815</v>
      </c>
      <c r="J4698" s="187" t="s">
        <v>4566</v>
      </c>
      <c r="K4698" s="186"/>
    </row>
    <row r="4699" spans="1:11" x14ac:dyDescent="0.2">
      <c r="A4699" s="8">
        <v>6859</v>
      </c>
      <c r="B4699" s="8">
        <f t="shared" si="152"/>
        <v>2025</v>
      </c>
      <c r="C4699" s="8">
        <f t="shared" si="153"/>
        <v>8</v>
      </c>
      <c r="D4699" s="204">
        <v>45899</v>
      </c>
      <c r="E4699" s="188"/>
      <c r="F4699" s="188">
        <v>20000</v>
      </c>
      <c r="G4699" s="188"/>
      <c r="H4699" s="188"/>
      <c r="I4699" s="188" t="s">
        <v>91</v>
      </c>
      <c r="J4699" s="187" t="s">
        <v>2843</v>
      </c>
      <c r="K4699" s="186"/>
    </row>
    <row r="4700" spans="1:11" x14ac:dyDescent="0.2">
      <c r="A4700" s="8">
        <v>6906</v>
      </c>
      <c r="B4700" s="8">
        <f t="shared" si="152"/>
        <v>2025</v>
      </c>
      <c r="C4700" s="8">
        <f t="shared" si="153"/>
        <v>8</v>
      </c>
      <c r="D4700" s="204">
        <v>45899</v>
      </c>
      <c r="E4700" s="188"/>
      <c r="F4700" s="188">
        <v>100000</v>
      </c>
      <c r="G4700" s="188"/>
      <c r="H4700" s="188"/>
      <c r="I4700" s="188" t="s">
        <v>2807</v>
      </c>
      <c r="J4700" s="187" t="s">
        <v>4567</v>
      </c>
      <c r="K4700" s="186"/>
    </row>
    <row r="4701" spans="1:11" x14ac:dyDescent="0.2">
      <c r="A4701" s="8">
        <v>6953</v>
      </c>
      <c r="B4701" s="8">
        <f t="shared" si="152"/>
        <v>2025</v>
      </c>
      <c r="C4701" s="8">
        <f t="shared" si="153"/>
        <v>8</v>
      </c>
      <c r="D4701" s="204">
        <v>45900</v>
      </c>
      <c r="E4701" s="188"/>
      <c r="F4701" s="188">
        <v>300000</v>
      </c>
      <c r="G4701" s="188"/>
      <c r="H4701" s="188"/>
      <c r="I4701" s="188" t="s">
        <v>1350</v>
      </c>
      <c r="J4701" s="187" t="s">
        <v>4568</v>
      </c>
      <c r="K4701" s="186"/>
    </row>
    <row r="4702" spans="1:11" x14ac:dyDescent="0.2">
      <c r="A4702" s="8">
        <v>7047</v>
      </c>
      <c r="B4702" s="8">
        <f t="shared" si="152"/>
        <v>2025</v>
      </c>
      <c r="C4702" s="8">
        <f t="shared" si="153"/>
        <v>9</v>
      </c>
      <c r="D4702" s="204">
        <v>45901</v>
      </c>
      <c r="E4702" s="188"/>
      <c r="F4702" s="188">
        <v>50000</v>
      </c>
      <c r="G4702" s="188"/>
      <c r="H4702" s="188"/>
      <c r="I4702" s="188" t="s">
        <v>85</v>
      </c>
      <c r="J4702" t="s">
        <v>2605</v>
      </c>
      <c r="K4702" s="186"/>
    </row>
    <row r="4703" spans="1:11" x14ac:dyDescent="0.2">
      <c r="A4703" s="8">
        <v>7094</v>
      </c>
      <c r="B4703" s="8">
        <f t="shared" si="152"/>
        <v>2025</v>
      </c>
      <c r="C4703" s="8">
        <f t="shared" si="153"/>
        <v>9</v>
      </c>
      <c r="D4703" s="204">
        <v>45902</v>
      </c>
      <c r="E4703" s="188"/>
      <c r="F4703" s="188">
        <v>0</v>
      </c>
      <c r="G4703" s="188">
        <v>100000</v>
      </c>
      <c r="H4703" s="188"/>
      <c r="I4703" s="188"/>
      <c r="J4703" t="s">
        <v>4598</v>
      </c>
      <c r="K4703" s="186"/>
    </row>
    <row r="4704" spans="1:11" x14ac:dyDescent="0.2">
      <c r="A4704" s="8">
        <v>7172.3333333333303</v>
      </c>
      <c r="B4704" s="8">
        <f t="shared" si="152"/>
        <v>2025</v>
      </c>
      <c r="C4704" s="8">
        <f t="shared" si="153"/>
        <v>9</v>
      </c>
      <c r="D4704" s="204">
        <v>45902</v>
      </c>
      <c r="E4704" s="188"/>
      <c r="F4704" s="188">
        <v>120000</v>
      </c>
      <c r="G4704" s="188"/>
      <c r="H4704" s="188"/>
      <c r="I4704" s="188" t="s">
        <v>1350</v>
      </c>
      <c r="J4704" t="s">
        <v>4599</v>
      </c>
      <c r="K4704" s="186"/>
    </row>
    <row r="4705" spans="1:11" x14ac:dyDescent="0.2">
      <c r="A4705" s="8">
        <v>7313.3333333333303</v>
      </c>
      <c r="B4705" s="8">
        <f t="shared" si="152"/>
        <v>2025</v>
      </c>
      <c r="C4705" s="8">
        <f t="shared" si="153"/>
        <v>9</v>
      </c>
      <c r="D4705" s="204">
        <v>45902</v>
      </c>
      <c r="E4705" s="188"/>
      <c r="F4705" s="188">
        <v>81000</v>
      </c>
      <c r="G4705" s="188"/>
      <c r="H4705" s="188"/>
      <c r="I4705" s="188" t="s">
        <v>1992</v>
      </c>
      <c r="J4705" t="s">
        <v>4601</v>
      </c>
      <c r="K4705" s="186"/>
    </row>
    <row r="4706" spans="1:11" x14ac:dyDescent="0.2">
      <c r="A4706" s="8">
        <v>7383.8333333333303</v>
      </c>
      <c r="B4706" s="8">
        <f t="shared" si="152"/>
        <v>2025</v>
      </c>
      <c r="C4706" s="8">
        <f t="shared" si="153"/>
        <v>9</v>
      </c>
      <c r="D4706" s="204">
        <v>45903</v>
      </c>
      <c r="E4706" s="188"/>
      <c r="F4706" s="188">
        <v>0</v>
      </c>
      <c r="G4706" s="188">
        <v>1400000</v>
      </c>
      <c r="H4706" s="188"/>
      <c r="I4706" s="188"/>
      <c r="J4706" t="s">
        <v>4602</v>
      </c>
      <c r="K4706" s="186"/>
    </row>
    <row r="4707" spans="1:11" x14ac:dyDescent="0.2">
      <c r="A4707" s="8">
        <v>7454.3333333333303</v>
      </c>
      <c r="B4707" s="8">
        <f t="shared" si="152"/>
        <v>2025</v>
      </c>
      <c r="C4707" s="8">
        <f t="shared" si="153"/>
        <v>9</v>
      </c>
      <c r="D4707" s="204">
        <v>45904</v>
      </c>
      <c r="E4707" s="188"/>
      <c r="F4707" s="188">
        <v>350000</v>
      </c>
      <c r="G4707" s="188"/>
      <c r="H4707" s="188"/>
      <c r="I4707" s="188" t="s">
        <v>1815</v>
      </c>
      <c r="J4707" t="s">
        <v>4603</v>
      </c>
      <c r="K4707" s="186"/>
    </row>
    <row r="4708" spans="1:11" x14ac:dyDescent="0.2">
      <c r="A4708" s="8">
        <v>7524.8333333333303</v>
      </c>
      <c r="B4708" s="8">
        <f t="shared" si="152"/>
        <v>2025</v>
      </c>
      <c r="C4708" s="8">
        <f t="shared" si="153"/>
        <v>9</v>
      </c>
      <c r="D4708" s="204">
        <v>45904</v>
      </c>
      <c r="E4708" s="188"/>
      <c r="F4708" s="188">
        <v>70000</v>
      </c>
      <c r="G4708" s="188"/>
      <c r="H4708" s="188"/>
      <c r="I4708" s="188" t="s">
        <v>91</v>
      </c>
      <c r="J4708" t="s">
        <v>4604</v>
      </c>
      <c r="K4708" s="186"/>
    </row>
    <row r="4709" spans="1:11" x14ac:dyDescent="0.2">
      <c r="A4709" s="8">
        <v>7595.3333333333303</v>
      </c>
      <c r="B4709" s="8">
        <f t="shared" si="152"/>
        <v>2025</v>
      </c>
      <c r="C4709" s="8">
        <f t="shared" si="153"/>
        <v>9</v>
      </c>
      <c r="D4709" s="204">
        <v>45904</v>
      </c>
      <c r="E4709" s="188"/>
      <c r="F4709" s="188">
        <v>30000</v>
      </c>
      <c r="G4709" s="188"/>
      <c r="H4709" s="188"/>
      <c r="I4709" s="188" t="s">
        <v>85</v>
      </c>
      <c r="J4709" t="s">
        <v>2655</v>
      </c>
      <c r="K4709" s="186"/>
    </row>
    <row r="4710" spans="1:11" x14ac:dyDescent="0.2">
      <c r="A4710" s="8">
        <v>7665.8333333333303</v>
      </c>
      <c r="B4710" s="8">
        <f t="shared" si="152"/>
        <v>2025</v>
      </c>
      <c r="C4710" s="8">
        <f t="shared" si="153"/>
        <v>9</v>
      </c>
      <c r="D4710" s="204">
        <v>45905</v>
      </c>
      <c r="E4710" s="188"/>
      <c r="F4710" s="188">
        <v>18000</v>
      </c>
      <c r="G4710" s="188"/>
      <c r="H4710" s="188"/>
      <c r="I4710" s="188" t="s">
        <v>91</v>
      </c>
      <c r="J4710" t="s">
        <v>4605</v>
      </c>
      <c r="K4710" s="186"/>
    </row>
    <row r="4711" spans="1:11" x14ac:dyDescent="0.2">
      <c r="A4711" s="8">
        <v>7736.3333333333303</v>
      </c>
      <c r="B4711" s="8">
        <f t="shared" si="152"/>
        <v>2025</v>
      </c>
      <c r="C4711" s="8">
        <f t="shared" si="153"/>
        <v>9</v>
      </c>
      <c r="D4711" s="204">
        <v>45906</v>
      </c>
      <c r="E4711" s="188"/>
      <c r="F4711" s="188">
        <v>30000</v>
      </c>
      <c r="G4711" s="188"/>
      <c r="H4711" s="188"/>
      <c r="I4711" s="188" t="s">
        <v>91</v>
      </c>
      <c r="J4711" t="s">
        <v>2467</v>
      </c>
      <c r="K4711" s="186"/>
    </row>
    <row r="4712" spans="1:11" x14ac:dyDescent="0.2">
      <c r="A4712" s="8">
        <v>7806.8333333333303</v>
      </c>
      <c r="B4712" s="8">
        <f t="shared" si="152"/>
        <v>2025</v>
      </c>
      <c r="C4712" s="8">
        <f t="shared" si="153"/>
        <v>9</v>
      </c>
      <c r="D4712" s="204">
        <v>45906</v>
      </c>
      <c r="E4712" s="188"/>
      <c r="F4712" s="188">
        <v>240000</v>
      </c>
      <c r="G4712" s="188"/>
      <c r="H4712" s="188"/>
      <c r="I4712" s="188" t="s">
        <v>1815</v>
      </c>
      <c r="J4712" t="s">
        <v>4606</v>
      </c>
      <c r="K4712" s="186"/>
    </row>
    <row r="4713" spans="1:11" x14ac:dyDescent="0.2">
      <c r="A4713" s="8">
        <v>7877.3333333333303</v>
      </c>
      <c r="B4713" s="8">
        <f t="shared" si="152"/>
        <v>2025</v>
      </c>
      <c r="C4713" s="8">
        <f t="shared" si="153"/>
        <v>9</v>
      </c>
      <c r="D4713" s="204">
        <v>45907</v>
      </c>
      <c r="E4713" s="188"/>
      <c r="F4713" s="188">
        <v>700000</v>
      </c>
      <c r="G4713" s="188"/>
      <c r="H4713" s="188"/>
      <c r="I4713" s="188" t="s">
        <v>1729</v>
      </c>
      <c r="J4713" t="s">
        <v>4452</v>
      </c>
      <c r="K4713" s="186"/>
    </row>
    <row r="4714" spans="1:11" x14ac:dyDescent="0.2">
      <c r="A4714" s="8">
        <v>7947.8333333333303</v>
      </c>
      <c r="B4714" s="8">
        <f t="shared" si="152"/>
        <v>2025</v>
      </c>
      <c r="C4714" s="8">
        <f t="shared" si="153"/>
        <v>9</v>
      </c>
      <c r="D4714" s="204">
        <v>45907</v>
      </c>
      <c r="E4714" s="188"/>
      <c r="F4714" s="188">
        <v>30000</v>
      </c>
      <c r="G4714" s="188"/>
      <c r="H4714" s="188"/>
      <c r="I4714" s="188" t="s">
        <v>1350</v>
      </c>
      <c r="J4714" t="s">
        <v>4607</v>
      </c>
      <c r="K4714" s="186"/>
    </row>
    <row r="4715" spans="1:11" x14ac:dyDescent="0.2">
      <c r="A4715" s="8">
        <v>8018.3333333333303</v>
      </c>
      <c r="B4715" s="8">
        <f t="shared" si="152"/>
        <v>2025</v>
      </c>
      <c r="C4715" s="8">
        <f t="shared" si="153"/>
        <v>9</v>
      </c>
      <c r="D4715" s="204">
        <v>45907</v>
      </c>
      <c r="E4715" s="188"/>
      <c r="F4715" s="188">
        <v>370000</v>
      </c>
      <c r="G4715" s="188"/>
      <c r="H4715" s="188"/>
      <c r="I4715" s="188" t="s">
        <v>335</v>
      </c>
      <c r="J4715" t="s">
        <v>4608</v>
      </c>
      <c r="K4715" s="186"/>
    </row>
    <row r="4716" spans="1:11" x14ac:dyDescent="0.2">
      <c r="A4716" s="8">
        <v>8088.8333333333303</v>
      </c>
      <c r="B4716" s="8">
        <f t="shared" si="152"/>
        <v>2025</v>
      </c>
      <c r="C4716" s="8">
        <f t="shared" si="153"/>
        <v>9</v>
      </c>
      <c r="D4716" s="204">
        <v>45908</v>
      </c>
      <c r="E4716" s="188"/>
      <c r="F4716" s="188">
        <v>12000</v>
      </c>
      <c r="G4716" s="188"/>
      <c r="H4716" s="188"/>
      <c r="I4716" s="188" t="s">
        <v>91</v>
      </c>
      <c r="J4716" t="s">
        <v>4471</v>
      </c>
      <c r="K4716" s="186"/>
    </row>
    <row r="4717" spans="1:11" x14ac:dyDescent="0.2">
      <c r="A4717" s="8">
        <v>8159.3333333333303</v>
      </c>
      <c r="B4717" s="8">
        <f t="shared" si="152"/>
        <v>2025</v>
      </c>
      <c r="C4717" s="8">
        <f t="shared" si="153"/>
        <v>9</v>
      </c>
      <c r="D4717" s="204">
        <v>45908</v>
      </c>
      <c r="E4717" s="188"/>
      <c r="F4717" s="188">
        <v>20000</v>
      </c>
      <c r="G4717" s="188"/>
      <c r="H4717" s="188"/>
      <c r="I4717" s="188" t="s">
        <v>85</v>
      </c>
      <c r="J4717" t="s">
        <v>4094</v>
      </c>
      <c r="K4717" s="186"/>
    </row>
    <row r="4718" spans="1:11" x14ac:dyDescent="0.2">
      <c r="A4718" s="8">
        <v>8229.8333333333303</v>
      </c>
      <c r="B4718" s="8">
        <f t="shared" si="152"/>
        <v>2025</v>
      </c>
      <c r="C4718" s="8">
        <f t="shared" si="153"/>
        <v>9</v>
      </c>
      <c r="D4718" s="204">
        <v>45909</v>
      </c>
      <c r="E4718" s="188"/>
      <c r="F4718" s="188">
        <v>50000</v>
      </c>
      <c r="G4718" s="188"/>
      <c r="H4718" s="188"/>
      <c r="I4718" s="188" t="s">
        <v>85</v>
      </c>
      <c r="J4718" t="s">
        <v>2605</v>
      </c>
      <c r="K4718" s="186"/>
    </row>
    <row r="4719" spans="1:11" x14ac:dyDescent="0.2">
      <c r="A4719" s="8">
        <v>8300.3333333333303</v>
      </c>
      <c r="B4719" s="8">
        <f t="shared" si="152"/>
        <v>2025</v>
      </c>
      <c r="C4719" s="8">
        <f t="shared" si="153"/>
        <v>9</v>
      </c>
      <c r="D4719" s="204">
        <v>45910</v>
      </c>
      <c r="E4719" s="188"/>
      <c r="F4719" s="188">
        <v>50000</v>
      </c>
      <c r="G4719" s="188"/>
      <c r="H4719" s="188"/>
      <c r="I4719" s="188" t="s">
        <v>85</v>
      </c>
      <c r="J4719" t="s">
        <v>2602</v>
      </c>
      <c r="K4719" s="186"/>
    </row>
    <row r="4720" spans="1:11" x14ac:dyDescent="0.2">
      <c r="A4720" s="8">
        <v>8370.8333333333303</v>
      </c>
      <c r="B4720" s="8">
        <f t="shared" si="152"/>
        <v>2025</v>
      </c>
      <c r="C4720" s="8">
        <f t="shared" si="153"/>
        <v>9</v>
      </c>
      <c r="D4720" s="204">
        <v>45910</v>
      </c>
      <c r="E4720" s="188"/>
      <c r="F4720" s="188">
        <v>100000</v>
      </c>
      <c r="G4720" s="188"/>
      <c r="H4720" s="188"/>
      <c r="I4720" s="188" t="s">
        <v>4569</v>
      </c>
      <c r="J4720" t="s">
        <v>4609</v>
      </c>
      <c r="K4720" s="186"/>
    </row>
    <row r="4721" spans="1:11" x14ac:dyDescent="0.2">
      <c r="A4721" s="8">
        <v>8441.3333333333303</v>
      </c>
      <c r="B4721" s="8">
        <f t="shared" si="152"/>
        <v>2025</v>
      </c>
      <c r="C4721" s="8">
        <f t="shared" si="153"/>
        <v>9</v>
      </c>
      <c r="D4721" s="204">
        <v>45910</v>
      </c>
      <c r="E4721" s="188"/>
      <c r="F4721" s="188">
        <v>100000</v>
      </c>
      <c r="G4721" s="188"/>
      <c r="H4721" s="188"/>
      <c r="I4721" s="188" t="s">
        <v>1815</v>
      </c>
      <c r="J4721" t="s">
        <v>4610</v>
      </c>
      <c r="K4721" s="186"/>
    </row>
    <row r="4722" spans="1:11" x14ac:dyDescent="0.2">
      <c r="A4722" s="8">
        <v>8511.8333333333303</v>
      </c>
      <c r="B4722" s="8">
        <f t="shared" si="152"/>
        <v>2025</v>
      </c>
      <c r="C4722" s="8">
        <f t="shared" si="153"/>
        <v>9</v>
      </c>
      <c r="D4722" s="204">
        <v>45911</v>
      </c>
      <c r="E4722" s="188"/>
      <c r="F4722" s="188">
        <v>100000</v>
      </c>
      <c r="G4722" s="188"/>
      <c r="H4722" s="188"/>
      <c r="I4722" s="188" t="s">
        <v>1992</v>
      </c>
      <c r="J4722" t="s">
        <v>4611</v>
      </c>
      <c r="K4722" s="186"/>
    </row>
    <row r="4723" spans="1:11" x14ac:dyDescent="0.2">
      <c r="A4723" s="8">
        <v>8582.3333333333303</v>
      </c>
      <c r="B4723" s="8">
        <f t="shared" si="152"/>
        <v>2025</v>
      </c>
      <c r="C4723" s="8">
        <f t="shared" si="153"/>
        <v>9</v>
      </c>
      <c r="D4723" s="204">
        <v>45911</v>
      </c>
      <c r="E4723" s="188"/>
      <c r="F4723" s="188">
        <v>279000</v>
      </c>
      <c r="G4723" s="188"/>
      <c r="H4723" s="188"/>
      <c r="I4723" s="188" t="s">
        <v>1992</v>
      </c>
      <c r="J4723" t="s">
        <v>4612</v>
      </c>
      <c r="K4723" s="186"/>
    </row>
    <row r="4724" spans="1:11" x14ac:dyDescent="0.2">
      <c r="A4724" s="8">
        <v>8652.8333333333303</v>
      </c>
      <c r="B4724" s="8">
        <f t="shared" si="152"/>
        <v>2025</v>
      </c>
      <c r="C4724" s="8">
        <f t="shared" si="153"/>
        <v>9</v>
      </c>
      <c r="D4724" s="204">
        <v>45912</v>
      </c>
      <c r="E4724" s="188"/>
      <c r="F4724" s="188">
        <v>50000</v>
      </c>
      <c r="G4724" s="188"/>
      <c r="H4724" s="188"/>
      <c r="I4724" s="188" t="s">
        <v>85</v>
      </c>
      <c r="J4724" t="s">
        <v>2605</v>
      </c>
      <c r="K4724" s="186"/>
    </row>
    <row r="4725" spans="1:11" x14ac:dyDescent="0.2">
      <c r="A4725" s="8">
        <v>8723.3333333333303</v>
      </c>
      <c r="B4725" s="8">
        <f t="shared" si="152"/>
        <v>2025</v>
      </c>
      <c r="C4725" s="8">
        <f t="shared" si="153"/>
        <v>9</v>
      </c>
      <c r="D4725" s="204">
        <v>45913</v>
      </c>
      <c r="E4725" s="188"/>
      <c r="F4725" s="188">
        <v>80000</v>
      </c>
      <c r="G4725" s="188"/>
      <c r="H4725" s="188"/>
      <c r="I4725" s="188" t="s">
        <v>1815</v>
      </c>
      <c r="J4725" t="s">
        <v>4613</v>
      </c>
      <c r="K4725" s="186"/>
    </row>
    <row r="4726" spans="1:11" x14ac:dyDescent="0.2">
      <c r="A4726" s="8">
        <v>8793.8333333333303</v>
      </c>
      <c r="B4726" s="8">
        <f t="shared" si="152"/>
        <v>2025</v>
      </c>
      <c r="C4726" s="8">
        <f t="shared" si="153"/>
        <v>9</v>
      </c>
      <c r="D4726" s="204">
        <v>45913</v>
      </c>
      <c r="E4726" s="188"/>
      <c r="F4726" s="188">
        <v>180000</v>
      </c>
      <c r="G4726" s="188"/>
      <c r="H4726" s="188"/>
      <c r="I4726" s="188" t="s">
        <v>299</v>
      </c>
      <c r="J4726" t="s">
        <v>4614</v>
      </c>
      <c r="K4726" s="186"/>
    </row>
    <row r="4727" spans="1:11" x14ac:dyDescent="0.2">
      <c r="A4727" s="8">
        <v>8864.3333333333303</v>
      </c>
      <c r="B4727" s="8">
        <f t="shared" si="152"/>
        <v>2025</v>
      </c>
      <c r="C4727" s="8">
        <f t="shared" si="153"/>
        <v>9</v>
      </c>
      <c r="D4727" s="204">
        <v>45913</v>
      </c>
      <c r="E4727" s="188"/>
      <c r="F4727" s="188">
        <v>150000</v>
      </c>
      <c r="G4727" s="188"/>
      <c r="H4727" s="188"/>
      <c r="I4727" s="188" t="s">
        <v>1992</v>
      </c>
      <c r="J4727" t="s">
        <v>4615</v>
      </c>
      <c r="K4727" s="186"/>
    </row>
    <row r="4728" spans="1:11" x14ac:dyDescent="0.2">
      <c r="A4728" s="8">
        <v>8934.8333333333303</v>
      </c>
      <c r="B4728" s="8">
        <f t="shared" si="152"/>
        <v>2025</v>
      </c>
      <c r="C4728" s="8">
        <f t="shared" si="153"/>
        <v>9</v>
      </c>
      <c r="D4728" s="204">
        <v>45914</v>
      </c>
      <c r="E4728" s="188"/>
      <c r="F4728" s="188">
        <v>100000</v>
      </c>
      <c r="G4728" s="188"/>
      <c r="H4728" s="188"/>
      <c r="I4728" s="188" t="s">
        <v>85</v>
      </c>
      <c r="J4728" t="s">
        <v>3891</v>
      </c>
      <c r="K4728" s="186"/>
    </row>
    <row r="4729" spans="1:11" x14ac:dyDescent="0.2">
      <c r="A4729" s="8">
        <v>9005.3333333333303</v>
      </c>
      <c r="B4729" s="8">
        <f t="shared" si="152"/>
        <v>2025</v>
      </c>
      <c r="C4729" s="8">
        <f t="shared" si="153"/>
        <v>9</v>
      </c>
      <c r="D4729" s="204">
        <v>45915</v>
      </c>
      <c r="E4729" s="188"/>
      <c r="F4729" s="188">
        <v>50000</v>
      </c>
      <c r="G4729" s="188"/>
      <c r="H4729" s="188"/>
      <c r="I4729" s="188" t="s">
        <v>85</v>
      </c>
      <c r="J4729" t="s">
        <v>2605</v>
      </c>
      <c r="K4729" s="186"/>
    </row>
    <row r="4730" spans="1:11" x14ac:dyDescent="0.2">
      <c r="A4730" s="8">
        <v>9075.8333333333303</v>
      </c>
      <c r="B4730" s="8">
        <f t="shared" si="152"/>
        <v>2025</v>
      </c>
      <c r="C4730" s="8">
        <f t="shared" si="153"/>
        <v>9</v>
      </c>
      <c r="D4730" s="204">
        <v>45916</v>
      </c>
      <c r="E4730" s="188"/>
      <c r="F4730" s="188">
        <v>200000</v>
      </c>
      <c r="G4730" s="188"/>
      <c r="H4730" s="188"/>
      <c r="I4730" s="188" t="s">
        <v>1350</v>
      </c>
      <c r="J4730" t="s">
        <v>4616</v>
      </c>
      <c r="K4730" s="186"/>
    </row>
    <row r="4731" spans="1:11" x14ac:dyDescent="0.2">
      <c r="A4731" s="8">
        <v>9146.3333333333303</v>
      </c>
      <c r="B4731" s="8">
        <f t="shared" si="152"/>
        <v>2025</v>
      </c>
      <c r="C4731" s="8">
        <f t="shared" si="153"/>
        <v>9</v>
      </c>
      <c r="D4731" s="204">
        <v>45916</v>
      </c>
      <c r="E4731" s="188"/>
      <c r="F4731" s="188">
        <v>50000</v>
      </c>
      <c r="G4731" s="188"/>
      <c r="H4731" s="188"/>
      <c r="I4731" s="188" t="s">
        <v>85</v>
      </c>
      <c r="J4731" t="s">
        <v>2605</v>
      </c>
      <c r="K4731" s="186"/>
    </row>
    <row r="4732" spans="1:11" x14ac:dyDescent="0.2">
      <c r="A4732" s="8">
        <v>9216.8333333333303</v>
      </c>
      <c r="B4732" s="8">
        <f t="shared" si="152"/>
        <v>2025</v>
      </c>
      <c r="C4732" s="8">
        <f t="shared" si="153"/>
        <v>9</v>
      </c>
      <c r="D4732" s="204">
        <v>45916</v>
      </c>
      <c r="E4732" s="188"/>
      <c r="F4732" s="188">
        <v>70000</v>
      </c>
      <c r="G4732" s="188"/>
      <c r="H4732" s="188"/>
      <c r="I4732" s="188" t="s">
        <v>85</v>
      </c>
      <c r="J4732" t="s">
        <v>4617</v>
      </c>
      <c r="K4732" s="186"/>
    </row>
    <row r="4733" spans="1:11" x14ac:dyDescent="0.2">
      <c r="A4733" s="8">
        <v>9287.3333333333303</v>
      </c>
      <c r="B4733" s="8">
        <f t="shared" si="152"/>
        <v>2025</v>
      </c>
      <c r="C4733" s="8">
        <f t="shared" si="153"/>
        <v>9</v>
      </c>
      <c r="D4733" s="204">
        <v>45917</v>
      </c>
      <c r="E4733" s="188"/>
      <c r="F4733" s="188">
        <v>200000</v>
      </c>
      <c r="G4733" s="188"/>
      <c r="H4733" s="188"/>
      <c r="I4733" s="188" t="s">
        <v>1999</v>
      </c>
      <c r="J4733" t="s">
        <v>4618</v>
      </c>
      <c r="K4733" s="186"/>
    </row>
    <row r="4734" spans="1:11" x14ac:dyDescent="0.2">
      <c r="A4734" s="8">
        <v>9357.8333333333303</v>
      </c>
      <c r="B4734" s="8">
        <f t="shared" si="152"/>
        <v>2025</v>
      </c>
      <c r="C4734" s="8">
        <f t="shared" si="153"/>
        <v>9</v>
      </c>
      <c r="D4734" s="204">
        <v>45917</v>
      </c>
      <c r="E4734" s="188"/>
      <c r="F4734" s="188">
        <v>90000</v>
      </c>
      <c r="G4734" s="188"/>
      <c r="H4734" s="188"/>
      <c r="I4734" s="188" t="s">
        <v>1999</v>
      </c>
      <c r="J4734" t="s">
        <v>4619</v>
      </c>
      <c r="K4734" s="186"/>
    </row>
    <row r="4735" spans="1:11" x14ac:dyDescent="0.2">
      <c r="A4735" s="8">
        <v>9428.3333333333303</v>
      </c>
      <c r="B4735" s="8">
        <f t="shared" si="152"/>
        <v>2025</v>
      </c>
      <c r="C4735" s="8">
        <f t="shared" si="153"/>
        <v>9</v>
      </c>
      <c r="D4735" s="204">
        <v>45917</v>
      </c>
      <c r="E4735" s="188"/>
      <c r="F4735" s="188">
        <v>90000</v>
      </c>
      <c r="G4735" s="188"/>
      <c r="H4735" s="188"/>
      <c r="I4735" s="188" t="s">
        <v>1999</v>
      </c>
      <c r="J4735" t="s">
        <v>4620</v>
      </c>
      <c r="K4735" s="186"/>
    </row>
    <row r="4736" spans="1:11" x14ac:dyDescent="0.2">
      <c r="A4736" s="8">
        <v>9498.8333333333303</v>
      </c>
      <c r="B4736" s="8">
        <f t="shared" si="152"/>
        <v>2025</v>
      </c>
      <c r="C4736" s="8">
        <f t="shared" si="153"/>
        <v>9</v>
      </c>
      <c r="D4736" s="204">
        <v>45917</v>
      </c>
      <c r="E4736" s="188"/>
      <c r="F4736" s="188">
        <v>50000</v>
      </c>
      <c r="G4736" s="188"/>
      <c r="H4736" s="188"/>
      <c r="I4736" s="188" t="s">
        <v>85</v>
      </c>
      <c r="J4736" t="s">
        <v>2605</v>
      </c>
      <c r="K4736" s="186"/>
    </row>
    <row r="4737" spans="1:11" x14ac:dyDescent="0.2">
      <c r="A4737" s="8">
        <v>9569.3333333333303</v>
      </c>
      <c r="B4737" s="8">
        <f t="shared" si="152"/>
        <v>2025</v>
      </c>
      <c r="C4737" s="8">
        <f t="shared" si="153"/>
        <v>9</v>
      </c>
      <c r="D4737" s="204">
        <v>45918</v>
      </c>
      <c r="E4737" s="188"/>
      <c r="F4737" s="188">
        <v>89000</v>
      </c>
      <c r="G4737" s="188"/>
      <c r="H4737" s="188"/>
      <c r="I4737" s="188" t="s">
        <v>1350</v>
      </c>
      <c r="J4737" t="s">
        <v>4539</v>
      </c>
      <c r="K4737" s="186"/>
    </row>
    <row r="4738" spans="1:11" x14ac:dyDescent="0.2">
      <c r="A4738" s="8">
        <v>9639.8333333333303</v>
      </c>
      <c r="B4738" s="8">
        <f t="shared" si="152"/>
        <v>2025</v>
      </c>
      <c r="C4738" s="8">
        <f t="shared" si="153"/>
        <v>9</v>
      </c>
      <c r="D4738" s="204">
        <v>45919</v>
      </c>
      <c r="E4738" s="188"/>
      <c r="F4738" s="188">
        <v>150000</v>
      </c>
      <c r="G4738" s="188"/>
      <c r="H4738" s="188"/>
      <c r="I4738" s="188" t="s">
        <v>335</v>
      </c>
      <c r="J4738" t="s">
        <v>4621</v>
      </c>
      <c r="K4738" s="186"/>
    </row>
    <row r="4739" spans="1:11" x14ac:dyDescent="0.2">
      <c r="A4739" s="8">
        <v>9780.8333333333303</v>
      </c>
      <c r="B4739" s="8">
        <f t="shared" ref="B4739:B4802" si="154">YEAR(D4739)</f>
        <v>2025</v>
      </c>
      <c r="C4739" s="8">
        <f t="shared" ref="C4739:C4802" si="155">MONTH(D4739)</f>
        <v>9</v>
      </c>
      <c r="D4739" s="204">
        <v>45921</v>
      </c>
      <c r="E4739" s="188"/>
      <c r="F4739" s="188">
        <v>100000</v>
      </c>
      <c r="G4739" s="188"/>
      <c r="H4739" s="188"/>
      <c r="I4739" s="188" t="s">
        <v>1815</v>
      </c>
      <c r="J4739" t="s">
        <v>4623</v>
      </c>
      <c r="K4739" s="186"/>
    </row>
    <row r="4740" spans="1:11" x14ac:dyDescent="0.2">
      <c r="A4740" s="8">
        <v>9851.3333333333303</v>
      </c>
      <c r="B4740" s="8">
        <f t="shared" si="154"/>
        <v>2025</v>
      </c>
      <c r="C4740" s="8">
        <f t="shared" si="155"/>
        <v>9</v>
      </c>
      <c r="D4740" s="204">
        <v>45921</v>
      </c>
      <c r="E4740" s="188"/>
      <c r="F4740" s="188">
        <v>50000</v>
      </c>
      <c r="G4740" s="188"/>
      <c r="H4740" s="188"/>
      <c r="I4740" s="188" t="s">
        <v>91</v>
      </c>
      <c r="J4740" t="s">
        <v>4003</v>
      </c>
      <c r="K4740" s="186"/>
    </row>
    <row r="4741" spans="1:11" x14ac:dyDescent="0.2">
      <c r="A4741" s="8">
        <v>9921.8333333333303</v>
      </c>
      <c r="B4741" s="8">
        <f t="shared" si="154"/>
        <v>2025</v>
      </c>
      <c r="C4741" s="8">
        <f t="shared" si="155"/>
        <v>9</v>
      </c>
      <c r="D4741" s="204">
        <v>45922</v>
      </c>
      <c r="E4741" s="188"/>
      <c r="F4741" s="188">
        <v>200000</v>
      </c>
      <c r="G4741" s="188"/>
      <c r="H4741" s="188"/>
      <c r="I4741" s="188" t="s">
        <v>85</v>
      </c>
      <c r="J4741" t="s">
        <v>4624</v>
      </c>
      <c r="K4741" s="186"/>
    </row>
    <row r="4742" spans="1:11" x14ac:dyDescent="0.2">
      <c r="A4742" s="8">
        <v>9992.3333333333303</v>
      </c>
      <c r="B4742" s="8">
        <f t="shared" si="154"/>
        <v>2025</v>
      </c>
      <c r="C4742" s="8">
        <f t="shared" si="155"/>
        <v>9</v>
      </c>
      <c r="D4742" s="204">
        <v>45922</v>
      </c>
      <c r="E4742" s="188"/>
      <c r="F4742" s="188">
        <v>15000</v>
      </c>
      <c r="G4742" s="188"/>
      <c r="H4742" s="188"/>
      <c r="I4742" s="188" t="s">
        <v>335</v>
      </c>
      <c r="J4742" t="s">
        <v>4625</v>
      </c>
      <c r="K4742" s="186"/>
    </row>
    <row r="4743" spans="1:11" x14ac:dyDescent="0.2">
      <c r="A4743" s="8">
        <v>10062.833333333299</v>
      </c>
      <c r="B4743" s="8">
        <f t="shared" si="154"/>
        <v>2025</v>
      </c>
      <c r="C4743" s="8">
        <f t="shared" si="155"/>
        <v>9</v>
      </c>
      <c r="D4743" s="204">
        <v>45922</v>
      </c>
      <c r="E4743" s="188"/>
      <c r="F4743" s="188">
        <v>15000</v>
      </c>
      <c r="G4743" s="188"/>
      <c r="H4743" s="188"/>
      <c r="I4743" s="188" t="s">
        <v>91</v>
      </c>
      <c r="J4743" t="s">
        <v>4223</v>
      </c>
      <c r="K4743" s="186"/>
    </row>
    <row r="4744" spans="1:11" x14ac:dyDescent="0.2">
      <c r="A4744" s="8">
        <v>10133.333333333299</v>
      </c>
      <c r="B4744" s="8">
        <f t="shared" si="154"/>
        <v>2025</v>
      </c>
      <c r="C4744" s="8">
        <f t="shared" si="155"/>
        <v>9</v>
      </c>
      <c r="D4744" s="204">
        <v>45922</v>
      </c>
      <c r="E4744" s="188"/>
      <c r="F4744" s="188">
        <v>10000</v>
      </c>
      <c r="G4744" s="188"/>
      <c r="H4744" s="188"/>
      <c r="I4744" s="188" t="s">
        <v>1999</v>
      </c>
      <c r="J4744" t="s">
        <v>4626</v>
      </c>
      <c r="K4744" s="186"/>
    </row>
    <row r="4745" spans="1:11" x14ac:dyDescent="0.2">
      <c r="A4745" s="8">
        <v>10203.833333333299</v>
      </c>
      <c r="B4745" s="8">
        <f t="shared" si="154"/>
        <v>2025</v>
      </c>
      <c r="C4745" s="8">
        <f t="shared" si="155"/>
        <v>9</v>
      </c>
      <c r="D4745" s="204">
        <v>45922</v>
      </c>
      <c r="E4745" s="188"/>
      <c r="F4745" s="188">
        <v>160000</v>
      </c>
      <c r="G4745" s="188"/>
      <c r="H4745" s="188"/>
      <c r="I4745" s="188" t="s">
        <v>85</v>
      </c>
      <c r="J4745" t="s">
        <v>4627</v>
      </c>
      <c r="K4745" s="186"/>
    </row>
    <row r="4746" spans="1:11" x14ac:dyDescent="0.2">
      <c r="A4746" s="8">
        <v>10274.333333333299</v>
      </c>
      <c r="B4746" s="8">
        <f t="shared" si="154"/>
        <v>2025</v>
      </c>
      <c r="C4746" s="8">
        <f t="shared" si="155"/>
        <v>9</v>
      </c>
      <c r="D4746" s="204">
        <v>45923</v>
      </c>
      <c r="E4746" s="188"/>
      <c r="F4746" s="188">
        <v>50000</v>
      </c>
      <c r="G4746" s="188"/>
      <c r="H4746" s="188"/>
      <c r="I4746" s="188" t="s">
        <v>85</v>
      </c>
      <c r="J4746" t="s">
        <v>2605</v>
      </c>
      <c r="K4746" s="186"/>
    </row>
    <row r="4747" spans="1:11" x14ac:dyDescent="0.2">
      <c r="A4747" s="8">
        <v>10415.333333333299</v>
      </c>
      <c r="B4747" s="8">
        <f t="shared" si="154"/>
        <v>2025</v>
      </c>
      <c r="C4747" s="8">
        <f t="shared" si="155"/>
        <v>9</v>
      </c>
      <c r="D4747" s="204">
        <v>45925</v>
      </c>
      <c r="E4747" s="188"/>
      <c r="F4747" s="188">
        <v>100000</v>
      </c>
      <c r="G4747" s="188"/>
      <c r="H4747" s="188"/>
      <c r="I4747" s="188" t="s">
        <v>1815</v>
      </c>
      <c r="J4747" t="s">
        <v>4629</v>
      </c>
      <c r="K4747" s="186"/>
    </row>
    <row r="4748" spans="1:11" x14ac:dyDescent="0.2">
      <c r="A4748" s="8">
        <v>10485.833333333299</v>
      </c>
      <c r="B4748" s="8">
        <f t="shared" si="154"/>
        <v>2025</v>
      </c>
      <c r="C4748" s="8">
        <f t="shared" si="155"/>
        <v>9</v>
      </c>
      <c r="D4748" s="204">
        <v>45926</v>
      </c>
      <c r="E4748" s="188"/>
      <c r="F4748" s="188">
        <v>80000</v>
      </c>
      <c r="G4748" s="188"/>
      <c r="H4748" s="188"/>
      <c r="I4748" s="188" t="s">
        <v>1350</v>
      </c>
      <c r="J4748" t="s">
        <v>4630</v>
      </c>
      <c r="K4748" s="186"/>
    </row>
    <row r="4749" spans="1:11" x14ac:dyDescent="0.2">
      <c r="A4749" s="8">
        <v>10626.833333333299</v>
      </c>
      <c r="B4749" s="8">
        <f t="shared" si="154"/>
        <v>2025</v>
      </c>
      <c r="C4749" s="8">
        <f t="shared" si="155"/>
        <v>9</v>
      </c>
      <c r="D4749" s="204">
        <v>45926</v>
      </c>
      <c r="E4749" s="188"/>
      <c r="F4749" s="188">
        <v>20000</v>
      </c>
      <c r="G4749" s="188"/>
      <c r="H4749" s="188"/>
      <c r="I4749" s="188" t="s">
        <v>91</v>
      </c>
      <c r="J4749" t="s">
        <v>2843</v>
      </c>
      <c r="K4749" s="186"/>
    </row>
    <row r="4750" spans="1:11" x14ac:dyDescent="0.2">
      <c r="A4750" s="8">
        <v>10697.333333333299</v>
      </c>
      <c r="B4750" s="8">
        <f t="shared" si="154"/>
        <v>2025</v>
      </c>
      <c r="C4750" s="8">
        <f t="shared" si="155"/>
        <v>9</v>
      </c>
      <c r="D4750" s="204">
        <v>45926</v>
      </c>
      <c r="E4750" s="188"/>
      <c r="F4750" s="188">
        <v>200000</v>
      </c>
      <c r="G4750" s="188"/>
      <c r="H4750" s="188"/>
      <c r="I4750" s="188" t="s">
        <v>299</v>
      </c>
      <c r="J4750" t="s">
        <v>4632</v>
      </c>
      <c r="K4750" s="186"/>
    </row>
    <row r="4751" spans="1:11" x14ac:dyDescent="0.2">
      <c r="A4751" s="8">
        <v>10767.833333333299</v>
      </c>
      <c r="B4751" s="8">
        <f t="shared" si="154"/>
        <v>2025</v>
      </c>
      <c r="C4751" s="8">
        <f t="shared" si="155"/>
        <v>9</v>
      </c>
      <c r="D4751" s="204">
        <v>45927</v>
      </c>
      <c r="E4751" s="188"/>
      <c r="F4751" s="188">
        <v>1074000</v>
      </c>
      <c r="G4751" s="188"/>
      <c r="H4751" s="188"/>
      <c r="I4751" s="188" t="s">
        <v>4137</v>
      </c>
      <c r="J4751" t="s">
        <v>4633</v>
      </c>
      <c r="K4751" s="186"/>
    </row>
    <row r="4752" spans="1:11" x14ac:dyDescent="0.2">
      <c r="A4752" s="8">
        <v>10838.333333333299</v>
      </c>
      <c r="B4752" s="8">
        <f t="shared" si="154"/>
        <v>2025</v>
      </c>
      <c r="C4752" s="8">
        <f t="shared" si="155"/>
        <v>9</v>
      </c>
      <c r="D4752" s="204">
        <v>45927</v>
      </c>
      <c r="E4752" s="188"/>
      <c r="F4752" s="188">
        <v>40000</v>
      </c>
      <c r="G4752" s="188"/>
      <c r="H4752" s="188"/>
      <c r="I4752" s="188" t="s">
        <v>91</v>
      </c>
      <c r="J4752" t="s">
        <v>4634</v>
      </c>
      <c r="K4752" s="186"/>
    </row>
    <row r="4753" spans="1:11" x14ac:dyDescent="0.2">
      <c r="A4753" s="8">
        <v>10908.833333333299</v>
      </c>
      <c r="B4753" s="8">
        <f t="shared" si="154"/>
        <v>2025</v>
      </c>
      <c r="C4753" s="8">
        <f t="shared" si="155"/>
        <v>9</v>
      </c>
      <c r="D4753" s="204">
        <v>45927</v>
      </c>
      <c r="E4753" s="188"/>
      <c r="F4753" s="188">
        <v>40000</v>
      </c>
      <c r="G4753" s="188"/>
      <c r="H4753" s="188"/>
      <c r="I4753" s="188" t="s">
        <v>91</v>
      </c>
      <c r="J4753" t="s">
        <v>4635</v>
      </c>
      <c r="K4753" s="186"/>
    </row>
    <row r="4754" spans="1:11" x14ac:dyDescent="0.2">
      <c r="A4754" s="8">
        <v>10979.333333333299</v>
      </c>
      <c r="B4754" s="8">
        <f t="shared" si="154"/>
        <v>2025</v>
      </c>
      <c r="C4754" s="8">
        <f t="shared" si="155"/>
        <v>9</v>
      </c>
      <c r="D4754" s="204">
        <v>45927</v>
      </c>
      <c r="E4754" s="188"/>
      <c r="F4754" s="188">
        <v>92000</v>
      </c>
      <c r="G4754" s="188"/>
      <c r="H4754" s="188"/>
      <c r="I4754" s="188" t="s">
        <v>2807</v>
      </c>
      <c r="J4754" t="s">
        <v>4636</v>
      </c>
      <c r="K4754" s="186"/>
    </row>
    <row r="4755" spans="1:11" x14ac:dyDescent="0.2">
      <c r="A4755" s="8">
        <v>11049.833333333299</v>
      </c>
      <c r="B4755" s="8">
        <f t="shared" si="154"/>
        <v>2025</v>
      </c>
      <c r="C4755" s="8">
        <f t="shared" si="155"/>
        <v>9</v>
      </c>
      <c r="D4755" s="204">
        <v>45928</v>
      </c>
      <c r="E4755" s="188"/>
      <c r="F4755" s="188">
        <v>30000</v>
      </c>
      <c r="G4755" s="188"/>
      <c r="H4755" s="188"/>
      <c r="I4755" s="188" t="s">
        <v>91</v>
      </c>
      <c r="J4755" t="s">
        <v>3985</v>
      </c>
      <c r="K4755" s="186"/>
    </row>
    <row r="4756" spans="1:11" x14ac:dyDescent="0.2">
      <c r="A4756" s="8">
        <v>11190.833333333299</v>
      </c>
      <c r="B4756" s="8">
        <f t="shared" si="154"/>
        <v>2025</v>
      </c>
      <c r="C4756" s="8">
        <f t="shared" si="155"/>
        <v>9</v>
      </c>
      <c r="D4756" s="204">
        <v>45928</v>
      </c>
      <c r="E4756" s="188"/>
      <c r="F4756" s="188">
        <v>30000</v>
      </c>
      <c r="G4756" s="188"/>
      <c r="H4756" s="188"/>
      <c r="I4756" s="188" t="s">
        <v>85</v>
      </c>
      <c r="J4756" t="s">
        <v>4637</v>
      </c>
      <c r="K4756" s="186"/>
    </row>
    <row r="4757" spans="1:11" x14ac:dyDescent="0.2">
      <c r="A4757" s="8">
        <v>11261.333333333299</v>
      </c>
      <c r="B4757" s="8">
        <f t="shared" si="154"/>
        <v>2025</v>
      </c>
      <c r="C4757" s="8">
        <f t="shared" si="155"/>
        <v>9</v>
      </c>
      <c r="D4757" s="204">
        <v>45928</v>
      </c>
      <c r="E4757" s="188"/>
      <c r="F4757" s="188">
        <v>350000</v>
      </c>
      <c r="G4757" s="188"/>
      <c r="H4757" s="188"/>
      <c r="I4757" s="188" t="s">
        <v>85</v>
      </c>
      <c r="J4757" t="s">
        <v>4638</v>
      </c>
      <c r="K4757" s="186"/>
    </row>
    <row r="4758" spans="1:11" x14ac:dyDescent="0.2">
      <c r="A4758" s="8">
        <v>11331.833333333299</v>
      </c>
      <c r="B4758" s="8">
        <f t="shared" si="154"/>
        <v>2025</v>
      </c>
      <c r="C4758" s="8">
        <f t="shared" si="155"/>
        <v>9</v>
      </c>
      <c r="D4758" s="204">
        <v>45929</v>
      </c>
      <c r="E4758" s="188"/>
      <c r="F4758" s="188">
        <v>100000</v>
      </c>
      <c r="G4758" s="188"/>
      <c r="H4758" s="188"/>
      <c r="I4758" s="188" t="s">
        <v>85</v>
      </c>
      <c r="J4758" t="s">
        <v>4469</v>
      </c>
      <c r="K4758" s="186"/>
    </row>
    <row r="4759" spans="1:11" x14ac:dyDescent="0.2">
      <c r="A4759" s="8">
        <v>11402.333333333299</v>
      </c>
      <c r="B4759" s="8">
        <f t="shared" si="154"/>
        <v>2025</v>
      </c>
      <c r="C4759" s="8">
        <f t="shared" si="155"/>
        <v>9</v>
      </c>
      <c r="D4759" s="204">
        <v>45930</v>
      </c>
      <c r="E4759" s="188"/>
      <c r="F4759" s="188">
        <v>32000</v>
      </c>
      <c r="G4759" s="188"/>
      <c r="H4759" s="188"/>
      <c r="I4759" s="188" t="s">
        <v>1992</v>
      </c>
      <c r="J4759" t="s">
        <v>4639</v>
      </c>
      <c r="K4759" s="186"/>
    </row>
    <row r="4760" spans="1:11" x14ac:dyDescent="0.2">
      <c r="A4760" s="8">
        <v>11543.333333333299</v>
      </c>
      <c r="B4760" s="8">
        <f t="shared" si="154"/>
        <v>2025</v>
      </c>
      <c r="C4760" s="8">
        <f t="shared" si="155"/>
        <v>10</v>
      </c>
      <c r="D4760" s="204">
        <v>45931</v>
      </c>
      <c r="E4760" s="188"/>
      <c r="F4760" s="188">
        <v>95000</v>
      </c>
      <c r="G4760" s="188"/>
      <c r="H4760" s="188"/>
      <c r="I4760" s="188" t="s">
        <v>4569</v>
      </c>
      <c r="J4760" t="s">
        <v>4641</v>
      </c>
      <c r="K4760" s="186"/>
    </row>
    <row r="4761" spans="1:11" x14ac:dyDescent="0.2">
      <c r="A4761" s="8">
        <v>11613.833333333299</v>
      </c>
      <c r="B4761" s="8">
        <f t="shared" si="154"/>
        <v>2025</v>
      </c>
      <c r="C4761" s="8">
        <f t="shared" si="155"/>
        <v>10</v>
      </c>
      <c r="D4761" s="204">
        <v>45931</v>
      </c>
      <c r="E4761" s="188"/>
      <c r="F4761" s="188">
        <v>85000</v>
      </c>
      <c r="G4761" s="188"/>
      <c r="H4761" s="188"/>
      <c r="I4761" s="188" t="s">
        <v>4569</v>
      </c>
      <c r="J4761" t="s">
        <v>4642</v>
      </c>
      <c r="K4761" s="186"/>
    </row>
    <row r="4762" spans="1:11" x14ac:dyDescent="0.2">
      <c r="A4762" s="8">
        <v>11684.333333333299</v>
      </c>
      <c r="B4762" s="8">
        <f t="shared" si="154"/>
        <v>2025</v>
      </c>
      <c r="C4762" s="8">
        <f t="shared" si="155"/>
        <v>10</v>
      </c>
      <c r="D4762" s="204">
        <v>45931</v>
      </c>
      <c r="E4762" s="188"/>
      <c r="F4762" s="188">
        <v>50000</v>
      </c>
      <c r="G4762" s="188"/>
      <c r="H4762" s="188"/>
      <c r="I4762" s="188" t="s">
        <v>85</v>
      </c>
      <c r="J4762" t="s">
        <v>2605</v>
      </c>
      <c r="K4762" s="186"/>
    </row>
    <row r="4763" spans="1:11" x14ac:dyDescent="0.2">
      <c r="A4763" s="8">
        <v>11825.333333333299</v>
      </c>
      <c r="B4763" s="8">
        <f t="shared" si="154"/>
        <v>2025</v>
      </c>
      <c r="C4763" s="8">
        <f t="shared" si="155"/>
        <v>10</v>
      </c>
      <c r="D4763" s="204">
        <v>45932</v>
      </c>
      <c r="E4763" s="188"/>
      <c r="F4763" s="188">
        <v>120000</v>
      </c>
      <c r="G4763" s="188"/>
      <c r="H4763" s="188"/>
      <c r="I4763" s="188" t="s">
        <v>1350</v>
      </c>
      <c r="J4763" t="s">
        <v>4643</v>
      </c>
      <c r="K4763" s="186"/>
    </row>
    <row r="4764" spans="1:11" x14ac:dyDescent="0.2">
      <c r="A4764" s="8">
        <v>11895.833333333299</v>
      </c>
      <c r="B4764" s="8">
        <f t="shared" si="154"/>
        <v>2025</v>
      </c>
      <c r="C4764" s="8">
        <f t="shared" si="155"/>
        <v>10</v>
      </c>
      <c r="D4764" s="204">
        <v>45932</v>
      </c>
      <c r="E4764" s="188"/>
      <c r="F4764" s="188">
        <v>260000</v>
      </c>
      <c r="G4764" s="188"/>
      <c r="H4764" s="188"/>
      <c r="I4764" s="188" t="s">
        <v>1992</v>
      </c>
      <c r="J4764" t="s">
        <v>4644</v>
      </c>
      <c r="K4764" s="186"/>
    </row>
    <row r="4765" spans="1:11" x14ac:dyDescent="0.2">
      <c r="A4765" s="8">
        <v>11966.333333333299</v>
      </c>
      <c r="B4765" s="8">
        <f t="shared" si="154"/>
        <v>2025</v>
      </c>
      <c r="C4765" s="8">
        <f t="shared" si="155"/>
        <v>10</v>
      </c>
      <c r="D4765" s="204">
        <v>45933</v>
      </c>
      <c r="E4765" s="188"/>
      <c r="F4765" s="188">
        <v>300000</v>
      </c>
      <c r="G4765" s="188"/>
      <c r="H4765" s="188"/>
      <c r="I4765" s="188" t="s">
        <v>1992</v>
      </c>
      <c r="J4765" t="s">
        <v>4645</v>
      </c>
      <c r="K4765" s="186"/>
    </row>
    <row r="4766" spans="1:11" x14ac:dyDescent="0.2">
      <c r="A4766" s="8">
        <v>12107.333333333299</v>
      </c>
      <c r="B4766" s="8">
        <f t="shared" si="154"/>
        <v>2025</v>
      </c>
      <c r="C4766" s="8">
        <f t="shared" si="155"/>
        <v>10</v>
      </c>
      <c r="D4766" s="204">
        <v>45934</v>
      </c>
      <c r="E4766" s="188"/>
      <c r="F4766" s="188">
        <v>20000</v>
      </c>
      <c r="G4766" s="188"/>
      <c r="H4766" s="188"/>
      <c r="I4766" s="188" t="s">
        <v>91</v>
      </c>
      <c r="J4766" t="s">
        <v>4646</v>
      </c>
      <c r="K4766" s="186"/>
    </row>
    <row r="4767" spans="1:11" x14ac:dyDescent="0.2">
      <c r="A4767" s="8">
        <v>12177.833333333299</v>
      </c>
      <c r="B4767" s="8">
        <f t="shared" si="154"/>
        <v>2025</v>
      </c>
      <c r="C4767" s="8">
        <f t="shared" si="155"/>
        <v>10</v>
      </c>
      <c r="D4767" s="204">
        <v>45935</v>
      </c>
      <c r="E4767" s="188"/>
      <c r="F4767" s="188">
        <v>228000</v>
      </c>
      <c r="G4767" s="188"/>
      <c r="H4767" s="188"/>
      <c r="I4767" s="188" t="s">
        <v>335</v>
      </c>
      <c r="J4767" t="s">
        <v>4647</v>
      </c>
      <c r="K4767" s="186"/>
    </row>
    <row r="4768" spans="1:11" x14ac:dyDescent="0.2">
      <c r="A4768" s="8">
        <v>12248.333333333299</v>
      </c>
      <c r="B4768" s="8">
        <f t="shared" si="154"/>
        <v>2025</v>
      </c>
      <c r="C4768" s="8">
        <f t="shared" si="155"/>
        <v>10</v>
      </c>
      <c r="D4768" s="204">
        <v>45935</v>
      </c>
      <c r="E4768" s="188"/>
      <c r="F4768" s="188">
        <v>150000</v>
      </c>
      <c r="G4768" s="188"/>
      <c r="H4768" s="188"/>
      <c r="I4768" s="188" t="s">
        <v>1999</v>
      </c>
      <c r="J4768" t="s">
        <v>4648</v>
      </c>
      <c r="K4768" s="186"/>
    </row>
    <row r="4769" spans="1:11" x14ac:dyDescent="0.2">
      <c r="A4769" s="8">
        <v>12318.833333333299</v>
      </c>
      <c r="B4769" s="8">
        <f t="shared" si="154"/>
        <v>2025</v>
      </c>
      <c r="C4769" s="8">
        <f t="shared" si="155"/>
        <v>10</v>
      </c>
      <c r="D4769" s="204">
        <v>45935</v>
      </c>
      <c r="E4769" s="188"/>
      <c r="F4769" s="188">
        <v>60000</v>
      </c>
      <c r="G4769" s="188"/>
      <c r="H4769" s="188"/>
      <c r="I4769" s="188" t="s">
        <v>91</v>
      </c>
      <c r="J4769" t="s">
        <v>4649</v>
      </c>
      <c r="K4769" s="186"/>
    </row>
    <row r="4770" spans="1:11" x14ac:dyDescent="0.2">
      <c r="A4770" s="8">
        <v>12389.333333333299</v>
      </c>
      <c r="B4770" s="8">
        <f t="shared" si="154"/>
        <v>2025</v>
      </c>
      <c r="C4770" s="8">
        <f t="shared" si="155"/>
        <v>10</v>
      </c>
      <c r="D4770" s="204">
        <v>45936</v>
      </c>
      <c r="E4770" s="188"/>
      <c r="F4770" s="188">
        <v>50000</v>
      </c>
      <c r="G4770" s="188"/>
      <c r="H4770" s="188"/>
      <c r="I4770" s="188" t="s">
        <v>85</v>
      </c>
      <c r="J4770" t="s">
        <v>2605</v>
      </c>
      <c r="K4770" s="186"/>
    </row>
    <row r="4771" spans="1:11" x14ac:dyDescent="0.2">
      <c r="A4771" s="8">
        <v>12459.833333333299</v>
      </c>
      <c r="B4771" s="8">
        <f t="shared" si="154"/>
        <v>2025</v>
      </c>
      <c r="C4771" s="8">
        <f t="shared" si="155"/>
        <v>10</v>
      </c>
      <c r="D4771" s="204">
        <v>45937</v>
      </c>
      <c r="E4771" s="188"/>
      <c r="F4771" s="188">
        <v>748000</v>
      </c>
      <c r="G4771" s="188"/>
      <c r="H4771" s="188"/>
      <c r="I4771" s="188" t="s">
        <v>1992</v>
      </c>
      <c r="J4771" t="s">
        <v>4650</v>
      </c>
      <c r="K4771" s="186"/>
    </row>
    <row r="4772" spans="1:11" x14ac:dyDescent="0.2">
      <c r="A4772" s="8">
        <v>12530.333333333299</v>
      </c>
      <c r="B4772" s="8">
        <f t="shared" si="154"/>
        <v>2025</v>
      </c>
      <c r="C4772" s="8">
        <f t="shared" si="155"/>
        <v>10</v>
      </c>
      <c r="D4772" s="204">
        <v>45937</v>
      </c>
      <c r="E4772" s="188"/>
      <c r="F4772" s="188">
        <v>300000</v>
      </c>
      <c r="G4772" s="188"/>
      <c r="H4772" s="188"/>
      <c r="I4772" s="188" t="s">
        <v>1992</v>
      </c>
      <c r="J4772" t="s">
        <v>4651</v>
      </c>
      <c r="K4772" s="186"/>
    </row>
    <row r="4773" spans="1:11" x14ac:dyDescent="0.2">
      <c r="A4773" s="8">
        <v>12600.833333333299</v>
      </c>
      <c r="B4773" s="8">
        <f t="shared" si="154"/>
        <v>2025</v>
      </c>
      <c r="C4773" s="8">
        <f t="shared" si="155"/>
        <v>10</v>
      </c>
      <c r="D4773" s="204">
        <v>45937</v>
      </c>
      <c r="E4773" s="188">
        <v>380000</v>
      </c>
      <c r="F4773" s="188">
        <v>0</v>
      </c>
      <c r="G4773" s="188"/>
      <c r="H4773" s="188"/>
      <c r="I4773" s="188" t="s">
        <v>109</v>
      </c>
      <c r="J4773" t="s">
        <v>4652</v>
      </c>
      <c r="K4773" s="186"/>
    </row>
    <row r="4774" spans="1:11" x14ac:dyDescent="0.2">
      <c r="A4774" s="8">
        <v>12671.333333333299</v>
      </c>
      <c r="B4774" s="8">
        <f t="shared" si="154"/>
        <v>2025</v>
      </c>
      <c r="C4774" s="8">
        <f t="shared" si="155"/>
        <v>10</v>
      </c>
      <c r="D4774" s="204">
        <v>45938</v>
      </c>
      <c r="E4774" s="188"/>
      <c r="F4774" s="188">
        <v>210000</v>
      </c>
      <c r="G4774" s="188"/>
      <c r="H4774" s="188"/>
      <c r="I4774" s="188" t="s">
        <v>391</v>
      </c>
      <c r="J4774" s="187" t="s">
        <v>4332</v>
      </c>
      <c r="K4774" s="186"/>
    </row>
    <row r="4775" spans="1:11" x14ac:dyDescent="0.2">
      <c r="A4775" s="8">
        <v>12741.833333333299</v>
      </c>
      <c r="B4775" s="8">
        <f t="shared" si="154"/>
        <v>2025</v>
      </c>
      <c r="C4775" s="8">
        <f t="shared" si="155"/>
        <v>10</v>
      </c>
      <c r="D4775" s="204">
        <v>45938</v>
      </c>
      <c r="E4775" s="188"/>
      <c r="F4775" s="188">
        <v>3000000</v>
      </c>
      <c r="G4775" s="188"/>
      <c r="H4775" s="188"/>
      <c r="I4775" s="188" t="s">
        <v>1992</v>
      </c>
      <c r="J4775" s="187" t="s">
        <v>4663</v>
      </c>
      <c r="K4775" s="186"/>
    </row>
    <row r="4776" spans="1:11" x14ac:dyDescent="0.2">
      <c r="A4776" s="8">
        <v>12812.333333333299</v>
      </c>
      <c r="B4776" s="8">
        <f t="shared" si="154"/>
        <v>2025</v>
      </c>
      <c r="C4776" s="8">
        <f t="shared" si="155"/>
        <v>10</v>
      </c>
      <c r="D4776" s="204">
        <v>45939</v>
      </c>
      <c r="E4776" s="188"/>
      <c r="F4776" s="188">
        <v>50000</v>
      </c>
      <c r="G4776" s="188"/>
      <c r="H4776" s="188"/>
      <c r="I4776" s="188" t="s">
        <v>85</v>
      </c>
      <c r="J4776" s="187" t="s">
        <v>2605</v>
      </c>
      <c r="K4776" s="186"/>
    </row>
    <row r="4777" spans="1:11" x14ac:dyDescent="0.2">
      <c r="A4777" s="8">
        <v>12882.833333333299</v>
      </c>
      <c r="B4777" s="8">
        <f t="shared" si="154"/>
        <v>2025</v>
      </c>
      <c r="C4777" s="8">
        <f t="shared" si="155"/>
        <v>10</v>
      </c>
      <c r="D4777" s="204">
        <v>45940</v>
      </c>
      <c r="E4777" s="188"/>
      <c r="F4777" s="188">
        <v>20000</v>
      </c>
      <c r="G4777" s="188"/>
      <c r="H4777" s="188"/>
      <c r="I4777" s="188" t="s">
        <v>85</v>
      </c>
      <c r="J4777" s="187" t="s">
        <v>4094</v>
      </c>
      <c r="K4777" s="186"/>
    </row>
    <row r="4778" spans="1:11" x14ac:dyDescent="0.2">
      <c r="A4778" s="8">
        <v>12953.333333333299</v>
      </c>
      <c r="B4778" s="8">
        <f t="shared" si="154"/>
        <v>2025</v>
      </c>
      <c r="C4778" s="8">
        <f t="shared" si="155"/>
        <v>10</v>
      </c>
      <c r="D4778" s="204">
        <v>45940</v>
      </c>
      <c r="E4778" s="188"/>
      <c r="F4778" s="188">
        <v>60000</v>
      </c>
      <c r="G4778" s="188"/>
      <c r="H4778" s="188"/>
      <c r="I4778" s="188" t="s">
        <v>91</v>
      </c>
      <c r="J4778" s="187" t="s">
        <v>4664</v>
      </c>
      <c r="K4778" s="186"/>
    </row>
    <row r="4779" spans="1:11" x14ac:dyDescent="0.2">
      <c r="A4779" s="8">
        <v>13023.833333333299</v>
      </c>
      <c r="B4779" s="8">
        <f t="shared" si="154"/>
        <v>2025</v>
      </c>
      <c r="C4779" s="8">
        <f t="shared" si="155"/>
        <v>10</v>
      </c>
      <c r="D4779" s="204">
        <v>45941</v>
      </c>
      <c r="E4779" s="188"/>
      <c r="F4779" s="188">
        <v>100000</v>
      </c>
      <c r="G4779" s="188"/>
      <c r="H4779" s="188"/>
      <c r="I4779" s="188" t="s">
        <v>91</v>
      </c>
      <c r="J4779" s="187" t="s">
        <v>4665</v>
      </c>
      <c r="K4779" s="186"/>
    </row>
    <row r="4780" spans="1:11" x14ac:dyDescent="0.2">
      <c r="A4780" s="8">
        <v>13094.333333333299</v>
      </c>
      <c r="B4780" s="8">
        <f t="shared" si="154"/>
        <v>2025</v>
      </c>
      <c r="C4780" s="8">
        <f t="shared" si="155"/>
        <v>10</v>
      </c>
      <c r="D4780" s="204">
        <v>45941</v>
      </c>
      <c r="E4780" s="188"/>
      <c r="F4780" s="188">
        <v>220000</v>
      </c>
      <c r="G4780" s="188"/>
      <c r="H4780" s="188"/>
      <c r="I4780" s="188" t="s">
        <v>299</v>
      </c>
      <c r="J4780" s="187" t="s">
        <v>4666</v>
      </c>
      <c r="K4780" s="186"/>
    </row>
    <row r="4781" spans="1:11" x14ac:dyDescent="0.2">
      <c r="A4781" s="8">
        <v>13164.833333333299</v>
      </c>
      <c r="B4781" s="8">
        <f t="shared" si="154"/>
        <v>2025</v>
      </c>
      <c r="C4781" s="8">
        <f t="shared" si="155"/>
        <v>10</v>
      </c>
      <c r="D4781" s="204">
        <v>45941</v>
      </c>
      <c r="E4781" s="188"/>
      <c r="F4781" s="188">
        <v>335000</v>
      </c>
      <c r="G4781" s="188"/>
      <c r="H4781" s="188"/>
      <c r="I4781" s="188" t="s">
        <v>335</v>
      </c>
      <c r="J4781" s="187" t="s">
        <v>4667</v>
      </c>
      <c r="K4781" s="186"/>
    </row>
    <row r="4782" spans="1:11" x14ac:dyDescent="0.2">
      <c r="A4782" s="8">
        <v>13235.333333333299</v>
      </c>
      <c r="B4782" s="8">
        <f t="shared" si="154"/>
        <v>2025</v>
      </c>
      <c r="C4782" s="8">
        <f t="shared" si="155"/>
        <v>10</v>
      </c>
      <c r="D4782" s="204">
        <v>45941</v>
      </c>
      <c r="E4782" s="188"/>
      <c r="F4782" s="188">
        <v>65000</v>
      </c>
      <c r="G4782" s="188"/>
      <c r="H4782" s="188"/>
      <c r="I4782" s="188" t="s">
        <v>85</v>
      </c>
      <c r="J4782" s="187" t="s">
        <v>4669</v>
      </c>
      <c r="K4782" s="186"/>
    </row>
    <row r="4783" spans="1:11" x14ac:dyDescent="0.2">
      <c r="A4783" s="8">
        <v>13305.833333333299</v>
      </c>
      <c r="B4783" s="8">
        <f t="shared" si="154"/>
        <v>2025</v>
      </c>
      <c r="C4783" s="8">
        <f t="shared" si="155"/>
        <v>10</v>
      </c>
      <c r="D4783" s="204">
        <v>45941</v>
      </c>
      <c r="E4783" s="188"/>
      <c r="F4783" s="188">
        <v>780000</v>
      </c>
      <c r="G4783" s="188"/>
      <c r="H4783" s="188"/>
      <c r="I4783" s="188" t="s">
        <v>1992</v>
      </c>
      <c r="J4783" s="187" t="s">
        <v>4670</v>
      </c>
      <c r="K4783" s="186"/>
    </row>
    <row r="4784" spans="1:11" x14ac:dyDescent="0.2">
      <c r="A4784" s="8">
        <v>13376.333333333299</v>
      </c>
      <c r="B4784" s="8">
        <f t="shared" si="154"/>
        <v>2025</v>
      </c>
      <c r="C4784" s="8">
        <f t="shared" si="155"/>
        <v>10</v>
      </c>
      <c r="D4784" s="204">
        <v>45942</v>
      </c>
      <c r="E4784" s="188"/>
      <c r="F4784" s="188">
        <v>100000</v>
      </c>
      <c r="G4784" s="188"/>
      <c r="H4784" s="188"/>
      <c r="I4784" s="188" t="s">
        <v>85</v>
      </c>
      <c r="J4784" s="187" t="s">
        <v>3891</v>
      </c>
      <c r="K4784" s="186"/>
    </row>
    <row r="4785" spans="1:11" x14ac:dyDescent="0.2">
      <c r="A4785" s="8">
        <v>13446.833333333299</v>
      </c>
      <c r="B4785" s="8">
        <f t="shared" si="154"/>
        <v>2025</v>
      </c>
      <c r="C4785" s="8">
        <f t="shared" si="155"/>
        <v>10</v>
      </c>
      <c r="D4785" s="204">
        <v>45943</v>
      </c>
      <c r="E4785" s="188"/>
      <c r="F4785" s="188">
        <v>100000</v>
      </c>
      <c r="G4785" s="188"/>
      <c r="H4785" s="188"/>
      <c r="I4785" s="188" t="s">
        <v>85</v>
      </c>
      <c r="J4785" s="187" t="s">
        <v>4671</v>
      </c>
      <c r="K4785" s="186"/>
    </row>
    <row r="4786" spans="1:11" x14ac:dyDescent="0.2">
      <c r="A4786" s="8">
        <v>13517.333333333299</v>
      </c>
      <c r="B4786" s="8">
        <f t="shared" si="154"/>
        <v>2025</v>
      </c>
      <c r="C4786" s="8">
        <f t="shared" si="155"/>
        <v>10</v>
      </c>
      <c r="D4786" s="204">
        <v>45943</v>
      </c>
      <c r="E4786" s="188"/>
      <c r="F4786" s="188">
        <v>106000</v>
      </c>
      <c r="G4786" s="188"/>
      <c r="H4786" s="188"/>
      <c r="I4786" s="188" t="s">
        <v>1815</v>
      </c>
      <c r="J4786" s="187" t="s">
        <v>4672</v>
      </c>
      <c r="K4786" s="186"/>
    </row>
    <row r="4787" spans="1:11" x14ac:dyDescent="0.2">
      <c r="A4787" s="8">
        <v>13587.833333333299</v>
      </c>
      <c r="B4787" s="8">
        <f t="shared" si="154"/>
        <v>2025</v>
      </c>
      <c r="C4787" s="8">
        <f t="shared" si="155"/>
        <v>10</v>
      </c>
      <c r="D4787" s="204">
        <v>45943</v>
      </c>
      <c r="E4787" s="188"/>
      <c r="F4787" s="188">
        <v>290000</v>
      </c>
      <c r="G4787" s="188"/>
      <c r="H4787" s="188"/>
      <c r="I4787" s="188" t="s">
        <v>85</v>
      </c>
      <c r="J4787" s="187" t="s">
        <v>4673</v>
      </c>
      <c r="K4787" s="186"/>
    </row>
    <row r="4788" spans="1:11" x14ac:dyDescent="0.2">
      <c r="A4788" s="8">
        <v>13658.333333333299</v>
      </c>
      <c r="B4788" s="8">
        <f t="shared" si="154"/>
        <v>2025</v>
      </c>
      <c r="C4788" s="8">
        <f t="shared" si="155"/>
        <v>10</v>
      </c>
      <c r="D4788" s="204">
        <v>45944</v>
      </c>
      <c r="E4788" s="188"/>
      <c r="F4788" s="188">
        <v>100000</v>
      </c>
      <c r="G4788" s="188"/>
      <c r="H4788" s="188"/>
      <c r="I4788" s="188" t="s">
        <v>85</v>
      </c>
      <c r="J4788" s="187" t="s">
        <v>3891</v>
      </c>
      <c r="K4788" s="186"/>
    </row>
    <row r="4789" spans="1:11" x14ac:dyDescent="0.2">
      <c r="A4789" s="8">
        <v>13728.833333333299</v>
      </c>
      <c r="B4789" s="8">
        <f t="shared" si="154"/>
        <v>2025</v>
      </c>
      <c r="C4789" s="8">
        <f t="shared" si="155"/>
        <v>10</v>
      </c>
      <c r="D4789" s="204">
        <v>45945</v>
      </c>
      <c r="E4789" s="188"/>
      <c r="F4789" s="188">
        <v>100000</v>
      </c>
      <c r="G4789" s="188"/>
      <c r="H4789" s="188"/>
      <c r="I4789" s="188" t="s">
        <v>85</v>
      </c>
      <c r="J4789" s="187" t="s">
        <v>4469</v>
      </c>
      <c r="K4789" s="186"/>
    </row>
    <row r="4790" spans="1:11" x14ac:dyDescent="0.2">
      <c r="A4790" s="8">
        <v>13799.333333333299</v>
      </c>
      <c r="B4790" s="8">
        <f t="shared" si="154"/>
        <v>2025</v>
      </c>
      <c r="C4790" s="8">
        <f t="shared" si="155"/>
        <v>10</v>
      </c>
      <c r="D4790" s="204">
        <v>45946</v>
      </c>
      <c r="E4790" s="188"/>
      <c r="F4790" s="188">
        <v>550000</v>
      </c>
      <c r="G4790" s="188"/>
      <c r="H4790" s="188"/>
      <c r="I4790" s="188" t="s">
        <v>2807</v>
      </c>
      <c r="J4790" s="187" t="s">
        <v>4674</v>
      </c>
      <c r="K4790" s="186"/>
    </row>
    <row r="4791" spans="1:11" x14ac:dyDescent="0.2">
      <c r="A4791" s="8">
        <v>13869.833333333299</v>
      </c>
      <c r="B4791" s="8">
        <f t="shared" si="154"/>
        <v>2025</v>
      </c>
      <c r="C4791" s="8">
        <f t="shared" si="155"/>
        <v>10</v>
      </c>
      <c r="D4791" s="204">
        <v>45946</v>
      </c>
      <c r="E4791" s="188"/>
      <c r="F4791" s="188">
        <v>80000</v>
      </c>
      <c r="G4791" s="188"/>
      <c r="H4791" s="188"/>
      <c r="I4791" s="188" t="s">
        <v>85</v>
      </c>
      <c r="J4791" s="187" t="s">
        <v>4675</v>
      </c>
      <c r="K4791" s="186"/>
    </row>
    <row r="4792" spans="1:11" x14ac:dyDescent="0.2">
      <c r="A4792" s="8">
        <v>13940.333333333299</v>
      </c>
      <c r="B4792" s="8">
        <f t="shared" si="154"/>
        <v>2025</v>
      </c>
      <c r="C4792" s="8">
        <f t="shared" si="155"/>
        <v>10</v>
      </c>
      <c r="D4792" s="204">
        <v>45947</v>
      </c>
      <c r="E4792" s="188"/>
      <c r="F4792" s="188">
        <v>100000</v>
      </c>
      <c r="G4792" s="188"/>
      <c r="H4792" s="188"/>
      <c r="I4792" s="188" t="s">
        <v>85</v>
      </c>
      <c r="J4792" s="187" t="s">
        <v>3891</v>
      </c>
      <c r="K4792" s="186"/>
    </row>
    <row r="4793" spans="1:11" x14ac:dyDescent="0.2">
      <c r="A4793" s="8">
        <v>14010.833333333299</v>
      </c>
      <c r="B4793" s="8">
        <f t="shared" si="154"/>
        <v>2025</v>
      </c>
      <c r="C4793" s="8">
        <f t="shared" si="155"/>
        <v>10</v>
      </c>
      <c r="D4793" s="204">
        <v>45948</v>
      </c>
      <c r="E4793" s="188"/>
      <c r="F4793" s="188">
        <v>20000</v>
      </c>
      <c r="G4793" s="188"/>
      <c r="H4793" s="188"/>
      <c r="I4793" s="188" t="s">
        <v>91</v>
      </c>
      <c r="J4793" s="187" t="s">
        <v>2843</v>
      </c>
      <c r="K4793" s="186"/>
    </row>
    <row r="4794" spans="1:11" x14ac:dyDescent="0.2">
      <c r="A4794" s="8">
        <v>14081.333333333299</v>
      </c>
      <c r="B4794" s="8">
        <f t="shared" si="154"/>
        <v>2025</v>
      </c>
      <c r="C4794" s="8">
        <f t="shared" si="155"/>
        <v>10</v>
      </c>
      <c r="D4794" s="204">
        <v>45948</v>
      </c>
      <c r="E4794" s="188"/>
      <c r="F4794" s="188">
        <v>40000</v>
      </c>
      <c r="G4794" s="188"/>
      <c r="H4794" s="188"/>
      <c r="I4794" s="188" t="s">
        <v>85</v>
      </c>
      <c r="J4794" s="187" t="s">
        <v>4676</v>
      </c>
      <c r="K4794" s="186"/>
    </row>
    <row r="4795" spans="1:11" x14ac:dyDescent="0.2">
      <c r="A4795" s="8">
        <v>14151.833333333299</v>
      </c>
      <c r="B4795" s="8">
        <f t="shared" si="154"/>
        <v>2025</v>
      </c>
      <c r="C4795" s="8">
        <f t="shared" si="155"/>
        <v>10</v>
      </c>
      <c r="D4795" s="204">
        <v>45948</v>
      </c>
      <c r="E4795" s="188"/>
      <c r="F4795" s="188">
        <v>500000</v>
      </c>
      <c r="G4795" s="188"/>
      <c r="H4795" s="188"/>
      <c r="I4795" s="188" t="s">
        <v>335</v>
      </c>
      <c r="J4795" s="187" t="s">
        <v>4677</v>
      </c>
      <c r="K4795" s="186"/>
    </row>
    <row r="4796" spans="1:11" x14ac:dyDescent="0.2">
      <c r="A4796" s="8">
        <v>14222.333333333299</v>
      </c>
      <c r="B4796" s="8">
        <f t="shared" si="154"/>
        <v>2025</v>
      </c>
      <c r="C4796" s="8">
        <f t="shared" si="155"/>
        <v>10</v>
      </c>
      <c r="D4796" s="204">
        <v>45949</v>
      </c>
      <c r="E4796" s="188"/>
      <c r="F4796" s="188">
        <v>80000</v>
      </c>
      <c r="G4796" s="188"/>
      <c r="H4796" s="188"/>
      <c r="I4796" s="188" t="s">
        <v>91</v>
      </c>
      <c r="J4796" s="187" t="s">
        <v>4678</v>
      </c>
      <c r="K4796" s="186"/>
    </row>
    <row r="4797" spans="1:11" x14ac:dyDescent="0.2">
      <c r="A4797" s="8">
        <v>14292.833333333299</v>
      </c>
      <c r="B4797" s="8">
        <f t="shared" si="154"/>
        <v>2025</v>
      </c>
      <c r="C4797" s="8">
        <f t="shared" si="155"/>
        <v>10</v>
      </c>
      <c r="D4797" s="204">
        <v>45950</v>
      </c>
      <c r="E4797" s="188"/>
      <c r="F4797" s="188">
        <v>336000</v>
      </c>
      <c r="G4797" s="188"/>
      <c r="H4797" s="188"/>
      <c r="I4797" s="188" t="s">
        <v>1992</v>
      </c>
      <c r="J4797" s="187" t="s">
        <v>4679</v>
      </c>
      <c r="K4797" s="186"/>
    </row>
    <row r="4798" spans="1:11" x14ac:dyDescent="0.2">
      <c r="A4798" s="8">
        <v>14363.333333333299</v>
      </c>
      <c r="B4798" s="8">
        <f t="shared" si="154"/>
        <v>2025</v>
      </c>
      <c r="C4798" s="8">
        <f t="shared" si="155"/>
        <v>10</v>
      </c>
      <c r="D4798" s="204">
        <v>45950</v>
      </c>
      <c r="E4798" s="188"/>
      <c r="F4798" s="188">
        <v>410000</v>
      </c>
      <c r="G4798" s="188"/>
      <c r="H4798" s="188"/>
      <c r="I4798" s="188" t="s">
        <v>1992</v>
      </c>
      <c r="J4798" s="187" t="s">
        <v>4680</v>
      </c>
      <c r="K4798" s="186"/>
    </row>
    <row r="4799" spans="1:11" x14ac:dyDescent="0.2">
      <c r="A4799" s="8">
        <v>14433.833333333299</v>
      </c>
      <c r="B4799" s="8">
        <f t="shared" si="154"/>
        <v>2025</v>
      </c>
      <c r="C4799" s="8">
        <f t="shared" si="155"/>
        <v>10</v>
      </c>
      <c r="D4799" s="204">
        <v>45951</v>
      </c>
      <c r="E4799" s="188"/>
      <c r="F4799" s="188">
        <v>1788000</v>
      </c>
      <c r="G4799" s="188"/>
      <c r="H4799" s="188"/>
      <c r="I4799" s="188" t="s">
        <v>1992</v>
      </c>
      <c r="J4799" s="187" t="s">
        <v>4705</v>
      </c>
      <c r="K4799" s="186"/>
    </row>
    <row r="4800" spans="1:11" x14ac:dyDescent="0.2">
      <c r="A4800" s="8">
        <v>14504.333333333299</v>
      </c>
      <c r="B4800" s="8">
        <f t="shared" si="154"/>
        <v>2025</v>
      </c>
      <c r="C4800" s="8">
        <f t="shared" si="155"/>
        <v>10</v>
      </c>
      <c r="D4800" s="204">
        <v>45952</v>
      </c>
      <c r="E4800" s="188"/>
      <c r="F4800" s="188">
        <v>115000</v>
      </c>
      <c r="G4800" s="188"/>
      <c r="H4800" s="188"/>
      <c r="I4800" s="188" t="s">
        <v>85</v>
      </c>
      <c r="J4800" s="187" t="s">
        <v>4681</v>
      </c>
      <c r="K4800" s="186"/>
    </row>
    <row r="4801" spans="1:11" x14ac:dyDescent="0.2">
      <c r="A4801" s="8">
        <v>14574.833333333299</v>
      </c>
      <c r="B4801" s="8">
        <f t="shared" si="154"/>
        <v>2025</v>
      </c>
      <c r="C4801" s="8">
        <f t="shared" si="155"/>
        <v>10</v>
      </c>
      <c r="D4801" s="204">
        <v>45952</v>
      </c>
      <c r="E4801" s="188"/>
      <c r="F4801" s="188">
        <v>20000</v>
      </c>
      <c r="G4801" s="188"/>
      <c r="H4801" s="188"/>
      <c r="I4801" s="188" t="s">
        <v>85</v>
      </c>
      <c r="J4801" s="187" t="s">
        <v>4682</v>
      </c>
      <c r="K4801" s="186"/>
    </row>
    <row r="4802" spans="1:11" x14ac:dyDescent="0.2">
      <c r="A4802" s="8">
        <v>14645.333333333299</v>
      </c>
      <c r="B4802" s="8">
        <f t="shared" si="154"/>
        <v>2025</v>
      </c>
      <c r="C4802" s="8">
        <f t="shared" si="155"/>
        <v>10</v>
      </c>
      <c r="D4802" s="204">
        <v>45952</v>
      </c>
      <c r="E4802" s="188"/>
      <c r="F4802" s="188">
        <v>30000</v>
      </c>
      <c r="G4802" s="188"/>
      <c r="H4802" s="188"/>
      <c r="I4802" s="188" t="s">
        <v>91</v>
      </c>
      <c r="J4802" s="187" t="s">
        <v>2382</v>
      </c>
      <c r="K4802" s="186"/>
    </row>
    <row r="4803" spans="1:11" x14ac:dyDescent="0.2">
      <c r="A4803" s="8">
        <v>14715.833333333299</v>
      </c>
      <c r="B4803" s="8">
        <f t="shared" ref="B4803:B4866" si="156">YEAR(D4803)</f>
        <v>2025</v>
      </c>
      <c r="C4803" s="8">
        <f t="shared" ref="C4803:C4866" si="157">MONTH(D4803)</f>
        <v>10</v>
      </c>
      <c r="D4803" s="204">
        <v>45952</v>
      </c>
      <c r="E4803" s="188"/>
      <c r="F4803" s="188">
        <v>389000</v>
      </c>
      <c r="G4803" s="188"/>
      <c r="H4803" s="188"/>
      <c r="I4803" s="188" t="s">
        <v>4137</v>
      </c>
      <c r="J4803" s="187" t="s">
        <v>4683</v>
      </c>
      <c r="K4803" s="186"/>
    </row>
    <row r="4804" spans="1:11" x14ac:dyDescent="0.2">
      <c r="A4804" s="8">
        <v>14786.333333333299</v>
      </c>
      <c r="B4804" s="8">
        <f t="shared" si="156"/>
        <v>2025</v>
      </c>
      <c r="C4804" s="8">
        <f t="shared" si="157"/>
        <v>10</v>
      </c>
      <c r="D4804" s="204">
        <v>45953</v>
      </c>
      <c r="E4804" s="188"/>
      <c r="F4804" s="188">
        <v>100000</v>
      </c>
      <c r="G4804" s="188"/>
      <c r="H4804" s="188"/>
      <c r="I4804" s="188" t="s">
        <v>85</v>
      </c>
      <c r="J4804" s="187" t="s">
        <v>3891</v>
      </c>
      <c r="K4804" s="186"/>
    </row>
    <row r="4805" spans="1:11" x14ac:dyDescent="0.2">
      <c r="A4805" s="8">
        <v>14856.833333333299</v>
      </c>
      <c r="B4805" s="8">
        <f t="shared" si="156"/>
        <v>2025</v>
      </c>
      <c r="C4805" s="8">
        <f t="shared" si="157"/>
        <v>10</v>
      </c>
      <c r="D4805" s="204">
        <v>45954</v>
      </c>
      <c r="E4805" s="188"/>
      <c r="F4805" s="188">
        <v>220000</v>
      </c>
      <c r="G4805" s="188"/>
      <c r="H4805" s="188"/>
      <c r="I4805" s="188" t="s">
        <v>299</v>
      </c>
      <c r="J4805" s="187" t="s">
        <v>4684</v>
      </c>
      <c r="K4805" s="186"/>
    </row>
    <row r="4806" spans="1:11" x14ac:dyDescent="0.2">
      <c r="A4806" s="8">
        <v>14927.333333333299</v>
      </c>
      <c r="B4806" s="8">
        <f t="shared" si="156"/>
        <v>2025</v>
      </c>
      <c r="C4806" s="8">
        <f t="shared" si="157"/>
        <v>10</v>
      </c>
      <c r="D4806" s="204">
        <v>45955</v>
      </c>
      <c r="E4806" s="188"/>
      <c r="F4806" s="188">
        <v>350000</v>
      </c>
      <c r="G4806" s="188"/>
      <c r="H4806" s="188"/>
      <c r="I4806" s="188" t="s">
        <v>1350</v>
      </c>
      <c r="J4806" s="187" t="s">
        <v>4685</v>
      </c>
      <c r="K4806" s="186"/>
    </row>
    <row r="4807" spans="1:11" x14ac:dyDescent="0.2">
      <c r="A4807" s="8">
        <v>14997.833333333299</v>
      </c>
      <c r="B4807" s="8">
        <f t="shared" si="156"/>
        <v>2025</v>
      </c>
      <c r="C4807" s="8">
        <f t="shared" si="157"/>
        <v>10</v>
      </c>
      <c r="D4807" s="204">
        <v>45956</v>
      </c>
      <c r="E4807" s="188"/>
      <c r="F4807" s="188">
        <v>100000</v>
      </c>
      <c r="G4807" s="188"/>
      <c r="H4807" s="188"/>
      <c r="I4807" s="188" t="s">
        <v>85</v>
      </c>
      <c r="J4807" s="187">
        <v>45956</v>
      </c>
      <c r="K4807" s="186"/>
    </row>
    <row r="4808" spans="1:11" x14ac:dyDescent="0.2">
      <c r="A4808" s="8">
        <v>15068.333333333299</v>
      </c>
      <c r="B4808" s="8">
        <f t="shared" si="156"/>
        <v>2025</v>
      </c>
      <c r="C4808" s="8">
        <f t="shared" si="157"/>
        <v>10</v>
      </c>
      <c r="D4808" s="204">
        <v>45957</v>
      </c>
      <c r="E4808" s="188"/>
      <c r="F4808" s="188">
        <v>100000</v>
      </c>
      <c r="G4808" s="188"/>
      <c r="H4808" s="188"/>
      <c r="I4808" s="188" t="s">
        <v>85</v>
      </c>
      <c r="J4808" s="187">
        <v>45957</v>
      </c>
      <c r="K4808" s="186"/>
    </row>
    <row r="4809" spans="1:11" x14ac:dyDescent="0.2">
      <c r="A4809" s="8">
        <v>15138.833333333299</v>
      </c>
      <c r="B4809" s="8">
        <f t="shared" si="156"/>
        <v>2025</v>
      </c>
      <c r="C4809" s="8">
        <f t="shared" si="157"/>
        <v>10</v>
      </c>
      <c r="D4809" s="204">
        <v>45959</v>
      </c>
      <c r="E4809" s="188"/>
      <c r="F4809" s="188">
        <v>89000</v>
      </c>
      <c r="G4809" s="188"/>
      <c r="H4809" s="188"/>
      <c r="I4809" s="188" t="s">
        <v>1815</v>
      </c>
      <c r="J4809" s="187" t="s">
        <v>4688</v>
      </c>
      <c r="K4809" s="186"/>
    </row>
    <row r="4810" spans="1:11" x14ac:dyDescent="0.2">
      <c r="A4810" s="8">
        <v>15209.333333333299</v>
      </c>
      <c r="B4810" s="8">
        <f t="shared" si="156"/>
        <v>2025</v>
      </c>
      <c r="C4810" s="8">
        <f t="shared" si="157"/>
        <v>10</v>
      </c>
      <c r="D4810" s="204">
        <v>45960</v>
      </c>
      <c r="E4810" s="188"/>
      <c r="F4810" s="188">
        <v>250000</v>
      </c>
      <c r="G4810" s="188"/>
      <c r="H4810" s="188"/>
      <c r="I4810" s="188" t="s">
        <v>1992</v>
      </c>
      <c r="J4810" s="187" t="s">
        <v>4689</v>
      </c>
      <c r="K4810" s="186"/>
    </row>
    <row r="4811" spans="1:11" x14ac:dyDescent="0.2">
      <c r="A4811" s="8">
        <v>15279.833333333299</v>
      </c>
      <c r="B4811" s="8">
        <f t="shared" si="156"/>
        <v>2025</v>
      </c>
      <c r="C4811" s="8">
        <f t="shared" si="157"/>
        <v>10</v>
      </c>
      <c r="D4811" s="204">
        <v>45960</v>
      </c>
      <c r="E4811" s="188"/>
      <c r="F4811" s="188">
        <v>320000</v>
      </c>
      <c r="G4811" s="188"/>
      <c r="H4811" s="188"/>
      <c r="I4811" s="188" t="s">
        <v>1992</v>
      </c>
      <c r="J4811" s="187" t="s">
        <v>4690</v>
      </c>
      <c r="K4811" s="186"/>
    </row>
    <row r="4812" spans="1:11" x14ac:dyDescent="0.2">
      <c r="A4812" s="8">
        <v>15350.333333333299</v>
      </c>
      <c r="B4812" s="8">
        <f t="shared" si="156"/>
        <v>2025</v>
      </c>
      <c r="C4812" s="8">
        <f t="shared" si="157"/>
        <v>10</v>
      </c>
      <c r="D4812" s="204">
        <v>45960</v>
      </c>
      <c r="E4812" s="188"/>
      <c r="F4812" s="188">
        <v>50000</v>
      </c>
      <c r="G4812" s="188"/>
      <c r="H4812" s="188"/>
      <c r="I4812" s="188" t="s">
        <v>1992</v>
      </c>
      <c r="J4812" s="187" t="s">
        <v>4691</v>
      </c>
      <c r="K4812" s="186"/>
    </row>
    <row r="4813" spans="1:11" x14ac:dyDescent="0.2">
      <c r="A4813" s="8">
        <v>15420.833333333299</v>
      </c>
      <c r="B4813" s="8">
        <f t="shared" si="156"/>
        <v>2025</v>
      </c>
      <c r="C4813" s="8">
        <f t="shared" si="157"/>
        <v>10</v>
      </c>
      <c r="D4813" s="204">
        <v>45961</v>
      </c>
      <c r="E4813" s="188"/>
      <c r="F4813" s="188">
        <v>100000</v>
      </c>
      <c r="G4813" s="188"/>
      <c r="H4813" s="188"/>
      <c r="I4813" s="188" t="s">
        <v>85</v>
      </c>
      <c r="J4813" s="187">
        <v>45961</v>
      </c>
      <c r="K4813" s="186"/>
    </row>
    <row r="4814" spans="1:11" x14ac:dyDescent="0.2">
      <c r="A4814" s="8">
        <v>15491.333333333299</v>
      </c>
      <c r="B4814" s="8">
        <f t="shared" si="156"/>
        <v>2025</v>
      </c>
      <c r="C4814" s="8">
        <f t="shared" si="157"/>
        <v>11</v>
      </c>
      <c r="D4814" s="204">
        <v>45962</v>
      </c>
      <c r="E4814" s="188"/>
      <c r="F4814" s="188">
        <v>20000</v>
      </c>
      <c r="G4814" s="188"/>
      <c r="H4814" s="188"/>
      <c r="I4814" s="188" t="s">
        <v>85</v>
      </c>
      <c r="J4814" s="187" t="s">
        <v>4094</v>
      </c>
      <c r="K4814" s="186"/>
    </row>
    <row r="4815" spans="1:11" x14ac:dyDescent="0.2">
      <c r="A4815" s="8">
        <v>15561.833333333299</v>
      </c>
      <c r="B4815" s="8">
        <f t="shared" si="156"/>
        <v>2025</v>
      </c>
      <c r="C4815" s="8">
        <f t="shared" si="157"/>
        <v>11</v>
      </c>
      <c r="D4815" s="204">
        <v>45962</v>
      </c>
      <c r="E4815" s="188"/>
      <c r="F4815" s="188">
        <v>50000</v>
      </c>
      <c r="G4815" s="188"/>
      <c r="H4815" s="188"/>
      <c r="I4815" s="188" t="s">
        <v>91</v>
      </c>
      <c r="J4815" s="187" t="s">
        <v>4036</v>
      </c>
      <c r="K4815" s="186"/>
    </row>
    <row r="4816" spans="1:11" x14ac:dyDescent="0.2">
      <c r="A4816" s="8">
        <v>15632.333333333299</v>
      </c>
      <c r="B4816" s="8">
        <f t="shared" si="156"/>
        <v>2025</v>
      </c>
      <c r="C4816" s="8">
        <f t="shared" si="157"/>
        <v>11</v>
      </c>
      <c r="D4816" s="204">
        <v>45963</v>
      </c>
      <c r="E4816" s="188"/>
      <c r="F4816" s="188">
        <v>110000</v>
      </c>
      <c r="G4816" s="188"/>
      <c r="H4816" s="188"/>
      <c r="I4816" s="188" t="s">
        <v>91</v>
      </c>
      <c r="J4816" s="187" t="s">
        <v>4692</v>
      </c>
      <c r="K4816" s="186"/>
    </row>
    <row r="4817" spans="1:11" x14ac:dyDescent="0.2">
      <c r="A4817" s="8">
        <v>15702.833333333299</v>
      </c>
      <c r="B4817" s="8">
        <f t="shared" si="156"/>
        <v>2025</v>
      </c>
      <c r="C4817" s="8">
        <f t="shared" si="157"/>
        <v>11</v>
      </c>
      <c r="D4817" s="204">
        <v>45963</v>
      </c>
      <c r="E4817" s="188"/>
      <c r="F4817" s="188">
        <v>500000</v>
      </c>
      <c r="G4817" s="188"/>
      <c r="H4817" s="188"/>
      <c r="I4817" s="188" t="s">
        <v>1729</v>
      </c>
      <c r="J4817" s="187" t="s">
        <v>4693</v>
      </c>
      <c r="K4817" s="186"/>
    </row>
    <row r="4818" spans="1:11" x14ac:dyDescent="0.2">
      <c r="A4818" s="8">
        <v>15773.333333333299</v>
      </c>
      <c r="B4818" s="8">
        <f t="shared" si="156"/>
        <v>2025</v>
      </c>
      <c r="C4818" s="8">
        <f t="shared" si="157"/>
        <v>11</v>
      </c>
      <c r="D4818" s="204">
        <v>45964</v>
      </c>
      <c r="E4818" s="188"/>
      <c r="F4818" s="188">
        <v>298000</v>
      </c>
      <c r="G4818" s="188"/>
      <c r="H4818" s="188"/>
      <c r="I4818" s="188" t="s">
        <v>391</v>
      </c>
      <c r="J4818" s="187" t="s">
        <v>4694</v>
      </c>
      <c r="K4818" s="186"/>
    </row>
    <row r="4819" spans="1:11" x14ac:dyDescent="0.2">
      <c r="A4819" s="8">
        <v>15843.833333333299</v>
      </c>
      <c r="B4819" s="8">
        <f t="shared" si="156"/>
        <v>2025</v>
      </c>
      <c r="C4819" s="8">
        <f t="shared" si="157"/>
        <v>11</v>
      </c>
      <c r="D4819" s="204">
        <v>45964</v>
      </c>
      <c r="E4819" s="188"/>
      <c r="F4819" s="188">
        <v>520000</v>
      </c>
      <c r="G4819" s="188"/>
      <c r="H4819" s="188"/>
      <c r="I4819" s="188" t="s">
        <v>335</v>
      </c>
      <c r="J4819" s="187" t="s">
        <v>4695</v>
      </c>
      <c r="K4819" s="186"/>
    </row>
    <row r="4820" spans="1:11" x14ac:dyDescent="0.2">
      <c r="A4820" s="8">
        <v>15914.333333333299</v>
      </c>
      <c r="B4820" s="8">
        <f t="shared" si="156"/>
        <v>2025</v>
      </c>
      <c r="C4820" s="8">
        <f t="shared" si="157"/>
        <v>11</v>
      </c>
      <c r="D4820" s="204">
        <v>45965</v>
      </c>
      <c r="E4820" s="188"/>
      <c r="F4820" s="188">
        <v>120000</v>
      </c>
      <c r="G4820" s="188"/>
      <c r="H4820" s="188"/>
      <c r="I4820" s="188" t="s">
        <v>1350</v>
      </c>
      <c r="J4820" s="187" t="s">
        <v>4696</v>
      </c>
      <c r="K4820" s="186"/>
    </row>
    <row r="4821" spans="1:11" x14ac:dyDescent="0.2">
      <c r="A4821" s="8">
        <v>15984.833333333299</v>
      </c>
      <c r="B4821" s="8">
        <f t="shared" si="156"/>
        <v>2025</v>
      </c>
      <c r="C4821" s="8">
        <f t="shared" si="157"/>
        <v>11</v>
      </c>
      <c r="D4821" s="204">
        <v>45966</v>
      </c>
      <c r="E4821" s="188"/>
      <c r="F4821" s="188">
        <v>100000</v>
      </c>
      <c r="G4821" s="188"/>
      <c r="H4821" s="188"/>
      <c r="I4821" s="188" t="s">
        <v>85</v>
      </c>
      <c r="J4821" s="187">
        <v>45966</v>
      </c>
      <c r="K4821" s="186"/>
    </row>
    <row r="4822" spans="1:11" x14ac:dyDescent="0.2">
      <c r="A4822" s="8">
        <v>16055.333333333299</v>
      </c>
      <c r="B4822" s="8">
        <f t="shared" si="156"/>
        <v>2025</v>
      </c>
      <c r="C4822" s="8">
        <f t="shared" si="157"/>
        <v>11</v>
      </c>
      <c r="D4822" s="204">
        <v>45969</v>
      </c>
      <c r="E4822" s="188"/>
      <c r="F4822" s="188">
        <v>100000</v>
      </c>
      <c r="G4822" s="188"/>
      <c r="H4822" s="188"/>
      <c r="I4822" s="188" t="s">
        <v>1992</v>
      </c>
      <c r="J4822" s="187" t="s">
        <v>4698</v>
      </c>
      <c r="K4822" s="186"/>
    </row>
    <row r="4823" spans="1:11" x14ac:dyDescent="0.2">
      <c r="A4823" s="8">
        <v>16125.833333333299</v>
      </c>
      <c r="B4823" s="8">
        <f t="shared" si="156"/>
        <v>2025</v>
      </c>
      <c r="C4823" s="8">
        <f t="shared" si="157"/>
        <v>11</v>
      </c>
      <c r="D4823" s="204">
        <v>45969</v>
      </c>
      <c r="E4823" s="188"/>
      <c r="F4823" s="188">
        <v>125000</v>
      </c>
      <c r="G4823" s="188"/>
      <c r="H4823" s="188"/>
      <c r="I4823" s="188" t="s">
        <v>1815</v>
      </c>
      <c r="J4823" s="187" t="s">
        <v>4699</v>
      </c>
      <c r="K4823" s="186"/>
    </row>
    <row r="4824" spans="1:11" x14ac:dyDescent="0.2">
      <c r="A4824" s="8">
        <v>16196.333333333299</v>
      </c>
      <c r="B4824" s="8">
        <f t="shared" si="156"/>
        <v>2025</v>
      </c>
      <c r="C4824" s="8">
        <f t="shared" si="157"/>
        <v>11</v>
      </c>
      <c r="D4824" s="204">
        <v>45969</v>
      </c>
      <c r="E4824" s="188"/>
      <c r="F4824" s="188">
        <v>225000</v>
      </c>
      <c r="G4824" s="188"/>
      <c r="H4824" s="188"/>
      <c r="I4824" s="188" t="s">
        <v>1992</v>
      </c>
      <c r="J4824" s="187" t="s">
        <v>4700</v>
      </c>
      <c r="K4824" s="186"/>
    </row>
    <row r="4825" spans="1:11" x14ac:dyDescent="0.2">
      <c r="A4825" s="8">
        <v>16266.833333333299</v>
      </c>
      <c r="B4825" s="8">
        <f t="shared" si="156"/>
        <v>2025</v>
      </c>
      <c r="C4825" s="8">
        <f t="shared" si="157"/>
        <v>11</v>
      </c>
      <c r="D4825" s="204">
        <v>45969</v>
      </c>
      <c r="E4825" s="188"/>
      <c r="F4825" s="188">
        <v>410000</v>
      </c>
      <c r="G4825" s="188"/>
      <c r="H4825" s="188"/>
      <c r="I4825" s="188" t="s">
        <v>1992</v>
      </c>
      <c r="J4825" s="187" t="s">
        <v>4701</v>
      </c>
      <c r="K4825" s="186"/>
    </row>
    <row r="4826" spans="1:11" x14ac:dyDescent="0.2">
      <c r="A4826" s="8">
        <v>16337.333333333299</v>
      </c>
      <c r="B4826" s="8">
        <f t="shared" si="156"/>
        <v>2025</v>
      </c>
      <c r="C4826" s="8">
        <f t="shared" si="157"/>
        <v>11</v>
      </c>
      <c r="D4826" s="204">
        <v>45969</v>
      </c>
      <c r="E4826" s="188"/>
      <c r="F4826" s="188">
        <v>50000</v>
      </c>
      <c r="G4826" s="188"/>
      <c r="H4826" s="188"/>
      <c r="I4826" s="188" t="s">
        <v>1992</v>
      </c>
      <c r="J4826" s="187" t="s">
        <v>4702</v>
      </c>
      <c r="K4826" s="186"/>
    </row>
    <row r="4827" spans="1:11" x14ac:dyDescent="0.2">
      <c r="A4827" s="8">
        <v>16407.833333333299</v>
      </c>
      <c r="B4827" s="8">
        <f t="shared" si="156"/>
        <v>2025</v>
      </c>
      <c r="C4827" s="8">
        <f t="shared" si="157"/>
        <v>11</v>
      </c>
      <c r="D4827" s="204">
        <v>45970</v>
      </c>
      <c r="E4827" s="188"/>
      <c r="F4827" s="188">
        <v>120000</v>
      </c>
      <c r="G4827" s="188"/>
      <c r="H4827" s="188"/>
      <c r="I4827" s="188" t="s">
        <v>91</v>
      </c>
      <c r="J4827" s="187" t="s">
        <v>4703</v>
      </c>
      <c r="K4827" s="186"/>
    </row>
    <row r="4828" spans="1:11" x14ac:dyDescent="0.2">
      <c r="A4828" s="8">
        <v>16478.333333333299</v>
      </c>
      <c r="B4828" s="8">
        <f t="shared" si="156"/>
        <v>2025</v>
      </c>
      <c r="C4828" s="8">
        <f t="shared" si="157"/>
        <v>11</v>
      </c>
      <c r="D4828" s="204">
        <v>45970</v>
      </c>
      <c r="E4828" s="188"/>
      <c r="F4828" s="188">
        <v>20000</v>
      </c>
      <c r="G4828" s="188"/>
      <c r="H4828" s="188"/>
      <c r="I4828" s="188" t="s">
        <v>91</v>
      </c>
      <c r="J4828" s="187" t="s">
        <v>4704</v>
      </c>
      <c r="K4828" s="186"/>
    </row>
    <row r="4829" spans="1:11" x14ac:dyDescent="0.2">
      <c r="A4829" s="8">
        <v>16548.833333333299</v>
      </c>
      <c r="B4829" s="8">
        <f t="shared" si="156"/>
        <v>2025</v>
      </c>
      <c r="C4829" s="8">
        <f t="shared" si="157"/>
        <v>11</v>
      </c>
      <c r="D4829" s="204">
        <v>45970</v>
      </c>
      <c r="E4829" s="188"/>
      <c r="F4829" s="188">
        <v>50000</v>
      </c>
      <c r="G4829" s="188"/>
      <c r="H4829" s="188"/>
      <c r="I4829" s="188" t="s">
        <v>85</v>
      </c>
      <c r="J4829" s="187" t="s">
        <v>3966</v>
      </c>
      <c r="K4829" s="186"/>
    </row>
    <row r="4830" spans="1:11" x14ac:dyDescent="0.2">
      <c r="A4830" s="8">
        <v>16619.333333333299</v>
      </c>
      <c r="B4830" s="8">
        <f t="shared" si="156"/>
        <v>2025</v>
      </c>
      <c r="C4830" s="8">
        <f t="shared" si="157"/>
        <v>11</v>
      </c>
      <c r="D4830" s="204">
        <v>45969</v>
      </c>
      <c r="E4830" s="188"/>
      <c r="F4830" s="188">
        <v>700000</v>
      </c>
      <c r="G4830" s="188"/>
      <c r="H4830" s="188"/>
      <c r="I4830" s="188" t="s">
        <v>1992</v>
      </c>
      <c r="J4830" s="187" t="s">
        <v>4707</v>
      </c>
      <c r="K4830" s="186"/>
    </row>
    <row r="4831" spans="1:11" x14ac:dyDescent="0.2">
      <c r="A4831" s="8">
        <v>16689.833333333299</v>
      </c>
      <c r="B4831" s="8">
        <f t="shared" si="156"/>
        <v>2025</v>
      </c>
      <c r="C4831" s="8">
        <f t="shared" si="157"/>
        <v>11</v>
      </c>
      <c r="D4831" s="204">
        <v>45970</v>
      </c>
      <c r="E4831" s="188"/>
      <c r="F4831" s="188">
        <v>220000</v>
      </c>
      <c r="G4831" s="188"/>
      <c r="H4831" s="188"/>
      <c r="I4831" s="188" t="s">
        <v>299</v>
      </c>
      <c r="J4831" s="187" t="s">
        <v>4728</v>
      </c>
      <c r="K4831" s="186"/>
    </row>
    <row r="4832" spans="1:11" x14ac:dyDescent="0.2">
      <c r="A4832" s="8">
        <v>16760.333333333299</v>
      </c>
      <c r="B4832" s="8">
        <f t="shared" si="156"/>
        <v>2025</v>
      </c>
      <c r="C4832" s="8">
        <f t="shared" si="157"/>
        <v>11</v>
      </c>
      <c r="D4832" s="204">
        <v>45971</v>
      </c>
      <c r="E4832" s="188"/>
      <c r="F4832" s="188">
        <v>10000</v>
      </c>
      <c r="G4832" s="188"/>
      <c r="H4832" s="188"/>
      <c r="I4832" s="188" t="s">
        <v>91</v>
      </c>
      <c r="J4832" s="187" t="s">
        <v>4729</v>
      </c>
      <c r="K4832" s="186"/>
    </row>
    <row r="4833" spans="1:11" x14ac:dyDescent="0.2">
      <c r="A4833" s="8">
        <v>16830.833333333299</v>
      </c>
      <c r="B4833" s="8">
        <f t="shared" si="156"/>
        <v>2025</v>
      </c>
      <c r="C4833" s="8">
        <f t="shared" si="157"/>
        <v>11</v>
      </c>
      <c r="D4833" s="204">
        <v>45971</v>
      </c>
      <c r="E4833" s="188"/>
      <c r="F4833" s="188">
        <v>17000</v>
      </c>
      <c r="G4833" s="188"/>
      <c r="H4833" s="188"/>
      <c r="I4833" s="188" t="s">
        <v>91</v>
      </c>
      <c r="J4833" s="187" t="s">
        <v>4089</v>
      </c>
      <c r="K4833" s="186"/>
    </row>
    <row r="4834" spans="1:11" x14ac:dyDescent="0.2">
      <c r="A4834" s="8">
        <v>16901.333333333299</v>
      </c>
      <c r="B4834" s="8">
        <f t="shared" si="156"/>
        <v>2025</v>
      </c>
      <c r="C4834" s="8">
        <f t="shared" si="157"/>
        <v>11</v>
      </c>
      <c r="D4834" s="204">
        <v>45971</v>
      </c>
      <c r="E4834" s="188"/>
      <c r="F4834" s="188">
        <v>750000</v>
      </c>
      <c r="G4834" s="188"/>
      <c r="H4834" s="188"/>
      <c r="I4834" s="188" t="s">
        <v>1992</v>
      </c>
      <c r="J4834" s="187" t="s">
        <v>4707</v>
      </c>
      <c r="K4834" s="186"/>
    </row>
    <row r="4835" spans="1:11" x14ac:dyDescent="0.2">
      <c r="A4835" s="8">
        <v>16971.833333333299</v>
      </c>
      <c r="B4835" s="8">
        <f t="shared" si="156"/>
        <v>2025</v>
      </c>
      <c r="C4835" s="8">
        <f t="shared" si="157"/>
        <v>11</v>
      </c>
      <c r="D4835" s="204">
        <v>45972</v>
      </c>
      <c r="E4835" s="188"/>
      <c r="F4835" s="188">
        <v>300000</v>
      </c>
      <c r="G4835" s="188"/>
      <c r="H4835" s="188"/>
      <c r="I4835" s="188" t="s">
        <v>2807</v>
      </c>
      <c r="J4835" s="187" t="s">
        <v>4730</v>
      </c>
      <c r="K4835" s="186"/>
    </row>
    <row r="4836" spans="1:11" x14ac:dyDescent="0.2">
      <c r="A4836" s="8">
        <v>17042.333333333299</v>
      </c>
      <c r="B4836" s="8">
        <f t="shared" si="156"/>
        <v>2025</v>
      </c>
      <c r="C4836" s="8">
        <f t="shared" si="157"/>
        <v>11</v>
      </c>
      <c r="D4836" s="204">
        <v>45972</v>
      </c>
      <c r="E4836" s="188"/>
      <c r="F4836" s="188">
        <v>20000</v>
      </c>
      <c r="G4836" s="188"/>
      <c r="H4836" s="188"/>
      <c r="I4836" s="188" t="s">
        <v>85</v>
      </c>
      <c r="J4836" s="187" t="s">
        <v>4094</v>
      </c>
      <c r="K4836" s="186"/>
    </row>
    <row r="4837" spans="1:11" x14ac:dyDescent="0.2">
      <c r="A4837" s="8">
        <v>17253.833333333299</v>
      </c>
      <c r="B4837" s="8">
        <f t="shared" si="156"/>
        <v>2025</v>
      </c>
      <c r="C4837" s="8">
        <f t="shared" si="157"/>
        <v>11</v>
      </c>
      <c r="D4837" s="204">
        <v>45973</v>
      </c>
      <c r="E4837" s="188"/>
      <c r="F4837" s="188">
        <v>22000</v>
      </c>
      <c r="G4837" s="188"/>
      <c r="H4837" s="188"/>
      <c r="I4837" s="188" t="s">
        <v>91</v>
      </c>
      <c r="J4837" s="187" t="s">
        <v>2394</v>
      </c>
      <c r="K4837" s="186"/>
    </row>
    <row r="4838" spans="1:11" x14ac:dyDescent="0.2">
      <c r="A4838" s="8">
        <v>17324.333333333299</v>
      </c>
      <c r="B4838" s="8">
        <f t="shared" si="156"/>
        <v>2025</v>
      </c>
      <c r="C4838" s="8">
        <f t="shared" si="157"/>
        <v>11</v>
      </c>
      <c r="D4838" s="204">
        <v>45973</v>
      </c>
      <c r="E4838" s="188"/>
      <c r="F4838" s="188">
        <v>479000</v>
      </c>
      <c r="G4838" s="188"/>
      <c r="H4838" s="188"/>
      <c r="I4838" s="188" t="s">
        <v>2807</v>
      </c>
      <c r="J4838" s="187" t="s">
        <v>4733</v>
      </c>
      <c r="K4838" s="186"/>
    </row>
    <row r="4839" spans="1:11" x14ac:dyDescent="0.2">
      <c r="A4839" s="8">
        <v>17465.333333333299</v>
      </c>
      <c r="B4839" s="8">
        <f t="shared" si="156"/>
        <v>2025</v>
      </c>
      <c r="C4839" s="8">
        <f t="shared" si="157"/>
        <v>11</v>
      </c>
      <c r="D4839" s="204">
        <v>45974</v>
      </c>
      <c r="E4839" s="188"/>
      <c r="F4839" s="188">
        <v>300000</v>
      </c>
      <c r="G4839" s="188"/>
      <c r="H4839" s="188"/>
      <c r="I4839" s="188" t="s">
        <v>1992</v>
      </c>
      <c r="J4839" s="187" t="s">
        <v>4734</v>
      </c>
      <c r="K4839" s="186"/>
    </row>
    <row r="4840" spans="1:11" x14ac:dyDescent="0.2">
      <c r="A4840" s="8">
        <v>17535.833333333299</v>
      </c>
      <c r="B4840" s="8">
        <f t="shared" si="156"/>
        <v>2025</v>
      </c>
      <c r="C4840" s="8">
        <f t="shared" si="157"/>
        <v>11</v>
      </c>
      <c r="D4840" s="204">
        <v>45974</v>
      </c>
      <c r="E4840" s="188"/>
      <c r="F4840" s="188">
        <v>50000</v>
      </c>
      <c r="G4840" s="188"/>
      <c r="H4840" s="188"/>
      <c r="I4840" s="188" t="s">
        <v>1992</v>
      </c>
      <c r="J4840" s="187" t="s">
        <v>4735</v>
      </c>
      <c r="K4840" s="186"/>
    </row>
    <row r="4841" spans="1:11" x14ac:dyDescent="0.2">
      <c r="A4841" s="8">
        <v>17606.333333333299</v>
      </c>
      <c r="B4841" s="8">
        <f t="shared" si="156"/>
        <v>2025</v>
      </c>
      <c r="C4841" s="8">
        <f t="shared" si="157"/>
        <v>11</v>
      </c>
      <c r="D4841" s="204">
        <v>45974</v>
      </c>
      <c r="E4841" s="188"/>
      <c r="F4841" s="188">
        <v>50000</v>
      </c>
      <c r="G4841" s="188"/>
      <c r="H4841" s="188"/>
      <c r="I4841" s="188" t="s">
        <v>85</v>
      </c>
      <c r="J4841" s="187" t="s">
        <v>4736</v>
      </c>
      <c r="K4841" s="186"/>
    </row>
    <row r="4842" spans="1:11" x14ac:dyDescent="0.2">
      <c r="A4842" s="8">
        <v>17676.833333333299</v>
      </c>
      <c r="B4842" s="8">
        <f t="shared" si="156"/>
        <v>2025</v>
      </c>
      <c r="C4842" s="8">
        <f t="shared" si="157"/>
        <v>11</v>
      </c>
      <c r="D4842" s="204">
        <v>45975</v>
      </c>
      <c r="E4842" s="188"/>
      <c r="F4842" s="188">
        <v>50000</v>
      </c>
      <c r="G4842" s="188"/>
      <c r="H4842" s="188"/>
      <c r="I4842" s="188" t="s">
        <v>85</v>
      </c>
      <c r="J4842" s="187" t="s">
        <v>2605</v>
      </c>
      <c r="K4842" s="186"/>
    </row>
    <row r="4843" spans="1:11" x14ac:dyDescent="0.2">
      <c r="A4843" s="8">
        <v>17747.333333333299</v>
      </c>
      <c r="B4843" s="8">
        <f t="shared" si="156"/>
        <v>2025</v>
      </c>
      <c r="C4843" s="8">
        <f t="shared" si="157"/>
        <v>11</v>
      </c>
      <c r="D4843" s="204">
        <v>45975</v>
      </c>
      <c r="E4843" s="188"/>
      <c r="F4843" s="188">
        <v>300000</v>
      </c>
      <c r="G4843" s="188"/>
      <c r="H4843" s="188"/>
      <c r="I4843" s="188" t="s">
        <v>4569</v>
      </c>
      <c r="J4843" s="187" t="s">
        <v>4737</v>
      </c>
      <c r="K4843" s="186"/>
    </row>
    <row r="4844" spans="1:11" x14ac:dyDescent="0.2">
      <c r="A4844" s="8">
        <v>17817.833333333299</v>
      </c>
      <c r="B4844" s="8">
        <f t="shared" si="156"/>
        <v>2025</v>
      </c>
      <c r="C4844" s="8">
        <f t="shared" si="157"/>
        <v>11</v>
      </c>
      <c r="D4844" s="204">
        <v>45976</v>
      </c>
      <c r="E4844" s="188"/>
      <c r="F4844" s="188">
        <v>200000</v>
      </c>
      <c r="G4844" s="188"/>
      <c r="H4844" s="188"/>
      <c r="I4844" s="188" t="s">
        <v>1350</v>
      </c>
      <c r="J4844" s="187" t="s">
        <v>4738</v>
      </c>
      <c r="K4844" s="186"/>
    </row>
    <row r="4845" spans="1:11" x14ac:dyDescent="0.2">
      <c r="A4845" s="8">
        <v>17888.333333333299</v>
      </c>
      <c r="B4845" s="8">
        <f t="shared" si="156"/>
        <v>2025</v>
      </c>
      <c r="C4845" s="8">
        <f t="shared" si="157"/>
        <v>11</v>
      </c>
      <c r="D4845" s="204">
        <v>45976</v>
      </c>
      <c r="E4845" s="188"/>
      <c r="F4845" s="188">
        <v>3000000</v>
      </c>
      <c r="G4845" s="188"/>
      <c r="H4845" s="188"/>
      <c r="I4845" s="188" t="s">
        <v>2807</v>
      </c>
      <c r="J4845" s="187" t="s">
        <v>4739</v>
      </c>
      <c r="K4845" s="186"/>
    </row>
    <row r="4846" spans="1:11" x14ac:dyDescent="0.2">
      <c r="A4846" s="8">
        <v>17958.833333333299</v>
      </c>
      <c r="B4846" s="8">
        <f t="shared" si="156"/>
        <v>2025</v>
      </c>
      <c r="C4846" s="8">
        <f t="shared" si="157"/>
        <v>11</v>
      </c>
      <c r="D4846" s="204">
        <v>45976</v>
      </c>
      <c r="E4846" s="188"/>
      <c r="F4846" s="188">
        <v>425000</v>
      </c>
      <c r="G4846" s="188"/>
      <c r="H4846" s="188"/>
      <c r="I4846" s="188" t="s">
        <v>2807</v>
      </c>
      <c r="J4846" s="187" t="s">
        <v>4740</v>
      </c>
      <c r="K4846" s="186"/>
    </row>
    <row r="4847" spans="1:11" x14ac:dyDescent="0.2">
      <c r="A4847" s="8">
        <v>18029.333333333299</v>
      </c>
      <c r="B4847" s="8">
        <f t="shared" si="156"/>
        <v>2025</v>
      </c>
      <c r="C4847" s="8">
        <f t="shared" si="157"/>
        <v>11</v>
      </c>
      <c r="D4847" s="204">
        <v>45976</v>
      </c>
      <c r="E4847" s="188"/>
      <c r="F4847" s="188">
        <v>530000</v>
      </c>
      <c r="G4847" s="188"/>
      <c r="H4847" s="188"/>
      <c r="I4847" s="188" t="s">
        <v>2807</v>
      </c>
      <c r="J4847" s="187" t="s">
        <v>4741</v>
      </c>
      <c r="K4847" s="186"/>
    </row>
    <row r="4848" spans="1:11" x14ac:dyDescent="0.2">
      <c r="A4848" s="8">
        <v>18099.833333333299</v>
      </c>
      <c r="B4848" s="8">
        <f t="shared" si="156"/>
        <v>2025</v>
      </c>
      <c r="C4848" s="8">
        <f t="shared" si="157"/>
        <v>11</v>
      </c>
      <c r="D4848" s="204">
        <v>45976</v>
      </c>
      <c r="E4848" s="188"/>
      <c r="F4848" s="188">
        <v>126000</v>
      </c>
      <c r="G4848" s="188"/>
      <c r="H4848" s="188"/>
      <c r="I4848" s="188" t="s">
        <v>2807</v>
      </c>
      <c r="J4848" s="187" t="s">
        <v>4742</v>
      </c>
      <c r="K4848" s="186"/>
    </row>
    <row r="4849" spans="1:11" x14ac:dyDescent="0.2">
      <c r="A4849" s="8">
        <v>18170.333333333299</v>
      </c>
      <c r="B4849" s="8">
        <f t="shared" si="156"/>
        <v>2025</v>
      </c>
      <c r="C4849" s="8">
        <f t="shared" si="157"/>
        <v>11</v>
      </c>
      <c r="D4849" s="204">
        <v>45976</v>
      </c>
      <c r="E4849" s="188"/>
      <c r="F4849" s="188">
        <v>1195000</v>
      </c>
      <c r="G4849" s="188"/>
      <c r="H4849" s="188"/>
      <c r="I4849" s="188" t="s">
        <v>2807</v>
      </c>
      <c r="J4849" s="187" t="s">
        <v>4743</v>
      </c>
      <c r="K4849" s="186"/>
    </row>
    <row r="4850" spans="1:11" x14ac:dyDescent="0.2">
      <c r="A4850" s="8">
        <v>18240.833333333299</v>
      </c>
      <c r="B4850" s="8">
        <f t="shared" si="156"/>
        <v>2025</v>
      </c>
      <c r="C4850" s="8">
        <f t="shared" si="157"/>
        <v>11</v>
      </c>
      <c r="D4850" s="204">
        <v>45976</v>
      </c>
      <c r="E4850" s="188"/>
      <c r="F4850" s="188">
        <v>50000</v>
      </c>
      <c r="G4850" s="188"/>
      <c r="H4850" s="188"/>
      <c r="I4850" s="188" t="s">
        <v>85</v>
      </c>
      <c r="J4850" s="187" t="s">
        <v>4744</v>
      </c>
      <c r="K4850" s="186"/>
    </row>
    <row r="4851" spans="1:11" x14ac:dyDescent="0.2">
      <c r="A4851" s="8">
        <v>18311.333333333299</v>
      </c>
      <c r="B4851" s="8">
        <f t="shared" si="156"/>
        <v>2025</v>
      </c>
      <c r="C4851" s="8">
        <f t="shared" si="157"/>
        <v>11</v>
      </c>
      <c r="D4851" s="204">
        <v>45977</v>
      </c>
      <c r="E4851" s="188"/>
      <c r="F4851" s="188">
        <v>50000</v>
      </c>
      <c r="G4851" s="188"/>
      <c r="H4851" s="188"/>
      <c r="I4851" s="188" t="s">
        <v>1815</v>
      </c>
      <c r="J4851" s="187" t="s">
        <v>4216</v>
      </c>
      <c r="K4851" s="186"/>
    </row>
    <row r="4852" spans="1:11" x14ac:dyDescent="0.2">
      <c r="A4852" s="8">
        <v>18381.833333333299</v>
      </c>
      <c r="B4852" s="8">
        <f t="shared" si="156"/>
        <v>2025</v>
      </c>
      <c r="C4852" s="8">
        <f t="shared" si="157"/>
        <v>11</v>
      </c>
      <c r="D4852" s="204">
        <v>45977</v>
      </c>
      <c r="E4852" s="188"/>
      <c r="F4852" s="188">
        <v>10000</v>
      </c>
      <c r="G4852" s="188"/>
      <c r="H4852" s="188"/>
      <c r="I4852" s="188" t="s">
        <v>1815</v>
      </c>
      <c r="J4852" s="187" t="s">
        <v>4745</v>
      </c>
      <c r="K4852" s="186"/>
    </row>
    <row r="4853" spans="1:11" x14ac:dyDescent="0.2">
      <c r="A4853" s="8">
        <v>18452.333333333299</v>
      </c>
      <c r="B4853" s="8">
        <f t="shared" si="156"/>
        <v>2025</v>
      </c>
      <c r="C4853" s="8">
        <f t="shared" si="157"/>
        <v>11</v>
      </c>
      <c r="D4853" s="204">
        <v>45978</v>
      </c>
      <c r="E4853" s="188"/>
      <c r="F4853" s="188">
        <v>195000</v>
      </c>
      <c r="G4853" s="188"/>
      <c r="H4853" s="188"/>
      <c r="I4853" s="188" t="s">
        <v>1815</v>
      </c>
      <c r="J4853" s="187" t="s">
        <v>4746</v>
      </c>
      <c r="K4853" s="186"/>
    </row>
    <row r="4854" spans="1:11" x14ac:dyDescent="0.2">
      <c r="A4854" s="8">
        <v>18522.833333333299</v>
      </c>
      <c r="B4854" s="8">
        <f t="shared" si="156"/>
        <v>2025</v>
      </c>
      <c r="C4854" s="8">
        <f t="shared" si="157"/>
        <v>11</v>
      </c>
      <c r="D4854" s="204">
        <v>45978</v>
      </c>
      <c r="E4854" s="188"/>
      <c r="F4854" s="188">
        <v>45000</v>
      </c>
      <c r="G4854" s="188"/>
      <c r="H4854" s="188"/>
      <c r="I4854" s="188" t="s">
        <v>1815</v>
      </c>
      <c r="J4854" s="187" t="s">
        <v>4747</v>
      </c>
      <c r="K4854" s="186"/>
    </row>
    <row r="4855" spans="1:11" x14ac:dyDescent="0.2">
      <c r="A4855" s="8">
        <v>18593.333333333299</v>
      </c>
      <c r="B4855" s="8">
        <f t="shared" si="156"/>
        <v>2025</v>
      </c>
      <c r="C4855" s="8">
        <f t="shared" si="157"/>
        <v>11</v>
      </c>
      <c r="D4855" s="204">
        <v>45978</v>
      </c>
      <c r="E4855" s="188"/>
      <c r="F4855" s="188">
        <v>64000</v>
      </c>
      <c r="G4855" s="188"/>
      <c r="H4855" s="188"/>
      <c r="I4855" s="188" t="s">
        <v>1815</v>
      </c>
      <c r="J4855" s="187" t="s">
        <v>4748</v>
      </c>
      <c r="K4855" s="186"/>
    </row>
    <row r="4856" spans="1:11" x14ac:dyDescent="0.2">
      <c r="A4856" s="8">
        <v>18663.833333333299</v>
      </c>
      <c r="B4856" s="8">
        <f t="shared" si="156"/>
        <v>2025</v>
      </c>
      <c r="C4856" s="8">
        <f t="shared" si="157"/>
        <v>11</v>
      </c>
      <c r="D4856" s="204">
        <v>45978</v>
      </c>
      <c r="E4856" s="188"/>
      <c r="F4856" s="188">
        <v>36000</v>
      </c>
      <c r="G4856" s="188"/>
      <c r="H4856" s="188"/>
      <c r="I4856" s="188" t="s">
        <v>1815</v>
      </c>
      <c r="J4856" s="187" t="s">
        <v>4749</v>
      </c>
      <c r="K4856" s="186"/>
    </row>
    <row r="4857" spans="1:11" x14ac:dyDescent="0.2">
      <c r="A4857" s="8">
        <v>18734.333333333299</v>
      </c>
      <c r="B4857" s="8">
        <f t="shared" si="156"/>
        <v>2025</v>
      </c>
      <c r="C4857" s="8">
        <f t="shared" si="157"/>
        <v>11</v>
      </c>
      <c r="D4857" s="204">
        <v>45978</v>
      </c>
      <c r="E4857" s="188"/>
      <c r="F4857" s="188">
        <v>71000</v>
      </c>
      <c r="G4857" s="188"/>
      <c r="H4857" s="188"/>
      <c r="I4857" s="188" t="s">
        <v>1815</v>
      </c>
      <c r="J4857" s="187" t="s">
        <v>4750</v>
      </c>
      <c r="K4857" s="186"/>
    </row>
    <row r="4858" spans="1:11" x14ac:dyDescent="0.2">
      <c r="A4858" s="8">
        <v>18804.833333333299</v>
      </c>
      <c r="B4858" s="8">
        <f t="shared" si="156"/>
        <v>2025</v>
      </c>
      <c r="C4858" s="8">
        <f t="shared" si="157"/>
        <v>11</v>
      </c>
      <c r="D4858" s="204">
        <v>45978</v>
      </c>
      <c r="E4858" s="188"/>
      <c r="F4858" s="188">
        <v>40000</v>
      </c>
      <c r="G4858" s="188"/>
      <c r="H4858" s="188"/>
      <c r="I4858" s="188" t="s">
        <v>1815</v>
      </c>
      <c r="J4858" s="187" t="s">
        <v>4751</v>
      </c>
      <c r="K4858" s="186"/>
    </row>
    <row r="4859" spans="1:11" x14ac:dyDescent="0.2">
      <c r="A4859" s="8">
        <v>18875.333333333299</v>
      </c>
      <c r="B4859" s="8">
        <f t="shared" si="156"/>
        <v>2025</v>
      </c>
      <c r="C4859" s="8">
        <f t="shared" si="157"/>
        <v>11</v>
      </c>
      <c r="D4859" s="204">
        <v>45978</v>
      </c>
      <c r="E4859" s="188"/>
      <c r="F4859" s="188">
        <v>25000</v>
      </c>
      <c r="G4859" s="188"/>
      <c r="H4859" s="188"/>
      <c r="I4859" s="188" t="s">
        <v>1815</v>
      </c>
      <c r="J4859" s="187" t="s">
        <v>4752</v>
      </c>
      <c r="K4859" s="186"/>
    </row>
    <row r="4860" spans="1:11" x14ac:dyDescent="0.2">
      <c r="A4860" s="8">
        <v>18945.833333333299</v>
      </c>
      <c r="B4860" s="8">
        <f t="shared" si="156"/>
        <v>2025</v>
      </c>
      <c r="C4860" s="8">
        <f t="shared" si="157"/>
        <v>11</v>
      </c>
      <c r="D4860" s="204">
        <v>45979</v>
      </c>
      <c r="E4860" s="188"/>
      <c r="F4860" s="188">
        <v>50000</v>
      </c>
      <c r="G4860" s="188"/>
      <c r="H4860" s="188"/>
      <c r="I4860" s="188" t="s">
        <v>85</v>
      </c>
      <c r="J4860" s="187" t="s">
        <v>2605</v>
      </c>
      <c r="K4860" s="186"/>
    </row>
    <row r="4861" spans="1:11" x14ac:dyDescent="0.2">
      <c r="A4861" s="8">
        <v>19298.333333333299</v>
      </c>
      <c r="B4861" s="8">
        <f t="shared" si="156"/>
        <v>2025</v>
      </c>
      <c r="C4861" s="8">
        <f t="shared" si="157"/>
        <v>11</v>
      </c>
      <c r="D4861" s="204">
        <v>45981</v>
      </c>
      <c r="E4861" s="188"/>
      <c r="F4861" s="188">
        <v>980000</v>
      </c>
      <c r="G4861" s="188"/>
      <c r="H4861" s="188"/>
      <c r="I4861" s="188" t="s">
        <v>2807</v>
      </c>
      <c r="J4861" s="187" t="s">
        <v>4755</v>
      </c>
      <c r="K4861" s="186"/>
    </row>
    <row r="4862" spans="1:11" x14ac:dyDescent="0.2">
      <c r="A4862" s="8">
        <v>19439.333333333299</v>
      </c>
      <c r="B4862" s="8">
        <f t="shared" si="156"/>
        <v>2025</v>
      </c>
      <c r="C4862" s="8">
        <f t="shared" si="157"/>
        <v>11</v>
      </c>
      <c r="D4862" s="204">
        <v>45981</v>
      </c>
      <c r="E4862" s="188"/>
      <c r="F4862" s="188">
        <v>230000</v>
      </c>
      <c r="G4862" s="188"/>
      <c r="H4862" s="188"/>
      <c r="I4862" s="188" t="s">
        <v>299</v>
      </c>
      <c r="J4862" s="187" t="s">
        <v>4757</v>
      </c>
      <c r="K4862" s="186"/>
    </row>
    <row r="4863" spans="1:11" x14ac:dyDescent="0.2">
      <c r="A4863" s="8">
        <v>19580.333333333299</v>
      </c>
      <c r="B4863" s="8">
        <f t="shared" si="156"/>
        <v>2025</v>
      </c>
      <c r="C4863" s="8">
        <f t="shared" si="157"/>
        <v>11</v>
      </c>
      <c r="D4863" s="204">
        <v>45983</v>
      </c>
      <c r="E4863" s="188"/>
      <c r="F4863" s="188">
        <v>930000</v>
      </c>
      <c r="G4863" s="188"/>
      <c r="H4863" s="188"/>
      <c r="I4863" s="188" t="s">
        <v>335</v>
      </c>
      <c r="J4863" s="187" t="s">
        <v>4758</v>
      </c>
      <c r="K4863" s="186"/>
    </row>
    <row r="4864" spans="1:11" x14ac:dyDescent="0.2">
      <c r="A4864" s="8">
        <v>19650.833333333299</v>
      </c>
      <c r="B4864" s="8">
        <f t="shared" si="156"/>
        <v>2025</v>
      </c>
      <c r="C4864" s="8">
        <f t="shared" si="157"/>
        <v>11</v>
      </c>
      <c r="D4864" s="204">
        <v>45983</v>
      </c>
      <c r="E4864" s="188"/>
      <c r="F4864" s="188">
        <v>60000</v>
      </c>
      <c r="G4864" s="188"/>
      <c r="H4864" s="188"/>
      <c r="I4864" s="188" t="s">
        <v>91</v>
      </c>
      <c r="J4864" s="187" t="s">
        <v>4759</v>
      </c>
      <c r="K4864" s="186"/>
    </row>
    <row r="4865" spans="1:11" x14ac:dyDescent="0.2">
      <c r="A4865" s="8">
        <v>19721.333333333299</v>
      </c>
      <c r="B4865" s="8">
        <f t="shared" si="156"/>
        <v>2025</v>
      </c>
      <c r="C4865" s="8">
        <f t="shared" si="157"/>
        <v>11</v>
      </c>
      <c r="D4865" s="204">
        <v>45984</v>
      </c>
      <c r="E4865" s="188"/>
      <c r="F4865" s="188">
        <v>100000</v>
      </c>
      <c r="G4865" s="188"/>
      <c r="H4865" s="188"/>
      <c r="I4865" s="188" t="s">
        <v>85</v>
      </c>
      <c r="J4865" s="187" t="s">
        <v>3891</v>
      </c>
      <c r="K4865" s="186"/>
    </row>
    <row r="4866" spans="1:11" x14ac:dyDescent="0.2">
      <c r="A4866" s="8">
        <v>19791.833333333299</v>
      </c>
      <c r="B4866" s="8">
        <f t="shared" si="156"/>
        <v>2025</v>
      </c>
      <c r="C4866" s="8">
        <f t="shared" si="157"/>
        <v>11</v>
      </c>
      <c r="D4866" s="204">
        <v>45985</v>
      </c>
      <c r="E4866" s="188"/>
      <c r="F4866" s="188">
        <v>100000</v>
      </c>
      <c r="G4866" s="188"/>
      <c r="H4866" s="188"/>
      <c r="I4866" s="188" t="s">
        <v>85</v>
      </c>
      <c r="J4866" s="187" t="s">
        <v>4469</v>
      </c>
      <c r="K4866" s="186"/>
    </row>
    <row r="4867" spans="1:11" x14ac:dyDescent="0.2">
      <c r="A4867" s="8">
        <v>19862.333333333299</v>
      </c>
      <c r="B4867" s="8">
        <f t="shared" ref="B4867:B4880" si="158">YEAR(D4867)</f>
        <v>2025</v>
      </c>
      <c r="C4867" s="8">
        <f t="shared" ref="C4867:C4880" si="159">MONTH(D4867)</f>
        <v>11</v>
      </c>
      <c r="D4867" s="204">
        <v>45986</v>
      </c>
      <c r="E4867" s="188"/>
      <c r="F4867" s="188">
        <v>300000</v>
      </c>
      <c r="G4867" s="188"/>
      <c r="H4867" s="188"/>
      <c r="I4867" s="188" t="s">
        <v>1350</v>
      </c>
      <c r="J4867" s="187" t="s">
        <v>4760</v>
      </c>
      <c r="K4867" s="186"/>
    </row>
    <row r="4868" spans="1:11" x14ac:dyDescent="0.2">
      <c r="A4868" s="8">
        <v>19932.833333333299</v>
      </c>
      <c r="B4868" s="8">
        <f t="shared" si="158"/>
        <v>2025</v>
      </c>
      <c r="C4868" s="8">
        <f t="shared" si="159"/>
        <v>11</v>
      </c>
      <c r="D4868" s="204">
        <v>45986</v>
      </c>
      <c r="E4868" s="188"/>
      <c r="F4868" s="188">
        <v>40000</v>
      </c>
      <c r="G4868" s="188"/>
      <c r="H4868" s="188"/>
      <c r="I4868" s="188" t="s">
        <v>91</v>
      </c>
      <c r="J4868" s="187" t="s">
        <v>4761</v>
      </c>
      <c r="K4868" s="186"/>
    </row>
    <row r="4869" spans="1:11" x14ac:dyDescent="0.2">
      <c r="A4869" s="8">
        <v>20003.333333333299</v>
      </c>
      <c r="B4869" s="8">
        <f t="shared" si="158"/>
        <v>2025</v>
      </c>
      <c r="C4869" s="8">
        <f t="shared" si="159"/>
        <v>11</v>
      </c>
      <c r="D4869" s="204">
        <v>45987</v>
      </c>
      <c r="E4869" s="188"/>
      <c r="F4869" s="188">
        <v>50000</v>
      </c>
      <c r="G4869" s="188"/>
      <c r="H4869" s="188"/>
      <c r="I4869" s="188" t="s">
        <v>85</v>
      </c>
      <c r="J4869" s="187" t="s">
        <v>2605</v>
      </c>
      <c r="K4869" s="186"/>
    </row>
    <row r="4870" spans="1:11" x14ac:dyDescent="0.2">
      <c r="A4870" s="8">
        <v>20073.833333333299</v>
      </c>
      <c r="B4870" s="8">
        <f t="shared" si="158"/>
        <v>2025</v>
      </c>
      <c r="C4870" s="8">
        <f t="shared" si="159"/>
        <v>11</v>
      </c>
      <c r="D4870" s="204">
        <v>45988</v>
      </c>
      <c r="E4870" s="188"/>
      <c r="F4870" s="188">
        <v>50000</v>
      </c>
      <c r="G4870" s="188"/>
      <c r="H4870" s="188"/>
      <c r="I4870" s="188" t="s">
        <v>85</v>
      </c>
      <c r="J4870" s="187" t="s">
        <v>4762</v>
      </c>
      <c r="K4870" s="186"/>
    </row>
    <row r="4871" spans="1:11" x14ac:dyDescent="0.2">
      <c r="A4871" s="8">
        <v>20144.333333333299</v>
      </c>
      <c r="B4871" s="8">
        <f t="shared" si="158"/>
        <v>2025</v>
      </c>
      <c r="C4871" s="8">
        <f t="shared" si="159"/>
        <v>11</v>
      </c>
      <c r="D4871" s="204">
        <v>45988</v>
      </c>
      <c r="E4871" s="188"/>
      <c r="F4871" s="188">
        <v>1400000</v>
      </c>
      <c r="G4871" s="188"/>
      <c r="H4871" s="188"/>
      <c r="I4871" s="188" t="s">
        <v>1992</v>
      </c>
      <c r="J4871" s="187" t="s">
        <v>4763</v>
      </c>
      <c r="K4871" s="186"/>
    </row>
    <row r="4872" spans="1:11" x14ac:dyDescent="0.2">
      <c r="A4872" s="8">
        <v>20285.333333333299</v>
      </c>
      <c r="B4872" s="8">
        <f t="shared" si="158"/>
        <v>2025</v>
      </c>
      <c r="C4872" s="8">
        <f t="shared" si="159"/>
        <v>11</v>
      </c>
      <c r="D4872" s="204">
        <v>45988</v>
      </c>
      <c r="E4872" s="188"/>
      <c r="F4872" s="188">
        <v>30000</v>
      </c>
      <c r="G4872" s="188"/>
      <c r="H4872" s="188"/>
      <c r="I4872" s="188" t="s">
        <v>1350</v>
      </c>
      <c r="J4872" s="187" t="s">
        <v>4473</v>
      </c>
      <c r="K4872" s="186"/>
    </row>
    <row r="4873" spans="1:11" x14ac:dyDescent="0.2">
      <c r="A4873" s="8">
        <v>20355.833333333299</v>
      </c>
      <c r="B4873" s="8">
        <f t="shared" si="158"/>
        <v>2025</v>
      </c>
      <c r="C4873" s="8">
        <f t="shared" si="159"/>
        <v>11</v>
      </c>
      <c r="D4873" s="204">
        <v>45989</v>
      </c>
      <c r="E4873" s="188"/>
      <c r="F4873" s="188">
        <v>100000</v>
      </c>
      <c r="G4873" s="188"/>
      <c r="H4873" s="188"/>
      <c r="I4873" s="188" t="s">
        <v>85</v>
      </c>
      <c r="J4873" s="187" t="s">
        <v>3891</v>
      </c>
      <c r="K4873" s="186"/>
    </row>
    <row r="4874" spans="1:11" x14ac:dyDescent="0.2">
      <c r="A4874" s="8">
        <v>20426.333333333299</v>
      </c>
      <c r="B4874" s="8">
        <f t="shared" si="158"/>
        <v>2025</v>
      </c>
      <c r="C4874" s="8">
        <f t="shared" si="159"/>
        <v>11</v>
      </c>
      <c r="D4874" s="204">
        <v>45990</v>
      </c>
      <c r="E4874" s="188"/>
      <c r="F4874" s="188">
        <v>300000</v>
      </c>
      <c r="G4874" s="188"/>
      <c r="H4874" s="188"/>
      <c r="I4874" s="188" t="s">
        <v>1815</v>
      </c>
      <c r="J4874" s="187" t="s">
        <v>4764</v>
      </c>
      <c r="K4874" s="186"/>
    </row>
    <row r="4875" spans="1:11" x14ac:dyDescent="0.2">
      <c r="A4875" s="8">
        <v>20496.833333333299</v>
      </c>
      <c r="B4875" s="8">
        <f t="shared" si="158"/>
        <v>2025</v>
      </c>
      <c r="C4875" s="8">
        <f t="shared" si="159"/>
        <v>11</v>
      </c>
      <c r="D4875" s="204">
        <v>45991</v>
      </c>
      <c r="E4875" s="188"/>
      <c r="F4875" s="188">
        <v>527000</v>
      </c>
      <c r="G4875" s="188"/>
      <c r="H4875" s="188"/>
      <c r="I4875" s="188" t="s">
        <v>85</v>
      </c>
      <c r="J4875" s="187" t="s">
        <v>4765</v>
      </c>
      <c r="K4875" s="186"/>
    </row>
    <row r="4876" spans="1:11" x14ac:dyDescent="0.2">
      <c r="A4876" s="8">
        <v>20567.333333333299</v>
      </c>
      <c r="B4876" s="8">
        <f t="shared" si="158"/>
        <v>2025</v>
      </c>
      <c r="C4876" s="8">
        <f t="shared" si="159"/>
        <v>11</v>
      </c>
      <c r="D4876" s="204">
        <v>45991</v>
      </c>
      <c r="E4876" s="188"/>
      <c r="F4876" s="188">
        <v>95000</v>
      </c>
      <c r="G4876" s="188"/>
      <c r="H4876" s="188"/>
      <c r="I4876" s="188" t="s">
        <v>85</v>
      </c>
      <c r="J4876" s="187" t="s">
        <v>4766</v>
      </c>
      <c r="K4876" s="186"/>
    </row>
    <row r="4877" spans="1:11" x14ac:dyDescent="0.2">
      <c r="A4877" s="8">
        <v>20637.833333333299</v>
      </c>
      <c r="B4877" s="8">
        <f t="shared" si="158"/>
        <v>2025</v>
      </c>
      <c r="C4877" s="8">
        <f t="shared" si="159"/>
        <v>12</v>
      </c>
      <c r="D4877" s="204">
        <v>46016</v>
      </c>
      <c r="E4877" s="188">
        <v>9000000</v>
      </c>
      <c r="F4877" s="188">
        <v>0</v>
      </c>
      <c r="G4877" s="188"/>
      <c r="H4877" s="188"/>
      <c r="I4877" s="188" t="s">
        <v>109</v>
      </c>
      <c r="J4877" s="187" t="s">
        <v>3100</v>
      </c>
      <c r="K4877" s="186"/>
    </row>
    <row r="4878" spans="1:11" x14ac:dyDescent="0.2">
      <c r="A4878" s="8">
        <v>20708.333333333299</v>
      </c>
      <c r="B4878" s="8">
        <f t="shared" si="158"/>
        <v>2025</v>
      </c>
      <c r="C4878" s="8">
        <f t="shared" si="159"/>
        <v>12</v>
      </c>
      <c r="D4878" s="204">
        <v>46016</v>
      </c>
      <c r="E4878" s="188">
        <v>5000000</v>
      </c>
      <c r="F4878" s="188">
        <v>0</v>
      </c>
      <c r="G4878" s="188"/>
      <c r="H4878" s="188"/>
      <c r="I4878" s="188" t="s">
        <v>109</v>
      </c>
      <c r="J4878" s="187" t="s">
        <v>4857</v>
      </c>
      <c r="K4878" s="186"/>
    </row>
    <row r="4879" spans="1:11" x14ac:dyDescent="0.2">
      <c r="A4879" s="8">
        <v>20778.833333333299</v>
      </c>
      <c r="B4879" s="8">
        <f t="shared" si="158"/>
        <v>2026</v>
      </c>
      <c r="C4879" s="8">
        <f t="shared" si="159"/>
        <v>12</v>
      </c>
      <c r="D4879" s="204">
        <v>46361</v>
      </c>
      <c r="E4879" s="188">
        <v>4700000</v>
      </c>
      <c r="F4879" s="188">
        <v>800000</v>
      </c>
      <c r="G4879" s="188"/>
      <c r="H4879" s="188"/>
      <c r="I4879" s="188" t="s">
        <v>109</v>
      </c>
      <c r="J4879" s="187" t="s">
        <v>4858</v>
      </c>
      <c r="K4879" s="186"/>
    </row>
    <row r="4880" spans="1:11" x14ac:dyDescent="0.2">
      <c r="A4880" s="8">
        <v>20849.333333333299</v>
      </c>
      <c r="B4880" s="8">
        <f t="shared" si="158"/>
        <v>2025</v>
      </c>
      <c r="C4880" s="8">
        <f t="shared" si="159"/>
        <v>12</v>
      </c>
      <c r="D4880" s="204">
        <v>46016</v>
      </c>
      <c r="E4880" s="188">
        <v>10000000</v>
      </c>
      <c r="F4880" s="188">
        <v>0</v>
      </c>
      <c r="G4880" s="188"/>
      <c r="H4880" s="188"/>
      <c r="I4880" s="188" t="s">
        <v>109</v>
      </c>
      <c r="J4880" s="187" t="s">
        <v>4859</v>
      </c>
      <c r="K4880" s="186"/>
    </row>
    <row r="4881" spans="1:11" x14ac:dyDescent="0.2">
      <c r="A4881" s="8">
        <v>19721.333333333299</v>
      </c>
      <c r="B4881" s="8">
        <f t="shared" ref="B4881:B4883" si="160">YEAR(D4881)</f>
        <v>2025</v>
      </c>
      <c r="C4881" s="8">
        <f t="shared" ref="C4881:C4883" si="161">MONTH(D4881)</f>
        <v>12</v>
      </c>
      <c r="D4881" s="204">
        <v>46016</v>
      </c>
      <c r="E4881" s="188">
        <v>3600000</v>
      </c>
      <c r="F4881" s="188">
        <v>0</v>
      </c>
      <c r="G4881" s="188"/>
      <c r="H4881" s="188"/>
      <c r="I4881" s="188" t="s">
        <v>109</v>
      </c>
      <c r="J4881" s="187" t="s">
        <v>4860</v>
      </c>
      <c r="K4881" s="186"/>
    </row>
    <row r="4882" spans="1:11" x14ac:dyDescent="0.2">
      <c r="A4882" s="8">
        <v>19791.833333333299</v>
      </c>
      <c r="B4882" s="8">
        <f t="shared" si="160"/>
        <v>2026</v>
      </c>
      <c r="C4882" s="8">
        <f t="shared" si="161"/>
        <v>12</v>
      </c>
      <c r="D4882" s="204">
        <v>46357</v>
      </c>
      <c r="E4882" s="188"/>
      <c r="F4882" s="188">
        <v>100000</v>
      </c>
      <c r="G4882" s="188"/>
      <c r="H4882" s="188"/>
      <c r="I4882" s="188" t="s">
        <v>85</v>
      </c>
      <c r="J4882" s="187" t="s">
        <v>4861</v>
      </c>
      <c r="K4882" s="186"/>
    </row>
    <row r="4883" spans="1:11" x14ac:dyDescent="0.2">
      <c r="A4883" s="8">
        <v>19862.333333333299</v>
      </c>
      <c r="B4883" s="8">
        <f t="shared" si="160"/>
        <v>2026</v>
      </c>
      <c r="C4883" s="8">
        <f t="shared" si="161"/>
        <v>12</v>
      </c>
      <c r="D4883" s="204">
        <v>46357</v>
      </c>
      <c r="E4883" s="188"/>
      <c r="F4883" s="188">
        <v>20000</v>
      </c>
      <c r="G4883" s="188"/>
      <c r="H4883" s="188"/>
      <c r="I4883" s="188" t="s">
        <v>85</v>
      </c>
      <c r="J4883" s="187" t="s">
        <v>2893</v>
      </c>
      <c r="K4883" s="186"/>
    </row>
    <row r="4884" spans="1:11" x14ac:dyDescent="0.2">
      <c r="A4884" s="8">
        <v>19932.833333333299</v>
      </c>
      <c r="B4884" s="8">
        <f t="shared" ref="B4884:B5289" si="162">YEAR(D4884)</f>
        <v>2026</v>
      </c>
      <c r="C4884" s="8">
        <f t="shared" ref="C4884:C5289" si="163">MONTH(D4884)</f>
        <v>12</v>
      </c>
      <c r="D4884" s="204">
        <v>46357</v>
      </c>
      <c r="E4884" s="188"/>
      <c r="F4884" s="188">
        <v>380000</v>
      </c>
      <c r="G4884" s="188"/>
      <c r="H4884" s="188"/>
      <c r="I4884" s="188" t="s">
        <v>85</v>
      </c>
      <c r="J4884" s="187" t="s">
        <v>4862</v>
      </c>
      <c r="K4884" s="186"/>
    </row>
    <row r="4885" spans="1:11" x14ac:dyDescent="0.2">
      <c r="A4885" s="8">
        <v>20003.333333333299</v>
      </c>
      <c r="B4885" s="8">
        <f t="shared" si="162"/>
        <v>2026</v>
      </c>
      <c r="C4885" s="8">
        <f t="shared" si="163"/>
        <v>12</v>
      </c>
      <c r="D4885" s="204">
        <v>46357</v>
      </c>
      <c r="E4885" s="188"/>
      <c r="F4885" s="188">
        <v>60000</v>
      </c>
      <c r="G4885" s="188"/>
      <c r="H4885" s="188"/>
      <c r="I4885" s="188" t="s">
        <v>85</v>
      </c>
      <c r="J4885" s="187" t="s">
        <v>4863</v>
      </c>
      <c r="K4885" s="186"/>
    </row>
    <row r="4886" spans="1:11" x14ac:dyDescent="0.2">
      <c r="A4886" s="8">
        <v>20073.833333333299</v>
      </c>
      <c r="B4886" s="8">
        <f t="shared" si="162"/>
        <v>2026</v>
      </c>
      <c r="C4886" s="8">
        <f t="shared" si="163"/>
        <v>12</v>
      </c>
      <c r="D4886" s="204">
        <v>46357</v>
      </c>
      <c r="E4886" s="188"/>
      <c r="F4886" s="188">
        <v>80000</v>
      </c>
      <c r="G4886" s="188"/>
      <c r="H4886" s="188"/>
      <c r="I4886" s="188" t="s">
        <v>85</v>
      </c>
      <c r="J4886" s="187" t="s">
        <v>4864</v>
      </c>
      <c r="K4886" s="186"/>
    </row>
    <row r="4887" spans="1:11" x14ac:dyDescent="0.2">
      <c r="A4887" s="8">
        <v>20144.333333333299</v>
      </c>
      <c r="B4887" s="8">
        <f t="shared" si="162"/>
        <v>2026</v>
      </c>
      <c r="C4887" s="8">
        <f t="shared" si="163"/>
        <v>12</v>
      </c>
      <c r="D4887" s="204">
        <v>46358</v>
      </c>
      <c r="E4887" s="188"/>
      <c r="F4887" s="188">
        <v>500000</v>
      </c>
      <c r="G4887" s="188"/>
      <c r="H4887" s="188"/>
      <c r="I4887" s="188" t="s">
        <v>1992</v>
      </c>
      <c r="J4887" s="187" t="s">
        <v>4865</v>
      </c>
      <c r="K4887" s="186"/>
    </row>
    <row r="4888" spans="1:11" x14ac:dyDescent="0.2">
      <c r="A4888" s="8">
        <v>20214.833333333299</v>
      </c>
      <c r="B4888" s="8">
        <f t="shared" si="162"/>
        <v>2026</v>
      </c>
      <c r="C4888" s="8">
        <f t="shared" si="163"/>
        <v>12</v>
      </c>
      <c r="D4888" s="204">
        <v>46358</v>
      </c>
      <c r="E4888" s="188"/>
      <c r="F4888" s="188">
        <v>80000</v>
      </c>
      <c r="G4888" s="188"/>
      <c r="H4888" s="188"/>
      <c r="I4888" s="188" t="s">
        <v>1992</v>
      </c>
      <c r="J4888" s="187" t="s">
        <v>4866</v>
      </c>
      <c r="K4888" s="186"/>
    </row>
    <row r="4889" spans="1:11" x14ac:dyDescent="0.2">
      <c r="A4889" s="8">
        <v>20285.333333333299</v>
      </c>
      <c r="B4889" s="8">
        <f t="shared" si="162"/>
        <v>2026</v>
      </c>
      <c r="C4889" s="8">
        <f t="shared" si="163"/>
        <v>12</v>
      </c>
      <c r="D4889" s="204">
        <v>46359</v>
      </c>
      <c r="E4889" s="188"/>
      <c r="F4889" s="188">
        <v>150000</v>
      </c>
      <c r="G4889" s="188"/>
      <c r="H4889" s="188"/>
      <c r="I4889" s="188" t="s">
        <v>1350</v>
      </c>
      <c r="J4889" s="187" t="s">
        <v>4867</v>
      </c>
      <c r="K4889" s="186"/>
    </row>
    <row r="4890" spans="1:11" x14ac:dyDescent="0.2">
      <c r="A4890" s="8">
        <v>20355.833333333299</v>
      </c>
      <c r="B4890" s="8">
        <f t="shared" si="162"/>
        <v>2026</v>
      </c>
      <c r="C4890" s="8">
        <f t="shared" si="163"/>
        <v>12</v>
      </c>
      <c r="D4890" s="204">
        <v>46359</v>
      </c>
      <c r="E4890" s="188"/>
      <c r="F4890" s="188">
        <v>45000</v>
      </c>
      <c r="G4890" s="188"/>
      <c r="H4890" s="188"/>
      <c r="I4890" s="188" t="s">
        <v>1992</v>
      </c>
      <c r="J4890" s="187" t="s">
        <v>4868</v>
      </c>
      <c r="K4890" s="186"/>
    </row>
    <row r="4891" spans="1:11" x14ac:dyDescent="0.2">
      <c r="A4891" s="8">
        <v>20426.333333333299</v>
      </c>
      <c r="B4891" s="8">
        <f t="shared" si="162"/>
        <v>2026</v>
      </c>
      <c r="C4891" s="8">
        <f t="shared" si="163"/>
        <v>12</v>
      </c>
      <c r="D4891" s="204">
        <v>46360</v>
      </c>
      <c r="E4891" s="188"/>
      <c r="F4891" s="188">
        <v>20000</v>
      </c>
      <c r="G4891" s="188"/>
      <c r="H4891" s="188"/>
      <c r="I4891" s="188" t="s">
        <v>85</v>
      </c>
      <c r="J4891" s="187" t="s">
        <v>4869</v>
      </c>
      <c r="K4891" s="186"/>
    </row>
    <row r="4892" spans="1:11" x14ac:dyDescent="0.2">
      <c r="A4892" s="8">
        <v>20708.333333333299</v>
      </c>
      <c r="B4892" s="8">
        <f t="shared" ref="B4892:B4943" si="164">YEAR(D4892)</f>
        <v>2026</v>
      </c>
      <c r="C4892" s="8">
        <f t="shared" ref="C4892:C4943" si="165">MONTH(D4892)</f>
        <v>12</v>
      </c>
      <c r="D4892" s="204">
        <v>46361</v>
      </c>
      <c r="E4892" s="188"/>
      <c r="F4892" s="188">
        <v>48000</v>
      </c>
      <c r="G4892" s="188"/>
      <c r="H4892" s="188"/>
      <c r="I4892" s="188" t="s">
        <v>1350</v>
      </c>
      <c r="J4892" s="187" t="s">
        <v>4870</v>
      </c>
      <c r="K4892" s="186"/>
    </row>
    <row r="4893" spans="1:11" x14ac:dyDescent="0.2">
      <c r="A4893" s="8">
        <v>20778.833333333299</v>
      </c>
      <c r="B4893" s="8">
        <f t="shared" si="164"/>
        <v>2026</v>
      </c>
      <c r="C4893" s="8">
        <f t="shared" si="165"/>
        <v>12</v>
      </c>
      <c r="D4893" s="204">
        <v>46361</v>
      </c>
      <c r="E4893" s="188"/>
      <c r="F4893" s="188">
        <v>5200000</v>
      </c>
      <c r="G4893" s="188"/>
      <c r="H4893" s="188"/>
      <c r="I4893" s="188" t="s">
        <v>1992</v>
      </c>
      <c r="J4893" s="187" t="s">
        <v>4871</v>
      </c>
      <c r="K4893" s="186"/>
    </row>
    <row r="4894" spans="1:11" x14ac:dyDescent="0.2">
      <c r="A4894" s="8">
        <v>20849.333333333299</v>
      </c>
      <c r="B4894" s="8">
        <f t="shared" si="164"/>
        <v>2026</v>
      </c>
      <c r="C4894" s="8">
        <f t="shared" si="165"/>
        <v>12</v>
      </c>
      <c r="D4894" s="204">
        <v>46362</v>
      </c>
      <c r="E4894" s="188"/>
      <c r="F4894" s="188">
        <v>15000</v>
      </c>
      <c r="G4894" s="188"/>
      <c r="H4894" s="188"/>
      <c r="I4894" s="188" t="s">
        <v>91</v>
      </c>
      <c r="J4894" s="187" t="s">
        <v>4872</v>
      </c>
      <c r="K4894" s="186"/>
    </row>
    <row r="4895" spans="1:11" x14ac:dyDescent="0.2">
      <c r="A4895" s="8">
        <v>20919.833333333299</v>
      </c>
      <c r="B4895" s="8">
        <f t="shared" si="164"/>
        <v>2026</v>
      </c>
      <c r="C4895" s="8">
        <f t="shared" si="165"/>
        <v>12</v>
      </c>
      <c r="D4895" s="204">
        <v>46362</v>
      </c>
      <c r="E4895" s="188"/>
      <c r="F4895" s="188">
        <v>17000</v>
      </c>
      <c r="G4895" s="188"/>
      <c r="H4895" s="188"/>
      <c r="I4895" s="188" t="s">
        <v>2807</v>
      </c>
      <c r="J4895" s="187" t="s">
        <v>4873</v>
      </c>
      <c r="K4895" s="186"/>
    </row>
    <row r="4896" spans="1:11" x14ac:dyDescent="0.2">
      <c r="A4896" s="8">
        <v>20990.333333333299</v>
      </c>
      <c r="B4896" s="8">
        <f t="shared" si="164"/>
        <v>2026</v>
      </c>
      <c r="C4896" s="8">
        <f t="shared" si="165"/>
        <v>12</v>
      </c>
      <c r="D4896" s="204">
        <v>46362</v>
      </c>
      <c r="E4896" s="188"/>
      <c r="F4896" s="188">
        <v>172000</v>
      </c>
      <c r="G4896" s="188"/>
      <c r="H4896" s="188"/>
      <c r="I4896" s="188" t="s">
        <v>1815</v>
      </c>
      <c r="J4896" s="187" t="s">
        <v>4874</v>
      </c>
      <c r="K4896" s="186"/>
    </row>
    <row r="4897" spans="1:11" x14ac:dyDescent="0.2">
      <c r="A4897" s="8">
        <v>21060.833333333299</v>
      </c>
      <c r="B4897" s="8">
        <f t="shared" si="164"/>
        <v>2026</v>
      </c>
      <c r="C4897" s="8">
        <f t="shared" si="165"/>
        <v>12</v>
      </c>
      <c r="D4897" s="204">
        <v>46362</v>
      </c>
      <c r="E4897" s="188"/>
      <c r="F4897" s="188">
        <v>273000</v>
      </c>
      <c r="G4897" s="188"/>
      <c r="H4897" s="188"/>
      <c r="I4897" s="188" t="s">
        <v>85</v>
      </c>
      <c r="J4897" s="187" t="s">
        <v>4875</v>
      </c>
      <c r="K4897" s="186"/>
    </row>
    <row r="4898" spans="1:11" x14ac:dyDescent="0.2">
      <c r="A4898" s="8">
        <v>21131.333333333299</v>
      </c>
      <c r="B4898" s="8">
        <f t="shared" si="164"/>
        <v>2026</v>
      </c>
      <c r="C4898" s="8">
        <f t="shared" si="165"/>
        <v>12</v>
      </c>
      <c r="D4898" s="204">
        <v>46362</v>
      </c>
      <c r="E4898" s="188"/>
      <c r="F4898" s="188">
        <v>33000</v>
      </c>
      <c r="G4898" s="188"/>
      <c r="H4898" s="188"/>
      <c r="I4898" s="188" t="s">
        <v>2807</v>
      </c>
      <c r="J4898" s="187" t="s">
        <v>4876</v>
      </c>
      <c r="K4898" s="186"/>
    </row>
    <row r="4899" spans="1:11" x14ac:dyDescent="0.2">
      <c r="A4899" s="8">
        <v>21201.833333333299</v>
      </c>
      <c r="B4899" s="8">
        <f t="shared" si="164"/>
        <v>2026</v>
      </c>
      <c r="C4899" s="8">
        <f t="shared" si="165"/>
        <v>12</v>
      </c>
      <c r="D4899" s="204">
        <v>46362</v>
      </c>
      <c r="E4899" s="188"/>
      <c r="F4899" s="188">
        <v>38000</v>
      </c>
      <c r="G4899" s="188"/>
      <c r="H4899" s="188"/>
      <c r="I4899" s="188" t="s">
        <v>1815</v>
      </c>
      <c r="J4899" s="187" t="s">
        <v>4877</v>
      </c>
      <c r="K4899" s="186"/>
    </row>
    <row r="4900" spans="1:11" x14ac:dyDescent="0.2">
      <c r="A4900" s="8">
        <v>21272.333333333299</v>
      </c>
      <c r="B4900" s="8">
        <f t="shared" si="164"/>
        <v>2026</v>
      </c>
      <c r="C4900" s="8">
        <f t="shared" si="165"/>
        <v>12</v>
      </c>
      <c r="D4900" s="204">
        <v>46363</v>
      </c>
      <c r="E4900" s="188"/>
      <c r="F4900" s="188">
        <v>10000</v>
      </c>
      <c r="G4900" s="188"/>
      <c r="H4900" s="188"/>
      <c r="I4900" s="188" t="s">
        <v>85</v>
      </c>
      <c r="J4900" s="187" t="s">
        <v>2949</v>
      </c>
      <c r="K4900" s="186"/>
    </row>
    <row r="4901" spans="1:11" x14ac:dyDescent="0.2">
      <c r="A4901" s="8">
        <v>21342.833333333299</v>
      </c>
      <c r="B4901" s="8">
        <f t="shared" si="164"/>
        <v>2026</v>
      </c>
      <c r="C4901" s="8">
        <f t="shared" si="165"/>
        <v>12</v>
      </c>
      <c r="D4901" s="204">
        <v>46363</v>
      </c>
      <c r="E4901" s="188"/>
      <c r="F4901" s="188">
        <v>30000</v>
      </c>
      <c r="G4901" s="188"/>
      <c r="H4901" s="188"/>
      <c r="I4901" s="188" t="s">
        <v>91</v>
      </c>
      <c r="J4901" s="187" t="s">
        <v>4878</v>
      </c>
      <c r="K4901" s="186"/>
    </row>
    <row r="4902" spans="1:11" x14ac:dyDescent="0.2">
      <c r="A4902" s="8">
        <v>21413.333333333299</v>
      </c>
      <c r="B4902" s="8">
        <f t="shared" si="164"/>
        <v>2026</v>
      </c>
      <c r="C4902" s="8">
        <f t="shared" si="165"/>
        <v>12</v>
      </c>
      <c r="D4902" s="204">
        <v>46363</v>
      </c>
      <c r="E4902" s="188"/>
      <c r="F4902" s="188">
        <v>60000</v>
      </c>
      <c r="G4902" s="188"/>
      <c r="H4902" s="188"/>
      <c r="I4902" s="188" t="s">
        <v>91</v>
      </c>
      <c r="J4902" s="187" t="s">
        <v>4664</v>
      </c>
      <c r="K4902" s="186"/>
    </row>
    <row r="4903" spans="1:11" x14ac:dyDescent="0.2">
      <c r="A4903" s="8">
        <v>21483.833333333299</v>
      </c>
      <c r="B4903" s="8">
        <f t="shared" si="164"/>
        <v>2026</v>
      </c>
      <c r="C4903" s="8">
        <f t="shared" si="165"/>
        <v>12</v>
      </c>
      <c r="D4903" s="204">
        <v>46364</v>
      </c>
      <c r="E4903" s="188"/>
      <c r="F4903" s="188">
        <v>220000</v>
      </c>
      <c r="G4903" s="188"/>
      <c r="H4903" s="188"/>
      <c r="I4903" s="188" t="s">
        <v>299</v>
      </c>
      <c r="J4903" s="187" t="s">
        <v>4879</v>
      </c>
      <c r="K4903" s="186"/>
    </row>
    <row r="4904" spans="1:11" x14ac:dyDescent="0.2">
      <c r="A4904" s="8">
        <v>21554.333333333299</v>
      </c>
      <c r="B4904" s="8">
        <f t="shared" si="164"/>
        <v>2026</v>
      </c>
      <c r="C4904" s="8">
        <f t="shared" si="165"/>
        <v>12</v>
      </c>
      <c r="D4904" s="204">
        <v>46364</v>
      </c>
      <c r="E4904" s="188"/>
      <c r="F4904" s="188">
        <v>30000</v>
      </c>
      <c r="G4904" s="188"/>
      <c r="H4904" s="188"/>
      <c r="I4904" s="188" t="s">
        <v>85</v>
      </c>
      <c r="J4904" s="187" t="s">
        <v>4211</v>
      </c>
      <c r="K4904" s="186"/>
    </row>
    <row r="4905" spans="1:11" x14ac:dyDescent="0.2">
      <c r="A4905" s="8">
        <v>21624.833333333299</v>
      </c>
      <c r="B4905" s="8">
        <f t="shared" si="164"/>
        <v>2026</v>
      </c>
      <c r="C4905" s="8">
        <f t="shared" si="165"/>
        <v>12</v>
      </c>
      <c r="D4905" s="204">
        <v>46364</v>
      </c>
      <c r="E4905" s="188"/>
      <c r="F4905" s="188">
        <v>300000</v>
      </c>
      <c r="G4905" s="188"/>
      <c r="H4905" s="188"/>
      <c r="I4905" s="188" t="s">
        <v>85</v>
      </c>
      <c r="J4905" s="187" t="s">
        <v>4880</v>
      </c>
      <c r="K4905" s="186"/>
    </row>
    <row r="4906" spans="1:11" x14ac:dyDescent="0.2">
      <c r="A4906" s="8">
        <v>21765.833333333299</v>
      </c>
      <c r="B4906" s="8">
        <f t="shared" si="164"/>
        <v>2026</v>
      </c>
      <c r="C4906" s="8">
        <f t="shared" si="165"/>
        <v>12</v>
      </c>
      <c r="D4906" s="204">
        <v>46365</v>
      </c>
      <c r="E4906" s="188"/>
      <c r="F4906" s="188">
        <v>24000</v>
      </c>
      <c r="G4906" s="188"/>
      <c r="H4906" s="188"/>
      <c r="I4906" s="188" t="s">
        <v>149</v>
      </c>
      <c r="J4906" s="187" t="s">
        <v>3971</v>
      </c>
      <c r="K4906" s="186"/>
    </row>
    <row r="4907" spans="1:11" x14ac:dyDescent="0.2">
      <c r="A4907" s="8">
        <v>21836.333333333299</v>
      </c>
      <c r="B4907" s="8">
        <f t="shared" si="164"/>
        <v>2026</v>
      </c>
      <c r="C4907" s="8">
        <f t="shared" si="165"/>
        <v>12</v>
      </c>
      <c r="D4907" s="204">
        <v>46365</v>
      </c>
      <c r="E4907" s="188"/>
      <c r="F4907" s="188">
        <v>90000</v>
      </c>
      <c r="G4907" s="188"/>
      <c r="H4907" s="188"/>
      <c r="I4907" s="188" t="s">
        <v>1350</v>
      </c>
      <c r="J4907" s="187" t="s">
        <v>4881</v>
      </c>
      <c r="K4907" s="186"/>
    </row>
    <row r="4908" spans="1:11" x14ac:dyDescent="0.2">
      <c r="A4908" s="8">
        <v>21977.333333333299</v>
      </c>
      <c r="B4908" s="8">
        <f t="shared" si="164"/>
        <v>2026</v>
      </c>
      <c r="C4908" s="8">
        <f t="shared" si="165"/>
        <v>12</v>
      </c>
      <c r="D4908" s="204">
        <v>46366</v>
      </c>
      <c r="E4908" s="188"/>
      <c r="F4908" s="188">
        <v>24000</v>
      </c>
      <c r="G4908" s="188"/>
      <c r="H4908" s="188"/>
      <c r="I4908" s="188" t="s">
        <v>149</v>
      </c>
      <c r="J4908" s="187" t="s">
        <v>3971</v>
      </c>
      <c r="K4908" s="186"/>
    </row>
    <row r="4909" spans="1:11" x14ac:dyDescent="0.2">
      <c r="A4909" s="8">
        <v>22047.833333333299</v>
      </c>
      <c r="B4909" s="8">
        <f t="shared" si="164"/>
        <v>2026</v>
      </c>
      <c r="C4909" s="8">
        <f t="shared" si="165"/>
        <v>12</v>
      </c>
      <c r="D4909" s="204">
        <v>46366</v>
      </c>
      <c r="E4909" s="188"/>
      <c r="F4909" s="188">
        <v>40000</v>
      </c>
      <c r="G4909" s="188"/>
      <c r="H4909" s="188"/>
      <c r="I4909" s="188" t="s">
        <v>91</v>
      </c>
      <c r="J4909" s="187" t="s">
        <v>4882</v>
      </c>
      <c r="K4909" s="186"/>
    </row>
    <row r="4910" spans="1:11" x14ac:dyDescent="0.2">
      <c r="A4910" s="8">
        <v>22118.333333333299</v>
      </c>
      <c r="B4910" s="8">
        <f t="shared" si="164"/>
        <v>2026</v>
      </c>
      <c r="C4910" s="8">
        <f t="shared" si="165"/>
        <v>12</v>
      </c>
      <c r="D4910" s="204">
        <v>46367</v>
      </c>
      <c r="E4910" s="188"/>
      <c r="F4910" s="188">
        <v>36000</v>
      </c>
      <c r="G4910" s="188"/>
      <c r="H4910" s="188"/>
      <c r="I4910" s="188" t="s">
        <v>1350</v>
      </c>
      <c r="J4910" s="187" t="s">
        <v>4883</v>
      </c>
      <c r="K4910" s="186"/>
    </row>
    <row r="4911" spans="1:11" x14ac:dyDescent="0.2">
      <c r="A4911" s="8">
        <v>22188.833333333299</v>
      </c>
      <c r="B4911" s="8">
        <f t="shared" si="164"/>
        <v>2026</v>
      </c>
      <c r="C4911" s="8">
        <f t="shared" si="165"/>
        <v>12</v>
      </c>
      <c r="D4911" s="204">
        <v>46368</v>
      </c>
      <c r="E4911" s="188"/>
      <c r="F4911" s="188">
        <v>1250000</v>
      </c>
      <c r="G4911" s="188"/>
      <c r="H4911" s="188"/>
      <c r="I4911" s="188" t="s">
        <v>85</v>
      </c>
      <c r="J4911" s="187" t="s">
        <v>4884</v>
      </c>
      <c r="K4911" s="186"/>
    </row>
    <row r="4912" spans="1:11" x14ac:dyDescent="0.2">
      <c r="A4912" s="8">
        <v>22259.333333333299</v>
      </c>
      <c r="B4912" s="8">
        <f t="shared" si="164"/>
        <v>2026</v>
      </c>
      <c r="C4912" s="8">
        <f t="shared" si="165"/>
        <v>12</v>
      </c>
      <c r="D4912" s="204">
        <v>46368</v>
      </c>
      <c r="E4912" s="188"/>
      <c r="F4912" s="188">
        <v>180000</v>
      </c>
      <c r="G4912" s="188"/>
      <c r="H4912" s="188"/>
      <c r="I4912" s="188" t="s">
        <v>1350</v>
      </c>
      <c r="J4912" s="187" t="s">
        <v>4885</v>
      </c>
      <c r="K4912" s="186"/>
    </row>
    <row r="4913" spans="1:11" x14ac:dyDescent="0.2">
      <c r="A4913" s="8">
        <v>22329.833333333299</v>
      </c>
      <c r="B4913" s="8">
        <f t="shared" si="164"/>
        <v>2026</v>
      </c>
      <c r="C4913" s="8">
        <f t="shared" si="165"/>
        <v>12</v>
      </c>
      <c r="D4913" s="204">
        <v>46368</v>
      </c>
      <c r="E4913" s="188"/>
      <c r="F4913" s="188">
        <v>210000</v>
      </c>
      <c r="G4913" s="188"/>
      <c r="H4913" s="188"/>
      <c r="I4913" s="188" t="s">
        <v>1350</v>
      </c>
      <c r="J4913" s="187" t="s">
        <v>4886</v>
      </c>
      <c r="K4913" s="186"/>
    </row>
    <row r="4914" spans="1:11" x14ac:dyDescent="0.2">
      <c r="A4914" s="8">
        <v>22400.333333333299</v>
      </c>
      <c r="B4914" s="8">
        <f t="shared" si="164"/>
        <v>2026</v>
      </c>
      <c r="C4914" s="8">
        <f t="shared" si="165"/>
        <v>12</v>
      </c>
      <c r="D4914" s="204">
        <v>46369</v>
      </c>
      <c r="E4914" s="188"/>
      <c r="F4914" s="188">
        <v>130000</v>
      </c>
      <c r="G4914" s="188"/>
      <c r="H4914" s="188"/>
      <c r="I4914" s="188" t="s">
        <v>91</v>
      </c>
      <c r="J4914" s="187" t="s">
        <v>4887</v>
      </c>
      <c r="K4914" s="186"/>
    </row>
    <row r="4915" spans="1:11" x14ac:dyDescent="0.2">
      <c r="A4915" s="8">
        <v>22470.833333333299</v>
      </c>
      <c r="B4915" s="8">
        <f t="shared" si="164"/>
        <v>2026</v>
      </c>
      <c r="C4915" s="8">
        <f t="shared" si="165"/>
        <v>12</v>
      </c>
      <c r="D4915" s="204">
        <v>46370</v>
      </c>
      <c r="E4915" s="188"/>
      <c r="F4915" s="188">
        <v>1055000</v>
      </c>
      <c r="G4915" s="188"/>
      <c r="H4915" s="188"/>
      <c r="I4915" s="188" t="s">
        <v>85</v>
      </c>
      <c r="J4915" s="187" t="s">
        <v>4888</v>
      </c>
      <c r="K4915" s="186"/>
    </row>
    <row r="4916" spans="1:11" x14ac:dyDescent="0.2">
      <c r="A4916" s="8">
        <v>22541.333333333299</v>
      </c>
      <c r="B4916" s="8">
        <f t="shared" si="164"/>
        <v>2026</v>
      </c>
      <c r="C4916" s="8">
        <f t="shared" si="165"/>
        <v>12</v>
      </c>
      <c r="D4916" s="204">
        <v>46370</v>
      </c>
      <c r="E4916" s="188"/>
      <c r="F4916" s="188">
        <v>150000</v>
      </c>
      <c r="G4916" s="188"/>
      <c r="H4916" s="188"/>
      <c r="I4916" s="188" t="s">
        <v>91</v>
      </c>
      <c r="J4916" s="187" t="s">
        <v>4342</v>
      </c>
      <c r="K4916" s="186"/>
    </row>
    <row r="4917" spans="1:11" x14ac:dyDescent="0.2">
      <c r="A4917" s="8">
        <v>22611.833333333299</v>
      </c>
      <c r="B4917" s="8">
        <f t="shared" si="164"/>
        <v>2026</v>
      </c>
      <c r="C4917" s="8">
        <f t="shared" si="165"/>
        <v>12</v>
      </c>
      <c r="D4917" s="204">
        <v>46370</v>
      </c>
      <c r="E4917" s="188"/>
      <c r="F4917" s="188">
        <v>18000</v>
      </c>
      <c r="G4917" s="188"/>
      <c r="H4917" s="188"/>
      <c r="I4917" s="188" t="s">
        <v>149</v>
      </c>
      <c r="J4917" s="187" t="s">
        <v>2473</v>
      </c>
      <c r="K4917" s="186"/>
    </row>
    <row r="4918" spans="1:11" x14ac:dyDescent="0.2">
      <c r="A4918" s="8">
        <v>22682.333333333299</v>
      </c>
      <c r="B4918" s="8">
        <f t="shared" si="164"/>
        <v>2026</v>
      </c>
      <c r="C4918" s="8">
        <f t="shared" si="165"/>
        <v>12</v>
      </c>
      <c r="D4918" s="204">
        <v>46370</v>
      </c>
      <c r="E4918" s="188"/>
      <c r="F4918" s="188">
        <v>314000</v>
      </c>
      <c r="G4918" s="188"/>
      <c r="H4918" s="188"/>
      <c r="I4918" s="188" t="s">
        <v>85</v>
      </c>
      <c r="J4918" s="187" t="s">
        <v>4889</v>
      </c>
      <c r="K4918" s="186"/>
    </row>
    <row r="4919" spans="1:11" x14ac:dyDescent="0.2">
      <c r="A4919" s="8">
        <v>22752.833333333299</v>
      </c>
      <c r="B4919" s="8">
        <f t="shared" si="164"/>
        <v>2026</v>
      </c>
      <c r="C4919" s="8">
        <f t="shared" si="165"/>
        <v>12</v>
      </c>
      <c r="D4919" s="204">
        <v>46370</v>
      </c>
      <c r="E4919" s="188"/>
      <c r="F4919" s="188">
        <v>511000</v>
      </c>
      <c r="G4919" s="188"/>
      <c r="H4919" s="188"/>
      <c r="I4919" s="188" t="s">
        <v>85</v>
      </c>
      <c r="J4919" s="187" t="s">
        <v>4890</v>
      </c>
      <c r="K4919" s="186"/>
    </row>
    <row r="4920" spans="1:11" x14ac:dyDescent="0.2">
      <c r="A4920" s="8">
        <v>22823.333333333299</v>
      </c>
      <c r="B4920" s="8">
        <f t="shared" si="164"/>
        <v>2026</v>
      </c>
      <c r="C4920" s="8">
        <f t="shared" si="165"/>
        <v>12</v>
      </c>
      <c r="D4920" s="204">
        <v>46371</v>
      </c>
      <c r="E4920" s="188"/>
      <c r="F4920" s="188">
        <v>20000</v>
      </c>
      <c r="G4920" s="188"/>
      <c r="H4920" s="188"/>
      <c r="I4920" s="188" t="s">
        <v>91</v>
      </c>
      <c r="J4920" s="187" t="s">
        <v>2855</v>
      </c>
      <c r="K4920" s="186"/>
    </row>
    <row r="4921" spans="1:11" x14ac:dyDescent="0.2">
      <c r="A4921" s="8">
        <v>22893.833333333299</v>
      </c>
      <c r="B4921" s="8">
        <f t="shared" si="164"/>
        <v>2026</v>
      </c>
      <c r="C4921" s="8">
        <f t="shared" si="165"/>
        <v>12</v>
      </c>
      <c r="D4921" s="204">
        <v>46371</v>
      </c>
      <c r="E4921" s="188"/>
      <c r="F4921" s="188">
        <v>24000</v>
      </c>
      <c r="G4921" s="188"/>
      <c r="H4921" s="188"/>
      <c r="I4921" s="188" t="s">
        <v>149</v>
      </c>
      <c r="J4921" s="187" t="s">
        <v>4891</v>
      </c>
      <c r="K4921" s="186"/>
    </row>
    <row r="4922" spans="1:11" x14ac:dyDescent="0.2">
      <c r="A4922" s="8">
        <v>22964.333333333299</v>
      </c>
      <c r="B4922" s="8">
        <f t="shared" si="164"/>
        <v>2026</v>
      </c>
      <c r="C4922" s="8">
        <f t="shared" si="165"/>
        <v>12</v>
      </c>
      <c r="D4922" s="204">
        <v>46371</v>
      </c>
      <c r="E4922" s="188"/>
      <c r="F4922" s="188">
        <v>50000</v>
      </c>
      <c r="G4922" s="188"/>
      <c r="H4922" s="188"/>
      <c r="I4922" s="188" t="s">
        <v>85</v>
      </c>
      <c r="J4922" s="187" t="s">
        <v>2605</v>
      </c>
      <c r="K4922" s="186"/>
    </row>
    <row r="4923" spans="1:11" x14ac:dyDescent="0.2">
      <c r="A4923" s="8">
        <v>23175.833333333299</v>
      </c>
      <c r="B4923" s="8">
        <f t="shared" si="164"/>
        <v>2026</v>
      </c>
      <c r="C4923" s="8">
        <f t="shared" si="165"/>
        <v>12</v>
      </c>
      <c r="D4923" s="204">
        <v>46372</v>
      </c>
      <c r="E4923" s="188"/>
      <c r="F4923" s="188">
        <v>50000</v>
      </c>
      <c r="G4923" s="188"/>
      <c r="H4923" s="188"/>
      <c r="I4923" s="188" t="s">
        <v>1992</v>
      </c>
      <c r="J4923" s="187" t="s">
        <v>4892</v>
      </c>
      <c r="K4923" s="186"/>
    </row>
    <row r="4924" spans="1:11" x14ac:dyDescent="0.2">
      <c r="A4924" s="8">
        <v>23316.833333333299</v>
      </c>
      <c r="B4924" s="8">
        <f t="shared" si="164"/>
        <v>2026</v>
      </c>
      <c r="C4924" s="8">
        <f t="shared" si="165"/>
        <v>12</v>
      </c>
      <c r="D4924" s="204">
        <v>46373</v>
      </c>
      <c r="E4924" s="188"/>
      <c r="F4924" s="188">
        <v>100000</v>
      </c>
      <c r="G4924" s="188"/>
      <c r="H4924" s="188"/>
      <c r="I4924" s="188" t="s">
        <v>85</v>
      </c>
      <c r="J4924" s="187" t="s">
        <v>287</v>
      </c>
      <c r="K4924" s="186"/>
    </row>
    <row r="4925" spans="1:11" x14ac:dyDescent="0.2">
      <c r="A4925" s="8">
        <v>23387.333333333299</v>
      </c>
      <c r="B4925" s="8">
        <f t="shared" si="164"/>
        <v>2026</v>
      </c>
      <c r="C4925" s="8">
        <f t="shared" si="165"/>
        <v>12</v>
      </c>
      <c r="D4925" s="204">
        <v>46374</v>
      </c>
      <c r="E4925" s="188"/>
      <c r="F4925" s="188">
        <v>110000</v>
      </c>
      <c r="G4925" s="188"/>
      <c r="H4925" s="188"/>
      <c r="I4925" s="188" t="s">
        <v>2807</v>
      </c>
      <c r="J4925" s="187" t="s">
        <v>4893</v>
      </c>
      <c r="K4925" s="186"/>
    </row>
    <row r="4926" spans="1:11" x14ac:dyDescent="0.2">
      <c r="A4926" s="8">
        <v>23457.833333333299</v>
      </c>
      <c r="B4926" s="8">
        <f t="shared" si="164"/>
        <v>2026</v>
      </c>
      <c r="C4926" s="8">
        <f t="shared" si="165"/>
        <v>12</v>
      </c>
      <c r="D4926" s="204">
        <v>46374</v>
      </c>
      <c r="E4926" s="188"/>
      <c r="F4926" s="188">
        <v>550000</v>
      </c>
      <c r="G4926" s="188"/>
      <c r="H4926" s="188"/>
      <c r="I4926" s="188" t="s">
        <v>1350</v>
      </c>
      <c r="J4926" s="187" t="s">
        <v>4894</v>
      </c>
      <c r="K4926" s="186"/>
    </row>
    <row r="4927" spans="1:11" x14ac:dyDescent="0.2">
      <c r="A4927" s="8">
        <v>23528.333333333299</v>
      </c>
      <c r="B4927" s="8">
        <f t="shared" si="164"/>
        <v>2026</v>
      </c>
      <c r="C4927" s="8">
        <f t="shared" si="165"/>
        <v>12</v>
      </c>
      <c r="D4927" s="204">
        <v>46374</v>
      </c>
      <c r="E4927" s="188"/>
      <c r="F4927" s="188">
        <v>100000</v>
      </c>
      <c r="G4927" s="188"/>
      <c r="H4927" s="188"/>
      <c r="I4927" s="188" t="s">
        <v>85</v>
      </c>
      <c r="J4927" s="187" t="s">
        <v>85</v>
      </c>
      <c r="K4927" s="186"/>
    </row>
    <row r="4928" spans="1:11" x14ac:dyDescent="0.2">
      <c r="A4928" s="8">
        <v>23598.833333333299</v>
      </c>
      <c r="B4928" s="8">
        <f t="shared" si="164"/>
        <v>2026</v>
      </c>
      <c r="C4928" s="8">
        <f t="shared" si="165"/>
        <v>12</v>
      </c>
      <c r="D4928" s="204">
        <v>46375</v>
      </c>
      <c r="E4928" s="188"/>
      <c r="F4928" s="188">
        <v>100000</v>
      </c>
      <c r="G4928" s="188"/>
      <c r="H4928" s="188"/>
      <c r="I4928" s="188" t="s">
        <v>85</v>
      </c>
      <c r="J4928" s="187" t="s">
        <v>287</v>
      </c>
      <c r="K4928" s="186"/>
    </row>
    <row r="4929" spans="1:11" x14ac:dyDescent="0.2">
      <c r="A4929" s="8">
        <v>23810.333333333299</v>
      </c>
      <c r="B4929" s="8">
        <f t="shared" si="164"/>
        <v>2026</v>
      </c>
      <c r="C4929" s="8">
        <f t="shared" si="165"/>
        <v>12</v>
      </c>
      <c r="D4929" s="204">
        <v>46377</v>
      </c>
      <c r="E4929" s="188"/>
      <c r="F4929" s="188">
        <v>274000</v>
      </c>
      <c r="G4929" s="188"/>
      <c r="H4929" s="188"/>
      <c r="I4929" s="188" t="s">
        <v>1815</v>
      </c>
      <c r="J4929" s="187" t="s">
        <v>4895</v>
      </c>
      <c r="K4929" s="186"/>
    </row>
    <row r="4930" spans="1:11" x14ac:dyDescent="0.2">
      <c r="A4930" s="8">
        <v>23880.833333333299</v>
      </c>
      <c r="B4930" s="8">
        <f t="shared" si="164"/>
        <v>2026</v>
      </c>
      <c r="C4930" s="8">
        <f t="shared" si="165"/>
        <v>12</v>
      </c>
      <c r="D4930" s="204">
        <v>46377</v>
      </c>
      <c r="E4930" s="188"/>
      <c r="F4930" s="188">
        <v>6000</v>
      </c>
      <c r="G4930" s="188"/>
      <c r="H4930" s="188"/>
      <c r="I4930" s="188" t="s">
        <v>149</v>
      </c>
      <c r="J4930" s="187" t="s">
        <v>4896</v>
      </c>
      <c r="K4930" s="186"/>
    </row>
    <row r="4931" spans="1:11" x14ac:dyDescent="0.2">
      <c r="A4931" s="8">
        <v>23951.333333333299</v>
      </c>
      <c r="B4931" s="8">
        <f t="shared" si="164"/>
        <v>2026</v>
      </c>
      <c r="C4931" s="8">
        <f t="shared" si="165"/>
        <v>12</v>
      </c>
      <c r="D4931" s="204">
        <v>46378</v>
      </c>
      <c r="E4931" s="188"/>
      <c r="F4931" s="188">
        <v>100000</v>
      </c>
      <c r="G4931" s="188"/>
      <c r="H4931" s="188"/>
      <c r="I4931" s="188" t="s">
        <v>85</v>
      </c>
      <c r="J4931" s="187">
        <v>46378</v>
      </c>
      <c r="K4931" s="186"/>
    </row>
    <row r="4932" spans="1:11" x14ac:dyDescent="0.2">
      <c r="A4932" s="8">
        <v>24233.333333333299</v>
      </c>
      <c r="B4932" s="8">
        <f t="shared" si="164"/>
        <v>2026</v>
      </c>
      <c r="C4932" s="8">
        <f t="shared" si="165"/>
        <v>12</v>
      </c>
      <c r="D4932" s="204">
        <v>46379</v>
      </c>
      <c r="E4932" s="188"/>
      <c r="F4932" s="188">
        <v>40000</v>
      </c>
      <c r="G4932" s="188"/>
      <c r="H4932" s="188"/>
      <c r="I4932" s="188" t="s">
        <v>1992</v>
      </c>
      <c r="J4932" s="187" t="s">
        <v>4897</v>
      </c>
      <c r="K4932" s="186"/>
    </row>
    <row r="4933" spans="1:11" x14ac:dyDescent="0.2">
      <c r="A4933" s="8">
        <v>24303.833333333299</v>
      </c>
      <c r="B4933" s="8">
        <f t="shared" si="164"/>
        <v>2026</v>
      </c>
      <c r="C4933" s="8">
        <f t="shared" si="165"/>
        <v>12</v>
      </c>
      <c r="D4933" s="204">
        <v>46380</v>
      </c>
      <c r="E4933" s="188"/>
      <c r="F4933" s="188">
        <v>100000</v>
      </c>
      <c r="G4933" s="188"/>
      <c r="H4933" s="188"/>
      <c r="I4933" s="188" t="s">
        <v>85</v>
      </c>
      <c r="J4933" s="187">
        <v>46380</v>
      </c>
      <c r="K4933" s="186"/>
    </row>
    <row r="4934" spans="1:11" x14ac:dyDescent="0.2">
      <c r="A4934" s="8">
        <v>24374.333333333299</v>
      </c>
      <c r="B4934" s="8">
        <f t="shared" si="164"/>
        <v>2026</v>
      </c>
      <c r="C4934" s="8">
        <f t="shared" si="165"/>
        <v>12</v>
      </c>
      <c r="D4934" s="204">
        <v>46381</v>
      </c>
      <c r="E4934" s="188"/>
      <c r="F4934" s="188">
        <v>800000</v>
      </c>
      <c r="G4934" s="188"/>
      <c r="H4934" s="188"/>
      <c r="I4934" s="188" t="s">
        <v>1815</v>
      </c>
      <c r="J4934" s="187" t="s">
        <v>4898</v>
      </c>
      <c r="K4934" s="186"/>
    </row>
    <row r="4935" spans="1:11" x14ac:dyDescent="0.2">
      <c r="A4935" s="8">
        <v>24585.833333333299</v>
      </c>
      <c r="B4935" s="8">
        <f t="shared" si="164"/>
        <v>2026</v>
      </c>
      <c r="C4935" s="8">
        <f t="shared" si="165"/>
        <v>12</v>
      </c>
      <c r="D4935" s="204">
        <v>46382</v>
      </c>
      <c r="E4935" s="188"/>
      <c r="F4935" s="188">
        <v>750000</v>
      </c>
      <c r="G4935" s="188"/>
      <c r="H4935" s="188"/>
      <c r="I4935" s="188" t="s">
        <v>1350</v>
      </c>
      <c r="J4935" s="187" t="s">
        <v>4899</v>
      </c>
      <c r="K4935" s="186"/>
    </row>
    <row r="4936" spans="1:11" x14ac:dyDescent="0.2">
      <c r="A4936" s="8">
        <v>24656.333333333299</v>
      </c>
      <c r="B4936" s="8">
        <f t="shared" si="164"/>
        <v>2026</v>
      </c>
      <c r="C4936" s="8">
        <f t="shared" si="165"/>
        <v>12</v>
      </c>
      <c r="D4936" s="204">
        <v>46383</v>
      </c>
      <c r="E4936" s="188"/>
      <c r="F4936" s="188">
        <v>1008000</v>
      </c>
      <c r="G4936" s="188"/>
      <c r="H4936" s="188"/>
      <c r="I4936" s="188" t="s">
        <v>391</v>
      </c>
      <c r="J4936" s="187" t="s">
        <v>4900</v>
      </c>
      <c r="K4936" s="186"/>
    </row>
    <row r="4937" spans="1:11" x14ac:dyDescent="0.2">
      <c r="A4937" s="8">
        <v>24726.833333333299</v>
      </c>
      <c r="B4937" s="8">
        <f t="shared" si="164"/>
        <v>2026</v>
      </c>
      <c r="C4937" s="8">
        <f t="shared" si="165"/>
        <v>12</v>
      </c>
      <c r="D4937" s="204">
        <v>46383</v>
      </c>
      <c r="E4937" s="188"/>
      <c r="F4937" s="188">
        <v>200000</v>
      </c>
      <c r="G4937" s="188"/>
      <c r="H4937" s="188"/>
      <c r="I4937" s="188" t="s">
        <v>85</v>
      </c>
      <c r="J4937" s="187" t="s">
        <v>4901</v>
      </c>
      <c r="K4937" s="186"/>
    </row>
    <row r="4938" spans="1:11" x14ac:dyDescent="0.2">
      <c r="A4938" s="8">
        <v>24797.333333333299</v>
      </c>
      <c r="B4938" s="8">
        <f t="shared" si="164"/>
        <v>2026</v>
      </c>
      <c r="C4938" s="8">
        <f t="shared" si="165"/>
        <v>12</v>
      </c>
      <c r="D4938" s="204">
        <v>46383</v>
      </c>
      <c r="E4938" s="188"/>
      <c r="F4938" s="188">
        <v>29000</v>
      </c>
      <c r="G4938" s="188"/>
      <c r="H4938" s="188"/>
      <c r="I4938" s="188" t="s">
        <v>391</v>
      </c>
      <c r="J4938" s="187" t="s">
        <v>4902</v>
      </c>
      <c r="K4938" s="186"/>
    </row>
    <row r="4939" spans="1:11" x14ac:dyDescent="0.2">
      <c r="A4939" s="8">
        <v>24867.833333333299</v>
      </c>
      <c r="B4939" s="8">
        <f t="shared" si="164"/>
        <v>2026</v>
      </c>
      <c r="C4939" s="8">
        <f t="shared" si="165"/>
        <v>12</v>
      </c>
      <c r="D4939" s="204">
        <v>46383</v>
      </c>
      <c r="E4939" s="188"/>
      <c r="F4939" s="188">
        <v>320000</v>
      </c>
      <c r="G4939" s="188"/>
      <c r="H4939" s="188"/>
      <c r="I4939" s="188" t="s">
        <v>85</v>
      </c>
      <c r="J4939" s="187" t="s">
        <v>4903</v>
      </c>
      <c r="K4939" s="186"/>
    </row>
    <row r="4940" spans="1:11" x14ac:dyDescent="0.2">
      <c r="A4940" s="8">
        <v>24938.333333333299</v>
      </c>
      <c r="B4940" s="8">
        <f t="shared" si="164"/>
        <v>2026</v>
      </c>
      <c r="C4940" s="8">
        <f t="shared" si="165"/>
        <v>12</v>
      </c>
      <c r="D4940" s="204">
        <v>46383</v>
      </c>
      <c r="E4940" s="188"/>
      <c r="F4940" s="188">
        <v>680000</v>
      </c>
      <c r="G4940" s="188"/>
      <c r="H4940" s="188"/>
      <c r="I4940" s="188" t="s">
        <v>335</v>
      </c>
      <c r="J4940" s="187" t="s">
        <v>4904</v>
      </c>
      <c r="K4940" s="186"/>
    </row>
    <row r="4941" spans="1:11" x14ac:dyDescent="0.2">
      <c r="A4941" s="8">
        <v>25008.833333333299</v>
      </c>
      <c r="B4941" s="8">
        <f t="shared" si="164"/>
        <v>2026</v>
      </c>
      <c r="C4941" s="8">
        <f t="shared" si="165"/>
        <v>12</v>
      </c>
      <c r="D4941" s="204">
        <v>46383</v>
      </c>
      <c r="E4941" s="188"/>
      <c r="F4941" s="188">
        <v>500000</v>
      </c>
      <c r="G4941" s="188"/>
      <c r="H4941" s="188"/>
      <c r="I4941" s="188" t="s">
        <v>85</v>
      </c>
      <c r="J4941" s="187" t="s">
        <v>4905</v>
      </c>
      <c r="K4941" s="186"/>
    </row>
    <row r="4942" spans="1:11" x14ac:dyDescent="0.2">
      <c r="A4942" s="8">
        <v>25079.333333333299</v>
      </c>
      <c r="B4942" s="8">
        <f t="shared" si="164"/>
        <v>2026</v>
      </c>
      <c r="C4942" s="8">
        <f t="shared" si="165"/>
        <v>12</v>
      </c>
      <c r="D4942" s="204">
        <v>46384</v>
      </c>
      <c r="E4942" s="188"/>
      <c r="F4942" s="188">
        <v>100000</v>
      </c>
      <c r="G4942" s="188"/>
      <c r="H4942" s="188"/>
      <c r="I4942" s="188" t="s">
        <v>1729</v>
      </c>
      <c r="J4942" s="187" t="s">
        <v>4906</v>
      </c>
      <c r="K4942" s="186"/>
    </row>
    <row r="4943" spans="1:11" x14ac:dyDescent="0.2">
      <c r="A4943" s="8">
        <v>25149.833333333299</v>
      </c>
      <c r="B4943" s="8">
        <f t="shared" si="164"/>
        <v>2026</v>
      </c>
      <c r="C4943" s="8">
        <f t="shared" si="165"/>
        <v>12</v>
      </c>
      <c r="D4943" s="204">
        <v>46384</v>
      </c>
      <c r="E4943" s="188"/>
      <c r="F4943" s="188">
        <v>100000</v>
      </c>
      <c r="G4943" s="188"/>
      <c r="H4943" s="188"/>
      <c r="I4943" s="188" t="s">
        <v>1350</v>
      </c>
      <c r="J4943" s="187" t="s">
        <v>4907</v>
      </c>
      <c r="K4943" s="186"/>
    </row>
    <row r="4944" spans="1:11" x14ac:dyDescent="0.2">
      <c r="A4944" s="8">
        <v>25220.333333333299</v>
      </c>
      <c r="B4944" s="8">
        <f t="shared" ref="B4944:B4951" si="166">YEAR(D4944)</f>
        <v>2026</v>
      </c>
      <c r="C4944" s="8">
        <f t="shared" ref="C4944:C4951" si="167">MONTH(D4944)</f>
        <v>12</v>
      </c>
      <c r="D4944" s="204">
        <v>46384</v>
      </c>
      <c r="E4944" s="188"/>
      <c r="F4944" s="188">
        <v>280000</v>
      </c>
      <c r="G4944" s="188"/>
      <c r="H4944" s="188"/>
      <c r="I4944" s="188" t="s">
        <v>91</v>
      </c>
      <c r="J4944" s="187" t="s">
        <v>4908</v>
      </c>
      <c r="K4944" s="186"/>
    </row>
    <row r="4945" spans="1:11" x14ac:dyDescent="0.2">
      <c r="A4945" s="8">
        <v>25290.833333333299</v>
      </c>
      <c r="B4945" s="8">
        <f t="shared" si="166"/>
        <v>2026</v>
      </c>
      <c r="C4945" s="8">
        <f t="shared" si="167"/>
        <v>12</v>
      </c>
      <c r="D4945" s="204">
        <v>46385</v>
      </c>
      <c r="E4945" s="188"/>
      <c r="G4945" s="188">
        <v>300000</v>
      </c>
      <c r="H4945" s="188"/>
      <c r="I4945" s="188"/>
      <c r="J4945" s="187" t="s">
        <v>4909</v>
      </c>
      <c r="K4945" s="186"/>
    </row>
    <row r="4946" spans="1:11" x14ac:dyDescent="0.2">
      <c r="A4946" s="8">
        <v>25431.833333333299</v>
      </c>
      <c r="B4946" s="8">
        <f t="shared" si="166"/>
        <v>2026</v>
      </c>
      <c r="C4946" s="8">
        <f t="shared" si="167"/>
        <v>12</v>
      </c>
      <c r="D4946" s="204">
        <v>46386</v>
      </c>
      <c r="E4946" s="188"/>
      <c r="F4946" s="188">
        <v>400000</v>
      </c>
      <c r="G4946" s="188"/>
      <c r="H4946" s="188"/>
      <c r="I4946" s="188" t="s">
        <v>1815</v>
      </c>
      <c r="J4946" s="187" t="s">
        <v>4910</v>
      </c>
      <c r="K4946" s="186"/>
    </row>
    <row r="4947" spans="1:11" x14ac:dyDescent="0.2">
      <c r="A4947" s="8">
        <v>25502.333333333299</v>
      </c>
      <c r="B4947" s="8">
        <f t="shared" si="166"/>
        <v>2026</v>
      </c>
      <c r="C4947" s="8">
        <f t="shared" si="167"/>
        <v>12</v>
      </c>
      <c r="D4947" s="204">
        <v>46387</v>
      </c>
      <c r="E4947" s="188"/>
      <c r="F4947" s="188">
        <v>100000</v>
      </c>
      <c r="G4947" s="188"/>
      <c r="H4947" s="188"/>
      <c r="I4947" s="188" t="s">
        <v>85</v>
      </c>
      <c r="J4947" s="187" t="s">
        <v>3891</v>
      </c>
      <c r="K4947" s="186"/>
    </row>
    <row r="4948" spans="1:11" x14ac:dyDescent="0.2">
      <c r="A4948" s="8">
        <v>25572.833333333299</v>
      </c>
      <c r="B4948" s="8">
        <f t="shared" si="166"/>
        <v>2026</v>
      </c>
      <c r="C4948" s="8">
        <f t="shared" si="167"/>
        <v>12</v>
      </c>
      <c r="D4948" s="204">
        <v>46387</v>
      </c>
      <c r="E4948" s="188"/>
      <c r="G4948" s="188">
        <v>1000000</v>
      </c>
      <c r="H4948" s="188"/>
      <c r="I4948" s="188"/>
      <c r="J4948" s="187" t="s">
        <v>4285</v>
      </c>
      <c r="K4948" s="186"/>
    </row>
    <row r="4949" spans="1:11" x14ac:dyDescent="0.2">
      <c r="A4949" s="8">
        <v>25643.333333333299</v>
      </c>
      <c r="B4949" s="8">
        <f t="shared" si="166"/>
        <v>2026</v>
      </c>
      <c r="C4949" s="8">
        <f t="shared" si="167"/>
        <v>12</v>
      </c>
      <c r="D4949" s="204">
        <v>46387</v>
      </c>
      <c r="E4949" s="188"/>
      <c r="F4949" s="188">
        <v>250000</v>
      </c>
      <c r="G4949" s="188"/>
      <c r="H4949" s="188"/>
      <c r="I4949" s="188" t="s">
        <v>299</v>
      </c>
      <c r="J4949" s="187" t="s">
        <v>4911</v>
      </c>
      <c r="K4949" s="186"/>
    </row>
    <row r="4950" spans="1:11" x14ac:dyDescent="0.2">
      <c r="A4950" s="8">
        <v>25713.833333333299</v>
      </c>
      <c r="B4950" s="8">
        <f t="shared" si="166"/>
        <v>2026</v>
      </c>
      <c r="C4950" s="8">
        <f t="shared" si="167"/>
        <v>1</v>
      </c>
      <c r="D4950" s="204">
        <v>46023</v>
      </c>
      <c r="E4950" s="188"/>
      <c r="F4950" s="188">
        <v>50000</v>
      </c>
      <c r="G4950" s="188"/>
      <c r="H4950" s="188"/>
      <c r="I4950" s="188" t="s">
        <v>85</v>
      </c>
      <c r="J4950" s="187" t="s">
        <v>4178</v>
      </c>
      <c r="K4950" s="186"/>
    </row>
    <row r="4951" spans="1:11" x14ac:dyDescent="0.2">
      <c r="A4951" s="8">
        <v>25784.333333333299</v>
      </c>
      <c r="B4951" s="8">
        <f t="shared" si="166"/>
        <v>2026</v>
      </c>
      <c r="C4951" s="8">
        <f t="shared" si="167"/>
        <v>1</v>
      </c>
      <c r="D4951" s="204">
        <v>46024</v>
      </c>
      <c r="E4951" s="188"/>
      <c r="F4951" s="188">
        <v>150000</v>
      </c>
      <c r="G4951" s="188"/>
      <c r="H4951" s="188"/>
      <c r="I4951" s="188" t="s">
        <v>91</v>
      </c>
      <c r="J4951" s="187" t="s">
        <v>5005</v>
      </c>
      <c r="K4951" s="186"/>
    </row>
    <row r="4952" spans="1:11" x14ac:dyDescent="0.2">
      <c r="A4952" s="8">
        <v>25854.833333333299</v>
      </c>
      <c r="B4952" s="8">
        <f t="shared" ref="B4952:B5011" si="168">YEAR(D4952)</f>
        <v>2026</v>
      </c>
      <c r="C4952" s="8">
        <f t="shared" ref="C4952:C5011" si="169">MONTH(D4952)</f>
        <v>1</v>
      </c>
      <c r="D4952" s="204">
        <v>46024</v>
      </c>
      <c r="E4952" s="188"/>
      <c r="F4952" s="188">
        <v>250000</v>
      </c>
      <c r="G4952" s="188"/>
      <c r="H4952" s="188"/>
      <c r="I4952" s="188" t="s">
        <v>1815</v>
      </c>
      <c r="J4952" s="187" t="s">
        <v>5006</v>
      </c>
      <c r="K4952" s="186"/>
    </row>
    <row r="4953" spans="1:11" x14ac:dyDescent="0.2">
      <c r="A4953" s="8">
        <v>25925.333333333299</v>
      </c>
      <c r="B4953" s="8">
        <f t="shared" si="168"/>
        <v>2026</v>
      </c>
      <c r="C4953" s="8">
        <f t="shared" si="169"/>
        <v>1</v>
      </c>
      <c r="D4953" s="204">
        <v>46024</v>
      </c>
      <c r="E4953" s="188"/>
      <c r="F4953" s="188">
        <v>180000</v>
      </c>
      <c r="G4953" s="188"/>
      <c r="H4953" s="188"/>
      <c r="I4953" s="188" t="s">
        <v>91</v>
      </c>
      <c r="J4953" s="187" t="s">
        <v>4219</v>
      </c>
      <c r="K4953" s="186"/>
    </row>
    <row r="4954" spans="1:11" x14ac:dyDescent="0.2">
      <c r="A4954" s="8">
        <v>25995.833333333299</v>
      </c>
      <c r="B4954" s="8">
        <f t="shared" si="168"/>
        <v>2026</v>
      </c>
      <c r="C4954" s="8">
        <f t="shared" si="169"/>
        <v>1</v>
      </c>
      <c r="D4954" s="204">
        <v>46024</v>
      </c>
      <c r="E4954" s="188"/>
      <c r="F4954" s="188">
        <v>45000</v>
      </c>
      <c r="G4954" s="188"/>
      <c r="H4954" s="188"/>
      <c r="I4954" s="188" t="s">
        <v>1992</v>
      </c>
      <c r="J4954" s="187" t="s">
        <v>5007</v>
      </c>
      <c r="K4954" s="186"/>
    </row>
    <row r="4955" spans="1:11" x14ac:dyDescent="0.2">
      <c r="A4955" s="8">
        <v>26136.833333333299</v>
      </c>
      <c r="B4955" s="8">
        <f t="shared" si="168"/>
        <v>2026</v>
      </c>
      <c r="C4955" s="8">
        <f t="shared" si="169"/>
        <v>1</v>
      </c>
      <c r="D4955" s="204">
        <v>46025</v>
      </c>
      <c r="E4955" s="188"/>
      <c r="F4955" s="188">
        <v>65000</v>
      </c>
      <c r="G4955" s="188"/>
      <c r="H4955" s="188"/>
      <c r="I4955" s="188" t="s">
        <v>1992</v>
      </c>
      <c r="J4955" s="187" t="s">
        <v>5009</v>
      </c>
      <c r="K4955" s="186"/>
    </row>
    <row r="4956" spans="1:11" x14ac:dyDescent="0.2">
      <c r="A4956" s="8">
        <v>26207.333333333299</v>
      </c>
      <c r="B4956" s="8">
        <f t="shared" si="168"/>
        <v>2026</v>
      </c>
      <c r="C4956" s="8">
        <f t="shared" si="169"/>
        <v>1</v>
      </c>
      <c r="D4956" s="204">
        <v>46026</v>
      </c>
      <c r="E4956" s="188"/>
      <c r="F4956" s="188">
        <v>162000</v>
      </c>
      <c r="G4956" s="188"/>
      <c r="H4956" s="188"/>
      <c r="I4956" s="188" t="s">
        <v>1815</v>
      </c>
      <c r="J4956" s="187" t="s">
        <v>5010</v>
      </c>
      <c r="K4956" s="186"/>
    </row>
    <row r="4957" spans="1:11" x14ac:dyDescent="0.2">
      <c r="A4957" s="8">
        <v>26277.833333333299</v>
      </c>
      <c r="B4957" s="8">
        <f t="shared" si="168"/>
        <v>2026</v>
      </c>
      <c r="C4957" s="8">
        <f t="shared" si="169"/>
        <v>1</v>
      </c>
      <c r="D4957" s="204">
        <v>46026</v>
      </c>
      <c r="E4957" s="188"/>
      <c r="F4957" s="188">
        <v>174000</v>
      </c>
      <c r="G4957" s="188"/>
      <c r="H4957" s="188"/>
      <c r="I4957" s="188" t="s">
        <v>1992</v>
      </c>
      <c r="J4957" s="187" t="s">
        <v>5011</v>
      </c>
      <c r="K4957" s="186"/>
    </row>
    <row r="4958" spans="1:11" x14ac:dyDescent="0.2">
      <c r="A4958" s="8">
        <v>26348.333333333299</v>
      </c>
      <c r="B4958" s="8">
        <f t="shared" si="168"/>
        <v>2026</v>
      </c>
      <c r="C4958" s="8">
        <f t="shared" si="169"/>
        <v>1</v>
      </c>
      <c r="D4958" s="204">
        <v>46026</v>
      </c>
      <c r="E4958" s="188"/>
      <c r="F4958" s="188">
        <v>30000</v>
      </c>
      <c r="G4958" s="188"/>
      <c r="H4958" s="188"/>
      <c r="I4958" s="188" t="s">
        <v>91</v>
      </c>
      <c r="J4958" s="187" t="s">
        <v>5012</v>
      </c>
      <c r="K4958" s="186"/>
    </row>
    <row r="4959" spans="1:11" x14ac:dyDescent="0.2">
      <c r="A4959" s="8">
        <v>26418.833333333299</v>
      </c>
      <c r="B4959" s="8">
        <f t="shared" si="168"/>
        <v>2026</v>
      </c>
      <c r="C4959" s="8">
        <f t="shared" si="169"/>
        <v>1</v>
      </c>
      <c r="D4959" s="204">
        <v>46027</v>
      </c>
      <c r="E4959" s="188"/>
      <c r="F4959" s="188">
        <v>12000</v>
      </c>
      <c r="G4959" s="188"/>
      <c r="H4959" s="188"/>
      <c r="I4959" s="188" t="s">
        <v>91</v>
      </c>
      <c r="J4959" s="187" t="s">
        <v>5013</v>
      </c>
      <c r="K4959" s="186"/>
    </row>
    <row r="4960" spans="1:11" x14ac:dyDescent="0.2">
      <c r="A4960" s="8">
        <v>26489.333333333299</v>
      </c>
      <c r="B4960" s="8">
        <f t="shared" si="168"/>
        <v>2026</v>
      </c>
      <c r="C4960" s="8">
        <f t="shared" si="169"/>
        <v>1</v>
      </c>
      <c r="D4960" s="204">
        <v>46027</v>
      </c>
      <c r="E4960" s="188"/>
      <c r="F4960" s="188">
        <v>30000</v>
      </c>
      <c r="G4960" s="188"/>
      <c r="H4960" s="188"/>
      <c r="I4960" s="188" t="s">
        <v>85</v>
      </c>
      <c r="J4960" s="187" t="s">
        <v>5014</v>
      </c>
      <c r="K4960" s="186"/>
    </row>
    <row r="4961" spans="1:11" x14ac:dyDescent="0.2">
      <c r="A4961" s="8">
        <v>26559.833333333299</v>
      </c>
      <c r="B4961" s="8">
        <f t="shared" si="168"/>
        <v>2026</v>
      </c>
      <c r="C4961" s="8">
        <f t="shared" si="169"/>
        <v>1</v>
      </c>
      <c r="D4961" s="204">
        <v>46027</v>
      </c>
      <c r="E4961" s="188"/>
      <c r="F4961" s="188">
        <v>75000</v>
      </c>
      <c r="G4961" s="188"/>
      <c r="H4961" s="188"/>
      <c r="I4961" s="188" t="s">
        <v>1992</v>
      </c>
      <c r="J4961" s="187" t="s">
        <v>5015</v>
      </c>
      <c r="K4961" s="186"/>
    </row>
    <row r="4962" spans="1:11" x14ac:dyDescent="0.2">
      <c r="A4962" s="8">
        <v>26630.333333333299</v>
      </c>
      <c r="B4962" s="8">
        <f t="shared" si="168"/>
        <v>2026</v>
      </c>
      <c r="C4962" s="8">
        <f t="shared" si="169"/>
        <v>1</v>
      </c>
      <c r="D4962" s="204">
        <v>46027</v>
      </c>
      <c r="E4962" s="188"/>
      <c r="F4962" s="188">
        <v>75000</v>
      </c>
      <c r="G4962" s="188"/>
      <c r="H4962" s="188"/>
      <c r="I4962" s="188" t="s">
        <v>1992</v>
      </c>
      <c r="J4962" s="187" t="s">
        <v>5016</v>
      </c>
      <c r="K4962" s="186"/>
    </row>
    <row r="4963" spans="1:11" x14ac:dyDescent="0.2">
      <c r="A4963" s="8">
        <v>26700.833333333299</v>
      </c>
      <c r="B4963" s="8">
        <f t="shared" si="168"/>
        <v>2026</v>
      </c>
      <c r="C4963" s="8">
        <f t="shared" si="169"/>
        <v>1</v>
      </c>
      <c r="D4963" s="204">
        <v>46028</v>
      </c>
      <c r="E4963" s="188"/>
      <c r="F4963" s="188">
        <v>47000</v>
      </c>
      <c r="G4963" s="188"/>
      <c r="H4963" s="188"/>
      <c r="I4963" s="188" t="s">
        <v>1992</v>
      </c>
      <c r="J4963" s="187" t="s">
        <v>5017</v>
      </c>
      <c r="K4963" s="186"/>
    </row>
    <row r="4964" spans="1:11" x14ac:dyDescent="0.2">
      <c r="A4964" s="8">
        <v>26771.333333333299</v>
      </c>
      <c r="B4964" s="8">
        <f t="shared" si="168"/>
        <v>2026</v>
      </c>
      <c r="C4964" s="8">
        <f t="shared" si="169"/>
        <v>1</v>
      </c>
      <c r="D4964" s="204">
        <v>46029</v>
      </c>
      <c r="E4964" s="188"/>
      <c r="F4964" s="188">
        <v>150000</v>
      </c>
      <c r="G4964" s="188"/>
      <c r="H4964" s="188"/>
      <c r="I4964" s="188" t="s">
        <v>2807</v>
      </c>
      <c r="J4964" s="187" t="s">
        <v>5018</v>
      </c>
      <c r="K4964" s="186"/>
    </row>
    <row r="4965" spans="1:11" x14ac:dyDescent="0.2">
      <c r="A4965" s="8">
        <v>26841.833333333299</v>
      </c>
      <c r="B4965" s="8">
        <f t="shared" si="168"/>
        <v>2026</v>
      </c>
      <c r="C4965" s="8">
        <f t="shared" si="169"/>
        <v>1</v>
      </c>
      <c r="D4965" s="204">
        <v>46029</v>
      </c>
      <c r="E4965" s="188"/>
      <c r="F4965" s="188">
        <v>200000</v>
      </c>
      <c r="G4965" s="188"/>
      <c r="H4965" s="188"/>
      <c r="I4965" s="188" t="s">
        <v>85</v>
      </c>
      <c r="J4965" s="187" t="s">
        <v>5019</v>
      </c>
      <c r="K4965" s="186"/>
    </row>
    <row r="4966" spans="1:11" x14ac:dyDescent="0.2">
      <c r="A4966" s="8">
        <v>26912.333333333299</v>
      </c>
      <c r="B4966" s="8">
        <f t="shared" si="168"/>
        <v>2026</v>
      </c>
      <c r="C4966" s="8">
        <f t="shared" si="169"/>
        <v>1</v>
      </c>
      <c r="D4966" s="204">
        <v>46030</v>
      </c>
      <c r="E4966" s="188"/>
      <c r="F4966" s="188">
        <v>180000</v>
      </c>
      <c r="G4966" s="188"/>
      <c r="H4966" s="188"/>
      <c r="I4966" s="188" t="s">
        <v>1350</v>
      </c>
      <c r="J4966" s="187" t="s">
        <v>5020</v>
      </c>
      <c r="K4966" s="186"/>
    </row>
    <row r="4967" spans="1:11" x14ac:dyDescent="0.2">
      <c r="A4967" s="8">
        <v>26982.833333333299</v>
      </c>
      <c r="B4967" s="8">
        <f t="shared" si="168"/>
        <v>2026</v>
      </c>
      <c r="C4967" s="8">
        <f t="shared" si="169"/>
        <v>1</v>
      </c>
      <c r="D4967" s="204">
        <v>46030</v>
      </c>
      <c r="E4967" s="188"/>
      <c r="G4967" s="188">
        <v>20000</v>
      </c>
      <c r="H4967" s="188"/>
      <c r="I4967" s="188"/>
      <c r="J4967" s="187" t="s">
        <v>5167</v>
      </c>
      <c r="K4967" s="186"/>
    </row>
    <row r="4968" spans="1:11" x14ac:dyDescent="0.2">
      <c r="A4968" s="8">
        <v>27053.333333333299</v>
      </c>
      <c r="B4968" s="8">
        <f t="shared" si="168"/>
        <v>2026</v>
      </c>
      <c r="C4968" s="8">
        <f t="shared" si="169"/>
        <v>1</v>
      </c>
      <c r="D4968" s="204">
        <v>46030</v>
      </c>
      <c r="E4968" s="188"/>
      <c r="F4968" s="188">
        <v>220000</v>
      </c>
      <c r="G4968" s="188"/>
      <c r="H4968" s="188"/>
      <c r="I4968" s="188" t="s">
        <v>299</v>
      </c>
      <c r="J4968" s="187" t="s">
        <v>5021</v>
      </c>
      <c r="K4968" s="186"/>
    </row>
    <row r="4969" spans="1:11" x14ac:dyDescent="0.2">
      <c r="A4969" s="8">
        <v>27194.333333333299</v>
      </c>
      <c r="B4969" s="8">
        <f t="shared" si="168"/>
        <v>2026</v>
      </c>
      <c r="C4969" s="8">
        <f t="shared" si="169"/>
        <v>1</v>
      </c>
      <c r="D4969" s="204">
        <v>46031</v>
      </c>
      <c r="E4969" s="188"/>
      <c r="F4969" s="188">
        <v>50000</v>
      </c>
      <c r="G4969" s="188"/>
      <c r="H4969" s="188"/>
      <c r="I4969" s="188" t="s">
        <v>85</v>
      </c>
      <c r="J4969" s="187">
        <v>50</v>
      </c>
      <c r="K4969" s="186"/>
    </row>
    <row r="4970" spans="1:11" x14ac:dyDescent="0.2">
      <c r="A4970" s="8">
        <v>27264.833333333299</v>
      </c>
      <c r="B4970" s="8">
        <f t="shared" si="168"/>
        <v>2026</v>
      </c>
      <c r="C4970" s="8">
        <f t="shared" si="169"/>
        <v>1</v>
      </c>
      <c r="D4970" s="204">
        <v>46032</v>
      </c>
      <c r="E4970" s="188"/>
      <c r="F4970" s="188">
        <v>180000</v>
      </c>
      <c r="G4970" s="188"/>
      <c r="H4970" s="188"/>
      <c r="I4970" s="188" t="s">
        <v>2807</v>
      </c>
      <c r="J4970" s="187" t="s">
        <v>5023</v>
      </c>
      <c r="K4970" s="186"/>
    </row>
    <row r="4971" spans="1:11" x14ac:dyDescent="0.2">
      <c r="A4971" s="8">
        <v>27335.333333333299</v>
      </c>
      <c r="B4971" s="8">
        <f t="shared" si="168"/>
        <v>2026</v>
      </c>
      <c r="C4971" s="8">
        <f t="shared" si="169"/>
        <v>1</v>
      </c>
      <c r="D4971" s="204">
        <v>46032</v>
      </c>
      <c r="E4971" s="188"/>
      <c r="F4971" s="188">
        <v>20000</v>
      </c>
      <c r="G4971" s="188"/>
      <c r="H4971" s="188"/>
      <c r="I4971" s="188" t="s">
        <v>85</v>
      </c>
      <c r="J4971" s="187" t="s">
        <v>5024</v>
      </c>
      <c r="K4971" s="186"/>
    </row>
    <row r="4972" spans="1:11" x14ac:dyDescent="0.2">
      <c r="A4972" s="8">
        <v>27405.833333333299</v>
      </c>
      <c r="B4972" s="8">
        <f t="shared" si="168"/>
        <v>2026</v>
      </c>
      <c r="C4972" s="8">
        <f t="shared" si="169"/>
        <v>1</v>
      </c>
      <c r="D4972" s="204">
        <v>46032</v>
      </c>
      <c r="E4972" s="188"/>
      <c r="F4972" s="188">
        <v>20000</v>
      </c>
      <c r="G4972" s="188"/>
      <c r="H4972" s="188"/>
      <c r="I4972" s="188" t="s">
        <v>1350</v>
      </c>
      <c r="J4972" s="187" t="s">
        <v>5025</v>
      </c>
      <c r="K4972" s="186"/>
    </row>
    <row r="4973" spans="1:11" x14ac:dyDescent="0.2">
      <c r="A4973" s="8">
        <v>27476.333333333299</v>
      </c>
      <c r="B4973" s="8">
        <f t="shared" si="168"/>
        <v>2026</v>
      </c>
      <c r="C4973" s="8">
        <f t="shared" si="169"/>
        <v>1</v>
      </c>
      <c r="D4973" s="204">
        <v>46033</v>
      </c>
      <c r="E4973" s="188"/>
      <c r="F4973" s="188">
        <v>60000</v>
      </c>
      <c r="G4973" s="188"/>
      <c r="H4973" s="188"/>
      <c r="I4973" s="188" t="s">
        <v>91</v>
      </c>
      <c r="J4973" s="187" t="s">
        <v>5026</v>
      </c>
      <c r="K4973" s="186"/>
    </row>
    <row r="4974" spans="1:11" x14ac:dyDescent="0.2">
      <c r="A4974" s="8">
        <v>27546.833333333299</v>
      </c>
      <c r="B4974" s="8">
        <f t="shared" si="168"/>
        <v>2026</v>
      </c>
      <c r="C4974" s="8">
        <f t="shared" si="169"/>
        <v>1</v>
      </c>
      <c r="D4974" s="204">
        <v>46033</v>
      </c>
      <c r="E4974" s="188"/>
      <c r="F4974" s="188">
        <v>600000</v>
      </c>
      <c r="G4974" s="188"/>
      <c r="H4974" s="188"/>
      <c r="I4974" s="188" t="s">
        <v>335</v>
      </c>
      <c r="J4974" s="187" t="s">
        <v>5027</v>
      </c>
      <c r="K4974" s="186"/>
    </row>
    <row r="4975" spans="1:11" x14ac:dyDescent="0.2">
      <c r="A4975" s="8">
        <v>27617.333333333299</v>
      </c>
      <c r="B4975" s="8">
        <f t="shared" si="168"/>
        <v>2026</v>
      </c>
      <c r="C4975" s="8">
        <f t="shared" si="169"/>
        <v>1</v>
      </c>
      <c r="D4975" s="204">
        <v>46034</v>
      </c>
      <c r="E4975" s="188"/>
      <c r="F4975" s="188">
        <v>200000</v>
      </c>
      <c r="G4975" s="188"/>
      <c r="H4975" s="188"/>
      <c r="I4975" s="188" t="s">
        <v>85</v>
      </c>
      <c r="J4975" s="187" t="s">
        <v>5028</v>
      </c>
      <c r="K4975" s="186"/>
    </row>
    <row r="4976" spans="1:11" x14ac:dyDescent="0.2">
      <c r="A4976" s="8">
        <v>27687.833333333299</v>
      </c>
      <c r="B4976" s="8">
        <f t="shared" si="168"/>
        <v>2026</v>
      </c>
      <c r="C4976" s="8">
        <f t="shared" si="169"/>
        <v>1</v>
      </c>
      <c r="D4976" s="204">
        <v>46034</v>
      </c>
      <c r="E4976" s="188"/>
      <c r="F4976" s="188">
        <v>60000</v>
      </c>
      <c r="G4976" s="188"/>
      <c r="H4976" s="188"/>
      <c r="I4976" s="188" t="s">
        <v>85</v>
      </c>
      <c r="J4976" s="187" t="s">
        <v>5029</v>
      </c>
      <c r="K4976" s="186"/>
    </row>
    <row r="4977" spans="1:11" x14ac:dyDescent="0.2">
      <c r="A4977" s="8">
        <v>27758.333333333299</v>
      </c>
      <c r="B4977" s="8">
        <f t="shared" si="168"/>
        <v>2026</v>
      </c>
      <c r="C4977" s="8">
        <f t="shared" si="169"/>
        <v>1</v>
      </c>
      <c r="D4977" s="204">
        <v>46034</v>
      </c>
      <c r="E4977" s="188"/>
      <c r="F4977" s="188">
        <v>70000</v>
      </c>
      <c r="G4977" s="188"/>
      <c r="H4977" s="188"/>
      <c r="I4977" s="188" t="s">
        <v>91</v>
      </c>
      <c r="J4977" s="187" t="s">
        <v>5030</v>
      </c>
      <c r="K4977" s="186"/>
    </row>
    <row r="4978" spans="1:11" x14ac:dyDescent="0.2">
      <c r="A4978" s="8">
        <v>27828.833333333299</v>
      </c>
      <c r="B4978" s="8">
        <f t="shared" si="168"/>
        <v>2026</v>
      </c>
      <c r="C4978" s="8">
        <f t="shared" si="169"/>
        <v>1</v>
      </c>
      <c r="D4978" s="204">
        <v>46035</v>
      </c>
      <c r="E4978" s="188"/>
      <c r="F4978" s="188">
        <v>100000</v>
      </c>
      <c r="G4978" s="188"/>
      <c r="H4978" s="188"/>
      <c r="I4978" s="188" t="s">
        <v>85</v>
      </c>
      <c r="J4978" s="187" t="s">
        <v>287</v>
      </c>
      <c r="K4978" s="186"/>
    </row>
    <row r="4979" spans="1:11" x14ac:dyDescent="0.2">
      <c r="A4979" s="8">
        <v>27899.333333333299</v>
      </c>
      <c r="B4979" s="8">
        <f t="shared" si="168"/>
        <v>2026</v>
      </c>
      <c r="C4979" s="8">
        <f t="shared" si="169"/>
        <v>1</v>
      </c>
      <c r="D4979" s="204">
        <v>46036</v>
      </c>
      <c r="E4979" s="188"/>
      <c r="F4979" s="188">
        <v>100000</v>
      </c>
      <c r="G4979" s="188"/>
      <c r="H4979" s="188"/>
      <c r="I4979" s="188" t="s">
        <v>85</v>
      </c>
      <c r="J4979" s="187" t="s">
        <v>287</v>
      </c>
      <c r="K4979" s="186"/>
    </row>
    <row r="4980" spans="1:11" x14ac:dyDescent="0.2">
      <c r="A4980" s="8">
        <v>27969.833333333299</v>
      </c>
      <c r="B4980" s="8">
        <f t="shared" si="168"/>
        <v>2026</v>
      </c>
      <c r="C4980" s="8">
        <f t="shared" si="169"/>
        <v>1</v>
      </c>
      <c r="D4980" s="204">
        <v>46037</v>
      </c>
      <c r="E4980" s="188"/>
      <c r="G4980" s="188">
        <v>500000</v>
      </c>
      <c r="H4980" s="188"/>
      <c r="I4980" s="188"/>
      <c r="J4980" s="187" t="s">
        <v>5031</v>
      </c>
      <c r="K4980" s="186"/>
    </row>
    <row r="4981" spans="1:11" x14ac:dyDescent="0.2">
      <c r="A4981" s="8">
        <v>28040.333333333299</v>
      </c>
      <c r="B4981" s="8">
        <f t="shared" si="168"/>
        <v>2026</v>
      </c>
      <c r="C4981" s="8">
        <f t="shared" si="169"/>
        <v>1</v>
      </c>
      <c r="D4981" s="204">
        <v>46037</v>
      </c>
      <c r="E4981" s="188"/>
      <c r="F4981" s="188">
        <v>500000</v>
      </c>
      <c r="G4981" s="188"/>
      <c r="H4981" s="188"/>
      <c r="I4981" s="188" t="s">
        <v>1992</v>
      </c>
      <c r="J4981" s="187" t="s">
        <v>5032</v>
      </c>
      <c r="K4981" s="186"/>
    </row>
    <row r="4982" spans="1:11" x14ac:dyDescent="0.2">
      <c r="A4982" s="8">
        <v>28181.333333333299</v>
      </c>
      <c r="B4982" s="8">
        <f t="shared" si="168"/>
        <v>2026</v>
      </c>
      <c r="C4982" s="8">
        <f t="shared" si="169"/>
        <v>1</v>
      </c>
      <c r="D4982" s="204">
        <v>46039</v>
      </c>
      <c r="E4982" s="188"/>
      <c r="F4982" s="188">
        <v>100000</v>
      </c>
      <c r="G4982" s="188"/>
      <c r="H4982" s="188"/>
      <c r="I4982" s="188" t="s">
        <v>85</v>
      </c>
      <c r="J4982" s="187" t="s">
        <v>287</v>
      </c>
      <c r="K4982" s="186"/>
    </row>
    <row r="4983" spans="1:11" x14ac:dyDescent="0.2">
      <c r="A4983" s="8">
        <v>28251.833333333299</v>
      </c>
      <c r="B4983" s="8">
        <f t="shared" si="168"/>
        <v>2026</v>
      </c>
      <c r="C4983" s="8">
        <f t="shared" si="169"/>
        <v>1</v>
      </c>
      <c r="D4983" s="204">
        <v>46040</v>
      </c>
      <c r="E4983" s="188"/>
      <c r="F4983" s="188">
        <v>180000</v>
      </c>
      <c r="G4983" s="188"/>
      <c r="H4983" s="188"/>
      <c r="I4983" s="188" t="s">
        <v>1999</v>
      </c>
      <c r="J4983" s="187" t="s">
        <v>5034</v>
      </c>
      <c r="K4983" s="186"/>
    </row>
    <row r="4984" spans="1:11" x14ac:dyDescent="0.2">
      <c r="A4984" s="8">
        <v>28322.333333333299</v>
      </c>
      <c r="B4984" s="8">
        <f t="shared" si="168"/>
        <v>2026</v>
      </c>
      <c r="C4984" s="8">
        <f t="shared" si="169"/>
        <v>1</v>
      </c>
      <c r="D4984" s="204">
        <v>46040</v>
      </c>
      <c r="E4984" s="188"/>
      <c r="F4984" s="188">
        <v>240000</v>
      </c>
      <c r="G4984" s="188"/>
      <c r="H4984" s="188"/>
      <c r="I4984" s="188" t="s">
        <v>1999</v>
      </c>
      <c r="J4984" s="187" t="s">
        <v>5035</v>
      </c>
      <c r="K4984" s="186"/>
    </row>
    <row r="4985" spans="1:11" x14ac:dyDescent="0.2">
      <c r="A4985" s="8">
        <v>28392.833333333299</v>
      </c>
      <c r="B4985" s="8">
        <f t="shared" si="168"/>
        <v>2026</v>
      </c>
      <c r="C4985" s="8">
        <f t="shared" si="169"/>
        <v>1</v>
      </c>
      <c r="D4985" s="204">
        <v>46041</v>
      </c>
      <c r="E4985" s="188"/>
      <c r="F4985" s="188">
        <v>607000</v>
      </c>
      <c r="G4985" s="188"/>
      <c r="H4985" s="188"/>
      <c r="I4985" s="188" t="s">
        <v>1992</v>
      </c>
      <c r="J4985" s="187" t="s">
        <v>5036</v>
      </c>
      <c r="K4985" s="186"/>
    </row>
    <row r="4986" spans="1:11" x14ac:dyDescent="0.2">
      <c r="A4986" s="8">
        <v>28463.333333333299</v>
      </c>
      <c r="B4986" s="8">
        <f t="shared" si="168"/>
        <v>2026</v>
      </c>
      <c r="C4986" s="8">
        <f t="shared" si="169"/>
        <v>1</v>
      </c>
      <c r="D4986" s="204">
        <v>46042</v>
      </c>
      <c r="E4986" s="188"/>
      <c r="F4986" s="188">
        <v>50000</v>
      </c>
      <c r="G4986" s="188"/>
      <c r="H4986" s="188"/>
      <c r="I4986" s="188" t="s">
        <v>85</v>
      </c>
      <c r="J4986" s="187" t="s">
        <v>4178</v>
      </c>
      <c r="K4986" s="186"/>
    </row>
    <row r="4987" spans="1:11" x14ac:dyDescent="0.2">
      <c r="A4987" s="8">
        <v>28533.833333333299</v>
      </c>
      <c r="B4987" s="8">
        <f t="shared" si="168"/>
        <v>2026</v>
      </c>
      <c r="C4987" s="8">
        <f t="shared" si="169"/>
        <v>1</v>
      </c>
      <c r="D4987" s="204">
        <v>46043</v>
      </c>
      <c r="E4987" s="188"/>
      <c r="F4987" s="188">
        <v>24000</v>
      </c>
      <c r="G4987" s="188"/>
      <c r="H4987" s="188"/>
      <c r="I4987" s="188" t="s">
        <v>149</v>
      </c>
      <c r="J4987" s="187" t="s">
        <v>5037</v>
      </c>
      <c r="K4987" s="186"/>
    </row>
    <row r="4988" spans="1:11" x14ac:dyDescent="0.2">
      <c r="A4988" s="8">
        <v>28604.333333333299</v>
      </c>
      <c r="B4988" s="8">
        <f t="shared" si="168"/>
        <v>2026</v>
      </c>
      <c r="C4988" s="8">
        <f t="shared" si="169"/>
        <v>1</v>
      </c>
      <c r="D4988" s="204">
        <v>46043</v>
      </c>
      <c r="E4988" s="188"/>
      <c r="F4988" s="188">
        <v>30000</v>
      </c>
      <c r="G4988" s="188"/>
      <c r="H4988" s="188"/>
      <c r="I4988" s="188" t="s">
        <v>85</v>
      </c>
      <c r="J4988" s="187" t="s">
        <v>4183</v>
      </c>
      <c r="K4988" s="186"/>
    </row>
    <row r="4989" spans="1:11" x14ac:dyDescent="0.2">
      <c r="A4989" s="8">
        <v>28674.833333333299</v>
      </c>
      <c r="B4989" s="8">
        <f t="shared" si="168"/>
        <v>2026</v>
      </c>
      <c r="C4989" s="8">
        <f t="shared" si="169"/>
        <v>1</v>
      </c>
      <c r="D4989" s="204">
        <v>46043</v>
      </c>
      <c r="E4989" s="188"/>
      <c r="G4989" s="188">
        <v>500000</v>
      </c>
      <c r="H4989" s="188"/>
      <c r="I4989" s="188"/>
      <c r="J4989" s="187" t="s">
        <v>5031</v>
      </c>
      <c r="K4989" s="186"/>
    </row>
    <row r="4990" spans="1:11" x14ac:dyDescent="0.2">
      <c r="A4990" s="8">
        <v>28745.333333333299</v>
      </c>
      <c r="B4990" s="8">
        <f t="shared" si="168"/>
        <v>2026</v>
      </c>
      <c r="C4990" s="8">
        <f t="shared" si="169"/>
        <v>1</v>
      </c>
      <c r="D4990" s="204">
        <v>46043</v>
      </c>
      <c r="E4990" s="188">
        <v>1500000</v>
      </c>
      <c r="F4990" s="188"/>
      <c r="G4990" s="188"/>
      <c r="H4990" s="188"/>
      <c r="I4990" s="188" t="s">
        <v>109</v>
      </c>
      <c r="J4990" s="187" t="s">
        <v>5038</v>
      </c>
      <c r="K4990" s="186"/>
    </row>
    <row r="4991" spans="1:11" x14ac:dyDescent="0.2">
      <c r="A4991" s="8">
        <v>28815.833333333299</v>
      </c>
      <c r="B4991" s="8">
        <f t="shared" si="168"/>
        <v>2026</v>
      </c>
      <c r="C4991" s="8">
        <f t="shared" si="169"/>
        <v>1</v>
      </c>
      <c r="D4991" s="204">
        <v>46044</v>
      </c>
      <c r="E4991" s="188"/>
      <c r="F4991" s="188">
        <v>100000</v>
      </c>
      <c r="G4991" s="188"/>
      <c r="H4991" s="188"/>
      <c r="I4991" s="188" t="s">
        <v>85</v>
      </c>
      <c r="J4991" s="187" t="s">
        <v>287</v>
      </c>
      <c r="K4991" s="186"/>
    </row>
    <row r="4992" spans="1:11" x14ac:dyDescent="0.2">
      <c r="A4992" s="8">
        <v>28886.333333333299</v>
      </c>
      <c r="B4992" s="8">
        <f t="shared" si="168"/>
        <v>2026</v>
      </c>
      <c r="C4992" s="8">
        <f t="shared" si="169"/>
        <v>1</v>
      </c>
      <c r="D4992" s="204">
        <v>46045</v>
      </c>
      <c r="E4992" s="188"/>
      <c r="G4992" s="188">
        <v>900000</v>
      </c>
      <c r="H4992" s="188"/>
      <c r="I4992" s="188"/>
      <c r="J4992" s="187" t="s">
        <v>5039</v>
      </c>
      <c r="K4992" s="186"/>
    </row>
    <row r="4993" spans="1:11" x14ac:dyDescent="0.2">
      <c r="A4993" s="8">
        <v>28956.833333333299</v>
      </c>
      <c r="B4993" s="8">
        <f t="shared" si="168"/>
        <v>2026</v>
      </c>
      <c r="C4993" s="8">
        <f t="shared" si="169"/>
        <v>1</v>
      </c>
      <c r="D4993" s="204">
        <v>46046</v>
      </c>
      <c r="E4993" s="188"/>
      <c r="F4993" s="188">
        <v>185000</v>
      </c>
      <c r="G4993" s="188"/>
      <c r="H4993" s="188"/>
      <c r="I4993" s="188" t="s">
        <v>2807</v>
      </c>
      <c r="J4993" s="187" t="s">
        <v>5040</v>
      </c>
      <c r="K4993" s="186"/>
    </row>
    <row r="4994" spans="1:11" x14ac:dyDescent="0.2">
      <c r="A4994" s="8">
        <v>29027.333333333299</v>
      </c>
      <c r="B4994" s="8">
        <f t="shared" si="168"/>
        <v>2026</v>
      </c>
      <c r="C4994" s="8">
        <f t="shared" si="169"/>
        <v>1</v>
      </c>
      <c r="D4994" s="204">
        <v>46046</v>
      </c>
      <c r="E4994" s="188"/>
      <c r="F4994" s="188">
        <v>830000</v>
      </c>
      <c r="G4994" s="188"/>
      <c r="H4994" s="188"/>
      <c r="I4994" s="188" t="s">
        <v>335</v>
      </c>
      <c r="J4994" s="187" t="s">
        <v>5041</v>
      </c>
      <c r="K4994" s="186"/>
    </row>
    <row r="4995" spans="1:11" x14ac:dyDescent="0.2">
      <c r="A4995" s="8">
        <v>29097.833333333299</v>
      </c>
      <c r="B4995" s="8">
        <f t="shared" si="168"/>
        <v>2026</v>
      </c>
      <c r="C4995" s="8">
        <f t="shared" si="169"/>
        <v>1</v>
      </c>
      <c r="D4995" s="204">
        <v>46047</v>
      </c>
      <c r="E4995" s="188"/>
      <c r="F4995" s="188">
        <v>20000</v>
      </c>
      <c r="G4995" s="188"/>
      <c r="H4995" s="188"/>
      <c r="I4995" s="188" t="s">
        <v>85</v>
      </c>
      <c r="J4995" s="187" t="s">
        <v>5042</v>
      </c>
      <c r="K4995" s="186"/>
    </row>
    <row r="4996" spans="1:11" x14ac:dyDescent="0.2">
      <c r="A4996" s="8">
        <v>29168.333333333299</v>
      </c>
      <c r="B4996" s="8">
        <f t="shared" si="168"/>
        <v>2026</v>
      </c>
      <c r="C4996" s="8">
        <f t="shared" si="169"/>
        <v>1</v>
      </c>
      <c r="D4996" s="204">
        <v>46047</v>
      </c>
      <c r="E4996" s="188"/>
      <c r="F4996" s="188">
        <v>20000</v>
      </c>
      <c r="G4996" s="188"/>
      <c r="H4996" s="188"/>
      <c r="I4996" s="188" t="s">
        <v>1350</v>
      </c>
      <c r="J4996" s="187" t="s">
        <v>5043</v>
      </c>
      <c r="K4996" s="186"/>
    </row>
    <row r="4997" spans="1:11" x14ac:dyDescent="0.2">
      <c r="A4997" s="8">
        <v>29238.833333333299</v>
      </c>
      <c r="B4997" s="8">
        <f t="shared" si="168"/>
        <v>2026</v>
      </c>
      <c r="C4997" s="8">
        <f t="shared" si="169"/>
        <v>1</v>
      </c>
      <c r="D4997" s="204">
        <v>46047</v>
      </c>
      <c r="E4997" s="188"/>
      <c r="F4997" s="188">
        <v>250000</v>
      </c>
      <c r="G4997" s="188"/>
      <c r="H4997" s="188"/>
      <c r="I4997" s="188" t="s">
        <v>1350</v>
      </c>
      <c r="J4997" s="187" t="s">
        <v>5044</v>
      </c>
      <c r="K4997" s="186"/>
    </row>
    <row r="4998" spans="1:11" x14ac:dyDescent="0.2">
      <c r="A4998" s="8">
        <v>29309.333333333299</v>
      </c>
      <c r="B4998" s="8">
        <f t="shared" si="168"/>
        <v>2026</v>
      </c>
      <c r="C4998" s="8">
        <f t="shared" si="169"/>
        <v>1</v>
      </c>
      <c r="D4998" s="204">
        <v>46047</v>
      </c>
      <c r="E4998" s="188"/>
      <c r="F4998" s="188">
        <v>26000</v>
      </c>
      <c r="G4998" s="188"/>
      <c r="H4998" s="188"/>
      <c r="I4998" s="188" t="s">
        <v>91</v>
      </c>
      <c r="J4998" s="187" t="s">
        <v>2692</v>
      </c>
      <c r="K4998" s="186"/>
    </row>
    <row r="4999" spans="1:11" x14ac:dyDescent="0.2">
      <c r="A4999" s="8">
        <v>29379.833333333299</v>
      </c>
      <c r="B4999" s="8">
        <f t="shared" si="168"/>
        <v>2026</v>
      </c>
      <c r="C4999" s="8">
        <f t="shared" si="169"/>
        <v>1</v>
      </c>
      <c r="D4999" s="204">
        <v>46047</v>
      </c>
      <c r="E4999" s="188"/>
      <c r="F4999" s="188">
        <v>30000</v>
      </c>
      <c r="G4999" s="188"/>
      <c r="H4999" s="188"/>
      <c r="I4999" s="188" t="s">
        <v>91</v>
      </c>
      <c r="J4999" s="187" t="s">
        <v>5012</v>
      </c>
      <c r="K4999" s="186"/>
    </row>
    <row r="5000" spans="1:11" x14ac:dyDescent="0.2">
      <c r="A5000" s="8">
        <v>29450.333333333299</v>
      </c>
      <c r="B5000" s="8">
        <f t="shared" si="168"/>
        <v>2026</v>
      </c>
      <c r="C5000" s="8">
        <f t="shared" si="169"/>
        <v>1</v>
      </c>
      <c r="D5000" s="204">
        <v>46047</v>
      </c>
      <c r="E5000" s="188"/>
      <c r="F5000" s="188">
        <v>45000</v>
      </c>
      <c r="G5000" s="188"/>
      <c r="H5000" s="188"/>
      <c r="I5000" s="188" t="s">
        <v>1815</v>
      </c>
      <c r="J5000" s="187" t="s">
        <v>5045</v>
      </c>
      <c r="K5000" s="186"/>
    </row>
    <row r="5001" spans="1:11" x14ac:dyDescent="0.2">
      <c r="A5001" s="8">
        <v>29520.833333333299</v>
      </c>
      <c r="B5001" s="8">
        <f t="shared" si="168"/>
        <v>2026</v>
      </c>
      <c r="C5001" s="8">
        <f t="shared" si="169"/>
        <v>1</v>
      </c>
      <c r="D5001" s="204">
        <v>46048</v>
      </c>
      <c r="E5001" s="188"/>
      <c r="F5001" s="188">
        <v>20000</v>
      </c>
      <c r="G5001" s="188"/>
      <c r="H5001" s="188"/>
      <c r="I5001" s="188" t="s">
        <v>91</v>
      </c>
      <c r="J5001" s="187" t="s">
        <v>4202</v>
      </c>
      <c r="K5001" s="186"/>
    </row>
    <row r="5002" spans="1:11" x14ac:dyDescent="0.2">
      <c r="A5002" s="8">
        <v>29591.333333333299</v>
      </c>
      <c r="B5002" s="8">
        <f t="shared" si="168"/>
        <v>2026</v>
      </c>
      <c r="C5002" s="8">
        <f t="shared" si="169"/>
        <v>1</v>
      </c>
      <c r="D5002" s="204">
        <v>46048</v>
      </c>
      <c r="E5002" s="188"/>
      <c r="F5002" s="188">
        <v>200000</v>
      </c>
      <c r="G5002" s="188"/>
      <c r="H5002" s="188"/>
      <c r="I5002" s="188" t="s">
        <v>1992</v>
      </c>
      <c r="J5002" s="187" t="s">
        <v>5046</v>
      </c>
      <c r="K5002" s="186"/>
    </row>
    <row r="5003" spans="1:11" x14ac:dyDescent="0.2">
      <c r="A5003" s="8">
        <v>29661.833333333299</v>
      </c>
      <c r="B5003" s="8">
        <f t="shared" si="168"/>
        <v>2026</v>
      </c>
      <c r="C5003" s="8">
        <f t="shared" si="169"/>
        <v>1</v>
      </c>
      <c r="D5003" s="204">
        <v>46049</v>
      </c>
      <c r="E5003" s="188"/>
      <c r="F5003" s="188">
        <v>175000</v>
      </c>
      <c r="G5003" s="188"/>
      <c r="H5003" s="188"/>
      <c r="I5003" s="188"/>
      <c r="J5003" s="187" t="s">
        <v>5047</v>
      </c>
      <c r="K5003" s="186"/>
    </row>
    <row r="5004" spans="1:11" x14ac:dyDescent="0.2">
      <c r="A5004" s="8">
        <v>29732.333333333299</v>
      </c>
      <c r="B5004" s="8">
        <f t="shared" si="168"/>
        <v>2026</v>
      </c>
      <c r="C5004" s="8">
        <f t="shared" si="169"/>
        <v>1</v>
      </c>
      <c r="D5004" s="204">
        <v>46049</v>
      </c>
      <c r="E5004" s="188"/>
      <c r="F5004" s="188">
        <v>20000</v>
      </c>
      <c r="G5004" s="188"/>
      <c r="H5004" s="188"/>
      <c r="I5004" s="188" t="s">
        <v>85</v>
      </c>
      <c r="J5004" s="187" t="s">
        <v>5024</v>
      </c>
      <c r="K5004" s="186"/>
    </row>
    <row r="5005" spans="1:11" x14ac:dyDescent="0.2">
      <c r="A5005" s="8">
        <v>29802.833333333299</v>
      </c>
      <c r="B5005" s="8">
        <f t="shared" si="168"/>
        <v>2026</v>
      </c>
      <c r="C5005" s="8">
        <f t="shared" si="169"/>
        <v>1</v>
      </c>
      <c r="D5005" s="204">
        <v>46049</v>
      </c>
      <c r="E5005" s="188"/>
      <c r="F5005" s="188">
        <v>390000</v>
      </c>
      <c r="G5005" s="188"/>
      <c r="H5005" s="188"/>
      <c r="I5005" s="188"/>
      <c r="J5005" s="187" t="s">
        <v>5048</v>
      </c>
      <c r="K5005" s="186"/>
    </row>
    <row r="5006" spans="1:11" x14ac:dyDescent="0.2">
      <c r="A5006" s="8">
        <v>29873.333333333299</v>
      </c>
      <c r="B5006" s="8">
        <f t="shared" si="168"/>
        <v>2026</v>
      </c>
      <c r="C5006" s="8">
        <f t="shared" si="169"/>
        <v>1</v>
      </c>
      <c r="D5006" s="204">
        <v>46049</v>
      </c>
      <c r="E5006" s="188"/>
      <c r="F5006" s="188">
        <v>60000</v>
      </c>
      <c r="G5006" s="188"/>
      <c r="H5006" s="188"/>
      <c r="I5006" s="188" t="s">
        <v>91</v>
      </c>
      <c r="J5006" s="187" t="s">
        <v>5049</v>
      </c>
      <c r="K5006" s="186"/>
    </row>
    <row r="5007" spans="1:11" x14ac:dyDescent="0.2">
      <c r="A5007" s="8">
        <v>29943.833333333299</v>
      </c>
      <c r="B5007" s="8">
        <f t="shared" si="168"/>
        <v>2026</v>
      </c>
      <c r="C5007" s="8">
        <f t="shared" si="169"/>
        <v>1</v>
      </c>
      <c r="D5007" s="204">
        <v>46050</v>
      </c>
      <c r="E5007" s="188"/>
      <c r="F5007" s="188">
        <v>45000</v>
      </c>
      <c r="G5007" s="188"/>
      <c r="H5007" s="188"/>
      <c r="I5007" s="188" t="s">
        <v>1992</v>
      </c>
      <c r="J5007" s="187" t="s">
        <v>5050</v>
      </c>
      <c r="K5007" s="186"/>
    </row>
    <row r="5008" spans="1:11" x14ac:dyDescent="0.2">
      <c r="A5008" s="8">
        <v>30014.333333333299</v>
      </c>
      <c r="B5008" s="8">
        <f t="shared" si="168"/>
        <v>2026</v>
      </c>
      <c r="C5008" s="8">
        <f t="shared" si="169"/>
        <v>1</v>
      </c>
      <c r="D5008" s="204">
        <v>46050</v>
      </c>
      <c r="E5008" s="188"/>
      <c r="F5008" s="188">
        <v>728000</v>
      </c>
      <c r="G5008" s="188"/>
      <c r="H5008" s="188"/>
      <c r="I5008" s="188" t="s">
        <v>1350</v>
      </c>
      <c r="J5008" s="187" t="s">
        <v>5051</v>
      </c>
      <c r="K5008" s="186"/>
    </row>
    <row r="5009" spans="1:11" x14ac:dyDescent="0.2">
      <c r="A5009" s="8">
        <v>30084.833333333299</v>
      </c>
      <c r="B5009" s="8">
        <f t="shared" si="168"/>
        <v>2026</v>
      </c>
      <c r="C5009" s="8">
        <f t="shared" si="169"/>
        <v>1</v>
      </c>
      <c r="D5009" s="204">
        <v>46050</v>
      </c>
      <c r="E5009" s="188"/>
      <c r="F5009" s="188">
        <v>8000</v>
      </c>
      <c r="G5009" s="188"/>
      <c r="H5009" s="188"/>
      <c r="I5009" s="188" t="s">
        <v>85</v>
      </c>
      <c r="J5009" s="187" t="s">
        <v>5052</v>
      </c>
      <c r="K5009" s="186"/>
    </row>
    <row r="5010" spans="1:11" x14ac:dyDescent="0.2">
      <c r="A5010" s="8">
        <v>30225.833333333299</v>
      </c>
      <c r="B5010" s="8">
        <f t="shared" si="168"/>
        <v>2026</v>
      </c>
      <c r="C5010" s="8">
        <f t="shared" si="169"/>
        <v>1</v>
      </c>
      <c r="D5010" s="204">
        <v>46052</v>
      </c>
      <c r="E5010" s="188"/>
      <c r="F5010" s="188">
        <v>200000</v>
      </c>
      <c r="G5010" s="188"/>
      <c r="H5010" s="188"/>
      <c r="I5010" s="188" t="s">
        <v>299</v>
      </c>
      <c r="J5010" s="187" t="s">
        <v>5054</v>
      </c>
      <c r="K5010" s="186"/>
    </row>
    <row r="5011" spans="1:11" x14ac:dyDescent="0.2">
      <c r="A5011" s="8">
        <v>30296.333333333299</v>
      </c>
      <c r="B5011" s="8">
        <f t="shared" si="168"/>
        <v>2026</v>
      </c>
      <c r="C5011" s="8">
        <f t="shared" si="169"/>
        <v>1</v>
      </c>
      <c r="D5011" s="204">
        <v>46053</v>
      </c>
      <c r="E5011" s="188"/>
      <c r="F5011" s="188">
        <v>20000</v>
      </c>
      <c r="G5011" s="188"/>
      <c r="H5011" s="188"/>
      <c r="I5011" s="188" t="s">
        <v>85</v>
      </c>
      <c r="J5011" s="187" t="s">
        <v>5024</v>
      </c>
      <c r="K5011" s="186"/>
    </row>
    <row r="5012" spans="1:11" x14ac:dyDescent="0.2">
      <c r="A5012" s="8">
        <v>30366.833333333299</v>
      </c>
      <c r="B5012" s="8">
        <f t="shared" ref="B5012:B5071" si="170">YEAR(D5012)</f>
        <v>2026</v>
      </c>
      <c r="C5012" s="8">
        <f t="shared" ref="C5012:C5071" si="171">MONTH(D5012)</f>
        <v>1</v>
      </c>
      <c r="D5012" s="204">
        <v>46053</v>
      </c>
      <c r="E5012" s="188"/>
      <c r="G5012" s="188">
        <v>500000</v>
      </c>
      <c r="H5012" s="188"/>
      <c r="I5012" s="188"/>
      <c r="J5012" s="187" t="s">
        <v>5055</v>
      </c>
      <c r="K5012" s="186"/>
    </row>
    <row r="5013" spans="1:11" x14ac:dyDescent="0.2">
      <c r="A5013" s="8">
        <v>30437.333333333299</v>
      </c>
      <c r="B5013" s="8">
        <f t="shared" si="170"/>
        <v>2026</v>
      </c>
      <c r="C5013" s="8">
        <f t="shared" si="171"/>
        <v>2</v>
      </c>
      <c r="D5013" s="204">
        <v>46054</v>
      </c>
      <c r="E5013" s="188"/>
      <c r="F5013" s="188">
        <v>100000</v>
      </c>
      <c r="G5013" s="188"/>
      <c r="H5013" s="188"/>
      <c r="I5013" s="188" t="s">
        <v>91</v>
      </c>
      <c r="J5013" s="187" t="s">
        <v>5056</v>
      </c>
      <c r="K5013" s="186"/>
    </row>
    <row r="5014" spans="1:11" x14ac:dyDescent="0.2">
      <c r="A5014" s="8">
        <v>30507.833333333299</v>
      </c>
      <c r="B5014" s="8">
        <f t="shared" si="170"/>
        <v>2026</v>
      </c>
      <c r="C5014" s="8">
        <f t="shared" si="171"/>
        <v>2</v>
      </c>
      <c r="D5014" s="204">
        <v>46054</v>
      </c>
      <c r="E5014" s="188"/>
      <c r="F5014" s="188">
        <v>150000</v>
      </c>
      <c r="G5014" s="188"/>
      <c r="H5014" s="188"/>
      <c r="I5014" s="188" t="s">
        <v>2807</v>
      </c>
      <c r="J5014" s="187" t="s">
        <v>5057</v>
      </c>
      <c r="K5014" s="186"/>
    </row>
    <row r="5015" spans="1:11" x14ac:dyDescent="0.2">
      <c r="A5015" s="8">
        <v>30578.333333333299</v>
      </c>
      <c r="B5015" s="8">
        <f t="shared" si="170"/>
        <v>2026</v>
      </c>
      <c r="C5015" s="8">
        <f t="shared" si="171"/>
        <v>2</v>
      </c>
      <c r="D5015" s="204">
        <v>46054</v>
      </c>
      <c r="E5015" s="188"/>
      <c r="F5015" s="188">
        <v>50000</v>
      </c>
      <c r="G5015" s="188"/>
      <c r="H5015" s="188"/>
      <c r="I5015" s="188" t="s">
        <v>91</v>
      </c>
      <c r="J5015" s="187" t="s">
        <v>5058</v>
      </c>
      <c r="K5015" s="186"/>
    </row>
    <row r="5016" spans="1:11" x14ac:dyDescent="0.2">
      <c r="A5016" s="8">
        <v>30648.833333333299</v>
      </c>
      <c r="B5016" s="8">
        <f t="shared" si="170"/>
        <v>2026</v>
      </c>
      <c r="C5016" s="8">
        <f t="shared" si="171"/>
        <v>2</v>
      </c>
      <c r="D5016" s="204">
        <v>46054</v>
      </c>
      <c r="E5016" s="188"/>
      <c r="F5016" s="188">
        <v>70000</v>
      </c>
      <c r="G5016" s="188"/>
      <c r="H5016" s="188"/>
      <c r="I5016" s="188" t="s">
        <v>91</v>
      </c>
      <c r="J5016" s="187" t="s">
        <v>5059</v>
      </c>
      <c r="K5016" s="186"/>
    </row>
    <row r="5017" spans="1:11" x14ac:dyDescent="0.2">
      <c r="A5017" s="8">
        <v>30719.333333333299</v>
      </c>
      <c r="B5017" s="8">
        <f t="shared" si="170"/>
        <v>2026</v>
      </c>
      <c r="C5017" s="8">
        <f t="shared" si="171"/>
        <v>2</v>
      </c>
      <c r="D5017" s="204">
        <v>46055</v>
      </c>
      <c r="E5017" s="188"/>
      <c r="F5017" s="188">
        <v>480000</v>
      </c>
      <c r="G5017" s="188"/>
      <c r="H5017" s="188"/>
      <c r="I5017" s="188" t="s">
        <v>1350</v>
      </c>
      <c r="J5017" s="187" t="s">
        <v>5060</v>
      </c>
      <c r="K5017" s="186"/>
    </row>
    <row r="5018" spans="1:11" x14ac:dyDescent="0.2">
      <c r="A5018" s="8">
        <v>30789.833333333299</v>
      </c>
      <c r="B5018" s="8">
        <f t="shared" si="170"/>
        <v>2026</v>
      </c>
      <c r="C5018" s="8">
        <f t="shared" si="171"/>
        <v>2</v>
      </c>
      <c r="D5018" s="204">
        <v>46056</v>
      </c>
      <c r="E5018" s="188"/>
      <c r="F5018" s="188">
        <v>100000</v>
      </c>
      <c r="G5018" s="188"/>
      <c r="H5018" s="188"/>
      <c r="I5018" s="188" t="s">
        <v>85</v>
      </c>
      <c r="J5018" s="187" t="s">
        <v>287</v>
      </c>
      <c r="K5018" s="186"/>
    </row>
    <row r="5019" spans="1:11" x14ac:dyDescent="0.2">
      <c r="A5019" s="8">
        <v>30930.833333333299</v>
      </c>
      <c r="B5019" s="8">
        <f t="shared" si="170"/>
        <v>2026</v>
      </c>
      <c r="C5019" s="8">
        <f t="shared" si="171"/>
        <v>2</v>
      </c>
      <c r="D5019" s="204">
        <v>46058</v>
      </c>
      <c r="E5019" s="188"/>
      <c r="F5019" s="188">
        <v>100000</v>
      </c>
      <c r="G5019" s="188"/>
      <c r="H5019" s="188"/>
      <c r="I5019" s="188" t="s">
        <v>85</v>
      </c>
      <c r="J5019" s="187" t="s">
        <v>287</v>
      </c>
      <c r="K5019" s="186"/>
    </row>
    <row r="5020" spans="1:11" x14ac:dyDescent="0.2">
      <c r="A5020" s="8">
        <v>31001.333333333299</v>
      </c>
      <c r="B5020" s="8">
        <f t="shared" si="170"/>
        <v>2026</v>
      </c>
      <c r="C5020" s="8">
        <f t="shared" si="171"/>
        <v>2</v>
      </c>
      <c r="D5020" s="204">
        <v>46059</v>
      </c>
      <c r="E5020" s="188"/>
      <c r="G5020" s="188">
        <v>150000</v>
      </c>
      <c r="H5020" s="188"/>
      <c r="I5020" s="188"/>
      <c r="J5020" s="187" t="s">
        <v>5061</v>
      </c>
      <c r="K5020" s="186"/>
    </row>
    <row r="5021" spans="1:11" x14ac:dyDescent="0.2">
      <c r="A5021" s="8">
        <v>31142.333333333299</v>
      </c>
      <c r="B5021" s="8">
        <f t="shared" si="170"/>
        <v>2026</v>
      </c>
      <c r="C5021" s="8">
        <f t="shared" si="171"/>
        <v>2</v>
      </c>
      <c r="D5021" s="204">
        <v>46059</v>
      </c>
      <c r="E5021" s="188"/>
      <c r="G5021" s="188">
        <v>350000</v>
      </c>
      <c r="H5021" s="188"/>
      <c r="I5021" s="188"/>
      <c r="J5021" s="187" t="s">
        <v>5063</v>
      </c>
      <c r="K5021" s="186"/>
    </row>
    <row r="5022" spans="1:11" x14ac:dyDescent="0.2">
      <c r="A5022" s="8">
        <v>31283.333333333299</v>
      </c>
      <c r="B5022" s="8">
        <f t="shared" si="170"/>
        <v>2026</v>
      </c>
      <c r="C5022" s="8">
        <f t="shared" si="171"/>
        <v>2</v>
      </c>
      <c r="D5022" s="204">
        <v>46060</v>
      </c>
      <c r="E5022" s="188"/>
      <c r="F5022" s="188">
        <v>25000</v>
      </c>
      <c r="G5022" s="188"/>
      <c r="H5022" s="188"/>
      <c r="I5022" s="188" t="s">
        <v>149</v>
      </c>
      <c r="J5022" s="187" t="s">
        <v>5064</v>
      </c>
      <c r="K5022" s="186"/>
    </row>
    <row r="5023" spans="1:11" x14ac:dyDescent="0.2">
      <c r="A5023" s="8">
        <v>31353.833333333299</v>
      </c>
      <c r="B5023" s="8">
        <f t="shared" si="170"/>
        <v>2026</v>
      </c>
      <c r="C5023" s="8">
        <f t="shared" si="171"/>
        <v>2</v>
      </c>
      <c r="D5023" s="204">
        <v>46060</v>
      </c>
      <c r="E5023" s="188"/>
      <c r="F5023" s="188">
        <v>40000</v>
      </c>
      <c r="G5023" s="188"/>
      <c r="H5023" s="188"/>
      <c r="I5023" s="188" t="s">
        <v>91</v>
      </c>
      <c r="J5023" s="187" t="s">
        <v>5065</v>
      </c>
      <c r="K5023" s="186"/>
    </row>
    <row r="5024" spans="1:11" x14ac:dyDescent="0.2">
      <c r="A5024" s="8">
        <v>31424.333333333299</v>
      </c>
      <c r="B5024" s="8">
        <f t="shared" si="170"/>
        <v>2026</v>
      </c>
      <c r="C5024" s="8">
        <f t="shared" si="171"/>
        <v>2</v>
      </c>
      <c r="D5024" s="204">
        <v>46061</v>
      </c>
      <c r="E5024" s="188"/>
      <c r="F5024" s="188">
        <v>120000</v>
      </c>
      <c r="G5024" s="188"/>
      <c r="H5024" s="188"/>
      <c r="I5024" s="188" t="s">
        <v>91</v>
      </c>
      <c r="J5024" s="187" t="s">
        <v>5066</v>
      </c>
      <c r="K5024" s="186"/>
    </row>
    <row r="5025" spans="1:11" x14ac:dyDescent="0.2">
      <c r="A5025" s="8">
        <v>31494.833333333299</v>
      </c>
      <c r="B5025" s="8">
        <f t="shared" si="170"/>
        <v>2026</v>
      </c>
      <c r="C5025" s="8">
        <f t="shared" si="171"/>
        <v>2</v>
      </c>
      <c r="D5025" s="204">
        <v>46061</v>
      </c>
      <c r="E5025" s="188"/>
      <c r="F5025" s="188">
        <v>205000</v>
      </c>
      <c r="G5025" s="188"/>
      <c r="H5025" s="188"/>
      <c r="I5025" s="188" t="s">
        <v>1815</v>
      </c>
      <c r="J5025" s="187" t="s">
        <v>5067</v>
      </c>
      <c r="K5025" s="186"/>
    </row>
    <row r="5026" spans="1:11" x14ac:dyDescent="0.2">
      <c r="A5026" s="8">
        <v>31565.333333333299</v>
      </c>
      <c r="B5026" s="8">
        <f t="shared" si="170"/>
        <v>2026</v>
      </c>
      <c r="C5026" s="8">
        <f t="shared" si="171"/>
        <v>2</v>
      </c>
      <c r="D5026" s="204">
        <v>46062</v>
      </c>
      <c r="E5026" s="188"/>
      <c r="F5026" s="188">
        <v>100000</v>
      </c>
      <c r="G5026" s="188"/>
      <c r="H5026" s="188"/>
      <c r="I5026" s="188" t="s">
        <v>85</v>
      </c>
      <c r="J5026" s="187" t="s">
        <v>287</v>
      </c>
      <c r="K5026" s="186"/>
    </row>
    <row r="5027" spans="1:11" x14ac:dyDescent="0.2">
      <c r="A5027" s="8">
        <v>31635.833333333299</v>
      </c>
      <c r="B5027" s="8">
        <f t="shared" si="170"/>
        <v>2026</v>
      </c>
      <c r="C5027" s="8">
        <f t="shared" si="171"/>
        <v>2</v>
      </c>
      <c r="D5027" s="204">
        <v>46063</v>
      </c>
      <c r="E5027" s="188"/>
      <c r="F5027" s="188">
        <v>100000</v>
      </c>
      <c r="G5027" s="188"/>
      <c r="H5027" s="188"/>
      <c r="I5027" s="188" t="s">
        <v>85</v>
      </c>
      <c r="J5027" s="187" t="s">
        <v>287</v>
      </c>
      <c r="K5027" s="186"/>
    </row>
    <row r="5028" spans="1:11" x14ac:dyDescent="0.2">
      <c r="A5028" s="8">
        <v>31706.333333333299</v>
      </c>
      <c r="B5028" s="8">
        <f t="shared" si="170"/>
        <v>2026</v>
      </c>
      <c r="C5028" s="8">
        <f t="shared" si="171"/>
        <v>2</v>
      </c>
      <c r="D5028" s="204">
        <v>46064</v>
      </c>
      <c r="E5028" s="188"/>
      <c r="F5028" s="188">
        <v>100000</v>
      </c>
      <c r="G5028" s="188"/>
      <c r="H5028" s="188"/>
      <c r="I5028" s="188" t="s">
        <v>85</v>
      </c>
      <c r="J5028" s="187" t="s">
        <v>287</v>
      </c>
      <c r="K5028" s="186"/>
    </row>
    <row r="5029" spans="1:11" x14ac:dyDescent="0.2">
      <c r="A5029" s="8">
        <v>31776.833333333299</v>
      </c>
      <c r="B5029" s="8">
        <f t="shared" si="170"/>
        <v>2026</v>
      </c>
      <c r="C5029" s="8">
        <f t="shared" si="171"/>
        <v>2</v>
      </c>
      <c r="D5029" s="204">
        <v>46065</v>
      </c>
      <c r="E5029" s="188"/>
      <c r="F5029" s="188">
        <v>100000</v>
      </c>
      <c r="G5029" s="188"/>
      <c r="H5029" s="188"/>
      <c r="I5029" s="188" t="s">
        <v>85</v>
      </c>
      <c r="J5029" s="187" t="s">
        <v>287</v>
      </c>
      <c r="K5029" s="186"/>
    </row>
    <row r="5030" spans="1:11" x14ac:dyDescent="0.2">
      <c r="A5030" s="8">
        <v>31847.333333333299</v>
      </c>
      <c r="B5030" s="8">
        <f t="shared" si="170"/>
        <v>2026</v>
      </c>
      <c r="C5030" s="8">
        <f t="shared" si="171"/>
        <v>2</v>
      </c>
      <c r="D5030" s="204">
        <v>46066</v>
      </c>
      <c r="E5030" s="188"/>
      <c r="F5030" s="188">
        <v>100000</v>
      </c>
      <c r="G5030" s="188"/>
      <c r="H5030" s="188"/>
      <c r="I5030" s="188" t="s">
        <v>85</v>
      </c>
      <c r="J5030" s="187" t="s">
        <v>287</v>
      </c>
      <c r="K5030" s="186"/>
    </row>
    <row r="5031" spans="1:11" x14ac:dyDescent="0.2">
      <c r="A5031" s="8">
        <v>31917.833333333299</v>
      </c>
      <c r="B5031" s="8">
        <f t="shared" si="170"/>
        <v>2026</v>
      </c>
      <c r="C5031" s="8">
        <f t="shared" si="171"/>
        <v>2</v>
      </c>
      <c r="D5031" s="204">
        <v>46067</v>
      </c>
      <c r="E5031" s="188"/>
      <c r="G5031" s="188">
        <v>600000</v>
      </c>
      <c r="H5031" s="188"/>
      <c r="I5031" s="188"/>
      <c r="J5031" s="187" t="s">
        <v>5068</v>
      </c>
      <c r="K5031" s="186"/>
    </row>
    <row r="5032" spans="1:11" x14ac:dyDescent="0.2">
      <c r="A5032" s="8">
        <v>31988.333333333299</v>
      </c>
      <c r="B5032" s="8">
        <f t="shared" si="170"/>
        <v>2026</v>
      </c>
      <c r="C5032" s="8">
        <f t="shared" si="171"/>
        <v>2</v>
      </c>
      <c r="D5032" s="204">
        <v>46068</v>
      </c>
      <c r="E5032" s="188"/>
      <c r="F5032" s="188">
        <v>50000</v>
      </c>
      <c r="G5032" s="188"/>
      <c r="H5032" s="188"/>
      <c r="I5032" s="188" t="s">
        <v>91</v>
      </c>
      <c r="J5032" s="187" t="s">
        <v>5069</v>
      </c>
      <c r="K5032" s="186"/>
    </row>
    <row r="5033" spans="1:11" x14ac:dyDescent="0.2">
      <c r="A5033" s="8">
        <v>32058.833333333299</v>
      </c>
      <c r="B5033" s="8">
        <f t="shared" si="170"/>
        <v>2026</v>
      </c>
      <c r="C5033" s="8">
        <f t="shared" si="171"/>
        <v>2</v>
      </c>
      <c r="D5033" s="204">
        <v>46068</v>
      </c>
      <c r="E5033" s="188"/>
      <c r="F5033" s="188">
        <v>80000</v>
      </c>
      <c r="G5033" s="188"/>
      <c r="H5033" s="188"/>
      <c r="I5033" s="188" t="s">
        <v>91</v>
      </c>
      <c r="J5033" s="187" t="s">
        <v>5070</v>
      </c>
      <c r="K5033" s="186"/>
    </row>
    <row r="5034" spans="1:11" x14ac:dyDescent="0.2">
      <c r="A5034" s="8">
        <v>32129.333333333299</v>
      </c>
      <c r="B5034" s="8">
        <f t="shared" si="170"/>
        <v>2026</v>
      </c>
      <c r="C5034" s="8">
        <f t="shared" si="171"/>
        <v>2</v>
      </c>
      <c r="D5034" s="204">
        <v>46069</v>
      </c>
      <c r="E5034" s="188"/>
      <c r="F5034" s="188">
        <v>148000</v>
      </c>
      <c r="G5034" s="188"/>
      <c r="H5034" s="188"/>
      <c r="I5034" s="188" t="s">
        <v>149</v>
      </c>
      <c r="J5034" s="187" t="s">
        <v>5071</v>
      </c>
      <c r="K5034" s="186"/>
    </row>
    <row r="5035" spans="1:11" x14ac:dyDescent="0.2">
      <c r="A5035" s="8">
        <v>32199.833333333299</v>
      </c>
      <c r="B5035" s="8">
        <f t="shared" si="170"/>
        <v>2026</v>
      </c>
      <c r="C5035" s="8">
        <f t="shared" si="171"/>
        <v>2</v>
      </c>
      <c r="D5035" s="204">
        <v>46069</v>
      </c>
      <c r="E5035" s="188"/>
      <c r="F5035" s="188">
        <v>206000</v>
      </c>
      <c r="G5035" s="188"/>
      <c r="H5035" s="188"/>
      <c r="I5035" s="188" t="s">
        <v>299</v>
      </c>
      <c r="J5035" s="187" t="s">
        <v>5072</v>
      </c>
      <c r="K5035" s="186"/>
    </row>
    <row r="5036" spans="1:11" x14ac:dyDescent="0.2">
      <c r="A5036" s="8">
        <v>32270.333333333299</v>
      </c>
      <c r="B5036" s="8">
        <f t="shared" si="170"/>
        <v>2026</v>
      </c>
      <c r="C5036" s="8">
        <f t="shared" si="171"/>
        <v>2</v>
      </c>
      <c r="D5036" s="204">
        <v>46070</v>
      </c>
      <c r="E5036" s="188"/>
      <c r="F5036" s="188">
        <v>1044000</v>
      </c>
      <c r="G5036" s="188"/>
      <c r="H5036" s="188"/>
      <c r="I5036" s="188" t="s">
        <v>1992</v>
      </c>
      <c r="J5036" s="187" t="s">
        <v>5073</v>
      </c>
      <c r="K5036" s="186"/>
    </row>
    <row r="5037" spans="1:11" x14ac:dyDescent="0.2">
      <c r="A5037" s="8">
        <v>32340.833333333299</v>
      </c>
      <c r="B5037" s="8">
        <f t="shared" si="170"/>
        <v>2026</v>
      </c>
      <c r="C5037" s="8">
        <f t="shared" si="171"/>
        <v>2</v>
      </c>
      <c r="D5037" s="204">
        <v>46070</v>
      </c>
      <c r="E5037" s="188"/>
      <c r="F5037" s="188">
        <v>1055000</v>
      </c>
      <c r="G5037" s="188"/>
      <c r="H5037" s="188"/>
      <c r="I5037" s="188" t="s">
        <v>391</v>
      </c>
      <c r="J5037" s="187" t="s">
        <v>5074</v>
      </c>
      <c r="K5037" s="186"/>
    </row>
    <row r="5038" spans="1:11" x14ac:dyDescent="0.2">
      <c r="A5038" s="8">
        <v>32411.333333333299</v>
      </c>
      <c r="B5038" s="8">
        <f t="shared" si="170"/>
        <v>2026</v>
      </c>
      <c r="C5038" s="8">
        <f t="shared" si="171"/>
        <v>2</v>
      </c>
      <c r="D5038" s="204">
        <v>46070</v>
      </c>
      <c r="E5038" s="188"/>
      <c r="F5038" s="188">
        <v>680000</v>
      </c>
      <c r="G5038" s="188"/>
      <c r="H5038" s="188"/>
      <c r="I5038" s="188" t="s">
        <v>85</v>
      </c>
      <c r="J5038" s="187" t="s">
        <v>5075</v>
      </c>
      <c r="K5038" s="186"/>
    </row>
    <row r="5039" spans="1:11" x14ac:dyDescent="0.2">
      <c r="A5039" s="8">
        <v>32481.833333333299</v>
      </c>
      <c r="B5039" s="8">
        <f t="shared" si="170"/>
        <v>2026</v>
      </c>
      <c r="C5039" s="8">
        <f t="shared" si="171"/>
        <v>2</v>
      </c>
      <c r="D5039" s="204">
        <v>46071</v>
      </c>
      <c r="E5039" s="188"/>
      <c r="F5039" s="188">
        <v>40000</v>
      </c>
      <c r="G5039" s="188"/>
      <c r="H5039" s="188"/>
      <c r="I5039" s="188" t="s">
        <v>91</v>
      </c>
      <c r="J5039" s="187" t="s">
        <v>5076</v>
      </c>
      <c r="K5039" s="186"/>
    </row>
    <row r="5040" spans="1:11" x14ac:dyDescent="0.2">
      <c r="A5040" s="8">
        <v>32552.333333333299</v>
      </c>
      <c r="B5040" s="8">
        <f t="shared" si="170"/>
        <v>2026</v>
      </c>
      <c r="C5040" s="8">
        <f t="shared" si="171"/>
        <v>2</v>
      </c>
      <c r="D5040" s="204">
        <v>46072</v>
      </c>
      <c r="E5040" s="188"/>
      <c r="F5040" s="188">
        <v>10000</v>
      </c>
      <c r="G5040" s="188"/>
      <c r="H5040" s="188"/>
      <c r="I5040" s="188" t="s">
        <v>91</v>
      </c>
      <c r="J5040" s="187" t="s">
        <v>4173</v>
      </c>
      <c r="K5040" s="186"/>
    </row>
    <row r="5041" spans="1:11" x14ac:dyDescent="0.2">
      <c r="A5041" s="8">
        <v>32622.833333333299</v>
      </c>
      <c r="B5041" s="8">
        <f t="shared" si="170"/>
        <v>2026</v>
      </c>
      <c r="C5041" s="8">
        <f t="shared" si="171"/>
        <v>2</v>
      </c>
      <c r="D5041" s="204">
        <v>46072</v>
      </c>
      <c r="E5041" s="188"/>
      <c r="F5041" s="188">
        <v>24000</v>
      </c>
      <c r="G5041" s="188"/>
      <c r="H5041" s="188"/>
      <c r="I5041" s="188" t="s">
        <v>91</v>
      </c>
      <c r="J5041" s="187" t="s">
        <v>5077</v>
      </c>
      <c r="K5041" s="186"/>
    </row>
    <row r="5042" spans="1:11" x14ac:dyDescent="0.2">
      <c r="A5042" s="8">
        <v>32693.333333333299</v>
      </c>
      <c r="B5042" s="8">
        <f t="shared" si="170"/>
        <v>2026</v>
      </c>
      <c r="C5042" s="8">
        <f t="shared" si="171"/>
        <v>2</v>
      </c>
      <c r="D5042" s="204">
        <v>46073</v>
      </c>
      <c r="E5042" s="188"/>
      <c r="F5042" s="188">
        <v>3800000</v>
      </c>
      <c r="G5042" s="188"/>
      <c r="H5042" s="188"/>
      <c r="I5042" s="188" t="s">
        <v>85</v>
      </c>
      <c r="J5042" s="187" t="s">
        <v>5078</v>
      </c>
      <c r="K5042" s="186"/>
    </row>
    <row r="5043" spans="1:11" x14ac:dyDescent="0.2">
      <c r="A5043" s="8">
        <v>32763.833333333299</v>
      </c>
      <c r="B5043" s="8">
        <f t="shared" si="170"/>
        <v>2026</v>
      </c>
      <c r="C5043" s="8">
        <f t="shared" si="171"/>
        <v>2</v>
      </c>
      <c r="D5043" s="204">
        <v>46073</v>
      </c>
      <c r="E5043" s="188"/>
      <c r="F5043" s="188">
        <v>50000</v>
      </c>
      <c r="G5043" s="188"/>
      <c r="H5043" s="188"/>
      <c r="I5043" s="188" t="s">
        <v>85</v>
      </c>
      <c r="J5043" s="187" t="s">
        <v>4178</v>
      </c>
      <c r="K5043" s="186"/>
    </row>
    <row r="5044" spans="1:11" x14ac:dyDescent="0.2">
      <c r="A5044" s="8">
        <v>32904.833333333299</v>
      </c>
      <c r="B5044" s="8">
        <f t="shared" si="170"/>
        <v>2026</v>
      </c>
      <c r="C5044" s="8">
        <f t="shared" si="171"/>
        <v>2</v>
      </c>
      <c r="D5044" s="204">
        <v>46075</v>
      </c>
      <c r="E5044" s="188"/>
      <c r="F5044" s="188">
        <v>500000</v>
      </c>
      <c r="G5044" s="188"/>
      <c r="H5044" s="188"/>
      <c r="I5044" s="188" t="s">
        <v>1729</v>
      </c>
      <c r="J5044" s="187" t="s">
        <v>5079</v>
      </c>
      <c r="K5044" s="186"/>
    </row>
    <row r="5045" spans="1:11" x14ac:dyDescent="0.2">
      <c r="A5045" s="8">
        <v>32975.333333333299</v>
      </c>
      <c r="B5045" s="8">
        <f t="shared" si="170"/>
        <v>2026</v>
      </c>
      <c r="C5045" s="8">
        <f t="shared" si="171"/>
        <v>2</v>
      </c>
      <c r="D5045" s="204">
        <v>46076</v>
      </c>
      <c r="E5045" s="188"/>
      <c r="F5045" s="188">
        <v>950000</v>
      </c>
      <c r="G5045" s="188"/>
      <c r="H5045" s="188"/>
      <c r="I5045" s="188" t="s">
        <v>85</v>
      </c>
      <c r="J5045" s="187" t="s">
        <v>5080</v>
      </c>
      <c r="K5045" s="186"/>
    </row>
    <row r="5046" spans="1:11" x14ac:dyDescent="0.2">
      <c r="A5046" s="8">
        <v>33045.833333333299</v>
      </c>
      <c r="B5046" s="8">
        <f t="shared" si="170"/>
        <v>2026</v>
      </c>
      <c r="C5046" s="8">
        <f t="shared" si="171"/>
        <v>2</v>
      </c>
      <c r="D5046" s="204">
        <v>46077</v>
      </c>
      <c r="E5046" s="188"/>
      <c r="F5046" s="188">
        <v>100000</v>
      </c>
      <c r="G5046" s="188"/>
      <c r="H5046" s="188"/>
      <c r="I5046" s="188" t="s">
        <v>85</v>
      </c>
      <c r="J5046" s="187" t="s">
        <v>287</v>
      </c>
      <c r="K5046" s="186"/>
    </row>
    <row r="5047" spans="1:11" x14ac:dyDescent="0.2">
      <c r="A5047" s="8">
        <v>33116.333333333299</v>
      </c>
      <c r="B5047" s="8">
        <f t="shared" si="170"/>
        <v>2026</v>
      </c>
      <c r="C5047" s="8">
        <f t="shared" si="171"/>
        <v>2</v>
      </c>
      <c r="D5047" s="204">
        <v>46078</v>
      </c>
      <c r="E5047" s="188"/>
      <c r="F5047" s="188">
        <v>100000</v>
      </c>
      <c r="G5047" s="188"/>
      <c r="H5047" s="188"/>
      <c r="I5047" s="188" t="s">
        <v>85</v>
      </c>
      <c r="J5047" s="187" t="s">
        <v>287</v>
      </c>
      <c r="K5047" s="186"/>
    </row>
    <row r="5048" spans="1:11" x14ac:dyDescent="0.2">
      <c r="A5048" s="8">
        <v>33186.833333333299</v>
      </c>
      <c r="B5048" s="8">
        <f t="shared" si="170"/>
        <v>2026</v>
      </c>
      <c r="C5048" s="8">
        <f t="shared" si="171"/>
        <v>2</v>
      </c>
      <c r="D5048" s="204">
        <v>46079</v>
      </c>
      <c r="E5048" s="188"/>
      <c r="F5048" s="188">
        <v>100000</v>
      </c>
      <c r="G5048" s="188"/>
      <c r="H5048" s="188"/>
      <c r="I5048" s="188" t="s">
        <v>85</v>
      </c>
      <c r="J5048" s="187" t="s">
        <v>287</v>
      </c>
      <c r="K5048" s="186"/>
    </row>
    <row r="5049" spans="1:11" x14ac:dyDescent="0.2">
      <c r="A5049" s="8">
        <v>33257.333333333299</v>
      </c>
      <c r="B5049" s="8">
        <f t="shared" si="170"/>
        <v>2026</v>
      </c>
      <c r="C5049" s="8">
        <f t="shared" si="171"/>
        <v>2</v>
      </c>
      <c r="D5049" s="204">
        <v>46080</v>
      </c>
      <c r="E5049" s="188"/>
      <c r="F5049" s="188">
        <v>100000</v>
      </c>
      <c r="G5049" s="188"/>
      <c r="H5049" s="188"/>
      <c r="I5049" s="188" t="s">
        <v>85</v>
      </c>
      <c r="J5049" s="187" t="s">
        <v>287</v>
      </c>
      <c r="K5049" s="186"/>
    </row>
    <row r="5050" spans="1:11" x14ac:dyDescent="0.2">
      <c r="A5050" s="8">
        <v>33327.833333333299</v>
      </c>
      <c r="B5050" s="8">
        <f t="shared" si="170"/>
        <v>2026</v>
      </c>
      <c r="C5050" s="8">
        <f t="shared" si="171"/>
        <v>2</v>
      </c>
      <c r="D5050" s="204">
        <v>46081</v>
      </c>
      <c r="E5050" s="188"/>
      <c r="F5050" s="188">
        <v>250000</v>
      </c>
      <c r="G5050" s="188"/>
      <c r="H5050" s="188"/>
      <c r="I5050" s="188" t="s">
        <v>85</v>
      </c>
      <c r="J5050" s="187" t="s">
        <v>5081</v>
      </c>
      <c r="K5050" s="186"/>
    </row>
    <row r="5051" spans="1:11" x14ac:dyDescent="0.2">
      <c r="A5051" s="8">
        <v>33398.333333333299</v>
      </c>
      <c r="B5051" s="8">
        <f t="shared" si="170"/>
        <v>2026</v>
      </c>
      <c r="C5051" s="8">
        <f t="shared" si="171"/>
        <v>2</v>
      </c>
      <c r="D5051" s="204">
        <v>46081</v>
      </c>
      <c r="E5051" s="188"/>
      <c r="G5051" s="188">
        <v>250000</v>
      </c>
      <c r="H5051" s="188"/>
      <c r="I5051" s="188"/>
      <c r="J5051" s="187" t="s">
        <v>5082</v>
      </c>
      <c r="K5051" s="186"/>
    </row>
    <row r="5052" spans="1:11" x14ac:dyDescent="0.2">
      <c r="A5052" s="8">
        <v>33468.833333333299</v>
      </c>
      <c r="B5052" s="8">
        <f t="shared" si="170"/>
        <v>2026</v>
      </c>
      <c r="C5052" s="8">
        <f t="shared" si="171"/>
        <v>3</v>
      </c>
      <c r="D5052" s="204">
        <v>46082</v>
      </c>
      <c r="E5052" s="188"/>
      <c r="F5052" s="188">
        <v>100000</v>
      </c>
      <c r="G5052" s="188"/>
      <c r="H5052" s="188"/>
      <c r="I5052" s="188" t="s">
        <v>85</v>
      </c>
      <c r="J5052" s="187" t="s">
        <v>287</v>
      </c>
      <c r="K5052" s="186"/>
    </row>
    <row r="5053" spans="1:11" x14ac:dyDescent="0.2">
      <c r="A5053" s="8">
        <v>33539.333333333299</v>
      </c>
      <c r="B5053" s="8">
        <f t="shared" si="170"/>
        <v>2026</v>
      </c>
      <c r="C5053" s="8">
        <f t="shared" si="171"/>
        <v>3</v>
      </c>
      <c r="D5053" s="204">
        <v>46083</v>
      </c>
      <c r="E5053" s="188"/>
      <c r="F5053" s="188">
        <v>100000</v>
      </c>
      <c r="G5053" s="188"/>
      <c r="H5053" s="188"/>
      <c r="I5053" s="188" t="s">
        <v>85</v>
      </c>
      <c r="J5053" s="187" t="s">
        <v>287</v>
      </c>
      <c r="K5053" s="186"/>
    </row>
    <row r="5054" spans="1:11" x14ac:dyDescent="0.2">
      <c r="A5054" s="8">
        <v>33609.833333333299</v>
      </c>
      <c r="B5054" s="8">
        <f t="shared" si="170"/>
        <v>2026</v>
      </c>
      <c r="C5054" s="8">
        <f t="shared" si="171"/>
        <v>3</v>
      </c>
      <c r="D5054" s="204">
        <v>46084</v>
      </c>
      <c r="E5054" s="188"/>
      <c r="F5054" s="188">
        <v>100000</v>
      </c>
      <c r="G5054" s="188"/>
      <c r="H5054" s="188"/>
      <c r="I5054" s="188" t="s">
        <v>85</v>
      </c>
      <c r="J5054" s="187" t="s">
        <v>287</v>
      </c>
      <c r="K5054" s="186"/>
    </row>
    <row r="5055" spans="1:11" x14ac:dyDescent="0.2">
      <c r="A5055" s="8">
        <v>33680.333333333299</v>
      </c>
      <c r="B5055" s="8">
        <f t="shared" si="170"/>
        <v>2026</v>
      </c>
      <c r="C5055" s="8">
        <f t="shared" si="171"/>
        <v>3</v>
      </c>
      <c r="D5055" s="204">
        <v>46085</v>
      </c>
      <c r="E5055" s="188"/>
      <c r="F5055" s="188">
        <v>100000</v>
      </c>
      <c r="G5055" s="188"/>
      <c r="H5055" s="188"/>
      <c r="I5055" s="188" t="s">
        <v>85</v>
      </c>
      <c r="J5055" s="187" t="s">
        <v>287</v>
      </c>
      <c r="K5055" s="186"/>
    </row>
    <row r="5056" spans="1:11" x14ac:dyDescent="0.2">
      <c r="A5056" s="8">
        <v>33750.833333333299</v>
      </c>
      <c r="B5056" s="8">
        <f t="shared" si="170"/>
        <v>2026</v>
      </c>
      <c r="C5056" s="8">
        <f t="shared" si="171"/>
        <v>3</v>
      </c>
      <c r="D5056" s="204">
        <v>46086</v>
      </c>
      <c r="E5056" s="188"/>
      <c r="F5056" s="188">
        <v>100000</v>
      </c>
      <c r="G5056" s="188"/>
      <c r="H5056" s="188"/>
      <c r="I5056" s="188" t="s">
        <v>85</v>
      </c>
      <c r="J5056" s="187" t="s">
        <v>287</v>
      </c>
      <c r="K5056" s="186"/>
    </row>
    <row r="5057" spans="1:11" x14ac:dyDescent="0.2">
      <c r="A5057" s="8">
        <v>33821.333333333299</v>
      </c>
      <c r="B5057" s="8">
        <f t="shared" si="170"/>
        <v>2026</v>
      </c>
      <c r="C5057" s="8">
        <f t="shared" si="171"/>
        <v>3</v>
      </c>
      <c r="D5057" s="204">
        <v>46087</v>
      </c>
      <c r="E5057" s="188"/>
      <c r="F5057" s="188">
        <v>100000</v>
      </c>
      <c r="G5057" s="188"/>
      <c r="H5057" s="188"/>
      <c r="I5057" s="188" t="s">
        <v>85</v>
      </c>
      <c r="J5057" s="187" t="s">
        <v>287</v>
      </c>
      <c r="K5057" s="186"/>
    </row>
    <row r="5058" spans="1:11" x14ac:dyDescent="0.2">
      <c r="A5058" s="8">
        <v>33891.833333333299</v>
      </c>
      <c r="B5058" s="8">
        <f t="shared" si="170"/>
        <v>2026</v>
      </c>
      <c r="C5058" s="8">
        <f t="shared" si="171"/>
        <v>3</v>
      </c>
      <c r="D5058" s="204">
        <v>46088</v>
      </c>
      <c r="E5058" s="188"/>
      <c r="F5058" s="188">
        <v>100000</v>
      </c>
      <c r="G5058" s="188"/>
      <c r="H5058" s="188"/>
      <c r="I5058" s="188" t="s">
        <v>85</v>
      </c>
      <c r="J5058" s="187" t="s">
        <v>287</v>
      </c>
      <c r="K5058" s="186"/>
    </row>
    <row r="5059" spans="1:11" x14ac:dyDescent="0.2">
      <c r="A5059" s="8">
        <v>33962.333333333299</v>
      </c>
      <c r="B5059" s="8">
        <f t="shared" si="170"/>
        <v>2026</v>
      </c>
      <c r="C5059" s="8">
        <f t="shared" si="171"/>
        <v>3</v>
      </c>
      <c r="D5059" s="204">
        <v>46089</v>
      </c>
      <c r="E5059" s="188"/>
      <c r="F5059" s="188">
        <v>100000</v>
      </c>
      <c r="G5059" s="188"/>
      <c r="H5059" s="188"/>
      <c r="I5059" s="188" t="s">
        <v>85</v>
      </c>
      <c r="J5059" s="187" t="s">
        <v>287</v>
      </c>
      <c r="K5059" s="186"/>
    </row>
    <row r="5060" spans="1:11" x14ac:dyDescent="0.2">
      <c r="A5060" s="8">
        <v>34032.833333333299</v>
      </c>
      <c r="B5060" s="8">
        <f t="shared" si="170"/>
        <v>2026</v>
      </c>
      <c r="C5060" s="8">
        <f t="shared" si="171"/>
        <v>3</v>
      </c>
      <c r="D5060" s="204">
        <v>46090</v>
      </c>
      <c r="E5060" s="188"/>
      <c r="F5060" s="188">
        <v>100000</v>
      </c>
      <c r="G5060" s="188"/>
      <c r="H5060" s="188"/>
      <c r="I5060" s="188" t="s">
        <v>85</v>
      </c>
      <c r="J5060" s="187" t="s">
        <v>287</v>
      </c>
      <c r="K5060" s="186"/>
    </row>
    <row r="5061" spans="1:11" x14ac:dyDescent="0.2">
      <c r="A5061" s="8">
        <v>34103.333333333299</v>
      </c>
      <c r="B5061" s="8">
        <f t="shared" si="170"/>
        <v>2026</v>
      </c>
      <c r="C5061" s="8">
        <f t="shared" si="171"/>
        <v>3</v>
      </c>
      <c r="D5061" s="204">
        <v>46091</v>
      </c>
      <c r="E5061" s="188"/>
      <c r="F5061" s="188">
        <v>100000</v>
      </c>
      <c r="G5061" s="188"/>
      <c r="H5061" s="188"/>
      <c r="I5061" s="188" t="s">
        <v>85</v>
      </c>
      <c r="J5061" s="187" t="s">
        <v>287</v>
      </c>
      <c r="K5061" s="186"/>
    </row>
    <row r="5062" spans="1:11" x14ac:dyDescent="0.2">
      <c r="A5062" s="8">
        <v>34173.833333333299</v>
      </c>
      <c r="B5062" s="8">
        <f t="shared" si="170"/>
        <v>2026</v>
      </c>
      <c r="C5062" s="8">
        <f t="shared" si="171"/>
        <v>3</v>
      </c>
      <c r="D5062" s="204">
        <v>46092</v>
      </c>
      <c r="E5062" s="188"/>
      <c r="F5062" s="188">
        <v>100000</v>
      </c>
      <c r="G5062" s="188"/>
      <c r="H5062" s="188"/>
      <c r="I5062" s="188" t="s">
        <v>85</v>
      </c>
      <c r="J5062" s="187" t="s">
        <v>287</v>
      </c>
      <c r="K5062" s="186"/>
    </row>
    <row r="5063" spans="1:11" x14ac:dyDescent="0.2">
      <c r="A5063" s="8">
        <v>34244.333333333299</v>
      </c>
      <c r="B5063" s="8">
        <f t="shared" si="170"/>
        <v>2026</v>
      </c>
      <c r="C5063" s="8">
        <f t="shared" si="171"/>
        <v>3</v>
      </c>
      <c r="D5063" s="204">
        <v>46093</v>
      </c>
      <c r="E5063" s="188"/>
      <c r="F5063" s="188">
        <v>100000</v>
      </c>
      <c r="G5063" s="188"/>
      <c r="H5063" s="188"/>
      <c r="I5063" s="188" t="s">
        <v>85</v>
      </c>
      <c r="J5063" s="187" t="s">
        <v>287</v>
      </c>
      <c r="K5063" s="186"/>
    </row>
    <row r="5064" spans="1:11" x14ac:dyDescent="0.2">
      <c r="A5064" s="8">
        <v>34314.833333333299</v>
      </c>
      <c r="B5064" s="8">
        <f t="shared" si="170"/>
        <v>2026</v>
      </c>
      <c r="C5064" s="8">
        <f t="shared" si="171"/>
        <v>3</v>
      </c>
      <c r="D5064" s="204">
        <v>46094</v>
      </c>
      <c r="E5064" s="188"/>
      <c r="F5064" s="188">
        <v>100000</v>
      </c>
      <c r="G5064" s="188"/>
      <c r="H5064" s="188"/>
      <c r="I5064" s="188" t="s">
        <v>85</v>
      </c>
      <c r="J5064" s="187" t="s">
        <v>287</v>
      </c>
      <c r="K5064" s="186"/>
    </row>
    <row r="5065" spans="1:11" x14ac:dyDescent="0.2">
      <c r="A5065" s="8">
        <v>34385.333333333299</v>
      </c>
      <c r="B5065" s="8">
        <f t="shared" si="170"/>
        <v>2026</v>
      </c>
      <c r="C5065" s="8">
        <f t="shared" si="171"/>
        <v>3</v>
      </c>
      <c r="D5065" s="204">
        <v>46095</v>
      </c>
      <c r="E5065" s="188"/>
      <c r="F5065" s="188">
        <v>206000</v>
      </c>
      <c r="G5065" s="188"/>
      <c r="H5065" s="188"/>
      <c r="I5065" s="188" t="s">
        <v>299</v>
      </c>
      <c r="J5065" s="187" t="s">
        <v>5083</v>
      </c>
      <c r="K5065" s="186"/>
    </row>
    <row r="5066" spans="1:11" x14ac:dyDescent="0.2">
      <c r="A5066" s="8">
        <v>34455.833333333299</v>
      </c>
      <c r="B5066" s="8">
        <f t="shared" si="170"/>
        <v>2026</v>
      </c>
      <c r="C5066" s="8">
        <f t="shared" si="171"/>
        <v>3</v>
      </c>
      <c r="D5066" s="204">
        <v>46096</v>
      </c>
      <c r="E5066" s="188"/>
      <c r="F5066" s="188">
        <v>110000</v>
      </c>
      <c r="G5066" s="188"/>
      <c r="H5066" s="188"/>
      <c r="I5066" s="188" t="s">
        <v>91</v>
      </c>
      <c r="J5066" s="187" t="s">
        <v>5084</v>
      </c>
      <c r="K5066" s="186"/>
    </row>
    <row r="5067" spans="1:11" x14ac:dyDescent="0.2">
      <c r="A5067" s="8">
        <v>34526.333333333299</v>
      </c>
      <c r="B5067" s="8">
        <f t="shared" si="170"/>
        <v>2026</v>
      </c>
      <c r="C5067" s="8">
        <f t="shared" si="171"/>
        <v>3</v>
      </c>
      <c r="D5067" s="204">
        <v>46096</v>
      </c>
      <c r="E5067" s="188"/>
      <c r="F5067" s="188">
        <v>35000</v>
      </c>
      <c r="G5067" s="188"/>
      <c r="H5067" s="188"/>
      <c r="I5067" s="188" t="s">
        <v>91</v>
      </c>
      <c r="J5067" s="187" t="s">
        <v>5085</v>
      </c>
      <c r="K5067" s="186"/>
    </row>
    <row r="5068" spans="1:11" x14ac:dyDescent="0.2">
      <c r="A5068" s="8">
        <v>34596.833333333299</v>
      </c>
      <c r="B5068" s="8">
        <f t="shared" si="170"/>
        <v>2026</v>
      </c>
      <c r="C5068" s="8">
        <f t="shared" si="171"/>
        <v>3</v>
      </c>
      <c r="D5068" s="204">
        <v>46096</v>
      </c>
      <c r="E5068" s="188"/>
      <c r="F5068" s="188">
        <v>80000</v>
      </c>
      <c r="G5068" s="188"/>
      <c r="H5068" s="188"/>
      <c r="I5068" s="188" t="s">
        <v>91</v>
      </c>
      <c r="J5068" s="187" t="s">
        <v>5086</v>
      </c>
      <c r="K5068" s="186"/>
    </row>
    <row r="5069" spans="1:11" x14ac:dyDescent="0.2">
      <c r="A5069" s="8">
        <v>34667.333333333299</v>
      </c>
      <c r="B5069" s="8">
        <f t="shared" si="170"/>
        <v>2026</v>
      </c>
      <c r="C5069" s="8">
        <f t="shared" si="171"/>
        <v>3</v>
      </c>
      <c r="D5069" s="204">
        <v>46096</v>
      </c>
      <c r="E5069" s="188"/>
      <c r="F5069" s="188">
        <v>972000</v>
      </c>
      <c r="G5069" s="188"/>
      <c r="H5069" s="188"/>
      <c r="I5069" s="188" t="s">
        <v>335</v>
      </c>
      <c r="J5069" s="187" t="s">
        <v>5087</v>
      </c>
      <c r="K5069" s="186"/>
    </row>
    <row r="5070" spans="1:11" x14ac:dyDescent="0.2">
      <c r="A5070" s="8">
        <v>34737.833333333299</v>
      </c>
      <c r="B5070" s="8">
        <f t="shared" si="170"/>
        <v>2026</v>
      </c>
      <c r="C5070" s="8">
        <f t="shared" si="171"/>
        <v>3</v>
      </c>
      <c r="D5070" s="204">
        <v>46097</v>
      </c>
      <c r="E5070" s="188"/>
      <c r="F5070" s="188">
        <v>100000</v>
      </c>
      <c r="G5070" s="188"/>
      <c r="H5070" s="188"/>
      <c r="I5070" s="188" t="s">
        <v>85</v>
      </c>
      <c r="J5070" s="187" t="s">
        <v>287</v>
      </c>
      <c r="K5070" s="186"/>
    </row>
    <row r="5071" spans="1:11" x14ac:dyDescent="0.2">
      <c r="A5071" s="8">
        <v>34808.333333333299</v>
      </c>
      <c r="B5071" s="8">
        <f t="shared" si="170"/>
        <v>2026</v>
      </c>
      <c r="C5071" s="8">
        <f t="shared" si="171"/>
        <v>3</v>
      </c>
      <c r="D5071" s="204">
        <v>46098</v>
      </c>
      <c r="E5071" s="188"/>
      <c r="F5071" s="188">
        <v>100000</v>
      </c>
      <c r="G5071" s="188"/>
      <c r="H5071" s="188"/>
      <c r="I5071" s="188" t="s">
        <v>85</v>
      </c>
      <c r="J5071" s="187" t="s">
        <v>287</v>
      </c>
      <c r="K5071" s="186"/>
    </row>
    <row r="5072" spans="1:11" x14ac:dyDescent="0.2">
      <c r="A5072" s="8">
        <v>34878.833333333299</v>
      </c>
      <c r="B5072" s="8">
        <f t="shared" ref="B5072:B5132" si="172">YEAR(D5072)</f>
        <v>2026</v>
      </c>
      <c r="C5072" s="8">
        <f t="shared" ref="C5072:C5132" si="173">MONTH(D5072)</f>
        <v>3</v>
      </c>
      <c r="D5072" s="204">
        <v>46099</v>
      </c>
      <c r="E5072" s="188"/>
      <c r="F5072" s="188">
        <v>100000</v>
      </c>
      <c r="G5072" s="188"/>
      <c r="H5072" s="188"/>
      <c r="I5072" s="188" t="s">
        <v>85</v>
      </c>
      <c r="J5072" s="187" t="s">
        <v>287</v>
      </c>
      <c r="K5072" s="186"/>
    </row>
    <row r="5073" spans="1:11" x14ac:dyDescent="0.2">
      <c r="A5073" s="8">
        <v>34949.333333333299</v>
      </c>
      <c r="B5073" s="8">
        <f t="shared" si="172"/>
        <v>2026</v>
      </c>
      <c r="C5073" s="8">
        <f t="shared" si="173"/>
        <v>3</v>
      </c>
      <c r="D5073" s="204">
        <v>46100</v>
      </c>
      <c r="E5073" s="188"/>
      <c r="F5073" s="188">
        <v>100000</v>
      </c>
      <c r="G5073" s="188"/>
      <c r="H5073" s="188"/>
      <c r="I5073" s="188" t="s">
        <v>85</v>
      </c>
      <c r="J5073" s="187" t="s">
        <v>287</v>
      </c>
      <c r="K5073" s="186"/>
    </row>
    <row r="5074" spans="1:11" x14ac:dyDescent="0.2">
      <c r="A5074" s="8">
        <v>35019.833333333299</v>
      </c>
      <c r="B5074" s="8">
        <f t="shared" si="172"/>
        <v>2026</v>
      </c>
      <c r="C5074" s="8">
        <f t="shared" si="173"/>
        <v>3</v>
      </c>
      <c r="D5074" s="204">
        <v>46101</v>
      </c>
      <c r="E5074" s="188"/>
      <c r="F5074" s="188">
        <v>2900000</v>
      </c>
      <c r="G5074" s="188"/>
      <c r="H5074" s="188"/>
      <c r="I5074" s="188" t="s">
        <v>85</v>
      </c>
      <c r="J5074" s="187" t="s">
        <v>5088</v>
      </c>
      <c r="K5074" s="186"/>
    </row>
    <row r="5075" spans="1:11" x14ac:dyDescent="0.2">
      <c r="A5075" s="8">
        <v>35090.333333333299</v>
      </c>
      <c r="B5075" s="8">
        <f t="shared" si="172"/>
        <v>2026</v>
      </c>
      <c r="C5075" s="8">
        <f t="shared" si="173"/>
        <v>3</v>
      </c>
      <c r="D5075" s="204">
        <v>46101</v>
      </c>
      <c r="E5075" s="188"/>
      <c r="F5075" s="188">
        <v>64000</v>
      </c>
      <c r="G5075" s="188"/>
      <c r="H5075" s="188"/>
      <c r="I5075" s="188" t="s">
        <v>91</v>
      </c>
      <c r="J5075" s="187" t="s">
        <v>5089</v>
      </c>
      <c r="K5075" s="186"/>
    </row>
    <row r="5076" spans="1:11" x14ac:dyDescent="0.2">
      <c r="A5076" s="8">
        <v>35160.833333333299</v>
      </c>
      <c r="B5076" s="8">
        <f t="shared" si="172"/>
        <v>2026</v>
      </c>
      <c r="C5076" s="8">
        <f t="shared" si="173"/>
        <v>3</v>
      </c>
      <c r="D5076" s="204">
        <v>46101</v>
      </c>
      <c r="E5076" s="188"/>
      <c r="F5076" s="188">
        <v>100000</v>
      </c>
      <c r="G5076" s="188"/>
      <c r="H5076" s="188"/>
      <c r="I5076" s="188" t="s">
        <v>85</v>
      </c>
      <c r="J5076" s="187" t="s">
        <v>287</v>
      </c>
      <c r="K5076" s="186"/>
    </row>
    <row r="5077" spans="1:11" x14ac:dyDescent="0.2">
      <c r="A5077" s="8">
        <v>35231.333333333299</v>
      </c>
      <c r="B5077" s="8">
        <f t="shared" si="172"/>
        <v>2026</v>
      </c>
      <c r="C5077" s="8">
        <f t="shared" si="173"/>
        <v>3</v>
      </c>
      <c r="D5077" s="204">
        <v>46102</v>
      </c>
      <c r="E5077" s="188"/>
      <c r="F5077" s="188">
        <v>20000</v>
      </c>
      <c r="G5077" s="188"/>
      <c r="H5077" s="188"/>
      <c r="I5077" s="188" t="s">
        <v>91</v>
      </c>
      <c r="J5077" s="187" t="s">
        <v>5090</v>
      </c>
      <c r="K5077" s="186"/>
    </row>
    <row r="5078" spans="1:11" x14ac:dyDescent="0.2">
      <c r="A5078" s="8">
        <v>35301.833333333299</v>
      </c>
      <c r="B5078" s="8">
        <f t="shared" si="172"/>
        <v>2026</v>
      </c>
      <c r="C5078" s="8">
        <f t="shared" si="173"/>
        <v>3</v>
      </c>
      <c r="D5078" s="204">
        <v>46102</v>
      </c>
      <c r="E5078" s="188"/>
      <c r="F5078" s="188">
        <v>20000</v>
      </c>
      <c r="G5078" s="188"/>
      <c r="H5078" s="188"/>
      <c r="I5078" s="188" t="s">
        <v>85</v>
      </c>
      <c r="J5078" s="187" t="s">
        <v>5024</v>
      </c>
      <c r="K5078" s="186"/>
    </row>
    <row r="5079" spans="1:11" x14ac:dyDescent="0.2">
      <c r="A5079" s="8">
        <v>35372.333333333299</v>
      </c>
      <c r="B5079" s="8">
        <f t="shared" si="172"/>
        <v>2026</v>
      </c>
      <c r="C5079" s="8">
        <f t="shared" si="173"/>
        <v>3</v>
      </c>
      <c r="D5079" s="204">
        <v>46102</v>
      </c>
      <c r="E5079" s="188"/>
      <c r="F5079" s="188">
        <v>500000</v>
      </c>
      <c r="G5079" s="188"/>
      <c r="H5079" s="188"/>
      <c r="I5079" s="188" t="s">
        <v>85</v>
      </c>
      <c r="J5079" s="187" t="s">
        <v>5091</v>
      </c>
      <c r="K5079" s="186"/>
    </row>
    <row r="5080" spans="1:11" x14ac:dyDescent="0.2">
      <c r="A5080" s="8">
        <v>35442.833333333299</v>
      </c>
      <c r="B5080" s="8">
        <f t="shared" si="172"/>
        <v>2026</v>
      </c>
      <c r="C5080" s="8">
        <f t="shared" si="173"/>
        <v>3</v>
      </c>
      <c r="D5080" s="204">
        <v>46102</v>
      </c>
      <c r="E5080" s="188"/>
      <c r="F5080" s="188">
        <v>59000</v>
      </c>
      <c r="G5080" s="188"/>
      <c r="H5080" s="188"/>
      <c r="I5080" s="188" t="s">
        <v>1815</v>
      </c>
      <c r="J5080" s="187" t="s">
        <v>5092</v>
      </c>
      <c r="K5080" s="186"/>
    </row>
    <row r="5081" spans="1:11" x14ac:dyDescent="0.2">
      <c r="A5081" s="8">
        <v>35513.333333333299</v>
      </c>
      <c r="B5081" s="8">
        <f t="shared" si="172"/>
        <v>2026</v>
      </c>
      <c r="C5081" s="8">
        <f t="shared" si="173"/>
        <v>3</v>
      </c>
      <c r="D5081" s="204">
        <v>46103</v>
      </c>
      <c r="E5081" s="188"/>
      <c r="F5081" s="188">
        <v>1020000</v>
      </c>
      <c r="G5081" s="188"/>
      <c r="H5081" s="188"/>
      <c r="I5081" s="188" t="s">
        <v>85</v>
      </c>
      <c r="J5081" s="187" t="s">
        <v>5093</v>
      </c>
      <c r="K5081" s="186"/>
    </row>
    <row r="5082" spans="1:11" x14ac:dyDescent="0.2">
      <c r="A5082" s="8">
        <v>35583.833333333299</v>
      </c>
      <c r="B5082" s="8">
        <f t="shared" si="172"/>
        <v>2026</v>
      </c>
      <c r="C5082" s="8">
        <f t="shared" si="173"/>
        <v>3</v>
      </c>
      <c r="D5082" s="204">
        <v>46103</v>
      </c>
      <c r="E5082" s="188"/>
      <c r="F5082" s="188">
        <v>131000</v>
      </c>
      <c r="G5082" s="188"/>
      <c r="H5082" s="188"/>
      <c r="I5082" s="188" t="s">
        <v>2807</v>
      </c>
      <c r="J5082" s="187" t="s">
        <v>5094</v>
      </c>
      <c r="K5082" s="186"/>
    </row>
    <row r="5083" spans="1:11" x14ac:dyDescent="0.2">
      <c r="A5083" s="8">
        <v>35654.333333333299</v>
      </c>
      <c r="B5083" s="8">
        <f t="shared" si="172"/>
        <v>2026</v>
      </c>
      <c r="C5083" s="8">
        <f t="shared" si="173"/>
        <v>3</v>
      </c>
      <c r="D5083" s="204">
        <v>46104</v>
      </c>
      <c r="E5083" s="188"/>
      <c r="F5083" s="188">
        <v>208000</v>
      </c>
      <c r="G5083" s="188"/>
      <c r="H5083" s="188"/>
      <c r="I5083" s="188" t="s">
        <v>85</v>
      </c>
      <c r="J5083" s="187" t="s">
        <v>5095</v>
      </c>
      <c r="K5083" s="186"/>
    </row>
    <row r="5084" spans="1:11" x14ac:dyDescent="0.2">
      <c r="A5084" s="8">
        <v>35724.833333333299</v>
      </c>
      <c r="B5084" s="8">
        <f t="shared" si="172"/>
        <v>2026</v>
      </c>
      <c r="C5084" s="8">
        <f t="shared" si="173"/>
        <v>3</v>
      </c>
      <c r="D5084" s="204">
        <v>46104</v>
      </c>
      <c r="E5084" s="188"/>
      <c r="F5084" s="188">
        <v>50000</v>
      </c>
      <c r="G5084" s="188"/>
      <c r="H5084" s="188"/>
      <c r="I5084" s="188" t="s">
        <v>85</v>
      </c>
      <c r="J5084" s="187" t="s">
        <v>4178</v>
      </c>
      <c r="K5084" s="186"/>
    </row>
    <row r="5085" spans="1:11" x14ac:dyDescent="0.2">
      <c r="A5085" s="8">
        <v>35795.333333333299</v>
      </c>
      <c r="B5085" s="8">
        <f t="shared" si="172"/>
        <v>2026</v>
      </c>
      <c r="C5085" s="8">
        <f t="shared" si="173"/>
        <v>3</v>
      </c>
      <c r="D5085" s="204">
        <v>46104</v>
      </c>
      <c r="E5085" s="188"/>
      <c r="F5085" s="188">
        <v>50000</v>
      </c>
      <c r="G5085" s="188"/>
      <c r="H5085" s="188"/>
      <c r="I5085" s="188" t="s">
        <v>1815</v>
      </c>
      <c r="J5085" s="187" t="s">
        <v>5096</v>
      </c>
      <c r="K5085" s="186"/>
    </row>
    <row r="5086" spans="1:11" x14ac:dyDescent="0.2">
      <c r="A5086" s="8">
        <v>35865.833333333299</v>
      </c>
      <c r="B5086" s="8">
        <f t="shared" si="172"/>
        <v>2026</v>
      </c>
      <c r="C5086" s="8">
        <f t="shared" si="173"/>
        <v>3</v>
      </c>
      <c r="D5086" s="204">
        <v>46105</v>
      </c>
      <c r="E5086" s="188"/>
      <c r="F5086" s="188">
        <v>100000</v>
      </c>
      <c r="G5086" s="188"/>
      <c r="H5086" s="188"/>
      <c r="I5086" s="188" t="s">
        <v>85</v>
      </c>
      <c r="J5086" s="187" t="s">
        <v>287</v>
      </c>
      <c r="K5086" s="186"/>
    </row>
    <row r="5087" spans="1:11" x14ac:dyDescent="0.2">
      <c r="A5087" s="8">
        <v>35936.333333333299</v>
      </c>
      <c r="B5087" s="8">
        <f t="shared" si="172"/>
        <v>2026</v>
      </c>
      <c r="C5087" s="8">
        <f t="shared" si="173"/>
        <v>3</v>
      </c>
      <c r="D5087" s="204">
        <v>46106</v>
      </c>
      <c r="E5087" s="188"/>
      <c r="F5087" s="188">
        <v>100000</v>
      </c>
      <c r="G5087" s="188"/>
      <c r="H5087" s="188"/>
      <c r="I5087" s="188" t="s">
        <v>85</v>
      </c>
      <c r="J5087" s="187" t="s">
        <v>287</v>
      </c>
      <c r="K5087" s="186"/>
    </row>
    <row r="5088" spans="1:11" x14ac:dyDescent="0.2">
      <c r="A5088" s="8">
        <v>36006.833333333299</v>
      </c>
      <c r="B5088" s="8">
        <f t="shared" si="172"/>
        <v>2026</v>
      </c>
      <c r="C5088" s="8">
        <f t="shared" si="173"/>
        <v>3</v>
      </c>
      <c r="D5088" s="204">
        <v>46107</v>
      </c>
      <c r="E5088" s="188"/>
      <c r="F5088" s="188">
        <v>100000</v>
      </c>
      <c r="G5088" s="188"/>
      <c r="H5088" s="188"/>
      <c r="I5088" s="188" t="s">
        <v>85</v>
      </c>
      <c r="J5088" s="187" t="s">
        <v>287</v>
      </c>
      <c r="K5088" s="186"/>
    </row>
    <row r="5089" spans="1:11" x14ac:dyDescent="0.2">
      <c r="A5089" s="8">
        <v>36077.333333333299</v>
      </c>
      <c r="B5089" s="8">
        <f t="shared" si="172"/>
        <v>2026</v>
      </c>
      <c r="C5089" s="8">
        <f t="shared" si="173"/>
        <v>3</v>
      </c>
      <c r="D5089" s="204">
        <v>46108</v>
      </c>
      <c r="E5089" s="188"/>
      <c r="F5089" s="188">
        <v>100000</v>
      </c>
      <c r="G5089" s="188"/>
      <c r="H5089" s="188"/>
      <c r="I5089" s="188" t="s">
        <v>85</v>
      </c>
      <c r="J5089" s="187" t="s">
        <v>287</v>
      </c>
      <c r="K5089" s="186"/>
    </row>
    <row r="5090" spans="1:11" x14ac:dyDescent="0.2">
      <c r="A5090" s="8">
        <v>36147.833333333299</v>
      </c>
      <c r="B5090" s="8">
        <f t="shared" si="172"/>
        <v>2026</v>
      </c>
      <c r="C5090" s="8">
        <f t="shared" si="173"/>
        <v>3</v>
      </c>
      <c r="D5090" s="204">
        <v>46109</v>
      </c>
      <c r="E5090" s="188"/>
      <c r="F5090" s="188">
        <v>100000</v>
      </c>
      <c r="G5090" s="188"/>
      <c r="H5090" s="188"/>
      <c r="I5090" s="188" t="s">
        <v>85</v>
      </c>
      <c r="J5090" s="187" t="s">
        <v>287</v>
      </c>
      <c r="K5090" s="186"/>
    </row>
    <row r="5091" spans="1:11" x14ac:dyDescent="0.2">
      <c r="A5091" s="8">
        <v>36218.333333333299</v>
      </c>
      <c r="B5091" s="8">
        <f t="shared" si="172"/>
        <v>2026</v>
      </c>
      <c r="C5091" s="8">
        <f t="shared" si="173"/>
        <v>3</v>
      </c>
      <c r="D5091" s="204">
        <v>46110</v>
      </c>
      <c r="E5091" s="188"/>
      <c r="F5091" s="188">
        <v>220000</v>
      </c>
      <c r="G5091" s="188"/>
      <c r="H5091" s="188"/>
      <c r="I5091" s="188" t="s">
        <v>299</v>
      </c>
      <c r="J5091" s="187" t="s">
        <v>5097</v>
      </c>
      <c r="K5091" s="186"/>
    </row>
    <row r="5092" spans="1:11" x14ac:dyDescent="0.2">
      <c r="A5092" s="8">
        <v>36288.833333333299</v>
      </c>
      <c r="B5092" s="8">
        <f t="shared" si="172"/>
        <v>2026</v>
      </c>
      <c r="C5092" s="8">
        <f t="shared" si="173"/>
        <v>3</v>
      </c>
      <c r="D5092" s="204">
        <v>46111</v>
      </c>
      <c r="E5092" s="188"/>
      <c r="F5092" s="188">
        <v>100000</v>
      </c>
      <c r="G5092" s="188"/>
      <c r="H5092" s="188"/>
      <c r="I5092" s="188" t="s">
        <v>85</v>
      </c>
      <c r="J5092" s="187" t="s">
        <v>287</v>
      </c>
      <c r="K5092" s="186"/>
    </row>
    <row r="5093" spans="1:11" x14ac:dyDescent="0.2">
      <c r="A5093" s="8">
        <v>36359.333333333299</v>
      </c>
      <c r="B5093" s="8">
        <f t="shared" si="172"/>
        <v>2026</v>
      </c>
      <c r="C5093" s="8">
        <f t="shared" si="173"/>
        <v>3</v>
      </c>
      <c r="D5093" s="204">
        <v>46112</v>
      </c>
      <c r="E5093" s="188"/>
      <c r="F5093" s="188">
        <v>100000</v>
      </c>
      <c r="G5093" s="188"/>
      <c r="H5093" s="188"/>
      <c r="I5093" s="188" t="s">
        <v>85</v>
      </c>
      <c r="J5093" s="187" t="s">
        <v>287</v>
      </c>
      <c r="K5093" s="186"/>
    </row>
    <row r="5094" spans="1:11" x14ac:dyDescent="0.2">
      <c r="A5094" s="8">
        <v>36429.833333333299</v>
      </c>
      <c r="B5094" s="8">
        <f t="shared" si="172"/>
        <v>2026</v>
      </c>
      <c r="C5094" s="8">
        <f t="shared" si="173"/>
        <v>4</v>
      </c>
      <c r="D5094" s="204">
        <v>46113</v>
      </c>
      <c r="E5094" s="188"/>
      <c r="F5094" s="188">
        <v>100000</v>
      </c>
      <c r="G5094" s="188"/>
      <c r="H5094" s="188"/>
      <c r="I5094" s="188" t="s">
        <v>85</v>
      </c>
      <c r="J5094" s="187" t="s">
        <v>287</v>
      </c>
      <c r="K5094" s="186"/>
    </row>
    <row r="5095" spans="1:11" x14ac:dyDescent="0.2">
      <c r="A5095" s="8">
        <v>36500.333333333299</v>
      </c>
      <c r="B5095" s="8">
        <f t="shared" si="172"/>
        <v>2026</v>
      </c>
      <c r="C5095" s="8">
        <f t="shared" si="173"/>
        <v>4</v>
      </c>
      <c r="D5095" s="204">
        <v>46114</v>
      </c>
      <c r="E5095" s="188"/>
      <c r="F5095" s="188">
        <v>100000</v>
      </c>
      <c r="G5095" s="188"/>
      <c r="H5095" s="188"/>
      <c r="I5095" s="188" t="s">
        <v>85</v>
      </c>
      <c r="J5095" s="187" t="s">
        <v>287</v>
      </c>
      <c r="K5095" s="186"/>
    </row>
    <row r="5096" spans="1:11" x14ac:dyDescent="0.2">
      <c r="A5096" s="8">
        <v>36570.833333333299</v>
      </c>
      <c r="B5096" s="8">
        <f t="shared" si="172"/>
        <v>2026</v>
      </c>
      <c r="C5096" s="8">
        <f t="shared" si="173"/>
        <v>4</v>
      </c>
      <c r="D5096" s="204">
        <v>46115</v>
      </c>
      <c r="E5096" s="188"/>
      <c r="F5096" s="188">
        <v>100000</v>
      </c>
      <c r="G5096" s="188"/>
      <c r="H5096" s="188"/>
      <c r="I5096" s="188" t="s">
        <v>85</v>
      </c>
      <c r="J5096" s="187" t="s">
        <v>287</v>
      </c>
      <c r="K5096" s="186"/>
    </row>
    <row r="5097" spans="1:11" x14ac:dyDescent="0.2">
      <c r="A5097" s="8">
        <v>36641.333333333299</v>
      </c>
      <c r="B5097" s="8">
        <f t="shared" si="172"/>
        <v>2026</v>
      </c>
      <c r="C5097" s="8">
        <f t="shared" si="173"/>
        <v>4</v>
      </c>
      <c r="D5097" s="204">
        <v>46116</v>
      </c>
      <c r="E5097" s="188"/>
      <c r="F5097" s="188">
        <v>1100000</v>
      </c>
      <c r="G5097" s="188"/>
      <c r="H5097" s="188"/>
      <c r="I5097" s="188" t="s">
        <v>335</v>
      </c>
      <c r="J5097" s="187" t="s">
        <v>5098</v>
      </c>
      <c r="K5097" s="186"/>
    </row>
    <row r="5098" spans="1:11" x14ac:dyDescent="0.2">
      <c r="A5098" s="8">
        <v>36711.833333333299</v>
      </c>
      <c r="B5098" s="8">
        <f t="shared" si="172"/>
        <v>2026</v>
      </c>
      <c r="C5098" s="8">
        <f t="shared" si="173"/>
        <v>4</v>
      </c>
      <c r="D5098" s="204">
        <v>46116</v>
      </c>
      <c r="E5098" s="188"/>
      <c r="F5098" s="188">
        <v>288000</v>
      </c>
      <c r="G5098" s="188"/>
      <c r="H5098" s="188"/>
      <c r="I5098" s="188" t="s">
        <v>85</v>
      </c>
      <c r="J5098" s="187" t="s">
        <v>5099</v>
      </c>
      <c r="K5098" s="186"/>
    </row>
    <row r="5099" spans="1:11" x14ac:dyDescent="0.2">
      <c r="A5099" s="8">
        <v>36782.333333333299</v>
      </c>
      <c r="B5099" s="8">
        <f t="shared" si="172"/>
        <v>2026</v>
      </c>
      <c r="C5099" s="8">
        <f t="shared" si="173"/>
        <v>4</v>
      </c>
      <c r="D5099" s="204">
        <v>46117</v>
      </c>
      <c r="E5099" s="188"/>
      <c r="F5099" s="188">
        <v>100000</v>
      </c>
      <c r="G5099" s="188"/>
      <c r="H5099" s="188"/>
      <c r="I5099" s="188" t="s">
        <v>85</v>
      </c>
      <c r="J5099" s="187" t="s">
        <v>287</v>
      </c>
      <c r="K5099" s="186"/>
    </row>
    <row r="5100" spans="1:11" x14ac:dyDescent="0.2">
      <c r="A5100" s="8">
        <v>36852.833333333299</v>
      </c>
      <c r="B5100" s="8">
        <f t="shared" si="172"/>
        <v>2026</v>
      </c>
      <c r="C5100" s="8">
        <f t="shared" si="173"/>
        <v>4</v>
      </c>
      <c r="D5100" s="204">
        <v>46118</v>
      </c>
      <c r="E5100" s="188"/>
      <c r="F5100" s="188">
        <v>100000</v>
      </c>
      <c r="G5100" s="188"/>
      <c r="H5100" s="188"/>
      <c r="I5100" s="188" t="s">
        <v>85</v>
      </c>
      <c r="J5100" s="187" t="s">
        <v>287</v>
      </c>
      <c r="K5100" s="186"/>
    </row>
    <row r="5101" spans="1:11" x14ac:dyDescent="0.2">
      <c r="A5101" s="8">
        <v>36923.333333333299</v>
      </c>
      <c r="B5101" s="8">
        <f t="shared" si="172"/>
        <v>2026</v>
      </c>
      <c r="C5101" s="8">
        <f t="shared" si="173"/>
        <v>4</v>
      </c>
      <c r="D5101" s="204">
        <v>46119</v>
      </c>
      <c r="E5101" s="188"/>
      <c r="F5101" s="188">
        <v>100000</v>
      </c>
      <c r="G5101" s="188"/>
      <c r="H5101" s="188"/>
      <c r="I5101" s="188" t="s">
        <v>85</v>
      </c>
      <c r="J5101" s="187" t="s">
        <v>287</v>
      </c>
      <c r="K5101" s="186"/>
    </row>
    <row r="5102" spans="1:11" x14ac:dyDescent="0.2">
      <c r="A5102" s="8">
        <v>36993.833333333299</v>
      </c>
      <c r="B5102" s="8">
        <f t="shared" si="172"/>
        <v>2026</v>
      </c>
      <c r="C5102" s="8">
        <f t="shared" si="173"/>
        <v>4</v>
      </c>
      <c r="D5102" s="204">
        <v>46120</v>
      </c>
      <c r="E5102" s="188"/>
      <c r="F5102" s="188">
        <v>100000</v>
      </c>
      <c r="G5102" s="188"/>
      <c r="H5102" s="188"/>
      <c r="I5102" s="188" t="s">
        <v>85</v>
      </c>
      <c r="J5102" s="187" t="s">
        <v>287</v>
      </c>
      <c r="K5102" s="186"/>
    </row>
    <row r="5103" spans="1:11" x14ac:dyDescent="0.2">
      <c r="A5103" s="8">
        <v>37064.333333333299</v>
      </c>
      <c r="B5103" s="8">
        <f t="shared" si="172"/>
        <v>2026</v>
      </c>
      <c r="C5103" s="8">
        <f t="shared" si="173"/>
        <v>4</v>
      </c>
      <c r="D5103" s="204">
        <v>46121</v>
      </c>
      <c r="E5103" s="188"/>
      <c r="F5103" s="188">
        <v>100000</v>
      </c>
      <c r="G5103" s="188"/>
      <c r="H5103" s="188"/>
      <c r="I5103" s="188" t="s">
        <v>85</v>
      </c>
      <c r="J5103" s="187" t="s">
        <v>287</v>
      </c>
      <c r="K5103" s="186"/>
    </row>
    <row r="5104" spans="1:11" x14ac:dyDescent="0.2">
      <c r="A5104" s="8">
        <v>37134.833333333299</v>
      </c>
      <c r="B5104" s="8">
        <f t="shared" si="172"/>
        <v>2026</v>
      </c>
      <c r="C5104" s="8">
        <f t="shared" si="173"/>
        <v>4</v>
      </c>
      <c r="D5104" s="204">
        <v>46122</v>
      </c>
      <c r="E5104" s="188"/>
      <c r="F5104" s="188">
        <v>100000</v>
      </c>
      <c r="G5104" s="188"/>
      <c r="H5104" s="188"/>
      <c r="I5104" s="188" t="s">
        <v>85</v>
      </c>
      <c r="J5104" s="187" t="s">
        <v>287</v>
      </c>
      <c r="K5104" s="186"/>
    </row>
    <row r="5105" spans="1:11" x14ac:dyDescent="0.2">
      <c r="A5105" s="8">
        <v>37205.333333333299</v>
      </c>
      <c r="B5105" s="8">
        <f t="shared" si="172"/>
        <v>2026</v>
      </c>
      <c r="C5105" s="8">
        <f t="shared" si="173"/>
        <v>4</v>
      </c>
      <c r="D5105" s="204">
        <v>46123</v>
      </c>
      <c r="E5105" s="188"/>
      <c r="F5105" s="188">
        <v>100000</v>
      </c>
      <c r="G5105" s="188"/>
      <c r="H5105" s="188"/>
      <c r="I5105" s="188" t="s">
        <v>85</v>
      </c>
      <c r="J5105" s="187" t="s">
        <v>287</v>
      </c>
      <c r="K5105" s="186"/>
    </row>
    <row r="5106" spans="1:11" x14ac:dyDescent="0.2">
      <c r="A5106" s="8">
        <v>37275.833333333299</v>
      </c>
      <c r="B5106" s="8">
        <f t="shared" si="172"/>
        <v>2026</v>
      </c>
      <c r="C5106" s="8">
        <f t="shared" si="173"/>
        <v>4</v>
      </c>
      <c r="D5106" s="204">
        <v>46124</v>
      </c>
      <c r="E5106" s="188"/>
      <c r="F5106" s="188">
        <v>100000</v>
      </c>
      <c r="G5106" s="188"/>
      <c r="H5106" s="188"/>
      <c r="I5106" s="188" t="s">
        <v>85</v>
      </c>
      <c r="J5106" s="187" t="s">
        <v>287</v>
      </c>
      <c r="K5106" s="186"/>
    </row>
    <row r="5107" spans="1:11" x14ac:dyDescent="0.2">
      <c r="A5107" s="8">
        <v>37346.333333333299</v>
      </c>
      <c r="B5107" s="8">
        <f t="shared" si="172"/>
        <v>2026</v>
      </c>
      <c r="C5107" s="8">
        <f t="shared" si="173"/>
        <v>4</v>
      </c>
      <c r="D5107" s="204">
        <v>46125</v>
      </c>
      <c r="E5107" s="188"/>
      <c r="F5107" s="188">
        <v>200000</v>
      </c>
      <c r="G5107" s="188"/>
      <c r="H5107" s="188"/>
      <c r="I5107" s="188" t="s">
        <v>299</v>
      </c>
      <c r="J5107" s="187" t="s">
        <v>5100</v>
      </c>
      <c r="K5107" s="186"/>
    </row>
    <row r="5108" spans="1:11" x14ac:dyDescent="0.2">
      <c r="A5108" s="8">
        <v>37416.833333333299</v>
      </c>
      <c r="B5108" s="8">
        <f t="shared" si="172"/>
        <v>2026</v>
      </c>
      <c r="C5108" s="8">
        <f t="shared" si="173"/>
        <v>4</v>
      </c>
      <c r="D5108" s="204">
        <v>46126</v>
      </c>
      <c r="E5108" s="188"/>
      <c r="F5108" s="188">
        <v>50000</v>
      </c>
      <c r="G5108" s="188"/>
      <c r="H5108" s="188"/>
      <c r="I5108" s="188" t="s">
        <v>1350</v>
      </c>
      <c r="J5108" s="187" t="s">
        <v>5101</v>
      </c>
      <c r="K5108" s="186"/>
    </row>
    <row r="5109" spans="1:11" x14ac:dyDescent="0.2">
      <c r="A5109" s="8">
        <v>37487.333333333299</v>
      </c>
      <c r="B5109" s="8">
        <f t="shared" si="172"/>
        <v>2026</v>
      </c>
      <c r="C5109" s="8">
        <f t="shared" si="173"/>
        <v>4</v>
      </c>
      <c r="D5109" s="204">
        <v>46126</v>
      </c>
      <c r="E5109" s="188"/>
      <c r="F5109" s="188">
        <v>50000</v>
      </c>
      <c r="G5109" s="188"/>
      <c r="H5109" s="188"/>
      <c r="I5109" s="188" t="s">
        <v>85</v>
      </c>
      <c r="J5109" s="187" t="s">
        <v>4178</v>
      </c>
      <c r="K5109" s="186"/>
    </row>
    <row r="5110" spans="1:11" x14ac:dyDescent="0.2">
      <c r="A5110" s="8">
        <v>37628.333333333299</v>
      </c>
      <c r="B5110" s="8">
        <f t="shared" si="172"/>
        <v>2026</v>
      </c>
      <c r="C5110" s="8">
        <f t="shared" si="173"/>
        <v>4</v>
      </c>
      <c r="D5110" s="204">
        <v>46127</v>
      </c>
      <c r="E5110" s="188"/>
      <c r="F5110" s="188">
        <v>240000</v>
      </c>
      <c r="G5110" s="188"/>
      <c r="H5110" s="188"/>
      <c r="I5110" s="188" t="s">
        <v>85</v>
      </c>
      <c r="J5110" s="187" t="s">
        <v>5102</v>
      </c>
      <c r="K5110" s="186"/>
    </row>
    <row r="5111" spans="1:11" x14ac:dyDescent="0.2">
      <c r="A5111" s="8">
        <v>37698.833333333299</v>
      </c>
      <c r="B5111" s="8">
        <f t="shared" si="172"/>
        <v>2026</v>
      </c>
      <c r="C5111" s="8">
        <f t="shared" si="173"/>
        <v>4</v>
      </c>
      <c r="D5111" s="204">
        <v>46128</v>
      </c>
      <c r="E5111" s="188"/>
      <c r="F5111" s="188">
        <v>800000</v>
      </c>
      <c r="G5111" s="188"/>
      <c r="H5111" s="188"/>
      <c r="I5111" s="188" t="s">
        <v>1992</v>
      </c>
      <c r="J5111" s="187" t="s">
        <v>5103</v>
      </c>
      <c r="K5111" s="186"/>
    </row>
    <row r="5112" spans="1:11" x14ac:dyDescent="0.2">
      <c r="A5112" s="8">
        <v>37769.333333333299</v>
      </c>
      <c r="B5112" s="8">
        <f t="shared" si="172"/>
        <v>2026</v>
      </c>
      <c r="C5112" s="8">
        <f t="shared" si="173"/>
        <v>4</v>
      </c>
      <c r="D5112" s="204">
        <v>46129</v>
      </c>
      <c r="E5112" s="188"/>
      <c r="G5112" s="188">
        <v>1000000</v>
      </c>
      <c r="H5112" s="188"/>
      <c r="I5112" s="188"/>
      <c r="J5112" s="187" t="s">
        <v>5104</v>
      </c>
      <c r="K5112" s="186"/>
    </row>
    <row r="5113" spans="1:11" x14ac:dyDescent="0.2">
      <c r="A5113" s="8">
        <v>37839.833333333299</v>
      </c>
      <c r="B5113" s="8">
        <f t="shared" si="172"/>
        <v>2026</v>
      </c>
      <c r="C5113" s="8">
        <f t="shared" si="173"/>
        <v>4</v>
      </c>
      <c r="D5113" s="204">
        <v>46129</v>
      </c>
      <c r="E5113" s="188"/>
      <c r="G5113" s="188">
        <v>1500000</v>
      </c>
      <c r="H5113" s="188"/>
      <c r="I5113" s="188"/>
      <c r="J5113" s="187" t="s">
        <v>5105</v>
      </c>
      <c r="K5113" s="186"/>
    </row>
    <row r="5114" spans="1:11" x14ac:dyDescent="0.2">
      <c r="A5114" s="8">
        <v>37910.333333333299</v>
      </c>
      <c r="B5114" s="8">
        <f t="shared" si="172"/>
        <v>2026</v>
      </c>
      <c r="C5114" s="8">
        <f t="shared" si="173"/>
        <v>4</v>
      </c>
      <c r="D5114" s="204">
        <v>46130</v>
      </c>
      <c r="E5114" s="188"/>
      <c r="F5114" s="188">
        <v>100000</v>
      </c>
      <c r="G5114" s="188"/>
      <c r="H5114" s="188"/>
      <c r="I5114" s="188" t="s">
        <v>1999</v>
      </c>
      <c r="J5114" s="187" t="s">
        <v>5106</v>
      </c>
      <c r="K5114" s="186"/>
    </row>
    <row r="5115" spans="1:11" x14ac:dyDescent="0.2">
      <c r="A5115" s="8">
        <v>37980.833333333299</v>
      </c>
      <c r="B5115" s="8">
        <f t="shared" si="172"/>
        <v>2026</v>
      </c>
      <c r="C5115" s="8">
        <f t="shared" si="173"/>
        <v>4</v>
      </c>
      <c r="D5115" s="204">
        <v>46130</v>
      </c>
      <c r="E5115" s="188"/>
      <c r="F5115" s="188">
        <v>150000</v>
      </c>
      <c r="G5115" s="188"/>
      <c r="H5115" s="188"/>
      <c r="I5115" s="188" t="s">
        <v>85</v>
      </c>
      <c r="J5115" s="187" t="s">
        <v>5107</v>
      </c>
      <c r="K5115" s="186"/>
    </row>
    <row r="5116" spans="1:11" x14ac:dyDescent="0.2">
      <c r="A5116" s="8">
        <v>38051.333333333299</v>
      </c>
      <c r="B5116" s="8">
        <f t="shared" si="172"/>
        <v>2026</v>
      </c>
      <c r="C5116" s="8">
        <f t="shared" si="173"/>
        <v>4</v>
      </c>
      <c r="D5116" s="204">
        <v>46130</v>
      </c>
      <c r="E5116" s="188"/>
      <c r="F5116" s="188">
        <v>470000</v>
      </c>
      <c r="G5116" s="188"/>
      <c r="H5116" s="188"/>
      <c r="I5116" s="188" t="s">
        <v>85</v>
      </c>
      <c r="J5116" s="187" t="s">
        <v>5108</v>
      </c>
      <c r="K5116" s="186"/>
    </row>
    <row r="5117" spans="1:11" x14ac:dyDescent="0.2">
      <c r="A5117" s="8">
        <v>38121.833333333299</v>
      </c>
      <c r="B5117" s="8">
        <f t="shared" si="172"/>
        <v>2026</v>
      </c>
      <c r="C5117" s="8">
        <f t="shared" si="173"/>
        <v>4</v>
      </c>
      <c r="D5117" s="204">
        <v>46130</v>
      </c>
      <c r="E5117" s="188"/>
      <c r="F5117" s="188">
        <v>75000</v>
      </c>
      <c r="G5117" s="188"/>
      <c r="H5117" s="188"/>
      <c r="I5117" s="188" t="s">
        <v>85</v>
      </c>
      <c r="J5117" s="187" t="s">
        <v>5109</v>
      </c>
      <c r="K5117" s="186"/>
    </row>
    <row r="5118" spans="1:11" x14ac:dyDescent="0.2">
      <c r="A5118" s="8">
        <v>38192.333333333299</v>
      </c>
      <c r="B5118" s="8">
        <f t="shared" si="172"/>
        <v>2026</v>
      </c>
      <c r="C5118" s="8">
        <f t="shared" si="173"/>
        <v>4</v>
      </c>
      <c r="D5118" s="204">
        <v>46130</v>
      </c>
      <c r="E5118" s="188"/>
      <c r="F5118" s="188">
        <v>756000</v>
      </c>
      <c r="G5118" s="188"/>
      <c r="H5118" s="188"/>
      <c r="I5118" s="188" t="s">
        <v>335</v>
      </c>
      <c r="J5118" s="187" t="s">
        <v>5110</v>
      </c>
      <c r="K5118" s="186"/>
    </row>
    <row r="5119" spans="1:11" x14ac:dyDescent="0.2">
      <c r="A5119" s="8">
        <v>38262.833333333299</v>
      </c>
      <c r="B5119" s="8">
        <f t="shared" si="172"/>
        <v>2026</v>
      </c>
      <c r="C5119" s="8">
        <f t="shared" si="173"/>
        <v>4</v>
      </c>
      <c r="D5119" s="204">
        <v>46131</v>
      </c>
      <c r="E5119" s="188"/>
      <c r="F5119" s="188">
        <v>150000</v>
      </c>
      <c r="G5119" s="188"/>
      <c r="H5119" s="188"/>
      <c r="I5119" s="188" t="s">
        <v>1815</v>
      </c>
      <c r="J5119" s="187" t="s">
        <v>5111</v>
      </c>
      <c r="K5119" s="186"/>
    </row>
    <row r="5120" spans="1:11" x14ac:dyDescent="0.2">
      <c r="A5120" s="8">
        <v>38333.333333333299</v>
      </c>
      <c r="B5120" s="8">
        <f t="shared" si="172"/>
        <v>2026</v>
      </c>
      <c r="C5120" s="8">
        <f t="shared" si="173"/>
        <v>4</v>
      </c>
      <c r="D5120" s="204">
        <v>46131</v>
      </c>
      <c r="E5120" s="188"/>
      <c r="F5120" s="188">
        <v>50000</v>
      </c>
      <c r="G5120" s="188"/>
      <c r="H5120" s="188"/>
      <c r="I5120" s="188" t="s">
        <v>91</v>
      </c>
      <c r="J5120" s="187" t="s">
        <v>5058</v>
      </c>
      <c r="K5120" s="186"/>
    </row>
    <row r="5121" spans="1:11" x14ac:dyDescent="0.2">
      <c r="A5121" s="8">
        <v>38403.833333333299</v>
      </c>
      <c r="B5121" s="8">
        <f t="shared" si="172"/>
        <v>2026</v>
      </c>
      <c r="C5121" s="8">
        <f t="shared" si="173"/>
        <v>4</v>
      </c>
      <c r="D5121" s="204">
        <v>46131</v>
      </c>
      <c r="E5121" s="188"/>
      <c r="F5121" s="188">
        <v>80000</v>
      </c>
      <c r="G5121" s="188"/>
      <c r="H5121" s="188"/>
      <c r="I5121" s="188" t="s">
        <v>85</v>
      </c>
      <c r="J5121" s="187" t="s">
        <v>5112</v>
      </c>
      <c r="K5121" s="186"/>
    </row>
    <row r="5122" spans="1:11" x14ac:dyDescent="0.2">
      <c r="A5122" s="8">
        <v>38544.833333333299</v>
      </c>
      <c r="B5122" s="8">
        <f t="shared" si="172"/>
        <v>2026</v>
      </c>
      <c r="C5122" s="8">
        <f t="shared" si="173"/>
        <v>4</v>
      </c>
      <c r="D5122" s="204">
        <v>46133</v>
      </c>
      <c r="E5122" s="188"/>
      <c r="F5122" s="188">
        <v>50000</v>
      </c>
      <c r="G5122" s="188"/>
      <c r="H5122" s="188"/>
      <c r="I5122" s="188" t="s">
        <v>85</v>
      </c>
      <c r="J5122" s="187" t="s">
        <v>4178</v>
      </c>
      <c r="K5122" s="186"/>
    </row>
    <row r="5123" spans="1:11" x14ac:dyDescent="0.2">
      <c r="A5123" s="8">
        <v>38615.333333333299</v>
      </c>
      <c r="B5123" s="8">
        <f t="shared" si="172"/>
        <v>2026</v>
      </c>
      <c r="C5123" s="8">
        <f t="shared" si="173"/>
        <v>4</v>
      </c>
      <c r="D5123" s="204">
        <v>46134</v>
      </c>
      <c r="E5123" s="188"/>
      <c r="F5123" s="188">
        <v>50000</v>
      </c>
      <c r="G5123" s="188"/>
      <c r="H5123" s="188"/>
      <c r="I5123" s="188" t="s">
        <v>85</v>
      </c>
      <c r="J5123" s="187" t="s">
        <v>4178</v>
      </c>
      <c r="K5123" s="186"/>
    </row>
    <row r="5124" spans="1:11" x14ac:dyDescent="0.2">
      <c r="A5124" s="8">
        <v>38685.833333333299</v>
      </c>
      <c r="B5124" s="8">
        <f t="shared" si="172"/>
        <v>2026</v>
      </c>
      <c r="C5124" s="8">
        <f t="shared" si="173"/>
        <v>4</v>
      </c>
      <c r="D5124" s="204">
        <v>46135</v>
      </c>
      <c r="E5124" s="188"/>
      <c r="F5124" s="188">
        <v>100000</v>
      </c>
      <c r="G5124" s="188"/>
      <c r="H5124" s="188"/>
      <c r="I5124" s="188" t="s">
        <v>2807</v>
      </c>
      <c r="J5124" s="187" t="s">
        <v>5114</v>
      </c>
      <c r="K5124" s="186"/>
    </row>
    <row r="5125" spans="1:11" x14ac:dyDescent="0.2">
      <c r="A5125" s="8">
        <v>38756.333333333299</v>
      </c>
      <c r="B5125" s="8">
        <f t="shared" si="172"/>
        <v>2026</v>
      </c>
      <c r="C5125" s="8">
        <f t="shared" si="173"/>
        <v>4</v>
      </c>
      <c r="D5125" s="204">
        <v>46135</v>
      </c>
      <c r="E5125" s="188"/>
      <c r="F5125" s="188">
        <v>35000</v>
      </c>
      <c r="G5125" s="188"/>
      <c r="H5125" s="188"/>
      <c r="I5125" s="188" t="s">
        <v>91</v>
      </c>
      <c r="J5125" s="187" t="s">
        <v>5115</v>
      </c>
      <c r="K5125" s="186"/>
    </row>
    <row r="5126" spans="1:11" x14ac:dyDescent="0.2">
      <c r="A5126" s="8">
        <v>38897.333333333299</v>
      </c>
      <c r="B5126" s="8">
        <f t="shared" si="172"/>
        <v>2026</v>
      </c>
      <c r="C5126" s="8">
        <f t="shared" si="173"/>
        <v>4</v>
      </c>
      <c r="D5126" s="204">
        <v>46136</v>
      </c>
      <c r="E5126" s="188"/>
      <c r="F5126" s="188">
        <v>150000</v>
      </c>
      <c r="G5126" s="188"/>
      <c r="H5126" s="188"/>
      <c r="I5126" s="188" t="s">
        <v>85</v>
      </c>
      <c r="J5126" s="187" t="s">
        <v>5117</v>
      </c>
      <c r="K5126" s="186"/>
    </row>
    <row r="5127" spans="1:11" x14ac:dyDescent="0.2">
      <c r="A5127" s="8">
        <v>38967.833333333299</v>
      </c>
      <c r="B5127" s="8">
        <f t="shared" si="172"/>
        <v>2026</v>
      </c>
      <c r="C5127" s="8">
        <f t="shared" si="173"/>
        <v>4</v>
      </c>
      <c r="D5127" s="204">
        <v>46137</v>
      </c>
      <c r="E5127" s="188"/>
      <c r="F5127" s="188">
        <v>200000</v>
      </c>
      <c r="G5127" s="188"/>
      <c r="H5127" s="188"/>
      <c r="I5127" s="188" t="s">
        <v>1815</v>
      </c>
      <c r="J5127" s="187" t="s">
        <v>5118</v>
      </c>
      <c r="K5127" s="186"/>
    </row>
    <row r="5128" spans="1:11" x14ac:dyDescent="0.2">
      <c r="A5128" s="8">
        <v>39038.333333333299</v>
      </c>
      <c r="B5128" s="8">
        <f t="shared" si="172"/>
        <v>2026</v>
      </c>
      <c r="C5128" s="8">
        <f t="shared" si="173"/>
        <v>4</v>
      </c>
      <c r="D5128" s="204">
        <v>46138</v>
      </c>
      <c r="E5128" s="188"/>
      <c r="F5128" s="188">
        <v>200000</v>
      </c>
      <c r="G5128" s="188"/>
      <c r="H5128" s="188"/>
      <c r="I5128" s="188" t="s">
        <v>1815</v>
      </c>
      <c r="J5128" s="187" t="s">
        <v>5119</v>
      </c>
      <c r="K5128" s="186"/>
    </row>
    <row r="5129" spans="1:11" x14ac:dyDescent="0.2">
      <c r="A5129" s="8">
        <v>39108.833333333299</v>
      </c>
      <c r="B5129" s="8">
        <f t="shared" si="172"/>
        <v>2026</v>
      </c>
      <c r="C5129" s="8">
        <f t="shared" si="173"/>
        <v>4</v>
      </c>
      <c r="D5129" s="204">
        <v>46139</v>
      </c>
      <c r="E5129" s="188"/>
      <c r="F5129" s="188">
        <v>1078000</v>
      </c>
      <c r="G5129" s="188"/>
      <c r="H5129" s="188"/>
      <c r="I5129" s="188" t="s">
        <v>391</v>
      </c>
      <c r="J5129" s="187" t="s">
        <v>5120</v>
      </c>
      <c r="K5129" s="186"/>
    </row>
    <row r="5130" spans="1:11" x14ac:dyDescent="0.2">
      <c r="A5130" s="8">
        <v>39179.333333333299</v>
      </c>
      <c r="B5130" s="8">
        <f t="shared" si="172"/>
        <v>2026</v>
      </c>
      <c r="C5130" s="8">
        <f t="shared" si="173"/>
        <v>4</v>
      </c>
      <c r="D5130" s="204">
        <v>46140</v>
      </c>
      <c r="E5130" s="188"/>
      <c r="F5130" s="188">
        <v>100000</v>
      </c>
      <c r="G5130" s="188"/>
      <c r="H5130" s="188"/>
      <c r="I5130" s="188" t="s">
        <v>85</v>
      </c>
      <c r="J5130" s="187" t="s">
        <v>287</v>
      </c>
      <c r="K5130" s="186"/>
    </row>
    <row r="5131" spans="1:11" x14ac:dyDescent="0.2">
      <c r="A5131" s="8">
        <v>39249.833333333299</v>
      </c>
      <c r="B5131" s="8">
        <f t="shared" si="172"/>
        <v>2026</v>
      </c>
      <c r="C5131" s="8">
        <f t="shared" si="173"/>
        <v>4</v>
      </c>
      <c r="D5131" s="204">
        <v>46141</v>
      </c>
      <c r="E5131" s="188"/>
      <c r="F5131" s="188">
        <v>100000</v>
      </c>
      <c r="G5131" s="188"/>
      <c r="H5131" s="188"/>
      <c r="I5131" s="188" t="s">
        <v>85</v>
      </c>
      <c r="J5131" s="187" t="s">
        <v>5121</v>
      </c>
      <c r="K5131" s="186"/>
    </row>
    <row r="5132" spans="1:11" x14ac:dyDescent="0.2">
      <c r="A5132" s="8">
        <v>39320.333333333299</v>
      </c>
      <c r="B5132" s="8">
        <f t="shared" si="172"/>
        <v>2026</v>
      </c>
      <c r="C5132" s="8">
        <f t="shared" si="173"/>
        <v>4</v>
      </c>
      <c r="D5132" s="204">
        <v>46141</v>
      </c>
      <c r="E5132" s="188"/>
      <c r="F5132" s="188">
        <v>1000000</v>
      </c>
      <c r="G5132" s="188"/>
      <c r="H5132" s="188"/>
      <c r="I5132" s="188" t="s">
        <v>1350</v>
      </c>
      <c r="J5132" s="187" t="s">
        <v>5122</v>
      </c>
      <c r="K5132" s="186"/>
    </row>
    <row r="5133" spans="1:11" x14ac:dyDescent="0.2">
      <c r="A5133" s="8">
        <v>39390.833333333299</v>
      </c>
      <c r="B5133" s="8">
        <f t="shared" ref="B5133:B5193" si="174">YEAR(D5133)</f>
        <v>2026</v>
      </c>
      <c r="C5133" s="8">
        <f t="shared" ref="C5133:C5193" si="175">MONTH(D5133)</f>
        <v>4</v>
      </c>
      <c r="D5133" s="204">
        <v>46141</v>
      </c>
      <c r="E5133" s="188"/>
      <c r="F5133" s="188">
        <v>110000</v>
      </c>
      <c r="G5133" s="188"/>
      <c r="H5133" s="188"/>
      <c r="I5133" s="188" t="s">
        <v>2807</v>
      </c>
      <c r="J5133" s="187" t="s">
        <v>5123</v>
      </c>
      <c r="K5133" s="186"/>
    </row>
    <row r="5134" spans="1:11" x14ac:dyDescent="0.2">
      <c r="A5134" s="8">
        <v>39461.333333333299</v>
      </c>
      <c r="B5134" s="8">
        <f t="shared" si="174"/>
        <v>2026</v>
      </c>
      <c r="C5134" s="8">
        <f t="shared" si="175"/>
        <v>4</v>
      </c>
      <c r="D5134" s="204">
        <v>46141</v>
      </c>
      <c r="E5134" s="188"/>
      <c r="F5134" s="188">
        <v>150000</v>
      </c>
      <c r="G5134" s="188"/>
      <c r="H5134" s="188"/>
      <c r="I5134" s="188" t="s">
        <v>2807</v>
      </c>
      <c r="J5134" s="187" t="s">
        <v>5124</v>
      </c>
      <c r="K5134" s="186"/>
    </row>
    <row r="5135" spans="1:11" x14ac:dyDescent="0.2">
      <c r="A5135" s="8">
        <v>39531.833333333299</v>
      </c>
      <c r="B5135" s="8">
        <f t="shared" si="174"/>
        <v>2026</v>
      </c>
      <c r="C5135" s="8">
        <f t="shared" si="175"/>
        <v>4</v>
      </c>
      <c r="D5135" s="204">
        <v>46141</v>
      </c>
      <c r="E5135" s="188"/>
      <c r="F5135" s="188">
        <v>40000</v>
      </c>
      <c r="G5135" s="188"/>
      <c r="H5135" s="188"/>
      <c r="I5135" s="188" t="s">
        <v>91</v>
      </c>
      <c r="J5135" s="187" t="s">
        <v>5125</v>
      </c>
      <c r="K5135" s="186"/>
    </row>
    <row r="5136" spans="1:11" x14ac:dyDescent="0.2">
      <c r="A5136" s="8">
        <v>39602.333333333299</v>
      </c>
      <c r="B5136" s="8">
        <f t="shared" si="174"/>
        <v>2026</v>
      </c>
      <c r="C5136" s="8">
        <f t="shared" si="175"/>
        <v>4</v>
      </c>
      <c r="D5136" s="204">
        <v>46141</v>
      </c>
      <c r="E5136" s="188"/>
      <c r="F5136" s="188">
        <v>40000</v>
      </c>
      <c r="G5136" s="188"/>
      <c r="H5136" s="188"/>
      <c r="I5136" s="188" t="s">
        <v>91</v>
      </c>
      <c r="J5136" s="187" t="s">
        <v>5076</v>
      </c>
      <c r="K5136" s="186"/>
    </row>
    <row r="5137" spans="1:11" x14ac:dyDescent="0.2">
      <c r="A5137" s="8">
        <v>39672.833333333299</v>
      </c>
      <c r="B5137" s="8">
        <f t="shared" si="174"/>
        <v>2026</v>
      </c>
      <c r="C5137" s="8">
        <f t="shared" si="175"/>
        <v>4</v>
      </c>
      <c r="D5137" s="204">
        <v>46141</v>
      </c>
      <c r="E5137" s="188"/>
      <c r="F5137" s="188">
        <v>45000</v>
      </c>
      <c r="G5137" s="188"/>
      <c r="H5137" s="188"/>
      <c r="I5137" s="188" t="s">
        <v>91</v>
      </c>
      <c r="J5137" s="187" t="s">
        <v>5126</v>
      </c>
      <c r="K5137" s="186"/>
    </row>
    <row r="5138" spans="1:11" x14ac:dyDescent="0.2">
      <c r="A5138" s="8">
        <v>39743.333333333299</v>
      </c>
      <c r="B5138" s="8">
        <f t="shared" si="174"/>
        <v>2026</v>
      </c>
      <c r="C5138" s="8">
        <f t="shared" si="175"/>
        <v>4</v>
      </c>
      <c r="D5138" s="204">
        <v>46141</v>
      </c>
      <c r="E5138" s="188"/>
      <c r="F5138" s="188">
        <v>600000</v>
      </c>
      <c r="G5138" s="188"/>
      <c r="H5138" s="188"/>
      <c r="I5138" s="188" t="s">
        <v>85</v>
      </c>
      <c r="J5138" s="187" t="s">
        <v>5127</v>
      </c>
      <c r="K5138" s="186"/>
    </row>
    <row r="5139" spans="1:11" x14ac:dyDescent="0.2">
      <c r="A5139" s="8">
        <v>39813.833333333299</v>
      </c>
      <c r="B5139" s="8">
        <f t="shared" si="174"/>
        <v>2026</v>
      </c>
      <c r="C5139" s="8">
        <f t="shared" si="175"/>
        <v>4</v>
      </c>
      <c r="D5139" s="204">
        <v>46142</v>
      </c>
      <c r="E5139" s="188"/>
      <c r="F5139" s="188">
        <v>100000</v>
      </c>
      <c r="G5139" s="188"/>
      <c r="H5139" s="188"/>
      <c r="I5139" s="188" t="s">
        <v>85</v>
      </c>
      <c r="J5139" s="187" t="s">
        <v>287</v>
      </c>
      <c r="K5139" s="186"/>
    </row>
    <row r="5140" spans="1:11" x14ac:dyDescent="0.2">
      <c r="A5140" s="8">
        <v>39884.333333333299</v>
      </c>
      <c r="B5140" s="8">
        <f t="shared" si="174"/>
        <v>2026</v>
      </c>
      <c r="C5140" s="8">
        <f t="shared" si="175"/>
        <v>5</v>
      </c>
      <c r="D5140" s="204">
        <v>46143</v>
      </c>
      <c r="E5140" s="188"/>
      <c r="F5140" s="188">
        <v>100000</v>
      </c>
      <c r="G5140" s="188"/>
      <c r="H5140" s="188"/>
      <c r="I5140" s="188" t="s">
        <v>85</v>
      </c>
      <c r="J5140" s="187" t="s">
        <v>287</v>
      </c>
      <c r="K5140" s="186"/>
    </row>
    <row r="5141" spans="1:11" x14ac:dyDescent="0.2">
      <c r="A5141" s="8">
        <v>39954.833333333299</v>
      </c>
      <c r="B5141" s="8">
        <f t="shared" si="174"/>
        <v>2026</v>
      </c>
      <c r="C5141" s="8">
        <f t="shared" si="175"/>
        <v>5</v>
      </c>
      <c r="D5141" s="204">
        <v>46144</v>
      </c>
      <c r="E5141" s="188"/>
      <c r="F5141" s="188">
        <v>100000</v>
      </c>
      <c r="G5141" s="188"/>
      <c r="H5141" s="188"/>
      <c r="I5141" s="188" t="s">
        <v>85</v>
      </c>
      <c r="J5141" s="187" t="s">
        <v>5128</v>
      </c>
      <c r="K5141" s="186"/>
    </row>
    <row r="5142" spans="1:11" x14ac:dyDescent="0.2">
      <c r="A5142" s="8">
        <v>40025.333333333299</v>
      </c>
      <c r="B5142" s="8">
        <f t="shared" si="174"/>
        <v>2026</v>
      </c>
      <c r="C5142" s="8">
        <f t="shared" si="175"/>
        <v>5</v>
      </c>
      <c r="D5142" s="204">
        <v>46144</v>
      </c>
      <c r="E5142" s="188"/>
      <c r="F5142" s="188">
        <v>214000</v>
      </c>
      <c r="G5142" s="188"/>
      <c r="H5142" s="188"/>
      <c r="I5142" s="188" t="s">
        <v>299</v>
      </c>
      <c r="J5142" s="187" t="s">
        <v>5129</v>
      </c>
      <c r="K5142" s="186"/>
    </row>
    <row r="5143" spans="1:11" x14ac:dyDescent="0.2">
      <c r="A5143" s="8">
        <v>40095.833333333299</v>
      </c>
      <c r="B5143" s="8">
        <f t="shared" si="174"/>
        <v>2026</v>
      </c>
      <c r="C5143" s="8">
        <f t="shared" si="175"/>
        <v>5</v>
      </c>
      <c r="D5143" s="204">
        <v>46144</v>
      </c>
      <c r="E5143" s="188"/>
      <c r="F5143" s="188">
        <v>2660000</v>
      </c>
      <c r="G5143" s="188"/>
      <c r="H5143" s="188"/>
      <c r="I5143" s="188" t="s">
        <v>4137</v>
      </c>
      <c r="J5143" s="187" t="s">
        <v>5130</v>
      </c>
      <c r="K5143" s="186"/>
    </row>
    <row r="5144" spans="1:11" x14ac:dyDescent="0.2">
      <c r="A5144" s="8">
        <v>40166.333333333299</v>
      </c>
      <c r="B5144" s="8">
        <f t="shared" si="174"/>
        <v>2026</v>
      </c>
      <c r="C5144" s="8">
        <f t="shared" si="175"/>
        <v>5</v>
      </c>
      <c r="D5144" s="204">
        <v>46144</v>
      </c>
      <c r="E5144" s="188"/>
      <c r="F5144" s="188">
        <v>50000</v>
      </c>
      <c r="G5144" s="188"/>
      <c r="H5144" s="188"/>
      <c r="I5144" s="188" t="s">
        <v>85</v>
      </c>
      <c r="J5144" s="187" t="s">
        <v>4178</v>
      </c>
      <c r="K5144" s="186"/>
    </row>
    <row r="5145" spans="1:11" x14ac:dyDescent="0.2">
      <c r="A5145" s="8">
        <v>40236.833333333299</v>
      </c>
      <c r="B5145" s="8">
        <f t="shared" si="174"/>
        <v>2026</v>
      </c>
      <c r="C5145" s="8">
        <f t="shared" si="175"/>
        <v>5</v>
      </c>
      <c r="D5145" s="204">
        <v>46144</v>
      </c>
      <c r="E5145" s="188"/>
      <c r="F5145" s="188">
        <v>64000</v>
      </c>
      <c r="G5145" s="188"/>
      <c r="H5145" s="188"/>
      <c r="I5145" s="188" t="s">
        <v>1815</v>
      </c>
      <c r="J5145" s="187" t="s">
        <v>5131</v>
      </c>
      <c r="K5145" s="186"/>
    </row>
    <row r="5146" spans="1:11" x14ac:dyDescent="0.2">
      <c r="A5146" s="8">
        <v>40307.333333333299</v>
      </c>
      <c r="B5146" s="8">
        <f t="shared" si="174"/>
        <v>2026</v>
      </c>
      <c r="C5146" s="8">
        <f t="shared" si="175"/>
        <v>5</v>
      </c>
      <c r="D5146" s="204">
        <v>46145</v>
      </c>
      <c r="E5146" s="188"/>
      <c r="F5146" s="188">
        <v>154000</v>
      </c>
      <c r="G5146" s="188"/>
      <c r="H5146" s="188"/>
      <c r="I5146" s="188" t="s">
        <v>85</v>
      </c>
      <c r="J5146" s="187" t="s">
        <v>5132</v>
      </c>
      <c r="K5146" s="186"/>
    </row>
    <row r="5147" spans="1:11" x14ac:dyDescent="0.2">
      <c r="A5147" s="8">
        <v>40377.833333333299</v>
      </c>
      <c r="B5147" s="8">
        <f t="shared" si="174"/>
        <v>2026</v>
      </c>
      <c r="C5147" s="8">
        <f t="shared" si="175"/>
        <v>5</v>
      </c>
      <c r="D5147" s="204">
        <v>46145</v>
      </c>
      <c r="E5147" s="188"/>
      <c r="F5147" s="188">
        <v>2190000</v>
      </c>
      <c r="G5147" s="188"/>
      <c r="H5147" s="188"/>
      <c r="I5147" s="188" t="s">
        <v>1992</v>
      </c>
      <c r="J5147" s="187" t="s">
        <v>5133</v>
      </c>
      <c r="K5147" s="186"/>
    </row>
    <row r="5148" spans="1:11" x14ac:dyDescent="0.2">
      <c r="A5148" s="8">
        <v>40448.333333333299</v>
      </c>
      <c r="B5148" s="8">
        <f t="shared" si="174"/>
        <v>2026</v>
      </c>
      <c r="C5148" s="8">
        <f t="shared" si="175"/>
        <v>5</v>
      </c>
      <c r="D5148" s="204">
        <v>46145</v>
      </c>
      <c r="E5148" s="188"/>
      <c r="F5148" s="188">
        <v>658000</v>
      </c>
      <c r="G5148" s="188"/>
      <c r="H5148" s="188"/>
      <c r="I5148" s="188" t="s">
        <v>335</v>
      </c>
      <c r="J5148" s="187" t="s">
        <v>5134</v>
      </c>
      <c r="K5148" s="186"/>
    </row>
    <row r="5149" spans="1:11" x14ac:dyDescent="0.2">
      <c r="A5149" s="8">
        <v>40518.833333333299</v>
      </c>
      <c r="B5149" s="8">
        <f t="shared" si="174"/>
        <v>2026</v>
      </c>
      <c r="C5149" s="8">
        <f t="shared" si="175"/>
        <v>5</v>
      </c>
      <c r="D5149" s="204">
        <v>46146</v>
      </c>
      <c r="E5149" s="188"/>
      <c r="F5149" s="188">
        <v>100000</v>
      </c>
      <c r="G5149" s="188"/>
      <c r="H5149" s="188"/>
      <c r="I5149" s="188" t="s">
        <v>85</v>
      </c>
      <c r="J5149" s="187" t="s">
        <v>5135</v>
      </c>
      <c r="K5149" s="186"/>
    </row>
    <row r="5150" spans="1:11" x14ac:dyDescent="0.2">
      <c r="A5150" s="8">
        <v>40589.333333333299</v>
      </c>
      <c r="B5150" s="8">
        <f t="shared" si="174"/>
        <v>2026</v>
      </c>
      <c r="C5150" s="8">
        <f t="shared" si="175"/>
        <v>5</v>
      </c>
      <c r="D5150" s="204">
        <v>46147</v>
      </c>
      <c r="E5150" s="188"/>
      <c r="F5150" s="188">
        <v>50000</v>
      </c>
      <c r="G5150" s="188"/>
      <c r="H5150" s="188"/>
      <c r="I5150" s="188" t="s">
        <v>85</v>
      </c>
      <c r="J5150" s="187" t="s">
        <v>4178</v>
      </c>
      <c r="K5150" s="186"/>
    </row>
    <row r="5151" spans="1:11" x14ac:dyDescent="0.2">
      <c r="A5151" s="8">
        <v>40659.833333333299</v>
      </c>
      <c r="B5151" s="8">
        <f t="shared" si="174"/>
        <v>2026</v>
      </c>
      <c r="C5151" s="8">
        <f t="shared" si="175"/>
        <v>5</v>
      </c>
      <c r="D5151" s="204">
        <v>46148</v>
      </c>
      <c r="E5151" s="188"/>
      <c r="F5151" s="188">
        <v>50000</v>
      </c>
      <c r="G5151" s="188"/>
      <c r="H5151" s="188"/>
      <c r="I5151" s="188" t="s">
        <v>85</v>
      </c>
      <c r="J5151" s="187" t="s">
        <v>4178</v>
      </c>
      <c r="K5151" s="186"/>
    </row>
    <row r="5152" spans="1:11" x14ac:dyDescent="0.2">
      <c r="A5152" s="8">
        <v>40730.333333333299</v>
      </c>
      <c r="B5152" s="8">
        <f t="shared" si="174"/>
        <v>2026</v>
      </c>
      <c r="C5152" s="8">
        <f t="shared" si="175"/>
        <v>5</v>
      </c>
      <c r="D5152" s="204">
        <v>46149</v>
      </c>
      <c r="E5152" s="188"/>
      <c r="G5152" s="188">
        <v>1000000</v>
      </c>
      <c r="H5152" s="188"/>
      <c r="I5152" s="188"/>
      <c r="J5152" s="187" t="s">
        <v>5136</v>
      </c>
      <c r="K5152" s="186"/>
    </row>
    <row r="5153" spans="1:11" x14ac:dyDescent="0.2">
      <c r="A5153" s="8">
        <v>40800.833333333299</v>
      </c>
      <c r="B5153" s="8">
        <f t="shared" si="174"/>
        <v>2026</v>
      </c>
      <c r="C5153" s="8">
        <f t="shared" si="175"/>
        <v>5</v>
      </c>
      <c r="D5153" s="204">
        <v>46149</v>
      </c>
      <c r="E5153" s="188"/>
      <c r="F5153" s="188">
        <v>200000</v>
      </c>
      <c r="G5153" s="188"/>
      <c r="H5153" s="188"/>
      <c r="I5153" s="188" t="s">
        <v>1350</v>
      </c>
      <c r="J5153" s="187" t="s">
        <v>5137</v>
      </c>
      <c r="K5153" s="186"/>
    </row>
    <row r="5154" spans="1:11" x14ac:dyDescent="0.2">
      <c r="A5154" s="8">
        <v>40941.833333333299</v>
      </c>
      <c r="B5154" s="8">
        <f t="shared" si="174"/>
        <v>2026</v>
      </c>
      <c r="C5154" s="8">
        <f t="shared" si="175"/>
        <v>5</v>
      </c>
      <c r="D5154" s="204">
        <v>46150</v>
      </c>
      <c r="E5154" s="188"/>
      <c r="G5154" s="188">
        <v>1500000</v>
      </c>
      <c r="H5154" s="188"/>
      <c r="I5154" s="188"/>
      <c r="J5154" s="187" t="s">
        <v>5138</v>
      </c>
      <c r="K5154" s="186"/>
    </row>
    <row r="5155" spans="1:11" x14ac:dyDescent="0.2">
      <c r="A5155" s="8">
        <v>41012.333333333299</v>
      </c>
      <c r="B5155" s="8">
        <f t="shared" si="174"/>
        <v>2026</v>
      </c>
      <c r="C5155" s="8">
        <f t="shared" si="175"/>
        <v>5</v>
      </c>
      <c r="D5155" s="204">
        <v>46151</v>
      </c>
      <c r="E5155" s="188"/>
      <c r="F5155" s="188">
        <v>100000</v>
      </c>
      <c r="G5155" s="188"/>
      <c r="H5155" s="188"/>
      <c r="I5155" s="188" t="s">
        <v>1815</v>
      </c>
      <c r="J5155" s="187" t="s">
        <v>5139</v>
      </c>
      <c r="K5155" s="186"/>
    </row>
    <row r="5156" spans="1:11" x14ac:dyDescent="0.2">
      <c r="A5156" s="8">
        <v>41082.833333333299</v>
      </c>
      <c r="B5156" s="8">
        <f t="shared" si="174"/>
        <v>2026</v>
      </c>
      <c r="C5156" s="8">
        <f t="shared" si="175"/>
        <v>5</v>
      </c>
      <c r="D5156" s="204">
        <v>46151</v>
      </c>
      <c r="E5156" s="188"/>
      <c r="F5156" s="188">
        <v>30000</v>
      </c>
      <c r="G5156" s="188"/>
      <c r="H5156" s="188"/>
      <c r="I5156" s="188" t="s">
        <v>91</v>
      </c>
      <c r="J5156" s="187" t="s">
        <v>5140</v>
      </c>
      <c r="K5156" s="186"/>
    </row>
    <row r="5157" spans="1:11" x14ac:dyDescent="0.2">
      <c r="A5157" s="8">
        <v>41153.333333333299</v>
      </c>
      <c r="B5157" s="8">
        <f t="shared" si="174"/>
        <v>2026</v>
      </c>
      <c r="C5157" s="8">
        <f t="shared" si="175"/>
        <v>5</v>
      </c>
      <c r="D5157" s="204">
        <v>46151</v>
      </c>
      <c r="E5157" s="188"/>
      <c r="F5157" s="188">
        <v>40000</v>
      </c>
      <c r="G5157" s="188"/>
      <c r="H5157" s="188"/>
      <c r="I5157" s="188" t="s">
        <v>91</v>
      </c>
      <c r="J5157" s="187" t="s">
        <v>5076</v>
      </c>
      <c r="K5157" s="186"/>
    </row>
    <row r="5158" spans="1:11" x14ac:dyDescent="0.2">
      <c r="A5158" s="8">
        <v>41223.833333333299</v>
      </c>
      <c r="B5158" s="8">
        <f t="shared" si="174"/>
        <v>2026</v>
      </c>
      <c r="C5158" s="8">
        <f t="shared" si="175"/>
        <v>5</v>
      </c>
      <c r="D5158" s="204">
        <v>46152</v>
      </c>
      <c r="E5158" s="188"/>
      <c r="F5158" s="188">
        <v>20000</v>
      </c>
      <c r="G5158" s="188"/>
      <c r="H5158" s="188"/>
      <c r="I5158" s="188" t="s">
        <v>91</v>
      </c>
      <c r="J5158" s="187" t="s">
        <v>5141</v>
      </c>
      <c r="K5158" s="186"/>
    </row>
    <row r="5159" spans="1:11" x14ac:dyDescent="0.2">
      <c r="A5159" s="8">
        <v>41294.333333333299</v>
      </c>
      <c r="B5159" s="8">
        <f t="shared" si="174"/>
        <v>2026</v>
      </c>
      <c r="C5159" s="8">
        <f t="shared" si="175"/>
        <v>5</v>
      </c>
      <c r="D5159" s="204">
        <v>46152</v>
      </c>
      <c r="E5159" s="188"/>
      <c r="F5159" s="188">
        <v>200000</v>
      </c>
      <c r="G5159" s="188"/>
      <c r="H5159" s="188"/>
      <c r="I5159" s="188" t="s">
        <v>85</v>
      </c>
      <c r="J5159" s="187" t="s">
        <v>5142</v>
      </c>
      <c r="K5159" s="186"/>
    </row>
    <row r="5160" spans="1:11" x14ac:dyDescent="0.2">
      <c r="A5160" s="8">
        <v>41364.833333333299</v>
      </c>
      <c r="B5160" s="8">
        <f t="shared" si="174"/>
        <v>2026</v>
      </c>
      <c r="C5160" s="8">
        <f t="shared" si="175"/>
        <v>5</v>
      </c>
      <c r="D5160" s="204">
        <v>46152</v>
      </c>
      <c r="E5160" s="188"/>
      <c r="F5160" s="188">
        <v>250000</v>
      </c>
      <c r="G5160" s="188"/>
      <c r="H5160" s="188"/>
      <c r="I5160" s="188" t="s">
        <v>1815</v>
      </c>
      <c r="J5160" s="187" t="s">
        <v>5143</v>
      </c>
      <c r="K5160" s="186"/>
    </row>
    <row r="5161" spans="1:11" x14ac:dyDescent="0.2">
      <c r="A5161" s="8">
        <v>41435.333333333299</v>
      </c>
      <c r="B5161" s="8">
        <f t="shared" si="174"/>
        <v>2026</v>
      </c>
      <c r="C5161" s="8">
        <f t="shared" si="175"/>
        <v>5</v>
      </c>
      <c r="D5161" s="204">
        <v>46152</v>
      </c>
      <c r="E5161" s="188"/>
      <c r="F5161" s="188">
        <v>50000</v>
      </c>
      <c r="G5161" s="188"/>
      <c r="H5161" s="188"/>
      <c r="I5161" s="188" t="s">
        <v>1815</v>
      </c>
      <c r="J5161" s="187" t="s">
        <v>5144</v>
      </c>
      <c r="K5161" s="186"/>
    </row>
    <row r="5162" spans="1:11" x14ac:dyDescent="0.2">
      <c r="A5162" s="8">
        <v>41505.833333333299</v>
      </c>
      <c r="B5162" s="8">
        <f t="shared" si="174"/>
        <v>2026</v>
      </c>
      <c r="C5162" s="8">
        <f t="shared" si="175"/>
        <v>5</v>
      </c>
      <c r="D5162" s="204">
        <v>46153</v>
      </c>
      <c r="E5162" s="188"/>
      <c r="F5162" s="188">
        <v>25000</v>
      </c>
      <c r="G5162" s="188"/>
      <c r="H5162" s="188"/>
      <c r="I5162" s="188" t="s">
        <v>91</v>
      </c>
      <c r="J5162" s="187" t="s">
        <v>5145</v>
      </c>
      <c r="K5162" s="186"/>
    </row>
    <row r="5163" spans="1:11" x14ac:dyDescent="0.2">
      <c r="A5163" s="8">
        <v>41646.833333333299</v>
      </c>
      <c r="B5163" s="8">
        <f t="shared" si="174"/>
        <v>2026</v>
      </c>
      <c r="C5163" s="8">
        <f t="shared" si="175"/>
        <v>5</v>
      </c>
      <c r="D5163" s="204">
        <v>46154</v>
      </c>
      <c r="E5163" s="188"/>
      <c r="F5163" s="188">
        <v>56000</v>
      </c>
      <c r="G5163" s="188"/>
      <c r="H5163" s="188"/>
      <c r="I5163" s="188" t="s">
        <v>91</v>
      </c>
      <c r="J5163" s="187" t="s">
        <v>5147</v>
      </c>
      <c r="K5163" s="186"/>
    </row>
    <row r="5164" spans="1:11" x14ac:dyDescent="0.2">
      <c r="A5164" s="8">
        <v>41717.333333333299</v>
      </c>
      <c r="B5164" s="8">
        <f t="shared" si="174"/>
        <v>2026</v>
      </c>
      <c r="C5164" s="8">
        <f t="shared" si="175"/>
        <v>5</v>
      </c>
      <c r="D5164" s="204">
        <v>46155</v>
      </c>
      <c r="E5164" s="188"/>
      <c r="F5164" s="188">
        <v>100000</v>
      </c>
      <c r="G5164" s="188"/>
      <c r="H5164" s="188"/>
      <c r="I5164" s="188" t="s">
        <v>85</v>
      </c>
      <c r="J5164" s="187" t="s">
        <v>287</v>
      </c>
      <c r="K5164" s="186"/>
    </row>
    <row r="5165" spans="1:11" x14ac:dyDescent="0.2">
      <c r="A5165" s="8">
        <v>41787.833333333299</v>
      </c>
      <c r="B5165" s="8">
        <f t="shared" si="174"/>
        <v>2026</v>
      </c>
      <c r="C5165" s="8">
        <f t="shared" si="175"/>
        <v>5</v>
      </c>
      <c r="D5165" s="204">
        <v>46156</v>
      </c>
      <c r="E5165" s="188"/>
      <c r="F5165" s="188">
        <v>100000</v>
      </c>
      <c r="G5165" s="188"/>
      <c r="H5165" s="188"/>
      <c r="I5165" s="188" t="s">
        <v>85</v>
      </c>
      <c r="J5165" s="187" t="s">
        <v>287</v>
      </c>
      <c r="K5165" s="186"/>
    </row>
    <row r="5166" spans="1:11" x14ac:dyDescent="0.2">
      <c r="A5166" s="8">
        <v>41858.333333333299</v>
      </c>
      <c r="B5166" s="8">
        <f t="shared" si="174"/>
        <v>2026</v>
      </c>
      <c r="C5166" s="8">
        <f t="shared" si="175"/>
        <v>5</v>
      </c>
      <c r="D5166" s="204">
        <v>46157</v>
      </c>
      <c r="E5166" s="188"/>
      <c r="F5166" s="188">
        <v>20000</v>
      </c>
      <c r="G5166" s="188"/>
      <c r="H5166" s="188"/>
      <c r="I5166" s="188" t="s">
        <v>91</v>
      </c>
      <c r="J5166" s="187" t="s">
        <v>4202</v>
      </c>
      <c r="K5166" s="186"/>
    </row>
    <row r="5167" spans="1:11" x14ac:dyDescent="0.2">
      <c r="A5167" s="8">
        <v>41928.833333333299</v>
      </c>
      <c r="B5167" s="8">
        <f t="shared" si="174"/>
        <v>2026</v>
      </c>
      <c r="C5167" s="8">
        <f t="shared" si="175"/>
        <v>5</v>
      </c>
      <c r="D5167" s="204">
        <v>46157</v>
      </c>
      <c r="E5167" s="188"/>
      <c r="F5167" s="188">
        <v>480000</v>
      </c>
      <c r="G5167" s="188"/>
      <c r="H5167" s="188"/>
      <c r="I5167" s="188" t="s">
        <v>1350</v>
      </c>
      <c r="J5167" s="187" t="s">
        <v>5148</v>
      </c>
      <c r="K5167" s="186"/>
    </row>
    <row r="5168" spans="1:11" x14ac:dyDescent="0.2">
      <c r="A5168" s="8">
        <v>41999.333333333299</v>
      </c>
      <c r="B5168" s="8">
        <f t="shared" si="174"/>
        <v>2026</v>
      </c>
      <c r="C5168" s="8">
        <f t="shared" si="175"/>
        <v>5</v>
      </c>
      <c r="D5168" s="204">
        <v>46157</v>
      </c>
      <c r="E5168" s="188"/>
      <c r="F5168" s="188">
        <v>50000</v>
      </c>
      <c r="G5168" s="188"/>
      <c r="H5168" s="188"/>
      <c r="I5168" s="188" t="s">
        <v>85</v>
      </c>
      <c r="J5168" s="187" t="s">
        <v>2602</v>
      </c>
      <c r="K5168" s="186"/>
    </row>
    <row r="5169" spans="1:11" x14ac:dyDescent="0.2">
      <c r="A5169" s="8">
        <v>42069.833333333299</v>
      </c>
      <c r="B5169" s="8">
        <f t="shared" si="174"/>
        <v>2026</v>
      </c>
      <c r="C5169" s="8">
        <f t="shared" si="175"/>
        <v>5</v>
      </c>
      <c r="D5169" s="204">
        <v>46158</v>
      </c>
      <c r="E5169" s="188"/>
      <c r="F5169" s="188">
        <v>100000</v>
      </c>
      <c r="G5169" s="188"/>
      <c r="H5169" s="188"/>
      <c r="I5169" s="188" t="s">
        <v>91</v>
      </c>
      <c r="J5169" s="187" t="s">
        <v>5149</v>
      </c>
      <c r="K5169" s="186"/>
    </row>
    <row r="5170" spans="1:11" x14ac:dyDescent="0.2">
      <c r="A5170" s="8">
        <v>42140.333333333299</v>
      </c>
      <c r="B5170" s="8">
        <f t="shared" si="174"/>
        <v>2026</v>
      </c>
      <c r="C5170" s="8">
        <f t="shared" si="175"/>
        <v>5</v>
      </c>
      <c r="D5170" s="204">
        <v>46159</v>
      </c>
      <c r="E5170" s="188"/>
      <c r="F5170" s="188">
        <v>150000</v>
      </c>
      <c r="G5170" s="188"/>
      <c r="H5170" s="188"/>
      <c r="I5170" s="188" t="s">
        <v>91</v>
      </c>
      <c r="J5170" s="187" t="s">
        <v>5150</v>
      </c>
      <c r="K5170" s="186"/>
    </row>
    <row r="5171" spans="1:11" x14ac:dyDescent="0.2">
      <c r="A5171" s="8">
        <v>42210.833333333299</v>
      </c>
      <c r="B5171" s="8">
        <f t="shared" si="174"/>
        <v>2026</v>
      </c>
      <c r="C5171" s="8">
        <f t="shared" si="175"/>
        <v>5</v>
      </c>
      <c r="D5171" s="204">
        <v>46159</v>
      </c>
      <c r="E5171" s="188"/>
      <c r="F5171" s="188">
        <v>205000</v>
      </c>
      <c r="G5171" s="188"/>
      <c r="H5171" s="188"/>
      <c r="I5171" s="188" t="s">
        <v>85</v>
      </c>
      <c r="J5171" s="187" t="s">
        <v>5151</v>
      </c>
      <c r="K5171" s="186"/>
    </row>
    <row r="5172" spans="1:11" x14ac:dyDescent="0.2">
      <c r="A5172" s="8">
        <v>42281.333333333299</v>
      </c>
      <c r="B5172" s="8">
        <f t="shared" si="174"/>
        <v>2026</v>
      </c>
      <c r="C5172" s="8">
        <f t="shared" si="175"/>
        <v>5</v>
      </c>
      <c r="D5172" s="204">
        <v>46159</v>
      </c>
      <c r="E5172" s="188"/>
      <c r="F5172" s="188">
        <v>50000</v>
      </c>
      <c r="G5172" s="188"/>
      <c r="H5172" s="188"/>
      <c r="I5172" s="188" t="s">
        <v>91</v>
      </c>
      <c r="J5172" s="187" t="s">
        <v>5058</v>
      </c>
      <c r="K5172" s="186"/>
    </row>
    <row r="5173" spans="1:11" x14ac:dyDescent="0.2">
      <c r="A5173" s="8">
        <v>42351.833333333299</v>
      </c>
      <c r="B5173" s="8">
        <f t="shared" si="174"/>
        <v>2026</v>
      </c>
      <c r="C5173" s="8">
        <f t="shared" si="175"/>
        <v>5</v>
      </c>
      <c r="D5173" s="204">
        <v>46160</v>
      </c>
      <c r="E5173" s="188"/>
      <c r="F5173" s="188">
        <v>30000</v>
      </c>
      <c r="G5173" s="188"/>
      <c r="H5173" s="188"/>
      <c r="I5173" s="188" t="s">
        <v>91</v>
      </c>
      <c r="J5173" s="187" t="s">
        <v>5012</v>
      </c>
      <c r="K5173" s="186"/>
    </row>
    <row r="5174" spans="1:11" x14ac:dyDescent="0.2">
      <c r="A5174" s="8">
        <v>42422.333333333299</v>
      </c>
      <c r="B5174" s="8">
        <f t="shared" si="174"/>
        <v>2026</v>
      </c>
      <c r="C5174" s="8">
        <f t="shared" si="175"/>
        <v>5</v>
      </c>
      <c r="D5174" s="204">
        <v>46160</v>
      </c>
      <c r="E5174" s="188"/>
      <c r="F5174" s="188">
        <v>40000</v>
      </c>
      <c r="G5174" s="188"/>
      <c r="H5174" s="188"/>
      <c r="I5174" s="188" t="s">
        <v>91</v>
      </c>
      <c r="J5174" s="187" t="s">
        <v>5152</v>
      </c>
      <c r="K5174" s="186"/>
    </row>
    <row r="5175" spans="1:11" x14ac:dyDescent="0.2">
      <c r="A5175" s="8">
        <v>42492.833333333299</v>
      </c>
      <c r="B5175" s="8">
        <f t="shared" si="174"/>
        <v>2026</v>
      </c>
      <c r="C5175" s="8">
        <f t="shared" si="175"/>
        <v>5</v>
      </c>
      <c r="D5175" s="204">
        <v>46160</v>
      </c>
      <c r="E5175" s="188"/>
      <c r="F5175" s="188">
        <v>80000</v>
      </c>
      <c r="G5175" s="188"/>
      <c r="H5175" s="188"/>
      <c r="I5175" s="188" t="s">
        <v>91</v>
      </c>
      <c r="J5175" s="187" t="s">
        <v>5070</v>
      </c>
      <c r="K5175" s="186"/>
    </row>
    <row r="5176" spans="1:11" x14ac:dyDescent="0.2">
      <c r="A5176" s="8">
        <v>42563.333333333299</v>
      </c>
      <c r="B5176" s="8">
        <f t="shared" si="174"/>
        <v>2026</v>
      </c>
      <c r="C5176" s="8">
        <f t="shared" si="175"/>
        <v>5</v>
      </c>
      <c r="D5176" s="204">
        <v>46161</v>
      </c>
      <c r="E5176" s="188"/>
      <c r="G5176" s="188">
        <v>200000</v>
      </c>
      <c r="H5176" s="188"/>
      <c r="I5176" s="188"/>
      <c r="J5176" s="187" t="s">
        <v>5153</v>
      </c>
      <c r="K5176" s="186"/>
    </row>
    <row r="5177" spans="1:11" x14ac:dyDescent="0.2">
      <c r="A5177" s="8">
        <v>42633.833333333299</v>
      </c>
      <c r="B5177" s="8">
        <f t="shared" si="174"/>
        <v>2026</v>
      </c>
      <c r="C5177" s="8">
        <f t="shared" si="175"/>
        <v>5</v>
      </c>
      <c r="D5177" s="204">
        <v>46161</v>
      </c>
      <c r="E5177" s="188"/>
      <c r="F5177" s="188">
        <v>200000</v>
      </c>
      <c r="G5177" s="188"/>
      <c r="H5177" s="188"/>
      <c r="I5177" s="188" t="s">
        <v>1992</v>
      </c>
      <c r="J5177" s="187" t="s">
        <v>5154</v>
      </c>
      <c r="K5177" s="186"/>
    </row>
    <row r="5178" spans="1:11" x14ac:dyDescent="0.2">
      <c r="A5178" s="8">
        <v>42704.333333333299</v>
      </c>
      <c r="B5178" s="8">
        <f t="shared" si="174"/>
        <v>2026</v>
      </c>
      <c r="C5178" s="8">
        <f t="shared" si="175"/>
        <v>5</v>
      </c>
      <c r="D5178" s="204">
        <v>46161</v>
      </c>
      <c r="E5178" s="188"/>
      <c r="F5178" s="188">
        <v>221000</v>
      </c>
      <c r="G5178" s="188"/>
      <c r="H5178" s="188"/>
      <c r="I5178" s="188" t="s">
        <v>299</v>
      </c>
      <c r="J5178" s="187" t="s">
        <v>5155</v>
      </c>
      <c r="K5178" s="186"/>
    </row>
    <row r="5179" spans="1:11" x14ac:dyDescent="0.2">
      <c r="A5179" s="8">
        <v>42774.833333333299</v>
      </c>
      <c r="B5179" s="8">
        <f t="shared" si="174"/>
        <v>2026</v>
      </c>
      <c r="C5179" s="8">
        <f t="shared" si="175"/>
        <v>5</v>
      </c>
      <c r="D5179" s="204">
        <v>46162</v>
      </c>
      <c r="E5179" s="188"/>
      <c r="F5179" s="188">
        <v>50000</v>
      </c>
      <c r="G5179" s="188"/>
      <c r="H5179" s="188"/>
      <c r="I5179" s="188" t="s">
        <v>85</v>
      </c>
      <c r="J5179" s="187" t="s">
        <v>4178</v>
      </c>
      <c r="K5179" s="186"/>
    </row>
    <row r="5180" spans="1:11" x14ac:dyDescent="0.2">
      <c r="A5180" s="8">
        <v>42845.333333333299</v>
      </c>
      <c r="B5180" s="8">
        <f t="shared" si="174"/>
        <v>2026</v>
      </c>
      <c r="C5180" s="8">
        <f t="shared" si="175"/>
        <v>5</v>
      </c>
      <c r="D5180" s="204">
        <v>46163</v>
      </c>
      <c r="E5180" s="188"/>
      <c r="F5180" s="188">
        <v>20000</v>
      </c>
      <c r="G5180" s="188"/>
      <c r="H5180" s="188"/>
      <c r="I5180" s="188" t="s">
        <v>91</v>
      </c>
      <c r="J5180" s="187" t="s">
        <v>5156</v>
      </c>
      <c r="K5180" s="186"/>
    </row>
    <row r="5181" spans="1:11" x14ac:dyDescent="0.2">
      <c r="A5181" s="8">
        <v>42915.833333333299</v>
      </c>
      <c r="B5181" s="8">
        <f t="shared" si="174"/>
        <v>2026</v>
      </c>
      <c r="C5181" s="8">
        <f t="shared" si="175"/>
        <v>5</v>
      </c>
      <c r="D5181" s="204">
        <v>46163</v>
      </c>
      <c r="E5181" s="188"/>
      <c r="G5181" s="188">
        <v>200000</v>
      </c>
      <c r="H5181" s="188"/>
      <c r="I5181" s="188"/>
      <c r="J5181" s="187" t="s">
        <v>5157</v>
      </c>
      <c r="K5181" s="186"/>
    </row>
    <row r="5182" spans="1:11" x14ac:dyDescent="0.2">
      <c r="A5182" s="8">
        <v>42986.333333333299</v>
      </c>
      <c r="B5182" s="8">
        <f t="shared" si="174"/>
        <v>2026</v>
      </c>
      <c r="C5182" s="8">
        <f t="shared" si="175"/>
        <v>5</v>
      </c>
      <c r="D5182" s="204">
        <v>46164</v>
      </c>
      <c r="E5182" s="188"/>
      <c r="G5182" s="188">
        <v>100000</v>
      </c>
      <c r="H5182" s="188"/>
      <c r="I5182" s="188"/>
      <c r="J5182" s="187" t="s">
        <v>5158</v>
      </c>
      <c r="K5182" s="186"/>
    </row>
    <row r="5183" spans="1:11" x14ac:dyDescent="0.2">
      <c r="A5183" s="8">
        <v>43056.833333333299</v>
      </c>
      <c r="B5183" s="8">
        <f t="shared" si="174"/>
        <v>2026</v>
      </c>
      <c r="C5183" s="8">
        <f t="shared" si="175"/>
        <v>5</v>
      </c>
      <c r="D5183" s="204">
        <v>46164</v>
      </c>
      <c r="E5183" s="188"/>
      <c r="F5183" s="188">
        <v>20000</v>
      </c>
      <c r="G5183" s="188"/>
      <c r="H5183" s="188"/>
      <c r="I5183" s="188" t="s">
        <v>91</v>
      </c>
      <c r="J5183" s="187" t="s">
        <v>4202</v>
      </c>
      <c r="K5183" s="186"/>
    </row>
    <row r="5184" spans="1:11" x14ac:dyDescent="0.2">
      <c r="A5184" s="8">
        <v>43127.333333333299</v>
      </c>
      <c r="B5184" s="8">
        <f t="shared" si="174"/>
        <v>2026</v>
      </c>
      <c r="C5184" s="8">
        <f t="shared" si="175"/>
        <v>5</v>
      </c>
      <c r="D5184" s="204">
        <v>46164</v>
      </c>
      <c r="E5184" s="188"/>
      <c r="F5184" s="188">
        <v>20000</v>
      </c>
      <c r="G5184" s="188"/>
      <c r="H5184" s="188"/>
      <c r="I5184" s="188" t="s">
        <v>335</v>
      </c>
      <c r="J5184" s="187" t="s">
        <v>5159</v>
      </c>
      <c r="K5184" s="186"/>
    </row>
    <row r="5185" spans="1:11" x14ac:dyDescent="0.2">
      <c r="A5185" s="8">
        <v>43197.833333333299</v>
      </c>
      <c r="B5185" s="8">
        <f t="shared" si="174"/>
        <v>2026</v>
      </c>
      <c r="C5185" s="8">
        <f t="shared" si="175"/>
        <v>5</v>
      </c>
      <c r="D5185" s="204">
        <v>46164</v>
      </c>
      <c r="E5185" s="188"/>
      <c r="F5185" s="188">
        <v>220000</v>
      </c>
      <c r="G5185" s="188"/>
      <c r="H5185" s="188"/>
      <c r="I5185" s="188" t="s">
        <v>391</v>
      </c>
      <c r="J5185" s="187" t="s">
        <v>5160</v>
      </c>
      <c r="K5185" s="186"/>
    </row>
    <row r="5186" spans="1:11" x14ac:dyDescent="0.2">
      <c r="A5186" s="8">
        <v>43268.333333333299</v>
      </c>
      <c r="B5186" s="8">
        <f t="shared" si="174"/>
        <v>2026</v>
      </c>
      <c r="C5186" s="8">
        <f t="shared" si="175"/>
        <v>5</v>
      </c>
      <c r="D5186" s="204">
        <v>46164</v>
      </c>
      <c r="E5186" s="188"/>
      <c r="F5186" s="188">
        <v>40000</v>
      </c>
      <c r="G5186" s="188"/>
      <c r="H5186" s="188"/>
      <c r="I5186" s="188" t="s">
        <v>85</v>
      </c>
      <c r="J5186" s="187" t="s">
        <v>5161</v>
      </c>
      <c r="K5186" s="186"/>
    </row>
    <row r="5187" spans="1:11" x14ac:dyDescent="0.2">
      <c r="A5187" s="8">
        <v>43338.833333333299</v>
      </c>
      <c r="B5187" s="8">
        <f t="shared" si="174"/>
        <v>2026</v>
      </c>
      <c r="C5187" s="8">
        <f t="shared" si="175"/>
        <v>5</v>
      </c>
      <c r="D5187" s="204">
        <v>46164</v>
      </c>
      <c r="E5187" s="188"/>
      <c r="F5187" s="188">
        <v>50000</v>
      </c>
      <c r="G5187" s="188"/>
      <c r="H5187" s="188"/>
      <c r="I5187" s="188" t="s">
        <v>85</v>
      </c>
      <c r="J5187" s="187" t="s">
        <v>5162</v>
      </c>
      <c r="K5187" s="186"/>
    </row>
    <row r="5188" spans="1:11" x14ac:dyDescent="0.2">
      <c r="A5188" s="8">
        <v>43409.333333333299</v>
      </c>
      <c r="B5188" s="8">
        <f t="shared" si="174"/>
        <v>2026</v>
      </c>
      <c r="C5188" s="8">
        <f t="shared" si="175"/>
        <v>5</v>
      </c>
      <c r="D5188" s="204">
        <v>46165</v>
      </c>
      <c r="E5188" s="188"/>
      <c r="F5188" s="188">
        <v>48000</v>
      </c>
      <c r="G5188" s="188"/>
      <c r="H5188" s="188"/>
      <c r="I5188" s="188" t="s">
        <v>91</v>
      </c>
      <c r="J5188" s="187" t="s">
        <v>5163</v>
      </c>
      <c r="K5188" s="186"/>
    </row>
    <row r="5189" spans="1:11" x14ac:dyDescent="0.2">
      <c r="A5189" s="8">
        <v>43479.833333333299</v>
      </c>
      <c r="B5189" s="8">
        <f t="shared" si="174"/>
        <v>2026</v>
      </c>
      <c r="C5189" s="8">
        <f t="shared" si="175"/>
        <v>5</v>
      </c>
      <c r="D5189" s="204">
        <v>46165</v>
      </c>
      <c r="E5189" s="188"/>
      <c r="F5189" s="188">
        <v>50000</v>
      </c>
      <c r="G5189" s="188"/>
      <c r="H5189" s="188"/>
      <c r="I5189" s="188" t="s">
        <v>1815</v>
      </c>
      <c r="J5189" s="187" t="s">
        <v>5164</v>
      </c>
      <c r="K5189" s="186"/>
    </row>
    <row r="5190" spans="1:11" x14ac:dyDescent="0.2">
      <c r="A5190" s="8">
        <v>43550.333333333299</v>
      </c>
      <c r="B5190" s="8">
        <f t="shared" si="174"/>
        <v>2026</v>
      </c>
      <c r="C5190" s="8">
        <f t="shared" si="175"/>
        <v>5</v>
      </c>
      <c r="D5190" s="204">
        <v>46165</v>
      </c>
      <c r="E5190" s="188"/>
      <c r="G5190" s="188">
        <v>500000</v>
      </c>
      <c r="H5190" s="188"/>
      <c r="I5190" s="188"/>
      <c r="J5190" s="187" t="s">
        <v>5165</v>
      </c>
      <c r="K5190" s="186"/>
    </row>
    <row r="5191" spans="1:11" x14ac:dyDescent="0.2">
      <c r="A5191" s="8">
        <v>43620.833333333299</v>
      </c>
      <c r="B5191" s="8">
        <f t="shared" si="174"/>
        <v>2026</v>
      </c>
      <c r="C5191" s="8">
        <f t="shared" si="175"/>
        <v>5</v>
      </c>
      <c r="D5191" s="204">
        <v>46165</v>
      </c>
      <c r="E5191" s="188"/>
      <c r="F5191" s="188">
        <v>70000</v>
      </c>
      <c r="G5191" s="188"/>
      <c r="H5191" s="188"/>
      <c r="I5191" s="188" t="s">
        <v>91</v>
      </c>
      <c r="J5191" s="187" t="s">
        <v>5166</v>
      </c>
      <c r="K5191" s="186"/>
    </row>
    <row r="5192" spans="1:11" x14ac:dyDescent="0.2">
      <c r="A5192" s="8">
        <v>43761.833333333299</v>
      </c>
      <c r="B5192" s="8">
        <f t="shared" si="174"/>
        <v>2026</v>
      </c>
      <c r="C5192" s="8">
        <f t="shared" si="175"/>
        <v>5</v>
      </c>
      <c r="D5192" s="204">
        <v>46166</v>
      </c>
      <c r="E5192" s="188"/>
      <c r="F5192" s="188">
        <v>50000</v>
      </c>
      <c r="G5192" s="188"/>
      <c r="H5192" s="188"/>
      <c r="I5192" s="188" t="s">
        <v>85</v>
      </c>
      <c r="J5192" s="187" t="s">
        <v>287</v>
      </c>
      <c r="K5192" s="186"/>
    </row>
    <row r="5193" spans="1:11" x14ac:dyDescent="0.2">
      <c r="A5193" s="8">
        <v>43832.333333333299</v>
      </c>
      <c r="B5193" s="8">
        <f t="shared" si="174"/>
        <v>2026</v>
      </c>
      <c r="C5193" s="8">
        <f t="shared" si="175"/>
        <v>5</v>
      </c>
      <c r="D5193" s="204">
        <v>46167</v>
      </c>
      <c r="E5193" s="188"/>
      <c r="F5193" s="188">
        <v>50000</v>
      </c>
      <c r="G5193" s="188"/>
      <c r="H5193" s="188"/>
      <c r="I5193" s="188" t="s">
        <v>85</v>
      </c>
      <c r="J5193" s="187" t="s">
        <v>287</v>
      </c>
      <c r="K5193" s="186"/>
    </row>
    <row r="5194" spans="1:11" x14ac:dyDescent="0.2">
      <c r="A5194" s="8">
        <v>43902.833333333299</v>
      </c>
      <c r="B5194" s="8">
        <f t="shared" ref="B5194:B5255" si="176">YEAR(D5194)</f>
        <v>2026</v>
      </c>
      <c r="C5194" s="8">
        <f t="shared" ref="C5194:C5255" si="177">MONTH(D5194)</f>
        <v>5</v>
      </c>
      <c r="D5194" s="204">
        <v>46168</v>
      </c>
      <c r="E5194" s="188"/>
      <c r="F5194" s="188">
        <v>100000</v>
      </c>
      <c r="G5194" s="188"/>
      <c r="H5194" s="188"/>
      <c r="I5194" s="188" t="s">
        <v>1815</v>
      </c>
      <c r="J5194" s="187" t="s">
        <v>5192</v>
      </c>
      <c r="K5194" s="186"/>
    </row>
    <row r="5195" spans="1:11" x14ac:dyDescent="0.2">
      <c r="A5195" s="8">
        <v>43973.333333333299</v>
      </c>
      <c r="B5195" s="8">
        <f t="shared" si="176"/>
        <v>2026</v>
      </c>
      <c r="C5195" s="8">
        <f t="shared" si="177"/>
        <v>5</v>
      </c>
      <c r="D5195" s="204">
        <v>46168</v>
      </c>
      <c r="E5195" s="188"/>
      <c r="F5195" s="188">
        <v>282000</v>
      </c>
      <c r="G5195" s="188"/>
      <c r="H5195" s="188"/>
      <c r="I5195" s="188" t="s">
        <v>2807</v>
      </c>
      <c r="J5195" s="187" t="s">
        <v>5193</v>
      </c>
      <c r="K5195" s="186"/>
    </row>
    <row r="5196" spans="1:11" x14ac:dyDescent="0.2">
      <c r="A5196" s="8">
        <v>44043.833333333299</v>
      </c>
      <c r="B5196" s="8">
        <f t="shared" si="176"/>
        <v>2026</v>
      </c>
      <c r="C5196" s="8">
        <f t="shared" si="177"/>
        <v>5</v>
      </c>
      <c r="D5196" s="204">
        <v>46168</v>
      </c>
      <c r="E5196" s="188"/>
      <c r="F5196" s="188">
        <v>17000</v>
      </c>
      <c r="G5196" s="188"/>
      <c r="H5196" s="188"/>
      <c r="I5196" s="188" t="s">
        <v>1350</v>
      </c>
      <c r="J5196" s="187" t="s">
        <v>5194</v>
      </c>
      <c r="K5196" s="186"/>
    </row>
    <row r="5197" spans="1:11" x14ac:dyDescent="0.2">
      <c r="A5197" s="8">
        <v>44114.333333333299</v>
      </c>
      <c r="B5197" s="8">
        <f t="shared" si="176"/>
        <v>2026</v>
      </c>
      <c r="C5197" s="8">
        <f t="shared" si="177"/>
        <v>5</v>
      </c>
      <c r="D5197" s="204">
        <v>46169</v>
      </c>
      <c r="E5197" s="188"/>
      <c r="F5197" s="188">
        <v>100000</v>
      </c>
      <c r="G5197" s="188"/>
      <c r="H5197" s="188"/>
      <c r="I5197" s="188" t="s">
        <v>85</v>
      </c>
      <c r="J5197" s="187" t="s">
        <v>5128</v>
      </c>
      <c r="K5197" s="186"/>
    </row>
    <row r="5198" spans="1:11" x14ac:dyDescent="0.2">
      <c r="A5198" s="8">
        <v>44184.833333333299</v>
      </c>
      <c r="B5198" s="8">
        <f t="shared" si="176"/>
        <v>2026</v>
      </c>
      <c r="C5198" s="8">
        <f t="shared" si="177"/>
        <v>5</v>
      </c>
      <c r="D5198" s="204">
        <v>46170</v>
      </c>
      <c r="E5198" s="188"/>
      <c r="F5198" s="188">
        <v>50000</v>
      </c>
      <c r="G5198" s="188"/>
      <c r="H5198" s="188"/>
      <c r="I5198" s="188" t="s">
        <v>91</v>
      </c>
      <c r="J5198" s="187" t="s">
        <v>5195</v>
      </c>
      <c r="K5198" s="186"/>
    </row>
    <row r="5199" spans="1:11" x14ac:dyDescent="0.2">
      <c r="A5199" s="8">
        <v>44255.333333333299</v>
      </c>
      <c r="B5199" s="8">
        <f t="shared" si="176"/>
        <v>2026</v>
      </c>
      <c r="C5199" s="8">
        <f t="shared" si="177"/>
        <v>5</v>
      </c>
      <c r="D5199" s="204">
        <v>46170</v>
      </c>
      <c r="E5199" s="188"/>
      <c r="F5199" s="188">
        <v>65000</v>
      </c>
      <c r="G5199" s="188"/>
      <c r="H5199" s="188"/>
      <c r="I5199" s="188" t="s">
        <v>1815</v>
      </c>
      <c r="J5199" s="187" t="s">
        <v>5196</v>
      </c>
      <c r="K5199" s="186"/>
    </row>
    <row r="5200" spans="1:11" x14ac:dyDescent="0.2">
      <c r="A5200" s="8">
        <v>44325.833333333299</v>
      </c>
      <c r="B5200" s="8">
        <f t="shared" si="176"/>
        <v>2026</v>
      </c>
      <c r="C5200" s="8">
        <f t="shared" si="177"/>
        <v>5</v>
      </c>
      <c r="D5200" s="204">
        <v>46171</v>
      </c>
      <c r="E5200" s="188"/>
      <c r="F5200" s="188">
        <v>1000000</v>
      </c>
      <c r="G5200" s="188"/>
      <c r="H5200" s="188"/>
      <c r="I5200" s="188"/>
      <c r="J5200" s="187" t="s">
        <v>5197</v>
      </c>
      <c r="K5200" s="186"/>
    </row>
    <row r="5201" spans="1:11" x14ac:dyDescent="0.2">
      <c r="A5201" s="8">
        <v>44396.333333333299</v>
      </c>
      <c r="B5201" s="8">
        <f t="shared" si="176"/>
        <v>2026</v>
      </c>
      <c r="C5201" s="8">
        <f t="shared" si="177"/>
        <v>5</v>
      </c>
      <c r="D5201" s="204">
        <v>46171</v>
      </c>
      <c r="E5201" s="188"/>
      <c r="F5201" s="188">
        <v>400000</v>
      </c>
      <c r="G5201" s="188"/>
      <c r="H5201" s="188"/>
      <c r="I5201" s="188" t="s">
        <v>91</v>
      </c>
      <c r="J5201" s="187" t="s">
        <v>5198</v>
      </c>
      <c r="K5201" s="186"/>
    </row>
    <row r="5202" spans="1:11" x14ac:dyDescent="0.2">
      <c r="A5202" s="8">
        <v>44466.833333333299</v>
      </c>
      <c r="B5202" s="8">
        <f t="shared" si="176"/>
        <v>2026</v>
      </c>
      <c r="C5202" s="8">
        <f t="shared" si="177"/>
        <v>6</v>
      </c>
      <c r="D5202" s="204">
        <v>46174</v>
      </c>
      <c r="E5202" s="188"/>
      <c r="F5202" s="188">
        <v>1000000</v>
      </c>
      <c r="G5202" s="188"/>
      <c r="H5202" s="188"/>
      <c r="I5202" s="188" t="s">
        <v>1350</v>
      </c>
      <c r="J5202" s="187" t="s">
        <v>5199</v>
      </c>
      <c r="K5202" s="186"/>
    </row>
    <row r="5203" spans="1:11" x14ac:dyDescent="0.2">
      <c r="A5203" s="8">
        <v>44537.333333333299</v>
      </c>
      <c r="B5203" s="8">
        <f t="shared" si="176"/>
        <v>2026</v>
      </c>
      <c r="C5203" s="8">
        <f t="shared" si="177"/>
        <v>5</v>
      </c>
      <c r="D5203" s="204">
        <v>46172</v>
      </c>
      <c r="E5203" s="188"/>
      <c r="F5203" s="188">
        <v>154000</v>
      </c>
      <c r="G5203" s="188"/>
      <c r="H5203" s="188"/>
      <c r="I5203" s="188" t="s">
        <v>85</v>
      </c>
      <c r="J5203" s="187" t="s">
        <v>5132</v>
      </c>
      <c r="K5203" s="186"/>
    </row>
    <row r="5204" spans="1:11" x14ac:dyDescent="0.2">
      <c r="A5204" s="8">
        <v>44607.833333333299</v>
      </c>
      <c r="B5204" s="8">
        <f t="shared" si="176"/>
        <v>2026</v>
      </c>
      <c r="C5204" s="8">
        <f t="shared" si="177"/>
        <v>5</v>
      </c>
      <c r="D5204" s="204">
        <v>46172</v>
      </c>
      <c r="E5204" s="188"/>
      <c r="F5204" s="188">
        <v>6500000</v>
      </c>
      <c r="G5204" s="188"/>
      <c r="H5204" s="188"/>
      <c r="I5204" s="188"/>
      <c r="J5204" s="187" t="s">
        <v>5200</v>
      </c>
      <c r="K5204" s="186"/>
    </row>
    <row r="5205" spans="1:11" x14ac:dyDescent="0.2">
      <c r="A5205" s="8">
        <v>44678.333333333299</v>
      </c>
      <c r="B5205" s="8">
        <f t="shared" si="176"/>
        <v>2026</v>
      </c>
      <c r="C5205" s="8">
        <f t="shared" si="177"/>
        <v>6</v>
      </c>
      <c r="D5205" s="204">
        <v>46174</v>
      </c>
      <c r="E5205" s="188"/>
      <c r="F5205" s="188">
        <v>100000</v>
      </c>
      <c r="G5205" s="188"/>
      <c r="H5205" s="188"/>
      <c r="I5205" s="188" t="s">
        <v>85</v>
      </c>
      <c r="J5205" s="187" t="s">
        <v>287</v>
      </c>
      <c r="K5205" s="186"/>
    </row>
    <row r="5206" spans="1:11" x14ac:dyDescent="0.2">
      <c r="A5206" s="8">
        <v>44748.833333333299</v>
      </c>
      <c r="B5206" s="8">
        <f t="shared" si="176"/>
        <v>2026</v>
      </c>
      <c r="C5206" s="8">
        <f t="shared" si="177"/>
        <v>6</v>
      </c>
      <c r="D5206" s="204">
        <v>46175</v>
      </c>
      <c r="E5206" s="188"/>
      <c r="F5206" s="188">
        <v>100000</v>
      </c>
      <c r="G5206" s="188"/>
      <c r="H5206" s="188"/>
      <c r="I5206" s="188" t="s">
        <v>85</v>
      </c>
      <c r="J5206" s="187" t="s">
        <v>287</v>
      </c>
      <c r="K5206" s="186"/>
    </row>
    <row r="5207" spans="1:11" x14ac:dyDescent="0.2">
      <c r="A5207" s="8">
        <v>44819.333333333299</v>
      </c>
      <c r="B5207" s="8">
        <f t="shared" si="176"/>
        <v>2026</v>
      </c>
      <c r="C5207" s="8">
        <f t="shared" si="177"/>
        <v>6</v>
      </c>
      <c r="D5207" s="204">
        <v>46176</v>
      </c>
      <c r="E5207" s="188"/>
      <c r="F5207" s="188">
        <v>100000</v>
      </c>
      <c r="G5207" s="188"/>
      <c r="H5207" s="188"/>
      <c r="I5207" s="188" t="s">
        <v>85</v>
      </c>
      <c r="J5207" s="187" t="s">
        <v>287</v>
      </c>
      <c r="K5207" s="186"/>
    </row>
    <row r="5208" spans="1:11" x14ac:dyDescent="0.2">
      <c r="A5208" s="8">
        <v>44889.833333333299</v>
      </c>
      <c r="B5208" s="8">
        <f t="shared" si="176"/>
        <v>2026</v>
      </c>
      <c r="C5208" s="8">
        <f t="shared" si="177"/>
        <v>6</v>
      </c>
      <c r="D5208" s="204">
        <v>46177</v>
      </c>
      <c r="E5208" s="188"/>
      <c r="F5208" s="188">
        <v>208000</v>
      </c>
      <c r="G5208" s="188"/>
      <c r="H5208" s="188"/>
      <c r="I5208" s="188" t="s">
        <v>85</v>
      </c>
      <c r="J5208" s="187" t="s">
        <v>5201</v>
      </c>
      <c r="K5208" s="186"/>
    </row>
    <row r="5209" spans="1:11" x14ac:dyDescent="0.2">
      <c r="A5209" s="8">
        <v>44960.333333333299</v>
      </c>
      <c r="B5209" s="8">
        <f t="shared" si="176"/>
        <v>2026</v>
      </c>
      <c r="C5209" s="8">
        <f t="shared" si="177"/>
        <v>6</v>
      </c>
      <c r="D5209" s="204">
        <v>46177</v>
      </c>
      <c r="E5209" s="188"/>
      <c r="F5209" s="188">
        <v>130000</v>
      </c>
      <c r="G5209" s="188"/>
      <c r="H5209" s="188"/>
      <c r="I5209" s="188" t="s">
        <v>85</v>
      </c>
      <c r="J5209" s="187" t="s">
        <v>5202</v>
      </c>
      <c r="K5209" s="186"/>
    </row>
    <row r="5210" spans="1:11" x14ac:dyDescent="0.2">
      <c r="A5210" s="8">
        <v>45030.833333333299</v>
      </c>
      <c r="B5210" s="8">
        <f t="shared" si="176"/>
        <v>2026</v>
      </c>
      <c r="C5210" s="8">
        <f t="shared" si="177"/>
        <v>6</v>
      </c>
      <c r="D5210" s="204">
        <v>46178</v>
      </c>
      <c r="E5210" s="188"/>
      <c r="F5210" s="188">
        <v>230000</v>
      </c>
      <c r="G5210" s="188"/>
      <c r="H5210" s="188"/>
      <c r="I5210" s="188" t="s">
        <v>299</v>
      </c>
      <c r="J5210" s="187" t="s">
        <v>5203</v>
      </c>
      <c r="K5210" s="186"/>
    </row>
    <row r="5211" spans="1:11" x14ac:dyDescent="0.2">
      <c r="A5211" s="8">
        <v>45101.333333333299</v>
      </c>
      <c r="B5211" s="8">
        <f t="shared" si="176"/>
        <v>2026</v>
      </c>
      <c r="C5211" s="8">
        <f t="shared" si="177"/>
        <v>6</v>
      </c>
      <c r="D5211" s="204">
        <v>46179</v>
      </c>
      <c r="E5211" s="188"/>
      <c r="F5211" s="188">
        <v>40000</v>
      </c>
      <c r="G5211" s="188"/>
      <c r="H5211" s="188"/>
      <c r="I5211" s="188" t="s">
        <v>91</v>
      </c>
      <c r="J5211" s="187" t="s">
        <v>5076</v>
      </c>
      <c r="K5211" s="186"/>
    </row>
    <row r="5212" spans="1:11" x14ac:dyDescent="0.2">
      <c r="A5212" s="8">
        <v>45171.833333333299</v>
      </c>
      <c r="B5212" s="8">
        <f t="shared" si="176"/>
        <v>2026</v>
      </c>
      <c r="C5212" s="8">
        <f t="shared" si="177"/>
        <v>6</v>
      </c>
      <c r="D5212" s="204">
        <v>46179</v>
      </c>
      <c r="E5212" s="188"/>
      <c r="F5212" s="188">
        <v>25000</v>
      </c>
      <c r="G5212" s="188"/>
      <c r="H5212" s="188"/>
      <c r="I5212" s="188" t="s">
        <v>1815</v>
      </c>
      <c r="J5212" s="187" t="s">
        <v>5204</v>
      </c>
      <c r="K5212" s="186"/>
    </row>
    <row r="5213" spans="1:11" x14ac:dyDescent="0.2">
      <c r="A5213" s="8">
        <v>45242.333333333299</v>
      </c>
      <c r="B5213" s="8">
        <f t="shared" si="176"/>
        <v>2026</v>
      </c>
      <c r="C5213" s="8">
        <f t="shared" si="177"/>
        <v>6</v>
      </c>
      <c r="D5213" s="204">
        <v>46179</v>
      </c>
      <c r="E5213" s="188"/>
      <c r="F5213" s="188">
        <v>75000</v>
      </c>
      <c r="G5213" s="188"/>
      <c r="H5213" s="188"/>
      <c r="I5213" s="188" t="s">
        <v>1815</v>
      </c>
      <c r="J5213" s="187" t="s">
        <v>5205</v>
      </c>
      <c r="K5213" s="186"/>
    </row>
    <row r="5214" spans="1:11" x14ac:dyDescent="0.2">
      <c r="A5214" s="8">
        <v>45312.833333333299</v>
      </c>
      <c r="B5214" s="8">
        <f t="shared" si="176"/>
        <v>2026</v>
      </c>
      <c r="C5214" s="8">
        <f t="shared" si="177"/>
        <v>6</v>
      </c>
      <c r="D5214" s="204">
        <v>46179</v>
      </c>
      <c r="E5214" s="188"/>
      <c r="F5214" s="188">
        <v>150000</v>
      </c>
      <c r="G5214" s="188"/>
      <c r="H5214" s="188"/>
      <c r="I5214" s="188"/>
      <c r="J5214" s="187" t="s">
        <v>5061</v>
      </c>
      <c r="K5214" s="186"/>
    </row>
    <row r="5215" spans="1:11" x14ac:dyDescent="0.2">
      <c r="A5215" s="8">
        <v>45383.333333333299</v>
      </c>
      <c r="B5215" s="8">
        <f t="shared" si="176"/>
        <v>2026</v>
      </c>
      <c r="C5215" s="8">
        <f t="shared" si="177"/>
        <v>6</v>
      </c>
      <c r="D5215" s="204">
        <v>46180</v>
      </c>
      <c r="E5215" s="188"/>
      <c r="F5215" s="188">
        <v>350000</v>
      </c>
      <c r="G5215" s="188"/>
      <c r="H5215" s="188"/>
      <c r="I5215" s="188" t="s">
        <v>85</v>
      </c>
      <c r="J5215" s="187" t="s">
        <v>5206</v>
      </c>
      <c r="K5215" s="186"/>
    </row>
    <row r="5216" spans="1:11" x14ac:dyDescent="0.2">
      <c r="A5216" s="8">
        <v>45453.833333333299</v>
      </c>
      <c r="B5216" s="8">
        <f t="shared" si="176"/>
        <v>2026</v>
      </c>
      <c r="C5216" s="8">
        <f t="shared" si="177"/>
        <v>6</v>
      </c>
      <c r="D5216" s="204">
        <v>46180</v>
      </c>
      <c r="E5216" s="188"/>
      <c r="F5216" s="188">
        <v>56000</v>
      </c>
      <c r="G5216" s="188"/>
      <c r="H5216" s="188"/>
      <c r="I5216" s="188" t="s">
        <v>91</v>
      </c>
      <c r="J5216" s="187" t="s">
        <v>5207</v>
      </c>
      <c r="K5216" s="186"/>
    </row>
    <row r="5217" spans="1:11" x14ac:dyDescent="0.2">
      <c r="A5217" s="8">
        <v>45524.333333333299</v>
      </c>
      <c r="B5217" s="8">
        <f t="shared" si="176"/>
        <v>2026</v>
      </c>
      <c r="C5217" s="8">
        <f t="shared" si="177"/>
        <v>6</v>
      </c>
      <c r="D5217" s="204">
        <v>46180</v>
      </c>
      <c r="E5217" s="188"/>
      <c r="F5217" s="188">
        <v>20000</v>
      </c>
      <c r="G5217" s="188"/>
      <c r="H5217" s="188"/>
      <c r="I5217" s="188" t="s">
        <v>85</v>
      </c>
      <c r="J5217" s="187" t="s">
        <v>5024</v>
      </c>
      <c r="K5217" s="186"/>
    </row>
    <row r="5218" spans="1:11" x14ac:dyDescent="0.2">
      <c r="A5218" s="8">
        <v>45594.833333333299</v>
      </c>
      <c r="B5218" s="8">
        <f t="shared" si="176"/>
        <v>2026</v>
      </c>
      <c r="C5218" s="8">
        <f t="shared" si="177"/>
        <v>6</v>
      </c>
      <c r="D5218" s="204">
        <v>46181</v>
      </c>
      <c r="E5218" s="188"/>
      <c r="F5218" s="188">
        <v>728000</v>
      </c>
      <c r="G5218" s="188"/>
      <c r="H5218" s="188"/>
      <c r="I5218" s="188" t="s">
        <v>335</v>
      </c>
      <c r="J5218" s="187" t="s">
        <v>5208</v>
      </c>
      <c r="K5218" s="186"/>
    </row>
    <row r="5219" spans="1:11" x14ac:dyDescent="0.2">
      <c r="A5219" s="8">
        <v>45665.333333333299</v>
      </c>
      <c r="B5219" s="8">
        <f t="shared" si="176"/>
        <v>2026</v>
      </c>
      <c r="C5219" s="8">
        <f t="shared" si="177"/>
        <v>6</v>
      </c>
      <c r="D5219" s="204">
        <v>46183</v>
      </c>
      <c r="E5219" s="188"/>
      <c r="F5219" s="188">
        <v>133000</v>
      </c>
      <c r="G5219" s="188"/>
      <c r="H5219" s="188"/>
      <c r="I5219" s="188" t="s">
        <v>1992</v>
      </c>
      <c r="J5219" s="187" t="s">
        <v>5209</v>
      </c>
      <c r="K5219" s="186"/>
    </row>
    <row r="5220" spans="1:11" x14ac:dyDescent="0.2">
      <c r="A5220" s="8">
        <v>45735.833333333299</v>
      </c>
      <c r="B5220" s="8">
        <f t="shared" si="176"/>
        <v>2026</v>
      </c>
      <c r="C5220" s="8">
        <f t="shared" si="177"/>
        <v>6</v>
      </c>
      <c r="D5220" s="204">
        <v>46184</v>
      </c>
      <c r="E5220" s="188"/>
      <c r="F5220" s="188">
        <v>50000</v>
      </c>
      <c r="G5220" s="188"/>
      <c r="H5220" s="188"/>
      <c r="I5220" s="188" t="s">
        <v>85</v>
      </c>
      <c r="J5220" s="187" t="s">
        <v>2602</v>
      </c>
      <c r="K5220" s="186"/>
    </row>
    <row r="5221" spans="1:11" x14ac:dyDescent="0.2">
      <c r="A5221" s="8">
        <v>45876.833333333299</v>
      </c>
      <c r="B5221" s="8">
        <f t="shared" si="176"/>
        <v>2026</v>
      </c>
      <c r="C5221" s="8">
        <f t="shared" si="177"/>
        <v>6</v>
      </c>
      <c r="D5221" s="204">
        <v>46185</v>
      </c>
      <c r="E5221" s="188"/>
      <c r="F5221" s="188">
        <v>320000</v>
      </c>
      <c r="G5221" s="188"/>
      <c r="H5221" s="188"/>
      <c r="I5221" s="188" t="s">
        <v>2807</v>
      </c>
      <c r="J5221" s="187" t="s">
        <v>5210</v>
      </c>
      <c r="K5221" s="186"/>
    </row>
    <row r="5222" spans="1:11" x14ac:dyDescent="0.2">
      <c r="A5222" s="8">
        <v>45947.333333333299</v>
      </c>
      <c r="B5222" s="8">
        <f t="shared" si="176"/>
        <v>2026</v>
      </c>
      <c r="C5222" s="8">
        <f t="shared" si="177"/>
        <v>6</v>
      </c>
      <c r="D5222" s="204">
        <v>46186</v>
      </c>
      <c r="E5222" s="188"/>
      <c r="F5222" s="188">
        <v>120000</v>
      </c>
      <c r="G5222" s="188"/>
      <c r="H5222" s="188"/>
      <c r="I5222" s="188" t="s">
        <v>1815</v>
      </c>
      <c r="J5222" s="187" t="s">
        <v>5211</v>
      </c>
      <c r="K5222" s="186"/>
    </row>
    <row r="5223" spans="1:11" x14ac:dyDescent="0.2">
      <c r="A5223" s="8">
        <v>46017.833333333299</v>
      </c>
      <c r="B5223" s="8">
        <f t="shared" si="176"/>
        <v>2026</v>
      </c>
      <c r="C5223" s="8">
        <f t="shared" si="177"/>
        <v>6</v>
      </c>
      <c r="D5223" s="204">
        <v>46186</v>
      </c>
      <c r="E5223" s="188"/>
      <c r="F5223" s="188">
        <v>50000</v>
      </c>
      <c r="G5223" s="188"/>
      <c r="H5223" s="188"/>
      <c r="I5223" s="188" t="s">
        <v>85</v>
      </c>
      <c r="J5223" s="187" t="s">
        <v>4178</v>
      </c>
      <c r="K5223" s="186"/>
    </row>
    <row r="5224" spans="1:11" x14ac:dyDescent="0.2">
      <c r="A5224" s="8">
        <v>46088.333333333299</v>
      </c>
      <c r="B5224" s="8">
        <f t="shared" si="176"/>
        <v>2026</v>
      </c>
      <c r="C5224" s="8">
        <f t="shared" si="177"/>
        <v>6</v>
      </c>
      <c r="D5224" s="204">
        <v>46187</v>
      </c>
      <c r="E5224" s="188"/>
      <c r="F5224" s="188">
        <v>300000</v>
      </c>
      <c r="G5224" s="188"/>
      <c r="H5224" s="188"/>
      <c r="I5224" s="188"/>
      <c r="J5224" s="187" t="s">
        <v>5212</v>
      </c>
      <c r="K5224" s="186"/>
    </row>
    <row r="5225" spans="1:11" x14ac:dyDescent="0.2">
      <c r="A5225" s="8">
        <v>46158.833333333299</v>
      </c>
      <c r="B5225" s="8">
        <f t="shared" si="176"/>
        <v>2026</v>
      </c>
      <c r="C5225" s="8">
        <f t="shared" si="177"/>
        <v>6</v>
      </c>
      <c r="D5225" s="204">
        <v>46187</v>
      </c>
      <c r="E5225" s="188"/>
      <c r="F5225" s="188">
        <v>20000</v>
      </c>
      <c r="G5225" s="188"/>
      <c r="H5225" s="188"/>
      <c r="I5225" s="188" t="s">
        <v>91</v>
      </c>
      <c r="J5225" s="187" t="s">
        <v>5213</v>
      </c>
      <c r="K5225" s="186"/>
    </row>
    <row r="5226" spans="1:11" x14ac:dyDescent="0.2">
      <c r="A5226" s="8">
        <v>46229.333333333299</v>
      </c>
      <c r="B5226" s="8">
        <f t="shared" si="176"/>
        <v>2026</v>
      </c>
      <c r="C5226" s="8">
        <f t="shared" si="177"/>
        <v>6</v>
      </c>
      <c r="D5226" s="204">
        <v>46187</v>
      </c>
      <c r="E5226" s="188"/>
      <c r="F5226" s="188">
        <v>120000</v>
      </c>
      <c r="G5226" s="188"/>
      <c r="H5226" s="188"/>
      <c r="I5226" s="188" t="s">
        <v>1815</v>
      </c>
      <c r="J5226" s="187" t="s">
        <v>5214</v>
      </c>
      <c r="K5226" s="186"/>
    </row>
    <row r="5227" spans="1:11" x14ac:dyDescent="0.2">
      <c r="A5227" s="8">
        <v>46299.833333333299</v>
      </c>
      <c r="B5227" s="8">
        <f t="shared" si="176"/>
        <v>2026</v>
      </c>
      <c r="C5227" s="8">
        <f t="shared" si="177"/>
        <v>6</v>
      </c>
      <c r="D5227" s="204">
        <v>46188</v>
      </c>
      <c r="E5227" s="188"/>
      <c r="F5227" s="188">
        <v>500000</v>
      </c>
      <c r="G5227" s="188"/>
      <c r="H5227" s="188"/>
      <c r="I5227" s="188"/>
      <c r="J5227" s="187" t="s">
        <v>5215</v>
      </c>
      <c r="K5227" s="186"/>
    </row>
    <row r="5228" spans="1:11" x14ac:dyDescent="0.2">
      <c r="A5228" s="8">
        <v>46370.333333333299</v>
      </c>
      <c r="B5228" s="8">
        <f t="shared" si="176"/>
        <v>2026</v>
      </c>
      <c r="C5228" s="8">
        <f t="shared" si="177"/>
        <v>6</v>
      </c>
      <c r="D5228" s="204">
        <v>46188</v>
      </c>
      <c r="E5228" s="188"/>
      <c r="F5228" s="188">
        <v>51000</v>
      </c>
      <c r="G5228" s="188"/>
      <c r="H5228" s="188"/>
      <c r="I5228" s="188" t="s">
        <v>85</v>
      </c>
      <c r="J5228" s="187" t="s">
        <v>5216</v>
      </c>
      <c r="K5228" s="186"/>
    </row>
    <row r="5229" spans="1:11" x14ac:dyDescent="0.2">
      <c r="A5229" s="8">
        <v>46440.833333333299</v>
      </c>
      <c r="B5229" s="8">
        <f t="shared" si="176"/>
        <v>2026</v>
      </c>
      <c r="C5229" s="8">
        <f t="shared" si="177"/>
        <v>6</v>
      </c>
      <c r="D5229" s="204">
        <v>46188</v>
      </c>
      <c r="E5229" s="188"/>
      <c r="F5229" s="188">
        <v>230000</v>
      </c>
      <c r="G5229" s="188"/>
      <c r="H5229" s="188"/>
      <c r="I5229" s="188" t="s">
        <v>85</v>
      </c>
      <c r="J5229" s="187" t="s">
        <v>5217</v>
      </c>
      <c r="K5229" s="186"/>
    </row>
    <row r="5230" spans="1:11" x14ac:dyDescent="0.2">
      <c r="A5230" s="8">
        <v>46581.833333333299</v>
      </c>
      <c r="B5230" s="8">
        <f t="shared" si="176"/>
        <v>2026</v>
      </c>
      <c r="C5230" s="8">
        <f t="shared" si="177"/>
        <v>6</v>
      </c>
      <c r="D5230" s="204">
        <v>46189</v>
      </c>
      <c r="E5230" s="188"/>
      <c r="F5230" s="188">
        <v>210000</v>
      </c>
      <c r="G5230" s="188"/>
      <c r="H5230" s="188"/>
      <c r="I5230" s="188" t="s">
        <v>1992</v>
      </c>
      <c r="J5230" s="187" t="s">
        <v>5218</v>
      </c>
      <c r="K5230" s="186"/>
    </row>
    <row r="5231" spans="1:11" x14ac:dyDescent="0.2">
      <c r="A5231" s="8">
        <v>46652.333333333299</v>
      </c>
      <c r="B5231" s="8">
        <f t="shared" si="176"/>
        <v>2026</v>
      </c>
      <c r="C5231" s="8">
        <f t="shared" si="177"/>
        <v>6</v>
      </c>
      <c r="D5231" s="204">
        <v>46189</v>
      </c>
      <c r="E5231" s="188"/>
      <c r="F5231" s="188">
        <v>10000</v>
      </c>
      <c r="G5231" s="188"/>
      <c r="H5231" s="188"/>
      <c r="I5231" s="188" t="s">
        <v>1992</v>
      </c>
      <c r="J5231" s="187" t="s">
        <v>5219</v>
      </c>
      <c r="K5231" s="186"/>
    </row>
    <row r="5232" spans="1:11" x14ac:dyDescent="0.2">
      <c r="A5232" s="8">
        <v>46722.833333333299</v>
      </c>
      <c r="B5232" s="8">
        <f t="shared" si="176"/>
        <v>2026</v>
      </c>
      <c r="C5232" s="8">
        <f t="shared" si="177"/>
        <v>6</v>
      </c>
      <c r="D5232" s="204">
        <v>46190</v>
      </c>
      <c r="E5232" s="188"/>
      <c r="F5232" s="188">
        <v>70000</v>
      </c>
      <c r="G5232" s="188"/>
      <c r="H5232" s="188"/>
      <c r="I5232" s="188" t="s">
        <v>1350</v>
      </c>
      <c r="J5232" s="187" t="s">
        <v>5220</v>
      </c>
      <c r="K5232" s="186"/>
    </row>
    <row r="5233" spans="1:11" x14ac:dyDescent="0.2">
      <c r="A5233" s="8">
        <v>46793.333333333299</v>
      </c>
      <c r="B5233" s="8">
        <f t="shared" si="176"/>
        <v>2026</v>
      </c>
      <c r="C5233" s="8">
        <f t="shared" si="177"/>
        <v>6</v>
      </c>
      <c r="D5233" s="204">
        <v>46190</v>
      </c>
      <c r="E5233" s="188"/>
      <c r="F5233" s="188">
        <v>1134300</v>
      </c>
      <c r="G5233" s="188"/>
      <c r="H5233" s="188"/>
      <c r="I5233" s="188" t="s">
        <v>391</v>
      </c>
      <c r="J5233" s="187" t="s">
        <v>5226</v>
      </c>
      <c r="K5233" s="186"/>
    </row>
    <row r="5234" spans="1:11" x14ac:dyDescent="0.2">
      <c r="A5234" s="8">
        <v>46863.833333333299</v>
      </c>
      <c r="B5234" s="8">
        <f t="shared" si="176"/>
        <v>2026</v>
      </c>
      <c r="C5234" s="8">
        <f t="shared" si="177"/>
        <v>6</v>
      </c>
      <c r="D5234" s="204">
        <v>46174</v>
      </c>
      <c r="E5234" s="188">
        <v>4000000</v>
      </c>
      <c r="F5234" s="188"/>
      <c r="G5234" s="188"/>
      <c r="H5234" s="188"/>
      <c r="I5234" s="188" t="s">
        <v>109</v>
      </c>
      <c r="J5234" s="187" t="s">
        <v>5228</v>
      </c>
      <c r="K5234" s="186"/>
    </row>
    <row r="5235" spans="1:11" x14ac:dyDescent="0.2">
      <c r="A5235" s="8">
        <v>46934.333333333299</v>
      </c>
      <c r="B5235" s="8">
        <f t="shared" si="176"/>
        <v>2026</v>
      </c>
      <c r="C5235" s="8">
        <f t="shared" si="177"/>
        <v>3</v>
      </c>
      <c r="D5235" s="204">
        <v>46089</v>
      </c>
      <c r="E5235" s="188">
        <v>20000000</v>
      </c>
      <c r="F5235" s="188"/>
      <c r="G5235" s="188"/>
      <c r="H5235" s="188"/>
      <c r="I5235" s="188" t="s">
        <v>109</v>
      </c>
      <c r="J5235" s="187" t="s">
        <v>5233</v>
      </c>
      <c r="K5235" s="186"/>
    </row>
    <row r="5236" spans="1:11" x14ac:dyDescent="0.2">
      <c r="A5236" s="8">
        <v>47004.833333333299</v>
      </c>
      <c r="B5236" s="8">
        <f t="shared" si="176"/>
        <v>2026</v>
      </c>
      <c r="C5236" s="8">
        <f t="shared" si="177"/>
        <v>3</v>
      </c>
      <c r="D5236" s="204">
        <v>46089</v>
      </c>
      <c r="E5236" s="188">
        <v>10000000</v>
      </c>
      <c r="F5236" s="188"/>
      <c r="G5236" s="188"/>
      <c r="H5236" s="188"/>
      <c r="I5236" s="188" t="s">
        <v>109</v>
      </c>
      <c r="J5236" s="187" t="s">
        <v>5234</v>
      </c>
      <c r="K5236" s="186"/>
    </row>
    <row r="5237" spans="1:11" x14ac:dyDescent="0.2">
      <c r="A5237" s="8">
        <v>47075.333333333299</v>
      </c>
      <c r="B5237" s="8">
        <f t="shared" si="176"/>
        <v>1900</v>
      </c>
      <c r="C5237" s="8">
        <f t="shared" si="177"/>
        <v>1</v>
      </c>
      <c r="D5237" s="204"/>
      <c r="E5237" s="188"/>
      <c r="F5237" s="188"/>
      <c r="G5237" s="188"/>
      <c r="H5237" s="188"/>
      <c r="I5237" s="188"/>
      <c r="J5237" s="187"/>
      <c r="K5237" s="186"/>
    </row>
    <row r="5238" spans="1:11" x14ac:dyDescent="0.2">
      <c r="A5238" s="8">
        <v>47145.833333333299</v>
      </c>
      <c r="B5238" s="8">
        <f t="shared" si="176"/>
        <v>1900</v>
      </c>
      <c r="C5238" s="8">
        <f t="shared" si="177"/>
        <v>1</v>
      </c>
      <c r="D5238" s="204"/>
      <c r="E5238" s="188"/>
      <c r="F5238" s="188"/>
      <c r="G5238" s="188"/>
      <c r="H5238" s="188"/>
      <c r="I5238" s="188"/>
      <c r="J5238" s="187"/>
      <c r="K5238" s="186"/>
    </row>
    <row r="5239" spans="1:11" x14ac:dyDescent="0.2">
      <c r="A5239" s="8">
        <v>47216.333333333299</v>
      </c>
      <c r="B5239" s="8">
        <f t="shared" si="176"/>
        <v>1900</v>
      </c>
      <c r="C5239" s="8">
        <f t="shared" si="177"/>
        <v>1</v>
      </c>
      <c r="D5239" s="204"/>
      <c r="E5239" s="188"/>
      <c r="F5239" s="188"/>
      <c r="G5239" s="188"/>
      <c r="H5239" s="188"/>
      <c r="I5239" s="188"/>
      <c r="J5239" s="187"/>
      <c r="K5239" s="186"/>
    </row>
    <row r="5240" spans="1:11" x14ac:dyDescent="0.2">
      <c r="A5240" s="8">
        <v>47286.833333333299</v>
      </c>
      <c r="B5240" s="8">
        <f t="shared" si="176"/>
        <v>1900</v>
      </c>
      <c r="C5240" s="8">
        <f t="shared" si="177"/>
        <v>1</v>
      </c>
      <c r="D5240" s="204"/>
      <c r="E5240" s="188"/>
      <c r="F5240" s="188"/>
      <c r="G5240" s="188"/>
      <c r="H5240" s="188"/>
      <c r="I5240" s="188"/>
      <c r="J5240" s="187"/>
      <c r="K5240" s="186"/>
    </row>
    <row r="5241" spans="1:11" x14ac:dyDescent="0.2">
      <c r="A5241" s="8">
        <v>47357.333333333299</v>
      </c>
      <c r="B5241" s="8">
        <f t="shared" si="176"/>
        <v>1900</v>
      </c>
      <c r="C5241" s="8">
        <f t="shared" si="177"/>
        <v>1</v>
      </c>
      <c r="D5241" s="204"/>
      <c r="E5241" s="188"/>
      <c r="F5241" s="188"/>
      <c r="G5241" s="188"/>
      <c r="H5241" s="188"/>
      <c r="I5241" s="188"/>
      <c r="J5241" s="187"/>
      <c r="K5241" s="186"/>
    </row>
    <row r="5242" spans="1:11" x14ac:dyDescent="0.2">
      <c r="A5242" s="8">
        <v>47427.833333333299</v>
      </c>
      <c r="B5242" s="8">
        <f t="shared" si="176"/>
        <v>1900</v>
      </c>
      <c r="C5242" s="8">
        <f t="shared" si="177"/>
        <v>1</v>
      </c>
      <c r="D5242" s="204"/>
      <c r="E5242" s="188"/>
      <c r="F5242" s="188"/>
      <c r="G5242" s="188"/>
      <c r="H5242" s="188"/>
      <c r="I5242" s="188"/>
      <c r="J5242" s="187"/>
      <c r="K5242" s="186"/>
    </row>
    <row r="5243" spans="1:11" x14ac:dyDescent="0.2">
      <c r="A5243" s="8">
        <v>47498.333333333299</v>
      </c>
      <c r="B5243" s="8">
        <f t="shared" si="176"/>
        <v>1900</v>
      </c>
      <c r="C5243" s="8">
        <f t="shared" si="177"/>
        <v>1</v>
      </c>
      <c r="D5243" s="204"/>
      <c r="E5243" s="188"/>
      <c r="F5243" s="188"/>
      <c r="G5243" s="188"/>
      <c r="H5243" s="188"/>
      <c r="I5243" s="188"/>
      <c r="J5243" s="187"/>
      <c r="K5243" s="186"/>
    </row>
    <row r="5244" spans="1:11" x14ac:dyDescent="0.2">
      <c r="A5244" s="8">
        <v>47568.833333333299</v>
      </c>
      <c r="B5244" s="8">
        <f t="shared" si="176"/>
        <v>1900</v>
      </c>
      <c r="C5244" s="8">
        <f t="shared" si="177"/>
        <v>1</v>
      </c>
      <c r="D5244" s="204"/>
      <c r="E5244" s="188"/>
      <c r="F5244" s="188"/>
      <c r="G5244" s="188"/>
      <c r="H5244" s="188"/>
      <c r="I5244" s="188"/>
      <c r="J5244" s="187"/>
      <c r="K5244" s="186"/>
    </row>
    <row r="5245" spans="1:11" x14ac:dyDescent="0.2">
      <c r="A5245" s="8">
        <v>47639.333333333299</v>
      </c>
      <c r="B5245" s="8">
        <f t="shared" si="176"/>
        <v>1900</v>
      </c>
      <c r="C5245" s="8">
        <f t="shared" si="177"/>
        <v>1</v>
      </c>
      <c r="D5245" s="204"/>
      <c r="E5245" s="188"/>
      <c r="F5245" s="188"/>
      <c r="G5245" s="188"/>
      <c r="H5245" s="188"/>
      <c r="I5245" s="188"/>
      <c r="J5245" s="187"/>
      <c r="K5245" s="186"/>
    </row>
    <row r="5246" spans="1:11" x14ac:dyDescent="0.2">
      <c r="A5246" s="8">
        <v>47709.833333333299</v>
      </c>
      <c r="B5246" s="8">
        <f t="shared" si="176"/>
        <v>1900</v>
      </c>
      <c r="C5246" s="8">
        <f t="shared" si="177"/>
        <v>1</v>
      </c>
      <c r="D5246" s="204"/>
      <c r="E5246" s="188"/>
      <c r="F5246" s="188"/>
      <c r="G5246" s="188"/>
      <c r="H5246" s="188"/>
      <c r="I5246" s="188"/>
      <c r="J5246" s="187"/>
      <c r="K5246" s="186"/>
    </row>
    <row r="5247" spans="1:11" x14ac:dyDescent="0.2">
      <c r="A5247" s="8">
        <v>47780.333333333299</v>
      </c>
      <c r="B5247" s="8">
        <f t="shared" si="176"/>
        <v>1900</v>
      </c>
      <c r="C5247" s="8">
        <f t="shared" si="177"/>
        <v>1</v>
      </c>
      <c r="D5247" s="204"/>
      <c r="E5247" s="188"/>
      <c r="F5247" s="188"/>
      <c r="G5247" s="188"/>
      <c r="H5247" s="188"/>
      <c r="I5247" s="188"/>
      <c r="J5247" s="187"/>
      <c r="K5247" s="186"/>
    </row>
    <row r="5248" spans="1:11" x14ac:dyDescent="0.2">
      <c r="A5248" s="8">
        <v>47850.833333333299</v>
      </c>
      <c r="B5248" s="8">
        <f t="shared" si="176"/>
        <v>1900</v>
      </c>
      <c r="C5248" s="8">
        <f t="shared" si="177"/>
        <v>1</v>
      </c>
      <c r="D5248" s="204"/>
      <c r="E5248" s="188"/>
      <c r="F5248" s="188"/>
      <c r="G5248" s="188"/>
      <c r="H5248" s="188"/>
      <c r="I5248" s="188"/>
      <c r="J5248" s="187"/>
      <c r="K5248" s="186"/>
    </row>
    <row r="5249" spans="1:11" x14ac:dyDescent="0.2">
      <c r="A5249" s="8">
        <v>47921.333333333299</v>
      </c>
      <c r="B5249" s="8">
        <f t="shared" si="176"/>
        <v>1900</v>
      </c>
      <c r="C5249" s="8">
        <f t="shared" si="177"/>
        <v>1</v>
      </c>
      <c r="D5249" s="204"/>
      <c r="E5249" s="188"/>
      <c r="F5249" s="188"/>
      <c r="G5249" s="188"/>
      <c r="H5249" s="188"/>
      <c r="I5249" s="188"/>
      <c r="J5249" s="187"/>
      <c r="K5249" s="186"/>
    </row>
    <row r="5250" spans="1:11" x14ac:dyDescent="0.2">
      <c r="A5250" s="8">
        <v>47991.833333333299</v>
      </c>
      <c r="B5250" s="8">
        <f t="shared" si="176"/>
        <v>1900</v>
      </c>
      <c r="C5250" s="8">
        <f t="shared" si="177"/>
        <v>1</v>
      </c>
      <c r="D5250" s="204"/>
      <c r="E5250" s="188"/>
      <c r="F5250" s="188"/>
      <c r="G5250" s="188"/>
      <c r="H5250" s="188"/>
      <c r="I5250" s="188"/>
      <c r="J5250" s="187"/>
      <c r="K5250" s="186"/>
    </row>
    <row r="5251" spans="1:11" x14ac:dyDescent="0.2">
      <c r="A5251" s="8">
        <v>48062.333333333299</v>
      </c>
      <c r="B5251" s="8">
        <f t="shared" si="176"/>
        <v>1900</v>
      </c>
      <c r="C5251" s="8">
        <f t="shared" si="177"/>
        <v>1</v>
      </c>
      <c r="D5251" s="204"/>
      <c r="E5251" s="188"/>
      <c r="F5251" s="188"/>
      <c r="G5251" s="188"/>
      <c r="H5251" s="188"/>
      <c r="I5251" s="188"/>
      <c r="J5251" s="187"/>
      <c r="K5251" s="186"/>
    </row>
    <row r="5252" spans="1:11" x14ac:dyDescent="0.2">
      <c r="A5252" s="8">
        <v>48132.833333333299</v>
      </c>
      <c r="B5252" s="8">
        <f t="shared" si="176"/>
        <v>1900</v>
      </c>
      <c r="C5252" s="8">
        <f t="shared" si="177"/>
        <v>1</v>
      </c>
      <c r="D5252" s="204"/>
      <c r="E5252" s="188"/>
      <c r="F5252" s="188"/>
      <c r="G5252" s="188"/>
      <c r="H5252" s="188"/>
      <c r="I5252" s="188"/>
      <c r="J5252" s="187"/>
      <c r="K5252" s="186"/>
    </row>
    <row r="5253" spans="1:11" x14ac:dyDescent="0.2">
      <c r="A5253" s="8">
        <v>48203.333333333299</v>
      </c>
      <c r="B5253" s="8">
        <f t="shared" si="176"/>
        <v>1900</v>
      </c>
      <c r="C5253" s="8">
        <f t="shared" si="177"/>
        <v>1</v>
      </c>
      <c r="D5253" s="204"/>
      <c r="E5253" s="188"/>
      <c r="F5253" s="188"/>
      <c r="G5253" s="188"/>
      <c r="H5253" s="188"/>
      <c r="I5253" s="188"/>
      <c r="J5253" s="187"/>
      <c r="K5253" s="186"/>
    </row>
    <row r="5254" spans="1:11" x14ac:dyDescent="0.2">
      <c r="A5254" s="8">
        <v>48273.833333333299</v>
      </c>
      <c r="B5254" s="8">
        <f t="shared" si="176"/>
        <v>1900</v>
      </c>
      <c r="C5254" s="8">
        <f t="shared" si="177"/>
        <v>1</v>
      </c>
      <c r="D5254" s="204"/>
      <c r="E5254" s="188"/>
      <c r="F5254" s="188"/>
      <c r="G5254" s="188"/>
      <c r="H5254" s="188"/>
      <c r="I5254" s="188"/>
      <c r="J5254" s="187"/>
      <c r="K5254" s="186"/>
    </row>
    <row r="5255" spans="1:11" x14ac:dyDescent="0.2">
      <c r="A5255" s="8">
        <v>48344.333333333299</v>
      </c>
      <c r="B5255" s="8">
        <f t="shared" si="176"/>
        <v>1900</v>
      </c>
      <c r="C5255" s="8">
        <f t="shared" si="177"/>
        <v>1</v>
      </c>
      <c r="D5255" s="204"/>
      <c r="E5255" s="188"/>
      <c r="F5255" s="188"/>
      <c r="G5255" s="188"/>
      <c r="H5255" s="188"/>
      <c r="I5255" s="188"/>
      <c r="J5255" s="187"/>
      <c r="K5255" s="186"/>
    </row>
    <row r="5256" spans="1:11" x14ac:dyDescent="0.2">
      <c r="A5256" s="8">
        <v>48414.833333333299</v>
      </c>
      <c r="B5256" s="8">
        <f t="shared" ref="B5256:B5277" si="178">YEAR(D5256)</f>
        <v>1900</v>
      </c>
      <c r="C5256" s="8">
        <f t="shared" ref="C5256:C5277" si="179">MONTH(D5256)</f>
        <v>1</v>
      </c>
      <c r="D5256" s="204"/>
      <c r="E5256" s="188"/>
      <c r="F5256" s="188"/>
      <c r="G5256" s="188"/>
      <c r="H5256" s="188"/>
      <c r="I5256" s="188"/>
      <c r="J5256" s="187"/>
      <c r="K5256" s="186"/>
    </row>
    <row r="5257" spans="1:11" x14ac:dyDescent="0.2">
      <c r="A5257" s="8">
        <v>48485.333333333299</v>
      </c>
      <c r="B5257" s="8">
        <f t="shared" si="178"/>
        <v>1900</v>
      </c>
      <c r="C5257" s="8">
        <f t="shared" si="179"/>
        <v>1</v>
      </c>
      <c r="D5257" s="204"/>
      <c r="E5257" s="188"/>
      <c r="F5257" s="188"/>
      <c r="G5257" s="188"/>
      <c r="H5257" s="188"/>
      <c r="I5257" s="188"/>
      <c r="J5257" s="187"/>
      <c r="K5257" s="186"/>
    </row>
    <row r="5258" spans="1:11" x14ac:dyDescent="0.2">
      <c r="A5258" s="8">
        <v>48555.833333333299</v>
      </c>
      <c r="B5258" s="8">
        <f t="shared" si="178"/>
        <v>1900</v>
      </c>
      <c r="C5258" s="8">
        <f t="shared" si="179"/>
        <v>1</v>
      </c>
      <c r="D5258" s="204"/>
      <c r="E5258" s="188"/>
      <c r="F5258" s="188"/>
      <c r="G5258" s="188"/>
      <c r="H5258" s="188"/>
      <c r="I5258" s="188"/>
      <c r="J5258" s="187"/>
      <c r="K5258" s="186"/>
    </row>
    <row r="5259" spans="1:11" x14ac:dyDescent="0.2">
      <c r="A5259" s="8">
        <v>48626.333333333299</v>
      </c>
      <c r="B5259" s="8">
        <f t="shared" si="178"/>
        <v>1900</v>
      </c>
      <c r="C5259" s="8">
        <f t="shared" si="179"/>
        <v>1</v>
      </c>
      <c r="D5259" s="204"/>
      <c r="E5259" s="188"/>
      <c r="F5259" s="188"/>
      <c r="G5259" s="188"/>
      <c r="H5259" s="188"/>
      <c r="I5259" s="188"/>
      <c r="J5259" s="187"/>
      <c r="K5259" s="186"/>
    </row>
    <row r="5260" spans="1:11" x14ac:dyDescent="0.2">
      <c r="A5260" s="8">
        <v>48696.833333333299</v>
      </c>
      <c r="B5260" s="8">
        <f t="shared" si="178"/>
        <v>1900</v>
      </c>
      <c r="C5260" s="8">
        <f t="shared" si="179"/>
        <v>1</v>
      </c>
      <c r="D5260" s="204"/>
      <c r="E5260" s="188"/>
      <c r="F5260" s="188"/>
      <c r="G5260" s="188"/>
      <c r="H5260" s="188"/>
      <c r="I5260" s="188"/>
      <c r="J5260" s="187"/>
      <c r="K5260" s="186"/>
    </row>
    <row r="5261" spans="1:11" x14ac:dyDescent="0.2">
      <c r="A5261" s="8">
        <v>48767.333333333299</v>
      </c>
      <c r="B5261" s="8">
        <f t="shared" si="178"/>
        <v>1900</v>
      </c>
      <c r="C5261" s="8">
        <f t="shared" si="179"/>
        <v>1</v>
      </c>
      <c r="D5261" s="204"/>
      <c r="E5261" s="188"/>
      <c r="F5261" s="188"/>
      <c r="G5261" s="188"/>
      <c r="H5261" s="188"/>
      <c r="I5261" s="188"/>
      <c r="J5261" s="187"/>
      <c r="K5261" s="186"/>
    </row>
    <row r="5262" spans="1:11" x14ac:dyDescent="0.2">
      <c r="A5262" s="8">
        <v>48837.833333333299</v>
      </c>
      <c r="B5262" s="8">
        <f t="shared" si="178"/>
        <v>1900</v>
      </c>
      <c r="C5262" s="8">
        <f t="shared" si="179"/>
        <v>1</v>
      </c>
      <c r="D5262" s="204"/>
      <c r="E5262" s="188"/>
      <c r="F5262" s="188"/>
      <c r="G5262" s="188"/>
      <c r="H5262" s="188"/>
      <c r="I5262" s="188"/>
      <c r="J5262" s="187"/>
      <c r="K5262" s="186"/>
    </row>
    <row r="5263" spans="1:11" x14ac:dyDescent="0.2">
      <c r="A5263" s="8">
        <v>48908.333333333299</v>
      </c>
      <c r="B5263" s="8">
        <f t="shared" si="178"/>
        <v>1900</v>
      </c>
      <c r="C5263" s="8">
        <f t="shared" si="179"/>
        <v>1</v>
      </c>
      <c r="D5263" s="204"/>
      <c r="E5263" s="188"/>
      <c r="F5263" s="188"/>
      <c r="G5263" s="188"/>
      <c r="H5263" s="188"/>
      <c r="I5263" s="188"/>
      <c r="J5263" s="187"/>
      <c r="K5263" s="186"/>
    </row>
    <row r="5264" spans="1:11" x14ac:dyDescent="0.2">
      <c r="A5264" s="8">
        <v>48978.833333333299</v>
      </c>
      <c r="B5264" s="8">
        <f t="shared" si="178"/>
        <v>1900</v>
      </c>
      <c r="C5264" s="8">
        <f t="shared" si="179"/>
        <v>1</v>
      </c>
      <c r="D5264" s="204"/>
      <c r="E5264" s="188"/>
      <c r="F5264" s="188"/>
      <c r="G5264" s="188"/>
      <c r="H5264" s="188"/>
      <c r="I5264" s="188"/>
      <c r="J5264" s="187"/>
      <c r="K5264" s="186"/>
    </row>
    <row r="5265" spans="1:11" x14ac:dyDescent="0.2">
      <c r="A5265" s="8">
        <v>49049.333333333299</v>
      </c>
      <c r="B5265" s="8">
        <f t="shared" si="178"/>
        <v>1900</v>
      </c>
      <c r="C5265" s="8">
        <f t="shared" si="179"/>
        <v>1</v>
      </c>
      <c r="D5265" s="204"/>
      <c r="E5265" s="188"/>
      <c r="F5265" s="188"/>
      <c r="G5265" s="188"/>
      <c r="H5265" s="188"/>
      <c r="I5265" s="188"/>
      <c r="J5265" s="187"/>
      <c r="K5265" s="186"/>
    </row>
    <row r="5266" spans="1:11" x14ac:dyDescent="0.2">
      <c r="A5266" s="8">
        <v>49119.833333333299</v>
      </c>
      <c r="B5266" s="8">
        <f t="shared" si="178"/>
        <v>1900</v>
      </c>
      <c r="C5266" s="8">
        <f t="shared" si="179"/>
        <v>1</v>
      </c>
      <c r="D5266" s="204"/>
      <c r="E5266" s="188"/>
      <c r="F5266" s="188"/>
      <c r="G5266" s="188"/>
      <c r="H5266" s="188"/>
      <c r="I5266" s="188"/>
      <c r="J5266" s="187"/>
      <c r="K5266" s="186"/>
    </row>
    <row r="5267" spans="1:11" x14ac:dyDescent="0.2">
      <c r="A5267" s="8">
        <v>49190.333333333299</v>
      </c>
      <c r="B5267" s="8">
        <f t="shared" si="178"/>
        <v>1900</v>
      </c>
      <c r="C5267" s="8">
        <f t="shared" si="179"/>
        <v>1</v>
      </c>
      <c r="D5267" s="204"/>
      <c r="E5267" s="188"/>
      <c r="F5267" s="188"/>
      <c r="G5267" s="188"/>
      <c r="H5267" s="188"/>
      <c r="I5267" s="188"/>
      <c r="J5267" s="187"/>
      <c r="K5267" s="186"/>
    </row>
    <row r="5268" spans="1:11" x14ac:dyDescent="0.2">
      <c r="A5268" s="8">
        <v>49260.833333333299</v>
      </c>
      <c r="B5268" s="8">
        <f t="shared" si="178"/>
        <v>1900</v>
      </c>
      <c r="C5268" s="8">
        <f t="shared" si="179"/>
        <v>1</v>
      </c>
      <c r="D5268" s="204"/>
      <c r="E5268" s="188"/>
      <c r="F5268" s="188"/>
      <c r="G5268" s="188"/>
      <c r="H5268" s="188"/>
      <c r="I5268" s="188"/>
      <c r="J5268" s="187"/>
      <c r="K5268" s="186"/>
    </row>
    <row r="5269" spans="1:11" x14ac:dyDescent="0.2">
      <c r="A5269" s="8">
        <v>49331.333333333299</v>
      </c>
      <c r="B5269" s="8">
        <f t="shared" si="178"/>
        <v>1900</v>
      </c>
      <c r="C5269" s="8">
        <f t="shared" si="179"/>
        <v>1</v>
      </c>
      <c r="D5269" s="204"/>
      <c r="E5269" s="188"/>
      <c r="F5269" s="188"/>
      <c r="G5269" s="188"/>
      <c r="H5269" s="188"/>
      <c r="I5269" s="188"/>
      <c r="J5269" s="187"/>
      <c r="K5269" s="186"/>
    </row>
    <row r="5270" spans="1:11" x14ac:dyDescent="0.2">
      <c r="A5270" s="8">
        <v>49401.833333333299</v>
      </c>
      <c r="B5270" s="8">
        <f t="shared" si="178"/>
        <v>1900</v>
      </c>
      <c r="C5270" s="8">
        <f t="shared" si="179"/>
        <v>1</v>
      </c>
      <c r="D5270" s="204"/>
      <c r="E5270" s="188"/>
      <c r="F5270" s="188"/>
      <c r="G5270" s="188"/>
      <c r="H5270" s="188"/>
      <c r="I5270" s="188"/>
      <c r="J5270" s="187"/>
      <c r="K5270" s="186"/>
    </row>
    <row r="5271" spans="1:11" x14ac:dyDescent="0.2">
      <c r="A5271" s="8">
        <v>49472.333333333299</v>
      </c>
      <c r="B5271" s="8">
        <f t="shared" si="178"/>
        <v>1900</v>
      </c>
      <c r="C5271" s="8">
        <f t="shared" si="179"/>
        <v>1</v>
      </c>
      <c r="D5271" s="204"/>
      <c r="E5271" s="188"/>
      <c r="F5271" s="188"/>
      <c r="G5271" s="188"/>
      <c r="H5271" s="188"/>
      <c r="I5271" s="188"/>
      <c r="J5271" s="187"/>
      <c r="K5271" s="186"/>
    </row>
    <row r="5272" spans="1:11" x14ac:dyDescent="0.2">
      <c r="A5272" s="8">
        <v>49542.833333333299</v>
      </c>
      <c r="B5272" s="8">
        <f t="shared" si="178"/>
        <v>1900</v>
      </c>
      <c r="C5272" s="8">
        <f t="shared" si="179"/>
        <v>1</v>
      </c>
      <c r="D5272" s="204"/>
      <c r="E5272" s="188"/>
      <c r="F5272" s="188"/>
      <c r="G5272" s="188"/>
      <c r="H5272" s="188"/>
      <c r="I5272" s="188"/>
      <c r="J5272" s="187"/>
      <c r="K5272" s="186"/>
    </row>
    <row r="5273" spans="1:11" x14ac:dyDescent="0.2">
      <c r="A5273" s="8">
        <v>49613.333333333299</v>
      </c>
      <c r="B5273" s="8">
        <f t="shared" si="178"/>
        <v>1900</v>
      </c>
      <c r="C5273" s="8">
        <f t="shared" si="179"/>
        <v>1</v>
      </c>
      <c r="D5273" s="204"/>
      <c r="E5273" s="188"/>
      <c r="F5273" s="188"/>
      <c r="G5273" s="188"/>
      <c r="H5273" s="188"/>
      <c r="I5273" s="188"/>
      <c r="J5273" s="187"/>
      <c r="K5273" s="186"/>
    </row>
    <row r="5274" spans="1:11" x14ac:dyDescent="0.2">
      <c r="A5274" s="8">
        <v>49683.833333333299</v>
      </c>
      <c r="B5274" s="8">
        <f t="shared" si="178"/>
        <v>1900</v>
      </c>
      <c r="C5274" s="8">
        <f t="shared" si="179"/>
        <v>1</v>
      </c>
      <c r="D5274" s="204"/>
      <c r="E5274" s="188"/>
      <c r="F5274" s="188"/>
      <c r="G5274" s="188"/>
      <c r="H5274" s="188"/>
      <c r="I5274" s="188"/>
      <c r="J5274" s="187"/>
      <c r="K5274" s="186"/>
    </row>
    <row r="5275" spans="1:11" x14ac:dyDescent="0.2">
      <c r="A5275" s="8">
        <v>49754.333333333299</v>
      </c>
      <c r="B5275" s="8">
        <f t="shared" si="178"/>
        <v>1900</v>
      </c>
      <c r="C5275" s="8">
        <f t="shared" si="179"/>
        <v>1</v>
      </c>
      <c r="D5275" s="204"/>
      <c r="E5275" s="188"/>
      <c r="F5275" s="188"/>
      <c r="G5275" s="188"/>
      <c r="H5275" s="188"/>
      <c r="I5275" s="188"/>
      <c r="J5275" s="187"/>
      <c r="K5275" s="186"/>
    </row>
    <row r="5276" spans="1:11" x14ac:dyDescent="0.2">
      <c r="A5276" s="8">
        <v>49824.833333333299</v>
      </c>
      <c r="B5276" s="8">
        <f t="shared" si="178"/>
        <v>1900</v>
      </c>
      <c r="C5276" s="8">
        <f t="shared" si="179"/>
        <v>1</v>
      </c>
      <c r="D5276" s="204"/>
      <c r="E5276" s="188"/>
      <c r="F5276" s="188"/>
      <c r="G5276" s="188"/>
      <c r="H5276" s="188"/>
      <c r="I5276" s="188"/>
      <c r="J5276" s="187"/>
      <c r="K5276" s="186"/>
    </row>
    <row r="5277" spans="1:11" x14ac:dyDescent="0.2">
      <c r="A5277" s="8">
        <v>49895.333333333299</v>
      </c>
      <c r="B5277" s="8">
        <f t="shared" si="178"/>
        <v>1900</v>
      </c>
      <c r="C5277" s="8">
        <f t="shared" si="179"/>
        <v>1</v>
      </c>
      <c r="D5277" s="204"/>
      <c r="E5277" s="188"/>
      <c r="F5277" s="188"/>
      <c r="G5277" s="188"/>
      <c r="H5277" s="188"/>
      <c r="I5277" s="188"/>
      <c r="J5277" s="187"/>
      <c r="K5277" s="186"/>
    </row>
    <row r="5278" spans="1:11" x14ac:dyDescent="0.2">
      <c r="A5278" s="8">
        <v>43902.833333333299</v>
      </c>
      <c r="B5278" s="8">
        <f t="shared" ref="B5278:B5286" si="180">YEAR(D5278)</f>
        <v>1900</v>
      </c>
      <c r="C5278" s="8">
        <f t="shared" ref="C5278:C5286" si="181">MONTH(D5278)</f>
        <v>1</v>
      </c>
      <c r="D5278" s="204"/>
      <c r="E5278" s="188"/>
      <c r="F5278" s="188"/>
      <c r="G5278" s="188"/>
      <c r="H5278" s="188"/>
      <c r="I5278" s="188"/>
      <c r="J5278" s="187"/>
      <c r="K5278" s="186"/>
    </row>
    <row r="5279" spans="1:11" x14ac:dyDescent="0.2">
      <c r="A5279" s="8">
        <v>43973.333333333299</v>
      </c>
      <c r="B5279" s="8">
        <f t="shared" si="180"/>
        <v>1900</v>
      </c>
      <c r="C5279" s="8">
        <f t="shared" si="181"/>
        <v>1</v>
      </c>
      <c r="D5279" s="204"/>
      <c r="E5279" s="188"/>
      <c r="F5279" s="188"/>
      <c r="G5279" s="188"/>
      <c r="H5279" s="188"/>
      <c r="I5279" s="188"/>
      <c r="J5279" s="187"/>
      <c r="K5279" s="186"/>
    </row>
    <row r="5280" spans="1:11" x14ac:dyDescent="0.2">
      <c r="A5280" s="8">
        <v>44043.833333333299</v>
      </c>
      <c r="B5280" s="8">
        <f t="shared" si="180"/>
        <v>1900</v>
      </c>
      <c r="C5280" s="8">
        <f t="shared" si="181"/>
        <v>1</v>
      </c>
      <c r="D5280" s="204"/>
      <c r="E5280" s="188"/>
      <c r="F5280" s="188"/>
      <c r="G5280" s="188"/>
      <c r="H5280" s="188"/>
      <c r="I5280" s="188"/>
      <c r="J5280" s="187"/>
      <c r="K5280" s="186"/>
    </row>
    <row r="5281" spans="1:11" x14ac:dyDescent="0.2">
      <c r="A5281" s="8">
        <v>44748.833333333299</v>
      </c>
      <c r="B5281" s="8">
        <f t="shared" si="180"/>
        <v>1900</v>
      </c>
      <c r="C5281" s="8">
        <f t="shared" si="181"/>
        <v>1</v>
      </c>
      <c r="D5281" s="204"/>
      <c r="E5281" s="188"/>
      <c r="F5281" s="188"/>
      <c r="G5281" s="188"/>
      <c r="H5281" s="188"/>
      <c r="I5281" s="188"/>
      <c r="J5281" s="187"/>
      <c r="K5281" s="186"/>
    </row>
    <row r="5282" spans="1:11" x14ac:dyDescent="0.2">
      <c r="A5282" s="8">
        <v>44819.333333333299</v>
      </c>
      <c r="B5282" s="8">
        <f t="shared" si="180"/>
        <v>1900</v>
      </c>
      <c r="C5282" s="8">
        <f t="shared" si="181"/>
        <v>1</v>
      </c>
      <c r="D5282" s="204"/>
      <c r="E5282" s="188"/>
      <c r="F5282" s="188"/>
      <c r="G5282" s="188"/>
      <c r="H5282" s="188"/>
      <c r="I5282" s="188"/>
      <c r="J5282" s="187"/>
      <c r="K5282" s="186"/>
    </row>
    <row r="5283" spans="1:11" x14ac:dyDescent="0.2">
      <c r="A5283" s="8">
        <v>44889.833333333299</v>
      </c>
      <c r="B5283" s="8">
        <f t="shared" si="180"/>
        <v>1900</v>
      </c>
      <c r="C5283" s="8">
        <f t="shared" si="181"/>
        <v>1</v>
      </c>
      <c r="D5283" s="204"/>
      <c r="E5283" s="188"/>
      <c r="F5283" s="188"/>
      <c r="G5283" s="188"/>
      <c r="H5283" s="188"/>
      <c r="I5283" s="188"/>
      <c r="J5283" s="187"/>
      <c r="K5283" s="186"/>
    </row>
    <row r="5284" spans="1:11" x14ac:dyDescent="0.2">
      <c r="A5284" s="8">
        <v>44960.333333333299</v>
      </c>
      <c r="B5284" s="8">
        <f t="shared" si="180"/>
        <v>1900</v>
      </c>
      <c r="C5284" s="8">
        <f t="shared" si="181"/>
        <v>1</v>
      </c>
      <c r="D5284" s="204"/>
      <c r="E5284" s="188"/>
      <c r="F5284" s="188"/>
      <c r="G5284" s="188"/>
      <c r="H5284" s="188"/>
      <c r="I5284" s="188"/>
      <c r="J5284" s="187"/>
      <c r="K5284" s="186"/>
    </row>
    <row r="5285" spans="1:11" x14ac:dyDescent="0.2">
      <c r="A5285" s="8">
        <v>45030.833333333299</v>
      </c>
      <c r="B5285" s="8">
        <f t="shared" si="180"/>
        <v>1900</v>
      </c>
      <c r="C5285" s="8">
        <f t="shared" si="181"/>
        <v>1</v>
      </c>
      <c r="D5285" s="204"/>
      <c r="E5285" s="188"/>
      <c r="F5285" s="188"/>
      <c r="G5285" s="188"/>
      <c r="H5285" s="188"/>
      <c r="I5285" s="188"/>
      <c r="J5285" s="187"/>
      <c r="K5285" s="186"/>
    </row>
    <row r="5286" spans="1:11" x14ac:dyDescent="0.2">
      <c r="A5286" s="8">
        <v>45101.333333333299</v>
      </c>
      <c r="B5286" s="8">
        <f t="shared" si="180"/>
        <v>1900</v>
      </c>
      <c r="C5286" s="8">
        <f t="shared" si="181"/>
        <v>1</v>
      </c>
      <c r="D5286" s="204"/>
      <c r="E5286" s="188"/>
      <c r="F5286" s="188"/>
      <c r="G5286" s="188"/>
      <c r="H5286" s="188"/>
      <c r="I5286" s="188"/>
      <c r="J5286" s="187"/>
      <c r="K5286" s="186"/>
    </row>
    <row r="5287" spans="1:11" x14ac:dyDescent="0.2">
      <c r="A5287" s="8">
        <v>20778.833333333299</v>
      </c>
      <c r="B5287" s="8">
        <f t="shared" si="162"/>
        <v>1900</v>
      </c>
      <c r="C5287" s="8">
        <f t="shared" si="163"/>
        <v>1</v>
      </c>
      <c r="D5287" s="204"/>
      <c r="E5287" s="188"/>
      <c r="F5287" s="188"/>
      <c r="G5287" s="188"/>
      <c r="H5287" s="188"/>
      <c r="I5287" s="188"/>
      <c r="J5287" s="187"/>
      <c r="K5287" s="186"/>
    </row>
    <row r="5288" spans="1:11" x14ac:dyDescent="0.2">
      <c r="A5288" s="8">
        <v>20849.333333333299</v>
      </c>
      <c r="B5288" s="8">
        <f t="shared" si="162"/>
        <v>1900</v>
      </c>
      <c r="C5288" s="8">
        <f t="shared" si="163"/>
        <v>1</v>
      </c>
      <c r="D5288" s="204"/>
      <c r="E5288" s="188"/>
      <c r="F5288" s="188"/>
      <c r="G5288" s="188"/>
      <c r="H5288" s="188"/>
      <c r="I5288" s="188"/>
      <c r="J5288" s="187"/>
      <c r="K5288" s="186"/>
    </row>
    <row r="5289" spans="1:11" x14ac:dyDescent="0.2">
      <c r="A5289" s="8">
        <v>20919.833333333299</v>
      </c>
      <c r="B5289" s="8">
        <f t="shared" si="162"/>
        <v>1900</v>
      </c>
      <c r="C5289" s="8">
        <f t="shared" si="163"/>
        <v>1</v>
      </c>
      <c r="D5289" s="204"/>
      <c r="E5289" s="188"/>
      <c r="F5289" s="188"/>
      <c r="G5289" s="188"/>
      <c r="H5289" s="188"/>
      <c r="I5289" s="188"/>
      <c r="J5289" s="187"/>
      <c r="K5289" s="186"/>
    </row>
    <row r="5290" spans="1:11" x14ac:dyDescent="0.2">
      <c r="A5290" s="8">
        <v>20990.333333333299</v>
      </c>
      <c r="B5290" s="8">
        <f t="shared" ref="B5290:B5320" si="182">YEAR(D5290)</f>
        <v>2025</v>
      </c>
      <c r="C5290" s="8">
        <f t="shared" ref="C5290:C5320" si="183">MONTH(D5290)</f>
        <v>8</v>
      </c>
      <c r="D5290" s="204">
        <v>45884</v>
      </c>
      <c r="E5290" s="188"/>
      <c r="F5290" s="188">
        <v>0</v>
      </c>
      <c r="G5290" s="188">
        <v>1000000</v>
      </c>
      <c r="H5290" s="188"/>
      <c r="I5290" s="188"/>
      <c r="J5290" s="187" t="s">
        <v>4542</v>
      </c>
      <c r="K5290" s="186"/>
    </row>
    <row r="5291" spans="1:11" x14ac:dyDescent="0.2">
      <c r="A5291" s="8">
        <v>21060.833333333299</v>
      </c>
      <c r="B5291" s="8">
        <f t="shared" si="182"/>
        <v>2025</v>
      </c>
      <c r="C5291" s="8">
        <f t="shared" si="183"/>
        <v>8</v>
      </c>
      <c r="D5291" s="204">
        <v>45890</v>
      </c>
      <c r="E5291" s="188"/>
      <c r="F5291" s="188">
        <v>0</v>
      </c>
      <c r="G5291" s="188">
        <v>3000000</v>
      </c>
      <c r="H5291" s="188"/>
      <c r="I5291" s="188"/>
      <c r="J5291" s="187" t="s">
        <v>4552</v>
      </c>
      <c r="K5291" s="186"/>
    </row>
    <row r="5292" spans="1:11" x14ac:dyDescent="0.2">
      <c r="A5292" s="8">
        <v>21131.333333333299</v>
      </c>
      <c r="B5292" s="8">
        <f t="shared" si="182"/>
        <v>2025</v>
      </c>
      <c r="C5292" s="8">
        <f t="shared" si="183"/>
        <v>11</v>
      </c>
      <c r="D5292" s="204">
        <v>45973</v>
      </c>
      <c r="E5292" s="188"/>
      <c r="F5292" s="32">
        <v>0</v>
      </c>
      <c r="G5292" s="188">
        <v>5000000</v>
      </c>
      <c r="H5292" s="188"/>
      <c r="I5292" s="188"/>
      <c r="J5292" s="187" t="s">
        <v>4731</v>
      </c>
      <c r="K5292" s="186"/>
    </row>
    <row r="5293" spans="1:11" x14ac:dyDescent="0.2">
      <c r="A5293" s="8">
        <v>21201.833333333299</v>
      </c>
      <c r="B5293" s="8">
        <f t="shared" si="182"/>
        <v>2025</v>
      </c>
      <c r="C5293" s="8">
        <f t="shared" si="183"/>
        <v>11</v>
      </c>
      <c r="D5293" s="204">
        <v>45973</v>
      </c>
      <c r="E5293" s="188"/>
      <c r="F5293" s="188">
        <v>0</v>
      </c>
      <c r="G5293" s="188">
        <v>3000000</v>
      </c>
      <c r="H5293" s="188"/>
      <c r="I5293" s="188"/>
      <c r="J5293" s="187" t="s">
        <v>4732</v>
      </c>
      <c r="K5293" s="186"/>
    </row>
    <row r="5294" spans="1:11" x14ac:dyDescent="0.2">
      <c r="A5294" s="8">
        <v>21272.333333333299</v>
      </c>
      <c r="B5294" s="8">
        <f t="shared" si="182"/>
        <v>2025</v>
      </c>
      <c r="C5294" s="8">
        <f t="shared" si="183"/>
        <v>11</v>
      </c>
      <c r="D5294" s="204">
        <v>45980</v>
      </c>
      <c r="E5294" s="188"/>
      <c r="F5294" s="188">
        <v>0</v>
      </c>
      <c r="G5294" s="188">
        <v>750000</v>
      </c>
      <c r="H5294" s="188"/>
      <c r="I5294" s="188"/>
      <c r="J5294" s="187" t="s">
        <v>4753</v>
      </c>
      <c r="K5294" s="186"/>
    </row>
    <row r="5295" spans="1:11" x14ac:dyDescent="0.2">
      <c r="A5295" s="8">
        <v>21342.833333333299</v>
      </c>
      <c r="B5295" s="8">
        <f t="shared" si="182"/>
        <v>2025</v>
      </c>
      <c r="C5295" s="8">
        <f t="shared" si="183"/>
        <v>11</v>
      </c>
      <c r="D5295" s="204">
        <v>45981</v>
      </c>
      <c r="E5295" s="188"/>
      <c r="F5295" s="188">
        <v>0</v>
      </c>
      <c r="G5295" s="188">
        <v>1000000</v>
      </c>
      <c r="H5295" s="188"/>
      <c r="I5295" s="188"/>
      <c r="J5295" s="187" t="s">
        <v>4756</v>
      </c>
      <c r="K5295" s="186"/>
    </row>
    <row r="5296" spans="1:11" x14ac:dyDescent="0.2">
      <c r="A5296" s="8">
        <v>21413.333333333299</v>
      </c>
      <c r="B5296" s="8">
        <f t="shared" si="182"/>
        <v>1900</v>
      </c>
      <c r="C5296" s="8">
        <f t="shared" si="183"/>
        <v>1</v>
      </c>
      <c r="D5296" s="229"/>
      <c r="E5296" s="231"/>
      <c r="F5296" s="231"/>
      <c r="G5296" s="231"/>
      <c r="H5296" s="231"/>
      <c r="I5296" s="31"/>
      <c r="J5296" s="230"/>
      <c r="K5296" s="186"/>
    </row>
    <row r="5297" spans="1:11" x14ac:dyDescent="0.2">
      <c r="A5297" s="8">
        <v>21483.833333333299</v>
      </c>
      <c r="B5297" s="8">
        <f t="shared" si="182"/>
        <v>2025</v>
      </c>
      <c r="C5297" s="8">
        <f t="shared" si="183"/>
        <v>7</v>
      </c>
      <c r="D5297" s="229">
        <v>45842</v>
      </c>
      <c r="E5297" s="231"/>
      <c r="F5297" s="35"/>
      <c r="G5297" s="231">
        <v>190000</v>
      </c>
      <c r="H5297" s="231"/>
      <c r="I5297" s="31" t="s">
        <v>2958</v>
      </c>
      <c r="J5297" s="230" t="s">
        <v>4433</v>
      </c>
      <c r="K5297" s="186"/>
    </row>
    <row r="5298" spans="1:11" x14ac:dyDescent="0.2">
      <c r="A5298" s="8">
        <v>21554.333333333299</v>
      </c>
      <c r="B5298" s="8">
        <f t="shared" si="182"/>
        <v>2025</v>
      </c>
      <c r="C5298" s="8">
        <f t="shared" si="183"/>
        <v>7</v>
      </c>
      <c r="D5298" s="229">
        <v>45847</v>
      </c>
      <c r="E5298" s="231"/>
      <c r="F5298" s="35"/>
      <c r="G5298" s="231">
        <v>500000</v>
      </c>
      <c r="H5298" s="231"/>
      <c r="I5298" s="31" t="s">
        <v>2958</v>
      </c>
      <c r="J5298" s="230" t="s">
        <v>4444</v>
      </c>
      <c r="K5298" s="186"/>
    </row>
    <row r="5299" spans="1:11" x14ac:dyDescent="0.2">
      <c r="A5299" s="8">
        <v>21624.833333333299</v>
      </c>
      <c r="B5299" s="8">
        <f t="shared" si="182"/>
        <v>2025</v>
      </c>
      <c r="C5299" s="8">
        <f t="shared" si="183"/>
        <v>7</v>
      </c>
      <c r="D5299" s="229">
        <v>45857</v>
      </c>
      <c r="E5299" s="231"/>
      <c r="F5299" s="35"/>
      <c r="G5299" s="231">
        <v>800000</v>
      </c>
      <c r="H5299" s="231"/>
      <c r="I5299" s="31" t="s">
        <v>2958</v>
      </c>
      <c r="J5299" s="230" t="s">
        <v>4466</v>
      </c>
      <c r="K5299" s="186"/>
    </row>
    <row r="5300" spans="1:11" x14ac:dyDescent="0.2">
      <c r="A5300" s="8">
        <v>21695.333333333299</v>
      </c>
      <c r="B5300" s="8">
        <f t="shared" si="182"/>
        <v>2025</v>
      </c>
      <c r="C5300" s="8">
        <f t="shared" si="183"/>
        <v>7</v>
      </c>
      <c r="D5300" s="229">
        <v>45840</v>
      </c>
      <c r="E5300" s="231"/>
      <c r="F5300" s="35"/>
      <c r="G5300" s="231">
        <v>350000</v>
      </c>
      <c r="H5300" s="231"/>
      <c r="I5300" s="31" t="s">
        <v>2958</v>
      </c>
      <c r="J5300" s="230" t="s">
        <v>4427</v>
      </c>
      <c r="K5300" s="186"/>
    </row>
    <row r="5301" spans="1:11" x14ac:dyDescent="0.2">
      <c r="A5301" s="8">
        <v>21765.833333333299</v>
      </c>
      <c r="B5301" s="8">
        <f t="shared" si="182"/>
        <v>1900</v>
      </c>
      <c r="C5301" s="8">
        <f t="shared" si="183"/>
        <v>1</v>
      </c>
      <c r="D5301" s="229"/>
      <c r="E5301" s="231"/>
      <c r="F5301" s="35"/>
      <c r="G5301" s="231"/>
      <c r="H5301" s="231"/>
      <c r="I5301" s="31"/>
      <c r="J5301" s="230"/>
      <c r="K5301" s="8"/>
    </row>
    <row r="5302" spans="1:11" x14ac:dyDescent="0.2">
      <c r="A5302" s="8">
        <v>21836.333333333299</v>
      </c>
      <c r="B5302" s="8">
        <f t="shared" si="182"/>
        <v>2025</v>
      </c>
      <c r="C5302" s="8">
        <f t="shared" si="183"/>
        <v>6</v>
      </c>
      <c r="D5302" s="229">
        <v>45829</v>
      </c>
      <c r="E5302" s="231"/>
      <c r="F5302" s="35"/>
      <c r="G5302" s="231">
        <v>700000</v>
      </c>
      <c r="H5302" s="231"/>
      <c r="I5302" s="31" t="s">
        <v>2958</v>
      </c>
      <c r="J5302" s="230" t="s">
        <v>4381</v>
      </c>
      <c r="K5302" s="8"/>
    </row>
    <row r="5303" spans="1:11" x14ac:dyDescent="0.2">
      <c r="A5303" s="8">
        <v>21906.833333333299</v>
      </c>
      <c r="B5303" s="8">
        <f t="shared" si="182"/>
        <v>2025</v>
      </c>
      <c r="C5303" s="8">
        <f t="shared" si="183"/>
        <v>6</v>
      </c>
      <c r="D5303" s="229">
        <v>45825</v>
      </c>
      <c r="E5303" s="231"/>
      <c r="F5303" s="35"/>
      <c r="G5303" s="231">
        <v>1000000</v>
      </c>
      <c r="H5303" s="231"/>
      <c r="I5303" s="31" t="s">
        <v>2958</v>
      </c>
      <c r="J5303" s="230" t="s">
        <v>4046</v>
      </c>
      <c r="K5303" s="8"/>
    </row>
    <row r="5304" spans="1:11" x14ac:dyDescent="0.2">
      <c r="A5304" s="8">
        <v>21977.333333333299</v>
      </c>
      <c r="B5304" s="8">
        <f t="shared" si="182"/>
        <v>2025</v>
      </c>
      <c r="C5304" s="8">
        <f t="shared" si="183"/>
        <v>6</v>
      </c>
      <c r="D5304" s="229">
        <v>45824</v>
      </c>
      <c r="E5304" s="231"/>
      <c r="F5304" s="35"/>
      <c r="G5304" s="231">
        <v>300000</v>
      </c>
      <c r="H5304" s="231"/>
      <c r="I5304" s="31" t="s">
        <v>2958</v>
      </c>
      <c r="J5304" s="230" t="s">
        <v>4376</v>
      </c>
      <c r="K5304" s="8"/>
    </row>
    <row r="5305" spans="1:11" x14ac:dyDescent="0.2">
      <c r="A5305" s="8">
        <v>22047.833333333299</v>
      </c>
      <c r="B5305" s="8">
        <f t="shared" si="182"/>
        <v>2025</v>
      </c>
      <c r="C5305" s="8">
        <f t="shared" si="183"/>
        <v>6</v>
      </c>
      <c r="D5305" s="229">
        <v>45814</v>
      </c>
      <c r="E5305" s="231"/>
      <c r="F5305" s="35"/>
      <c r="G5305" s="231">
        <v>1000000</v>
      </c>
      <c r="H5305" s="231"/>
      <c r="I5305" s="31" t="s">
        <v>2958</v>
      </c>
      <c r="J5305" s="230" t="s">
        <v>4357</v>
      </c>
      <c r="K5305" s="8"/>
    </row>
    <row r="5306" spans="1:11" x14ac:dyDescent="0.2">
      <c r="A5306" s="8">
        <v>22118.333333333299</v>
      </c>
      <c r="B5306" s="8">
        <f t="shared" si="182"/>
        <v>2024</v>
      </c>
      <c r="C5306" s="8">
        <f t="shared" si="183"/>
        <v>10</v>
      </c>
      <c r="D5306" s="93">
        <v>45584</v>
      </c>
      <c r="E5306" s="35"/>
      <c r="F5306" s="35"/>
      <c r="G5306" s="35">
        <v>150000</v>
      </c>
      <c r="H5306" s="35"/>
      <c r="I5306" s="31" t="s">
        <v>2958</v>
      </c>
      <c r="J5306" s="36" t="s">
        <v>2954</v>
      </c>
      <c r="K5306" s="8"/>
    </row>
    <row r="5307" spans="1:11" x14ac:dyDescent="0.2">
      <c r="A5307" s="8">
        <v>22188.833333333299</v>
      </c>
      <c r="B5307" s="8">
        <f t="shared" si="182"/>
        <v>2024</v>
      </c>
      <c r="C5307" s="8">
        <f t="shared" si="183"/>
        <v>10</v>
      </c>
      <c r="D5307" s="93">
        <v>45588</v>
      </c>
      <c r="E5307" s="35"/>
      <c r="F5307" s="35"/>
      <c r="G5307" s="35">
        <v>100000</v>
      </c>
      <c r="H5307" s="35"/>
      <c r="I5307" s="31" t="s">
        <v>2958</v>
      </c>
      <c r="J5307" s="36" t="s">
        <v>2955</v>
      </c>
      <c r="K5307" s="8"/>
    </row>
    <row r="5308" spans="1:11" x14ac:dyDescent="0.2">
      <c r="A5308" s="8">
        <v>22259.333333333299</v>
      </c>
      <c r="B5308" s="8">
        <f t="shared" si="182"/>
        <v>2024</v>
      </c>
      <c r="C5308" s="8">
        <f t="shared" si="183"/>
        <v>10</v>
      </c>
      <c r="D5308" s="93">
        <v>45590</v>
      </c>
      <c r="E5308" s="35"/>
      <c r="F5308" s="35"/>
      <c r="G5308" s="35">
        <v>250000</v>
      </c>
      <c r="H5308" s="35"/>
      <c r="I5308" s="31" t="s">
        <v>2958</v>
      </c>
      <c r="J5308" s="36" t="s">
        <v>2956</v>
      </c>
      <c r="K5308" s="8"/>
    </row>
    <row r="5309" spans="1:11" x14ac:dyDescent="0.2">
      <c r="A5309" s="8">
        <v>22329.833333333299</v>
      </c>
      <c r="B5309" s="8">
        <f t="shared" si="182"/>
        <v>2022</v>
      </c>
      <c r="C5309" s="8">
        <f t="shared" si="183"/>
        <v>12</v>
      </c>
      <c r="D5309" s="85">
        <v>44925</v>
      </c>
      <c r="E5309" s="31">
        <v>464000</v>
      </c>
      <c r="F5309" s="31">
        <v>0</v>
      </c>
      <c r="G5309" s="31">
        <v>0</v>
      </c>
      <c r="H5309" s="31">
        <v>0</v>
      </c>
      <c r="I5309" s="31" t="s">
        <v>704</v>
      </c>
      <c r="J5309" s="5" t="s">
        <v>2957</v>
      </c>
      <c r="K5309" s="8"/>
    </row>
    <row r="5310" spans="1:11" x14ac:dyDescent="0.2">
      <c r="A5310" s="8">
        <v>22400.333333333299</v>
      </c>
      <c r="B5310" s="8">
        <f t="shared" si="182"/>
        <v>2022</v>
      </c>
      <c r="C5310" s="8">
        <f t="shared" si="183"/>
        <v>11</v>
      </c>
      <c r="D5310" s="85">
        <v>44870</v>
      </c>
      <c r="E5310" s="31">
        <v>80000</v>
      </c>
      <c r="F5310" s="31">
        <v>0</v>
      </c>
      <c r="G5310" s="31">
        <v>80000</v>
      </c>
      <c r="H5310" s="31">
        <v>0</v>
      </c>
      <c r="I5310" s="31" t="s">
        <v>2958</v>
      </c>
      <c r="J5310" s="5" t="s">
        <v>2959</v>
      </c>
      <c r="K5310" s="8"/>
    </row>
    <row r="5311" spans="1:11" x14ac:dyDescent="0.2">
      <c r="A5311" s="8">
        <v>22470.833333333299</v>
      </c>
      <c r="B5311" s="8">
        <f t="shared" si="182"/>
        <v>2022</v>
      </c>
      <c r="C5311" s="8">
        <f t="shared" si="183"/>
        <v>7</v>
      </c>
      <c r="D5311" s="85">
        <v>44744</v>
      </c>
      <c r="E5311" s="31">
        <v>180000</v>
      </c>
      <c r="F5311" s="31">
        <v>0</v>
      </c>
      <c r="G5311" s="31">
        <v>100000</v>
      </c>
      <c r="H5311" s="31">
        <v>0</v>
      </c>
      <c r="I5311" s="31" t="s">
        <v>2960</v>
      </c>
      <c r="J5311" s="5" t="s">
        <v>2961</v>
      </c>
      <c r="K5311" s="8"/>
    </row>
    <row r="5312" spans="1:11" x14ac:dyDescent="0.2">
      <c r="A5312" s="8">
        <v>22541.333333333299</v>
      </c>
      <c r="B5312" s="8">
        <f t="shared" si="182"/>
        <v>2022</v>
      </c>
      <c r="C5312" s="8">
        <f t="shared" si="183"/>
        <v>6</v>
      </c>
      <c r="D5312" s="85">
        <v>44726</v>
      </c>
      <c r="E5312" s="31">
        <v>844500</v>
      </c>
      <c r="F5312" s="31">
        <v>0</v>
      </c>
      <c r="G5312" s="31">
        <v>0</v>
      </c>
      <c r="H5312" s="31">
        <v>0</v>
      </c>
      <c r="I5312" s="31" t="s">
        <v>704</v>
      </c>
      <c r="J5312" s="5" t="s">
        <v>2962</v>
      </c>
      <c r="K5312" s="8"/>
    </row>
    <row r="5313" spans="1:12" x14ac:dyDescent="0.2">
      <c r="A5313" s="8">
        <v>22611.833333333299</v>
      </c>
      <c r="B5313" s="8">
        <f t="shared" si="182"/>
        <v>2022</v>
      </c>
      <c r="C5313" s="8">
        <f t="shared" si="183"/>
        <v>6</v>
      </c>
      <c r="D5313" s="85">
        <v>44726</v>
      </c>
      <c r="E5313" s="31">
        <v>0</v>
      </c>
      <c r="F5313" s="31">
        <v>90000</v>
      </c>
      <c r="G5313" s="31">
        <v>0</v>
      </c>
      <c r="H5313" s="31">
        <v>0</v>
      </c>
      <c r="I5313" s="31" t="s">
        <v>2960</v>
      </c>
      <c r="J5313" s="5" t="s">
        <v>2963</v>
      </c>
      <c r="K5313" s="8"/>
    </row>
    <row r="5314" spans="1:12" x14ac:dyDescent="0.2">
      <c r="A5314" s="8">
        <v>22682.333333333299</v>
      </c>
      <c r="B5314" s="8">
        <f t="shared" si="182"/>
        <v>2022</v>
      </c>
      <c r="C5314" s="8">
        <f t="shared" si="183"/>
        <v>6</v>
      </c>
      <c r="D5314" s="85">
        <v>44715</v>
      </c>
      <c r="E5314" s="31">
        <v>226000</v>
      </c>
      <c r="F5314" s="31">
        <v>0</v>
      </c>
      <c r="G5314" s="31">
        <v>0</v>
      </c>
      <c r="H5314" s="31">
        <v>0</v>
      </c>
      <c r="I5314" s="31" t="s">
        <v>704</v>
      </c>
      <c r="J5314" s="5" t="s">
        <v>2964</v>
      </c>
      <c r="K5314" s="8"/>
    </row>
    <row r="5315" spans="1:12" x14ac:dyDescent="0.2">
      <c r="A5315" s="8">
        <v>22752.833333333299</v>
      </c>
      <c r="B5315" s="8">
        <f t="shared" si="182"/>
        <v>2022</v>
      </c>
      <c r="C5315" s="8">
        <f t="shared" si="183"/>
        <v>5</v>
      </c>
      <c r="D5315" s="85">
        <v>44711</v>
      </c>
      <c r="E5315" s="31">
        <v>181700</v>
      </c>
      <c r="F5315" s="31">
        <v>0</v>
      </c>
      <c r="G5315" s="31">
        <v>0</v>
      </c>
      <c r="H5315" s="31">
        <v>0</v>
      </c>
      <c r="I5315" s="31" t="s">
        <v>704</v>
      </c>
      <c r="J5315" s="5" t="s">
        <v>2965</v>
      </c>
      <c r="K5315" s="8"/>
    </row>
    <row r="5316" spans="1:12" x14ac:dyDescent="0.2">
      <c r="A5316" s="8">
        <v>22823.333333333299</v>
      </c>
      <c r="B5316" s="8">
        <f t="shared" si="182"/>
        <v>2022</v>
      </c>
      <c r="C5316" s="8">
        <f t="shared" si="183"/>
        <v>12</v>
      </c>
      <c r="D5316" s="85">
        <v>44896</v>
      </c>
      <c r="E5316" s="31">
        <v>0</v>
      </c>
      <c r="F5316" s="31">
        <v>0</v>
      </c>
      <c r="G5316" s="31">
        <v>0</v>
      </c>
      <c r="H5316" s="31" t="e">
        <f>#REF!</f>
        <v>#REF!</v>
      </c>
      <c r="I5316" s="31" t="s">
        <v>74</v>
      </c>
      <c r="J5316" s="5" t="s">
        <v>2966</v>
      </c>
      <c r="K5316" s="8"/>
    </row>
    <row r="5317" spans="1:12" x14ac:dyDescent="0.2">
      <c r="A5317" s="8">
        <v>22893.833333333299</v>
      </c>
      <c r="B5317" s="8">
        <f t="shared" si="182"/>
        <v>1900</v>
      </c>
      <c r="C5317" s="8">
        <f t="shared" si="183"/>
        <v>1</v>
      </c>
      <c r="D5317" s="85"/>
      <c r="E5317" s="31"/>
      <c r="F5317" s="31"/>
      <c r="G5317" s="31"/>
      <c r="H5317" s="31"/>
      <c r="I5317" s="31"/>
      <c r="J5317" s="5"/>
      <c r="K5317" s="8"/>
    </row>
    <row r="5318" spans="1:12" x14ac:dyDescent="0.2">
      <c r="A5318" s="8">
        <v>22964.333333333299</v>
      </c>
      <c r="B5318" s="8">
        <f t="shared" si="182"/>
        <v>1900</v>
      </c>
      <c r="C5318" s="8">
        <f t="shared" si="183"/>
        <v>1</v>
      </c>
      <c r="D5318" s="85"/>
      <c r="E5318" s="31"/>
      <c r="F5318" s="31"/>
      <c r="G5318" s="31"/>
      <c r="H5318" s="31"/>
      <c r="I5318" s="31"/>
      <c r="J5318" s="5"/>
      <c r="K5318" s="8"/>
      <c r="L5318" s="66"/>
    </row>
    <row r="5319" spans="1:12" x14ac:dyDescent="0.2">
      <c r="A5319" s="8">
        <v>23034.833333333299</v>
      </c>
      <c r="B5319" s="8">
        <f t="shared" si="182"/>
        <v>1900</v>
      </c>
      <c r="C5319" s="8">
        <f t="shared" si="183"/>
        <v>1</v>
      </c>
      <c r="D5319" s="86"/>
      <c r="E5319" s="45"/>
      <c r="F5319" s="45"/>
      <c r="G5319" s="45"/>
      <c r="H5319" s="45"/>
      <c r="I5319" s="45"/>
      <c r="J5319" s="25"/>
      <c r="K5319" s="29"/>
    </row>
    <row r="5320" spans="1:12" x14ac:dyDescent="0.2">
      <c r="A5320" s="8">
        <v>23105.333333333299</v>
      </c>
      <c r="B5320" s="8">
        <f t="shared" si="182"/>
        <v>1900</v>
      </c>
      <c r="C5320" s="8">
        <f t="shared" si="183"/>
        <v>1</v>
      </c>
      <c r="E5320" s="33">
        <f>SUM(E2:E5319)</f>
        <v>501239861.98000002</v>
      </c>
      <c r="F5320" s="33">
        <f>SUM(F2:F5319)</f>
        <v>748246147</v>
      </c>
      <c r="G5320" s="33">
        <f>SUM(G2:G5319)</f>
        <v>45348000</v>
      </c>
      <c r="H5320" s="33" t="e">
        <f>SUM(H2:H5319)</f>
        <v>#REF!</v>
      </c>
      <c r="I5320"/>
    </row>
    <row r="5331" spans="13:13" x14ac:dyDescent="0.2">
      <c r="M5331">
        <v>120000</v>
      </c>
    </row>
    <row r="5332" spans="13:13" x14ac:dyDescent="0.2">
      <c r="M5332">
        <v>348000</v>
      </c>
    </row>
  </sheetData>
  <autoFilter ref="A1:Q5332" xr:uid="{00000000-0001-0000-0100-000000000000}"/>
  <phoneticPr fontId="10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7A134FA-BD5B-4E5C-A541-CBF16410D1BB}">
          <x14:formula1>
            <xm:f>'INFORME GASTOS'!$A$4:$A$21</xm:f>
          </x14:formula1>
          <xm:sqref>I1:I1048576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2226-9AAE-A340-B673-AF24906E63A7}">
  <dimension ref="A1:M98"/>
  <sheetViews>
    <sheetView zoomScale="193" zoomScaleNormal="115" workbookViewId="0">
      <pane ySplit="1" topLeftCell="A63" activePane="bottomLeft" state="frozen"/>
      <selection pane="bottomLeft" activeCell="E86" sqref="E86"/>
    </sheetView>
  </sheetViews>
  <sheetFormatPr baseColWidth="10" defaultRowHeight="15" x14ac:dyDescent="0.2"/>
  <cols>
    <col min="1" max="1" width="4.1640625" style="1" customWidth="1"/>
    <col min="2" max="2" width="13" style="1" customWidth="1"/>
    <col min="3" max="3" width="13.6640625" style="239" customWidth="1"/>
    <col min="4" max="4" width="12.5" style="239" bestFit="1" customWidth="1"/>
    <col min="5" max="5" width="12" style="239" customWidth="1"/>
    <col min="6" max="6" width="31.83203125" customWidth="1"/>
  </cols>
  <sheetData>
    <row r="1" spans="1:6" x14ac:dyDescent="0.2">
      <c r="A1" s="190" t="s">
        <v>3845</v>
      </c>
      <c r="B1" s="190" t="s">
        <v>4127</v>
      </c>
      <c r="C1" s="244" t="s">
        <v>4126</v>
      </c>
      <c r="D1" s="244" t="s">
        <v>4125</v>
      </c>
      <c r="E1" s="244" t="s">
        <v>4124</v>
      </c>
      <c r="F1" s="190" t="s">
        <v>4123</v>
      </c>
    </row>
    <row r="2" spans="1:6" x14ac:dyDescent="0.2">
      <c r="A2" s="186">
        <v>1</v>
      </c>
      <c r="B2" s="200">
        <v>45721</v>
      </c>
      <c r="C2" s="241">
        <v>3470000</v>
      </c>
      <c r="D2" s="241"/>
      <c r="E2" s="242" t="s">
        <v>4115</v>
      </c>
      <c r="F2" s="187" t="s">
        <v>4118</v>
      </c>
    </row>
    <row r="3" spans="1:6" x14ac:dyDescent="0.2">
      <c r="A3" s="186">
        <v>2</v>
      </c>
      <c r="B3" s="200">
        <v>45721</v>
      </c>
      <c r="C3" s="241">
        <v>2470000</v>
      </c>
      <c r="D3" s="241"/>
      <c r="E3" s="242" t="s">
        <v>4115</v>
      </c>
      <c r="F3" s="187" t="s">
        <v>4117</v>
      </c>
    </row>
    <row r="4" spans="1:6" x14ac:dyDescent="0.2">
      <c r="A4" s="186">
        <v>3</v>
      </c>
      <c r="B4" s="200">
        <v>45722</v>
      </c>
      <c r="C4" s="241" t="s">
        <v>4121</v>
      </c>
      <c r="D4" s="241">
        <v>120000</v>
      </c>
      <c r="E4" s="242" t="s">
        <v>4115</v>
      </c>
      <c r="F4" s="187" t="s">
        <v>4489</v>
      </c>
    </row>
    <row r="5" spans="1:6" x14ac:dyDescent="0.2">
      <c r="A5" s="186">
        <v>4</v>
      </c>
      <c r="B5" s="200">
        <v>45722</v>
      </c>
      <c r="C5" s="241" t="s">
        <v>4121</v>
      </c>
      <c r="D5" s="241">
        <v>2470000</v>
      </c>
      <c r="E5" s="242" t="s">
        <v>4115</v>
      </c>
      <c r="F5" s="187" t="s">
        <v>4116</v>
      </c>
    </row>
    <row r="6" spans="1:6" x14ac:dyDescent="0.2">
      <c r="A6" s="186">
        <v>5</v>
      </c>
      <c r="B6" s="200">
        <v>45722</v>
      </c>
      <c r="C6" s="241" t="s">
        <v>4121</v>
      </c>
      <c r="D6" s="241">
        <v>2470000</v>
      </c>
      <c r="E6" s="242" t="s">
        <v>4115</v>
      </c>
      <c r="F6" s="245" t="s">
        <v>4114</v>
      </c>
    </row>
    <row r="7" spans="1:6" x14ac:dyDescent="0.2">
      <c r="A7" s="186">
        <v>6</v>
      </c>
      <c r="B7" s="200">
        <v>45724</v>
      </c>
      <c r="C7" s="241"/>
      <c r="D7" s="241">
        <v>100000</v>
      </c>
      <c r="E7" s="243" t="s">
        <v>4120</v>
      </c>
      <c r="F7" s="187" t="s">
        <v>4128</v>
      </c>
    </row>
    <row r="8" spans="1:6" x14ac:dyDescent="0.2">
      <c r="A8" s="186">
        <v>7</v>
      </c>
      <c r="B8" s="200">
        <v>45726</v>
      </c>
      <c r="C8" s="241"/>
      <c r="D8" s="241">
        <v>3000000</v>
      </c>
      <c r="E8" s="242" t="s">
        <v>4115</v>
      </c>
      <c r="F8" s="187" t="s">
        <v>4129</v>
      </c>
    </row>
    <row r="9" spans="1:6" x14ac:dyDescent="0.2">
      <c r="A9" s="186">
        <v>8</v>
      </c>
      <c r="B9" s="200">
        <v>45728</v>
      </c>
      <c r="C9" s="241">
        <v>7500000</v>
      </c>
      <c r="D9" s="241" t="s">
        <v>4121</v>
      </c>
      <c r="E9" s="243" t="s">
        <v>4120</v>
      </c>
      <c r="F9" s="187" t="s">
        <v>4122</v>
      </c>
    </row>
    <row r="10" spans="1:6" x14ac:dyDescent="0.2">
      <c r="A10" s="186">
        <v>9</v>
      </c>
      <c r="B10" s="200">
        <v>45728</v>
      </c>
      <c r="C10" s="241" t="s">
        <v>4121</v>
      </c>
      <c r="D10" s="241">
        <v>7500000</v>
      </c>
      <c r="E10" s="243" t="s">
        <v>4120</v>
      </c>
      <c r="F10" s="187" t="s">
        <v>4135</v>
      </c>
    </row>
    <row r="11" spans="1:6" x14ac:dyDescent="0.2">
      <c r="A11" s="186">
        <v>10</v>
      </c>
      <c r="B11" s="200">
        <v>45735</v>
      </c>
      <c r="C11" s="241" t="s">
        <v>4121</v>
      </c>
      <c r="D11" s="241">
        <v>450000</v>
      </c>
      <c r="E11" s="242" t="s">
        <v>4115</v>
      </c>
      <c r="F11" s="187" t="s">
        <v>4233</v>
      </c>
    </row>
    <row r="12" spans="1:6" x14ac:dyDescent="0.2">
      <c r="A12" s="186">
        <v>11</v>
      </c>
      <c r="B12" s="200">
        <v>45737</v>
      </c>
      <c r="C12" s="241" t="s">
        <v>4121</v>
      </c>
      <c r="D12" s="241">
        <v>82000</v>
      </c>
      <c r="E12" s="243" t="s">
        <v>4120</v>
      </c>
      <c r="F12" s="187" t="s">
        <v>4119</v>
      </c>
    </row>
    <row r="13" spans="1:6" x14ac:dyDescent="0.2">
      <c r="A13" s="186">
        <v>12</v>
      </c>
      <c r="B13" s="200">
        <v>45738</v>
      </c>
      <c r="C13" s="241"/>
      <c r="D13" s="241">
        <v>368000</v>
      </c>
      <c r="E13" s="257" t="s">
        <v>4132</v>
      </c>
      <c r="F13" s="187" t="s">
        <v>4133</v>
      </c>
    </row>
    <row r="14" spans="1:6" x14ac:dyDescent="0.2">
      <c r="A14" s="186">
        <v>13</v>
      </c>
      <c r="B14" s="200">
        <v>45747</v>
      </c>
      <c r="C14" s="241">
        <v>3470000</v>
      </c>
      <c r="D14" s="241" t="s">
        <v>4121</v>
      </c>
      <c r="E14" s="242" t="s">
        <v>4115</v>
      </c>
      <c r="F14" s="187" t="s">
        <v>4228</v>
      </c>
    </row>
    <row r="15" spans="1:6" x14ac:dyDescent="0.2">
      <c r="A15" s="186">
        <v>14</v>
      </c>
      <c r="B15" s="200">
        <v>45747</v>
      </c>
      <c r="C15" s="241">
        <v>2470000</v>
      </c>
      <c r="D15" s="241" t="s">
        <v>4121</v>
      </c>
      <c r="E15" s="242" t="s">
        <v>4115</v>
      </c>
      <c r="F15" s="187" t="s">
        <v>4229</v>
      </c>
    </row>
    <row r="16" spans="1:6" x14ac:dyDescent="0.2">
      <c r="A16" s="186">
        <v>15</v>
      </c>
      <c r="B16" s="200">
        <v>45747</v>
      </c>
      <c r="C16" s="241" t="s">
        <v>4121</v>
      </c>
      <c r="D16" s="241">
        <v>2470000</v>
      </c>
      <c r="E16" s="242" t="s">
        <v>4115</v>
      </c>
      <c r="F16" s="187" t="s">
        <v>4116</v>
      </c>
    </row>
    <row r="17" spans="1:13" x14ac:dyDescent="0.2">
      <c r="A17" s="186">
        <v>16</v>
      </c>
      <c r="B17" s="200">
        <v>45747</v>
      </c>
      <c r="C17" s="241" t="s">
        <v>4121</v>
      </c>
      <c r="D17" s="241">
        <v>2470000</v>
      </c>
      <c r="E17" s="242" t="s">
        <v>4115</v>
      </c>
      <c r="F17" s="245" t="s">
        <v>4114</v>
      </c>
    </row>
    <row r="18" spans="1:13" x14ac:dyDescent="0.2">
      <c r="A18" s="186">
        <v>17</v>
      </c>
      <c r="B18" s="200">
        <v>45747</v>
      </c>
      <c r="C18" s="241">
        <v>15500000</v>
      </c>
      <c r="D18" s="241" t="s">
        <v>4121</v>
      </c>
      <c r="E18" s="243" t="s">
        <v>4120</v>
      </c>
      <c r="F18" s="187" t="s">
        <v>4122</v>
      </c>
    </row>
    <row r="19" spans="1:13" x14ac:dyDescent="0.2">
      <c r="A19" s="186">
        <v>18</v>
      </c>
      <c r="B19" s="200">
        <v>45747</v>
      </c>
      <c r="C19" s="241" t="s">
        <v>4121</v>
      </c>
      <c r="D19" s="241">
        <v>4000000</v>
      </c>
      <c r="E19" s="243" t="s">
        <v>4120</v>
      </c>
      <c r="F19" s="187" t="s">
        <v>4135</v>
      </c>
    </row>
    <row r="20" spans="1:13" x14ac:dyDescent="0.2">
      <c r="A20" s="186">
        <v>19</v>
      </c>
      <c r="B20" s="200">
        <v>45747</v>
      </c>
      <c r="C20" s="241" t="s">
        <v>4121</v>
      </c>
      <c r="D20" s="241">
        <v>11500000</v>
      </c>
      <c r="E20" s="243" t="s">
        <v>4120</v>
      </c>
      <c r="F20" s="245" t="s">
        <v>4134</v>
      </c>
    </row>
    <row r="21" spans="1:13" x14ac:dyDescent="0.2">
      <c r="A21" s="186">
        <v>20</v>
      </c>
      <c r="B21" s="200">
        <v>45748</v>
      </c>
      <c r="C21" s="241" t="s">
        <v>4121</v>
      </c>
      <c r="D21" s="241">
        <v>146000</v>
      </c>
      <c r="E21" s="242" t="s">
        <v>4115</v>
      </c>
      <c r="F21" s="187" t="s">
        <v>4139</v>
      </c>
      <c r="M21">
        <f>26/4</f>
        <v>6.5</v>
      </c>
    </row>
    <row r="22" spans="1:13" x14ac:dyDescent="0.2">
      <c r="A22" s="186">
        <v>21</v>
      </c>
      <c r="B22" s="200">
        <v>45755</v>
      </c>
      <c r="C22" s="241">
        <v>1500000</v>
      </c>
      <c r="D22" s="241" t="s">
        <v>4121</v>
      </c>
      <c r="E22" s="257" t="s">
        <v>4132</v>
      </c>
      <c r="F22" s="187" t="s">
        <v>4227</v>
      </c>
    </row>
    <row r="23" spans="1:13" x14ac:dyDescent="0.2">
      <c r="A23" s="186">
        <v>22</v>
      </c>
      <c r="B23" s="200">
        <v>45777</v>
      </c>
      <c r="C23" s="241" t="s">
        <v>4121</v>
      </c>
      <c r="D23" s="241">
        <v>450000</v>
      </c>
      <c r="E23" s="242" t="s">
        <v>4115</v>
      </c>
      <c r="F23" s="187" t="s">
        <v>4232</v>
      </c>
    </row>
    <row r="24" spans="1:13" x14ac:dyDescent="0.2">
      <c r="A24" s="186">
        <v>23</v>
      </c>
      <c r="B24" s="200">
        <v>45777</v>
      </c>
      <c r="C24" s="241">
        <v>3500000</v>
      </c>
      <c r="D24" s="241" t="s">
        <v>4121</v>
      </c>
      <c r="E24" s="242" t="s">
        <v>4115</v>
      </c>
      <c r="F24" s="187" t="s">
        <v>4230</v>
      </c>
    </row>
    <row r="25" spans="1:13" x14ac:dyDescent="0.2">
      <c r="A25" s="186">
        <v>24</v>
      </c>
      <c r="B25" s="200">
        <v>45777</v>
      </c>
      <c r="C25" s="241">
        <v>2470000</v>
      </c>
      <c r="D25" s="241" t="s">
        <v>4121</v>
      </c>
      <c r="E25" s="242" t="s">
        <v>4115</v>
      </c>
      <c r="F25" s="187" t="s">
        <v>4231</v>
      </c>
    </row>
    <row r="26" spans="1:13" x14ac:dyDescent="0.2">
      <c r="A26" s="186">
        <v>25</v>
      </c>
      <c r="B26" s="200">
        <v>45777</v>
      </c>
      <c r="C26" s="241" t="s">
        <v>4121</v>
      </c>
      <c r="D26" s="241">
        <v>2470000</v>
      </c>
      <c r="E26" s="242" t="s">
        <v>4115</v>
      </c>
      <c r="F26" s="187" t="s">
        <v>4116</v>
      </c>
    </row>
    <row r="27" spans="1:13" x14ac:dyDescent="0.2">
      <c r="A27" s="186">
        <v>26</v>
      </c>
      <c r="B27" s="200">
        <v>45777</v>
      </c>
      <c r="C27" s="241" t="s">
        <v>4121</v>
      </c>
      <c r="D27" s="241">
        <v>2470000</v>
      </c>
      <c r="E27" s="242" t="s">
        <v>4115</v>
      </c>
      <c r="F27" s="245" t="s">
        <v>4114</v>
      </c>
    </row>
    <row r="28" spans="1:13" x14ac:dyDescent="0.2">
      <c r="A28" s="186">
        <v>27</v>
      </c>
      <c r="B28" s="200">
        <v>45789</v>
      </c>
      <c r="C28" s="241"/>
      <c r="D28" s="241">
        <v>120000</v>
      </c>
      <c r="E28" s="242" t="s">
        <v>4115</v>
      </c>
      <c r="F28" s="187" t="s">
        <v>4490</v>
      </c>
    </row>
    <row r="29" spans="1:13" x14ac:dyDescent="0.2">
      <c r="A29" s="186">
        <v>28</v>
      </c>
      <c r="B29" s="200">
        <v>45798</v>
      </c>
      <c r="C29" s="241" t="s">
        <v>4121</v>
      </c>
      <c r="D29" s="241">
        <v>450000</v>
      </c>
      <c r="E29" s="242" t="s">
        <v>4115</v>
      </c>
      <c r="F29" s="187" t="s">
        <v>4485</v>
      </c>
    </row>
    <row r="30" spans="1:13" x14ac:dyDescent="0.2">
      <c r="A30" s="186">
        <v>29</v>
      </c>
      <c r="B30" s="200">
        <v>45807</v>
      </c>
      <c r="C30" s="241">
        <v>3500000</v>
      </c>
      <c r="D30" s="241" t="s">
        <v>4121</v>
      </c>
      <c r="E30" s="242" t="s">
        <v>4115</v>
      </c>
      <c r="F30" s="187" t="s">
        <v>4481</v>
      </c>
    </row>
    <row r="31" spans="1:13" x14ac:dyDescent="0.2">
      <c r="A31" s="186">
        <v>30</v>
      </c>
      <c r="B31" s="200">
        <v>45807</v>
      </c>
      <c r="C31" s="241">
        <v>2470000</v>
      </c>
      <c r="D31" s="241" t="s">
        <v>4121</v>
      </c>
      <c r="E31" s="242" t="s">
        <v>4115</v>
      </c>
      <c r="F31" s="187" t="s">
        <v>4482</v>
      </c>
    </row>
    <row r="32" spans="1:13" x14ac:dyDescent="0.2">
      <c r="A32" s="186">
        <v>31</v>
      </c>
      <c r="B32" s="200">
        <v>45807</v>
      </c>
      <c r="C32" s="241" t="s">
        <v>4121</v>
      </c>
      <c r="D32" s="241">
        <v>2470000</v>
      </c>
      <c r="E32" s="242" t="s">
        <v>4115</v>
      </c>
      <c r="F32" s="187" t="s">
        <v>4116</v>
      </c>
    </row>
    <row r="33" spans="1:6" x14ac:dyDescent="0.2">
      <c r="A33" s="186">
        <v>32</v>
      </c>
      <c r="B33" s="200">
        <v>45807</v>
      </c>
      <c r="C33" s="241" t="s">
        <v>4121</v>
      </c>
      <c r="D33" s="241">
        <v>2470000</v>
      </c>
      <c r="E33" s="242" t="s">
        <v>4115</v>
      </c>
      <c r="F33" s="245" t="s">
        <v>4114</v>
      </c>
    </row>
    <row r="34" spans="1:6" x14ac:dyDescent="0.2">
      <c r="A34" s="186">
        <v>33</v>
      </c>
      <c r="B34" s="200">
        <v>45789</v>
      </c>
      <c r="C34" s="241" t="s">
        <v>4121</v>
      </c>
      <c r="D34" s="241">
        <v>120000</v>
      </c>
      <c r="E34" s="242" t="s">
        <v>4115</v>
      </c>
      <c r="F34" s="187" t="s">
        <v>4491</v>
      </c>
    </row>
    <row r="35" spans="1:6" x14ac:dyDescent="0.2">
      <c r="A35" s="186">
        <v>34</v>
      </c>
      <c r="B35" s="200">
        <v>45832</v>
      </c>
      <c r="C35" s="241" t="s">
        <v>4121</v>
      </c>
      <c r="D35" s="241">
        <v>450000</v>
      </c>
      <c r="E35" s="242" t="s">
        <v>4115</v>
      </c>
      <c r="F35" s="187" t="s">
        <v>4486</v>
      </c>
    </row>
    <row r="36" spans="1:6" x14ac:dyDescent="0.2">
      <c r="A36" s="186">
        <v>35</v>
      </c>
      <c r="B36" s="200">
        <v>45838</v>
      </c>
      <c r="C36" s="241">
        <v>3500000</v>
      </c>
      <c r="D36" s="241" t="s">
        <v>4121</v>
      </c>
      <c r="E36" s="242" t="s">
        <v>4115</v>
      </c>
      <c r="F36" s="187" t="s">
        <v>4483</v>
      </c>
    </row>
    <row r="37" spans="1:6" x14ac:dyDescent="0.2">
      <c r="A37" s="186">
        <v>36</v>
      </c>
      <c r="B37" s="200">
        <v>45838</v>
      </c>
      <c r="C37" s="241">
        <v>2470000</v>
      </c>
      <c r="D37" s="241" t="s">
        <v>4121</v>
      </c>
      <c r="E37" s="242" t="s">
        <v>4115</v>
      </c>
      <c r="F37" s="187" t="s">
        <v>4484</v>
      </c>
    </row>
    <row r="38" spans="1:6" x14ac:dyDescent="0.2">
      <c r="A38" s="186">
        <v>37</v>
      </c>
      <c r="B38" s="200">
        <v>45838</v>
      </c>
      <c r="C38" s="241" t="s">
        <v>4121</v>
      </c>
      <c r="D38" s="241">
        <v>2470000</v>
      </c>
      <c r="E38" s="242" t="s">
        <v>4115</v>
      </c>
      <c r="F38" s="187" t="s">
        <v>4116</v>
      </c>
    </row>
    <row r="39" spans="1:6" x14ac:dyDescent="0.2">
      <c r="A39" s="186">
        <v>38</v>
      </c>
      <c r="B39" s="200">
        <v>45838</v>
      </c>
      <c r="C39" s="241" t="s">
        <v>4121</v>
      </c>
      <c r="D39" s="241">
        <v>2470000</v>
      </c>
      <c r="E39" s="242" t="s">
        <v>4115</v>
      </c>
      <c r="F39" s="245" t="s">
        <v>4114</v>
      </c>
    </row>
    <row r="40" spans="1:6" x14ac:dyDescent="0.2">
      <c r="A40" s="186">
        <v>39</v>
      </c>
      <c r="B40" s="200">
        <v>45820</v>
      </c>
      <c r="C40" s="241" t="s">
        <v>4121</v>
      </c>
      <c r="D40" s="241">
        <v>120000</v>
      </c>
      <c r="E40" s="242" t="s">
        <v>4115</v>
      </c>
      <c r="F40" s="187" t="s">
        <v>4492</v>
      </c>
    </row>
    <row r="41" spans="1:6" x14ac:dyDescent="0.2">
      <c r="A41" s="186">
        <v>40</v>
      </c>
      <c r="B41" s="200">
        <v>45813</v>
      </c>
      <c r="C41" s="241" t="s">
        <v>4121</v>
      </c>
      <c r="D41" s="241">
        <v>180000</v>
      </c>
      <c r="E41" s="275" t="s">
        <v>4488</v>
      </c>
      <c r="F41" s="187" t="s">
        <v>4399</v>
      </c>
    </row>
    <row r="42" spans="1:6" x14ac:dyDescent="0.2">
      <c r="A42" s="186">
        <v>41</v>
      </c>
      <c r="B42" s="200">
        <v>45814</v>
      </c>
      <c r="C42" s="241" t="s">
        <v>4121</v>
      </c>
      <c r="D42" s="241">
        <v>240000</v>
      </c>
      <c r="E42" s="243" t="s">
        <v>4120</v>
      </c>
      <c r="F42" s="187" t="s">
        <v>4356</v>
      </c>
    </row>
    <row r="43" spans="1:6" x14ac:dyDescent="0.2">
      <c r="A43" s="186">
        <v>42</v>
      </c>
      <c r="B43" s="200">
        <v>45829</v>
      </c>
      <c r="C43" s="241" t="s">
        <v>4121</v>
      </c>
      <c r="D43" s="241">
        <v>210000</v>
      </c>
      <c r="E43" s="243" t="s">
        <v>4120</v>
      </c>
      <c r="F43" s="187" t="s">
        <v>4380</v>
      </c>
    </row>
    <row r="44" spans="1:6" x14ac:dyDescent="0.2">
      <c r="A44" s="186">
        <v>43</v>
      </c>
      <c r="B44" s="200">
        <v>45832</v>
      </c>
      <c r="C44" s="241" t="s">
        <v>4121</v>
      </c>
      <c r="D44" s="241">
        <v>57000</v>
      </c>
      <c r="E44" s="257" t="s">
        <v>4132</v>
      </c>
      <c r="F44" s="187" t="s">
        <v>4387</v>
      </c>
    </row>
    <row r="45" spans="1:6" x14ac:dyDescent="0.2">
      <c r="A45" s="186">
        <v>44</v>
      </c>
      <c r="B45" s="200">
        <v>45840</v>
      </c>
      <c r="C45" s="241" t="s">
        <v>4121</v>
      </c>
      <c r="D45" s="241">
        <v>81000</v>
      </c>
      <c r="E45" s="257" t="s">
        <v>4132</v>
      </c>
      <c r="F45" s="187" t="s">
        <v>4480</v>
      </c>
    </row>
    <row r="46" spans="1:6" x14ac:dyDescent="0.2">
      <c r="A46" s="186">
        <v>45</v>
      </c>
      <c r="B46" s="200">
        <v>45856</v>
      </c>
      <c r="C46" s="241" t="s">
        <v>4121</v>
      </c>
      <c r="D46" s="241">
        <v>450000</v>
      </c>
      <c r="E46" s="242" t="s">
        <v>4115</v>
      </c>
      <c r="F46" s="187" t="s">
        <v>4487</v>
      </c>
    </row>
    <row r="47" spans="1:6" x14ac:dyDescent="0.2">
      <c r="A47" s="186">
        <v>46</v>
      </c>
      <c r="B47" s="200">
        <v>45820</v>
      </c>
      <c r="C47" s="241" t="s">
        <v>4121</v>
      </c>
      <c r="D47" s="241">
        <v>120000</v>
      </c>
      <c r="E47" s="242" t="s">
        <v>4115</v>
      </c>
      <c r="F47" s="187" t="s">
        <v>4493</v>
      </c>
    </row>
    <row r="48" spans="1:6" x14ac:dyDescent="0.2">
      <c r="A48" s="186">
        <v>47</v>
      </c>
      <c r="B48" s="200">
        <v>45868</v>
      </c>
      <c r="C48" s="241">
        <v>3500000</v>
      </c>
      <c r="D48" s="241" t="s">
        <v>4121</v>
      </c>
      <c r="E48" s="242" t="s">
        <v>4115</v>
      </c>
      <c r="F48" s="187" t="s">
        <v>4847</v>
      </c>
    </row>
    <row r="49" spans="1:6" x14ac:dyDescent="0.2">
      <c r="A49" s="186">
        <v>48</v>
      </c>
      <c r="B49" s="200">
        <v>45868</v>
      </c>
      <c r="C49" s="241">
        <v>2470000</v>
      </c>
      <c r="D49" s="241" t="s">
        <v>4121</v>
      </c>
      <c r="E49" s="242" t="s">
        <v>4115</v>
      </c>
      <c r="F49" s="187" t="s">
        <v>4848</v>
      </c>
    </row>
    <row r="50" spans="1:6" x14ac:dyDescent="0.2">
      <c r="A50" s="186">
        <v>49</v>
      </c>
      <c r="B50" s="200">
        <v>45868</v>
      </c>
      <c r="C50" s="241" t="s">
        <v>4121</v>
      </c>
      <c r="D50" s="241">
        <v>2470000</v>
      </c>
      <c r="E50" s="242" t="s">
        <v>4115</v>
      </c>
      <c r="F50" s="187" t="s">
        <v>4116</v>
      </c>
    </row>
    <row r="51" spans="1:6" x14ac:dyDescent="0.2">
      <c r="A51" s="186">
        <v>50</v>
      </c>
      <c r="B51" s="200">
        <v>45868</v>
      </c>
      <c r="C51" s="241" t="s">
        <v>4121</v>
      </c>
      <c r="D51" s="241">
        <v>2470000</v>
      </c>
      <c r="E51" s="242" t="s">
        <v>4115</v>
      </c>
      <c r="F51" s="245" t="s">
        <v>4114</v>
      </c>
    </row>
    <row r="52" spans="1:6" x14ac:dyDescent="0.2">
      <c r="A52" s="186">
        <v>51</v>
      </c>
      <c r="B52" s="200">
        <v>45868</v>
      </c>
      <c r="C52" s="241" t="s">
        <v>4121</v>
      </c>
      <c r="D52" s="241">
        <v>120000</v>
      </c>
      <c r="E52" s="242" t="s">
        <v>4115</v>
      </c>
      <c r="F52" s="187" t="s">
        <v>4851</v>
      </c>
    </row>
    <row r="53" spans="1:6" x14ac:dyDescent="0.2">
      <c r="A53" s="186">
        <v>52</v>
      </c>
      <c r="B53" s="200">
        <v>45888</v>
      </c>
      <c r="C53" s="241" t="s">
        <v>4121</v>
      </c>
      <c r="D53" s="241">
        <v>120000</v>
      </c>
      <c r="E53" s="242" t="s">
        <v>4115</v>
      </c>
      <c r="F53" s="187" t="s">
        <v>4851</v>
      </c>
    </row>
    <row r="54" spans="1:6" x14ac:dyDescent="0.2">
      <c r="A54" s="186">
        <v>45</v>
      </c>
      <c r="B54" s="200">
        <v>45887</v>
      </c>
      <c r="C54" s="241" t="s">
        <v>4121</v>
      </c>
      <c r="D54" s="241">
        <v>450000</v>
      </c>
      <c r="E54" s="242" t="s">
        <v>4115</v>
      </c>
      <c r="F54" s="187" t="s">
        <v>4654</v>
      </c>
    </row>
    <row r="55" spans="1:6" x14ac:dyDescent="0.2">
      <c r="A55" s="186">
        <v>53</v>
      </c>
      <c r="B55" s="200">
        <v>45899</v>
      </c>
      <c r="C55" s="241">
        <v>3500000</v>
      </c>
      <c r="D55" s="241" t="s">
        <v>4121</v>
      </c>
      <c r="E55" s="242" t="s">
        <v>4115</v>
      </c>
      <c r="F55" s="187" t="s">
        <v>4849</v>
      </c>
    </row>
    <row r="56" spans="1:6" x14ac:dyDescent="0.2">
      <c r="A56" s="186">
        <v>54</v>
      </c>
      <c r="B56" s="200">
        <v>45899</v>
      </c>
      <c r="C56" s="241">
        <v>2470000</v>
      </c>
      <c r="D56" s="241" t="s">
        <v>4121</v>
      </c>
      <c r="E56" s="242" t="s">
        <v>4115</v>
      </c>
      <c r="F56" s="187" t="s">
        <v>4850</v>
      </c>
    </row>
    <row r="57" spans="1:6" x14ac:dyDescent="0.2">
      <c r="A57" s="186">
        <v>55</v>
      </c>
      <c r="B57" s="200">
        <v>45899</v>
      </c>
      <c r="C57" s="241" t="s">
        <v>4121</v>
      </c>
      <c r="D57" s="241">
        <v>2470000</v>
      </c>
      <c r="E57" s="242" t="s">
        <v>4115</v>
      </c>
      <c r="F57" s="187" t="s">
        <v>4116</v>
      </c>
    </row>
    <row r="58" spans="1:6" x14ac:dyDescent="0.2">
      <c r="A58" s="186">
        <v>56</v>
      </c>
      <c r="B58" s="200">
        <v>45899</v>
      </c>
      <c r="C58" s="241" t="s">
        <v>4121</v>
      </c>
      <c r="D58" s="241">
        <v>2470000</v>
      </c>
      <c r="E58" s="242" t="s">
        <v>4115</v>
      </c>
      <c r="F58" s="245" t="s">
        <v>4114</v>
      </c>
    </row>
    <row r="59" spans="1:6" x14ac:dyDescent="0.2">
      <c r="A59" s="186">
        <v>57</v>
      </c>
      <c r="B59" s="200">
        <v>45899</v>
      </c>
      <c r="C59" s="241" t="s">
        <v>4121</v>
      </c>
      <c r="D59" s="241">
        <v>120000</v>
      </c>
      <c r="E59" s="242" t="s">
        <v>4115</v>
      </c>
      <c r="F59" s="187" t="s">
        <v>4851</v>
      </c>
    </row>
    <row r="60" spans="1:6" x14ac:dyDescent="0.2">
      <c r="A60" s="186">
        <v>58</v>
      </c>
      <c r="B60" s="200">
        <v>45899</v>
      </c>
      <c r="C60" s="241" t="s">
        <v>4121</v>
      </c>
      <c r="D60" s="241">
        <v>120000</v>
      </c>
      <c r="E60" s="242" t="s">
        <v>4115</v>
      </c>
      <c r="F60" s="187" t="s">
        <v>4851</v>
      </c>
    </row>
    <row r="61" spans="1:6" x14ac:dyDescent="0.2">
      <c r="A61" s="186">
        <v>59</v>
      </c>
      <c r="B61" s="200">
        <v>45933</v>
      </c>
      <c r="C61" s="241"/>
      <c r="D61" s="241">
        <v>1200000</v>
      </c>
      <c r="E61" s="275" t="s">
        <v>4488</v>
      </c>
      <c r="F61" s="187" t="s">
        <v>4655</v>
      </c>
    </row>
    <row r="62" spans="1:6" x14ac:dyDescent="0.2">
      <c r="A62" s="186">
        <v>60</v>
      </c>
      <c r="B62" s="200">
        <v>45924</v>
      </c>
      <c r="C62" s="241"/>
      <c r="D62" s="241">
        <v>267000</v>
      </c>
      <c r="E62" s="257" t="s">
        <v>4132</v>
      </c>
      <c r="F62" s="187" t="s">
        <v>4628</v>
      </c>
    </row>
    <row r="63" spans="1:6" x14ac:dyDescent="0.2">
      <c r="A63" s="186">
        <v>61</v>
      </c>
      <c r="B63" s="200">
        <v>45891</v>
      </c>
      <c r="C63" s="241"/>
      <c r="D63" s="241">
        <v>189000</v>
      </c>
      <c r="E63" s="242" t="s">
        <v>4115</v>
      </c>
      <c r="F63" s="187" t="s">
        <v>4553</v>
      </c>
    </row>
    <row r="64" spans="1:6" x14ac:dyDescent="0.2">
      <c r="A64" s="186">
        <v>62</v>
      </c>
      <c r="B64" s="200">
        <v>46381</v>
      </c>
      <c r="C64" s="241">
        <v>6000000</v>
      </c>
      <c r="D64" s="241" t="s">
        <v>4121</v>
      </c>
      <c r="E64" s="242" t="s">
        <v>4115</v>
      </c>
      <c r="F64" s="187" t="s">
        <v>4852</v>
      </c>
    </row>
    <row r="65" spans="1:10" x14ac:dyDescent="0.2">
      <c r="A65" s="186">
        <v>63</v>
      </c>
      <c r="B65" s="200">
        <v>46381</v>
      </c>
      <c r="C65" s="241">
        <v>4500000</v>
      </c>
      <c r="D65" s="241" t="s">
        <v>4121</v>
      </c>
      <c r="E65" s="242" t="s">
        <v>4115</v>
      </c>
      <c r="F65" s="187" t="s">
        <v>4853</v>
      </c>
    </row>
    <row r="66" spans="1:10" x14ac:dyDescent="0.2">
      <c r="A66" s="186">
        <v>64</v>
      </c>
      <c r="B66" s="200">
        <v>46382</v>
      </c>
      <c r="C66" s="241">
        <v>4000000</v>
      </c>
      <c r="D66" s="241" t="s">
        <v>4121</v>
      </c>
      <c r="E66" s="242" t="s">
        <v>4115</v>
      </c>
      <c r="F66" s="187" t="s">
        <v>4854</v>
      </c>
    </row>
    <row r="67" spans="1:10" x14ac:dyDescent="0.2">
      <c r="A67" s="186">
        <v>65</v>
      </c>
      <c r="B67" s="200">
        <v>46386</v>
      </c>
      <c r="C67" s="241">
        <v>7290000</v>
      </c>
      <c r="D67" s="241" t="s">
        <v>4121</v>
      </c>
      <c r="E67" s="242" t="s">
        <v>4115</v>
      </c>
      <c r="F67" s="187" t="s">
        <v>4855</v>
      </c>
    </row>
    <row r="68" spans="1:10" x14ac:dyDescent="0.2">
      <c r="A68" s="186">
        <v>66</v>
      </c>
      <c r="B68" s="200">
        <v>46386</v>
      </c>
      <c r="C68" s="241">
        <v>8145000</v>
      </c>
      <c r="D68" s="241" t="s">
        <v>4121</v>
      </c>
      <c r="E68" s="242" t="s">
        <v>4115</v>
      </c>
      <c r="F68" s="187" t="s">
        <v>4855</v>
      </c>
    </row>
    <row r="69" spans="1:10" x14ac:dyDescent="0.2">
      <c r="A69" s="186">
        <v>67</v>
      </c>
      <c r="B69" s="200">
        <v>46386</v>
      </c>
      <c r="C69" s="241" t="s">
        <v>4121</v>
      </c>
      <c r="D69" s="241">
        <v>600000</v>
      </c>
      <c r="E69" s="242" t="s">
        <v>4115</v>
      </c>
      <c r="F69" s="187" t="s">
        <v>4856</v>
      </c>
    </row>
    <row r="70" spans="1:10" x14ac:dyDescent="0.2">
      <c r="A70" s="186">
        <v>68</v>
      </c>
      <c r="B70" s="200">
        <v>46386</v>
      </c>
      <c r="C70" s="241"/>
      <c r="D70" s="241">
        <v>140000</v>
      </c>
      <c r="E70" s="242" t="s">
        <v>4115</v>
      </c>
      <c r="F70" s="187" t="s">
        <v>4912</v>
      </c>
    </row>
    <row r="71" spans="1:10" x14ac:dyDescent="0.2">
      <c r="A71" s="186">
        <v>69</v>
      </c>
      <c r="B71" s="200"/>
      <c r="C71" s="241"/>
      <c r="D71" s="241"/>
      <c r="E71" s="242"/>
      <c r="F71" s="187"/>
    </row>
    <row r="72" spans="1:10" x14ac:dyDescent="0.2">
      <c r="A72" s="186">
        <v>70</v>
      </c>
      <c r="B72" s="200"/>
      <c r="C72" s="241"/>
      <c r="D72" s="241"/>
      <c r="E72" s="242"/>
      <c r="F72" s="187"/>
    </row>
    <row r="73" spans="1:10" ht="16" x14ac:dyDescent="0.2">
      <c r="A73" s="186">
        <v>71</v>
      </c>
      <c r="B73" s="200">
        <v>46068</v>
      </c>
      <c r="C73" s="241">
        <v>40000000</v>
      </c>
      <c r="D73" s="241"/>
      <c r="E73" s="242"/>
      <c r="F73" s="187" t="s">
        <v>5169</v>
      </c>
      <c r="H73" s="371">
        <v>90000000</v>
      </c>
      <c r="I73" s="66"/>
      <c r="J73" s="66"/>
    </row>
    <row r="74" spans="1:10" x14ac:dyDescent="0.2">
      <c r="A74" s="186">
        <v>72</v>
      </c>
      <c r="B74" s="200">
        <v>46068</v>
      </c>
      <c r="C74" s="241"/>
      <c r="D74" s="241">
        <v>10000000</v>
      </c>
      <c r="E74" s="242"/>
      <c r="F74" s="187" t="s">
        <v>5168</v>
      </c>
      <c r="J74" s="66"/>
    </row>
    <row r="75" spans="1:10" ht="16" x14ac:dyDescent="0.2">
      <c r="A75" s="186">
        <v>73</v>
      </c>
      <c r="B75" s="200">
        <v>46025</v>
      </c>
      <c r="C75" s="241"/>
      <c r="D75" s="241">
        <v>450000</v>
      </c>
      <c r="E75" s="242"/>
      <c r="F75" s="187" t="s">
        <v>5008</v>
      </c>
      <c r="H75" s="372" t="s">
        <v>1846</v>
      </c>
      <c r="I75" s="373">
        <v>0.3</v>
      </c>
      <c r="J75" s="374">
        <f>H73*I75</f>
        <v>27000000</v>
      </c>
    </row>
    <row r="76" spans="1:10" ht="16" x14ac:dyDescent="0.2">
      <c r="A76" s="186">
        <v>74</v>
      </c>
      <c r="B76" s="200">
        <v>46030</v>
      </c>
      <c r="C76" s="241"/>
      <c r="D76" s="241">
        <v>62000</v>
      </c>
      <c r="E76" s="242"/>
      <c r="F76" s="187" t="s">
        <v>5022</v>
      </c>
      <c r="H76" s="372" t="s">
        <v>3847</v>
      </c>
      <c r="I76" s="373">
        <v>0.15</v>
      </c>
      <c r="J76" s="374">
        <f>H73*I76</f>
        <v>13500000</v>
      </c>
    </row>
    <row r="77" spans="1:10" ht="16" x14ac:dyDescent="0.2">
      <c r="A77" s="186">
        <v>75</v>
      </c>
      <c r="B77" s="200">
        <v>46038</v>
      </c>
      <c r="C77" s="241"/>
      <c r="D77" s="241">
        <v>600000</v>
      </c>
      <c r="E77" s="242"/>
      <c r="F77" s="187" t="s">
        <v>5033</v>
      </c>
      <c r="H77" s="372" t="s">
        <v>5221</v>
      </c>
      <c r="I77" s="373">
        <v>0.19</v>
      </c>
      <c r="J77" s="374">
        <f>H73*I77</f>
        <v>17100000</v>
      </c>
    </row>
    <row r="78" spans="1:10" ht="16" x14ac:dyDescent="0.2">
      <c r="A78" s="186">
        <v>76</v>
      </c>
      <c r="B78" s="200">
        <v>46090</v>
      </c>
      <c r="C78" s="241"/>
      <c r="D78" s="241">
        <v>490000</v>
      </c>
      <c r="E78" s="242"/>
      <c r="F78" s="187" t="s">
        <v>5146</v>
      </c>
      <c r="H78" s="372" t="s">
        <v>5222</v>
      </c>
      <c r="I78" s="373">
        <v>0.01</v>
      </c>
      <c r="J78" s="374">
        <f>H73*I78</f>
        <v>900000</v>
      </c>
    </row>
    <row r="79" spans="1:10" ht="16" x14ac:dyDescent="0.2">
      <c r="A79" s="186">
        <v>77</v>
      </c>
      <c r="B79" s="200">
        <v>46121</v>
      </c>
      <c r="C79" s="241"/>
      <c r="D79" s="241">
        <v>490000</v>
      </c>
      <c r="E79" s="242"/>
      <c r="F79" s="187" t="s">
        <v>5146</v>
      </c>
      <c r="H79" s="372" t="s">
        <v>3269</v>
      </c>
      <c r="I79" s="373">
        <v>0.15</v>
      </c>
      <c r="J79" s="374">
        <f>H73*I79</f>
        <v>13500000</v>
      </c>
    </row>
    <row r="80" spans="1:10" ht="16" x14ac:dyDescent="0.2">
      <c r="A80" s="186">
        <v>78</v>
      </c>
      <c r="B80" s="200">
        <v>46153</v>
      </c>
      <c r="C80" s="241"/>
      <c r="D80" s="241">
        <v>490000</v>
      </c>
      <c r="E80" s="242"/>
      <c r="F80" s="187" t="s">
        <v>5146</v>
      </c>
      <c r="H80" s="372" t="s">
        <v>5223</v>
      </c>
      <c r="I80" s="373">
        <v>0.05</v>
      </c>
      <c r="J80" s="374">
        <f>H73*I80</f>
        <v>4500000</v>
      </c>
    </row>
    <row r="81" spans="1:10" ht="16" x14ac:dyDescent="0.2">
      <c r="A81" s="186">
        <v>79</v>
      </c>
      <c r="B81" s="200">
        <v>46135</v>
      </c>
      <c r="C81" s="241"/>
      <c r="D81" s="241">
        <v>60000</v>
      </c>
      <c r="E81" s="242"/>
      <c r="F81" s="187" t="s">
        <v>5116</v>
      </c>
      <c r="H81" s="372" t="s">
        <v>5224</v>
      </c>
      <c r="I81" s="373">
        <v>0.15</v>
      </c>
      <c r="J81" s="374">
        <f>H73*I81</f>
        <v>13500000</v>
      </c>
    </row>
    <row r="82" spans="1:10" x14ac:dyDescent="0.2">
      <c r="A82" s="186">
        <v>80</v>
      </c>
      <c r="B82" s="200">
        <v>46132</v>
      </c>
      <c r="C82" s="241"/>
      <c r="D82" s="241">
        <v>400000</v>
      </c>
      <c r="E82" s="242"/>
      <c r="F82" s="187" t="s">
        <v>5113</v>
      </c>
      <c r="I82" s="375"/>
      <c r="J82" s="66"/>
    </row>
    <row r="83" spans="1:10" ht="16" x14ac:dyDescent="0.2">
      <c r="A83" s="186">
        <v>81</v>
      </c>
      <c r="B83" s="200">
        <v>46059</v>
      </c>
      <c r="C83" s="241"/>
      <c r="D83" s="241">
        <v>215000</v>
      </c>
      <c r="E83" s="242"/>
      <c r="F83" s="187" t="s">
        <v>5062</v>
      </c>
      <c r="I83" s="376">
        <f>SUM(I75:I82)</f>
        <v>1</v>
      </c>
      <c r="J83" s="377">
        <f>SUM(J75:J82)</f>
        <v>90000000</v>
      </c>
    </row>
    <row r="84" spans="1:10" x14ac:dyDescent="0.2">
      <c r="A84" s="186">
        <v>82</v>
      </c>
      <c r="B84" s="200">
        <v>46051</v>
      </c>
      <c r="C84" s="241"/>
      <c r="D84" s="241">
        <v>600000</v>
      </c>
      <c r="E84" s="242"/>
      <c r="F84" s="187" t="s">
        <v>5053</v>
      </c>
    </row>
    <row r="85" spans="1:10" x14ac:dyDescent="0.2">
      <c r="A85" s="186">
        <v>83</v>
      </c>
      <c r="B85" s="200">
        <v>46068</v>
      </c>
      <c r="C85" s="241"/>
      <c r="D85" s="241">
        <v>300000</v>
      </c>
      <c r="E85" s="242"/>
      <c r="F85" s="187" t="s">
        <v>5190</v>
      </c>
    </row>
    <row r="86" spans="1:10" x14ac:dyDescent="0.2">
      <c r="A86" s="186">
        <v>84</v>
      </c>
      <c r="B86" s="200">
        <v>46190</v>
      </c>
      <c r="C86" s="241"/>
      <c r="D86" s="241">
        <v>300000</v>
      </c>
      <c r="E86" s="242"/>
      <c r="F86" s="187" t="s">
        <v>5191</v>
      </c>
    </row>
    <row r="87" spans="1:10" x14ac:dyDescent="0.2">
      <c r="A87" s="186">
        <v>85</v>
      </c>
      <c r="B87" s="200"/>
      <c r="C87" s="241"/>
      <c r="D87" s="241"/>
      <c r="E87" s="242"/>
      <c r="F87" s="187"/>
    </row>
    <row r="88" spans="1:10" x14ac:dyDescent="0.2">
      <c r="A88" s="186">
        <v>86</v>
      </c>
      <c r="B88" s="200"/>
      <c r="C88" s="241"/>
      <c r="D88" s="241"/>
      <c r="E88" s="242"/>
      <c r="F88" s="187"/>
    </row>
    <row r="89" spans="1:10" x14ac:dyDescent="0.2">
      <c r="A89" s="186">
        <v>87</v>
      </c>
      <c r="B89" s="200"/>
      <c r="C89" s="241"/>
      <c r="D89" s="241"/>
      <c r="E89" s="242"/>
      <c r="F89" s="187"/>
    </row>
    <row r="90" spans="1:10" x14ac:dyDescent="0.2">
      <c r="A90" s="186">
        <v>88</v>
      </c>
      <c r="B90" s="200"/>
      <c r="C90" s="241"/>
      <c r="D90" s="241"/>
      <c r="E90" s="242"/>
      <c r="F90" s="187"/>
    </row>
    <row r="91" spans="1:10" x14ac:dyDescent="0.2">
      <c r="A91" s="186">
        <v>89</v>
      </c>
      <c r="B91" s="200"/>
      <c r="C91" s="241"/>
      <c r="D91" s="241"/>
      <c r="E91" s="242"/>
      <c r="F91" s="187"/>
    </row>
    <row r="92" spans="1:10" x14ac:dyDescent="0.2">
      <c r="A92" s="186">
        <v>90</v>
      </c>
      <c r="B92" s="200"/>
      <c r="C92" s="241"/>
      <c r="D92" s="241"/>
      <c r="E92" s="242"/>
      <c r="F92" s="187"/>
    </row>
    <row r="93" spans="1:10" x14ac:dyDescent="0.2">
      <c r="A93" s="186">
        <v>91</v>
      </c>
      <c r="B93" s="200"/>
      <c r="C93" s="241"/>
      <c r="D93" s="241"/>
      <c r="E93" s="242"/>
      <c r="F93" s="187"/>
    </row>
    <row r="94" spans="1:10" x14ac:dyDescent="0.2">
      <c r="A94" s="186">
        <v>92</v>
      </c>
      <c r="B94" s="200"/>
      <c r="C94" s="241"/>
      <c r="D94" s="241"/>
      <c r="E94" s="242"/>
      <c r="F94" s="187"/>
    </row>
    <row r="95" spans="1:10" x14ac:dyDescent="0.2">
      <c r="A95" s="186">
        <v>93</v>
      </c>
      <c r="B95" s="200"/>
      <c r="C95" s="241"/>
      <c r="D95" s="241"/>
      <c r="E95" s="241"/>
      <c r="F95" s="187"/>
    </row>
    <row r="96" spans="1:10" x14ac:dyDescent="0.2">
      <c r="A96" s="186">
        <v>94</v>
      </c>
      <c r="C96" s="240">
        <f>SUM(C2:C95)</f>
        <v>136165000</v>
      </c>
      <c r="D96" s="240">
        <f>SUM(D2:D95)</f>
        <v>82677000</v>
      </c>
      <c r="E96"/>
    </row>
    <row r="98" spans="4:5" x14ac:dyDescent="0.2">
      <c r="D98" s="240">
        <f>C96-D96</f>
        <v>53488000</v>
      </c>
      <c r="E98" s="185" t="s">
        <v>4113</v>
      </c>
    </row>
  </sheetData>
  <autoFilter ref="A1:M99" xr:uid="{E9212226-9AAE-A340-B673-AF24906E63A7}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34A75-9102-2D44-B933-71638996809F}">
  <dimension ref="A1:M72"/>
  <sheetViews>
    <sheetView topLeftCell="A51" zoomScale="183" workbookViewId="0">
      <selection activeCell="K64" sqref="K64"/>
    </sheetView>
  </sheetViews>
  <sheetFormatPr baseColWidth="10" defaultRowHeight="15" x14ac:dyDescent="0.2"/>
  <cols>
    <col min="1" max="1" width="13.1640625" bestFit="1" customWidth="1"/>
    <col min="2" max="2" width="13" style="1" customWidth="1"/>
    <col min="3" max="3" width="22.1640625" style="1" bestFit="1" customWidth="1"/>
    <col min="4" max="4" width="11.5" style="1" hidden="1" customWidth="1"/>
    <col min="5" max="5" width="10.83203125" hidden="1" customWidth="1"/>
    <col min="6" max="9" width="9.33203125" hidden="1" customWidth="1"/>
    <col min="10" max="10" width="11.5" bestFit="1" customWidth="1"/>
    <col min="11" max="11" width="14" customWidth="1"/>
    <col min="13" max="13" width="12.5" bestFit="1" customWidth="1"/>
  </cols>
  <sheetData>
    <row r="1" spans="1:11" x14ac:dyDescent="0.2">
      <c r="A1" s="289"/>
      <c r="B1" s="290" t="s">
        <v>4583</v>
      </c>
      <c r="C1" s="290" t="s">
        <v>4585</v>
      </c>
      <c r="D1" s="290" t="s">
        <v>4586</v>
      </c>
      <c r="E1" s="290" t="s">
        <v>4584</v>
      </c>
      <c r="F1" s="290"/>
      <c r="G1" s="290"/>
      <c r="H1" s="290"/>
      <c r="I1" s="290"/>
      <c r="J1" s="290"/>
      <c r="K1" s="288" t="s">
        <v>4587</v>
      </c>
    </row>
    <row r="2" spans="1:11" x14ac:dyDescent="0.2">
      <c r="A2" s="289" t="s">
        <v>2</v>
      </c>
      <c r="B2" s="291" t="s">
        <v>63</v>
      </c>
      <c r="C2" s="291"/>
      <c r="D2" s="291" t="s">
        <v>63</v>
      </c>
      <c r="E2" s="292"/>
      <c r="F2" s="292"/>
      <c r="G2" s="292"/>
      <c r="H2" s="292"/>
      <c r="I2" s="292"/>
      <c r="J2" s="292"/>
      <c r="K2" s="294">
        <f>SUM(B2:J2)</f>
        <v>0</v>
      </c>
    </row>
    <row r="3" spans="1:11" x14ac:dyDescent="0.2">
      <c r="A3" s="289" t="s">
        <v>3</v>
      </c>
      <c r="B3" s="291" t="s">
        <v>63</v>
      </c>
      <c r="C3" s="291"/>
      <c r="D3" s="291" t="s">
        <v>4121</v>
      </c>
      <c r="E3" s="292"/>
      <c r="F3" s="292"/>
      <c r="G3" s="292"/>
      <c r="H3" s="292"/>
      <c r="I3" s="292"/>
      <c r="J3" s="292"/>
      <c r="K3" s="294">
        <f t="shared" ref="K3:K14" si="0">SUM(B3:J3)</f>
        <v>0</v>
      </c>
    </row>
    <row r="4" spans="1:11" x14ac:dyDescent="0.2">
      <c r="A4" s="289" t="s">
        <v>4</v>
      </c>
      <c r="B4" s="291">
        <v>1500000</v>
      </c>
      <c r="C4" s="291"/>
      <c r="D4" s="291" t="s">
        <v>4121</v>
      </c>
      <c r="E4" s="292"/>
      <c r="F4" s="292"/>
      <c r="G4" s="292"/>
      <c r="H4" s="292"/>
      <c r="I4" s="292"/>
      <c r="J4" s="292"/>
      <c r="K4" s="294">
        <f t="shared" si="0"/>
        <v>1500000</v>
      </c>
    </row>
    <row r="5" spans="1:11" x14ac:dyDescent="0.2">
      <c r="A5" s="289" t="s">
        <v>5</v>
      </c>
      <c r="B5" s="291">
        <v>1000000</v>
      </c>
      <c r="C5" s="291"/>
      <c r="D5" s="291" t="s">
        <v>4121</v>
      </c>
      <c r="E5" s="292"/>
      <c r="F5" s="292"/>
      <c r="G5" s="292"/>
      <c r="H5" s="292"/>
      <c r="I5" s="292"/>
      <c r="J5" s="292"/>
      <c r="K5" s="294">
        <f t="shared" si="0"/>
        <v>1000000</v>
      </c>
    </row>
    <row r="6" spans="1:11" x14ac:dyDescent="0.2">
      <c r="A6" s="289" t="s">
        <v>6</v>
      </c>
      <c r="B6" s="291">
        <v>1000000</v>
      </c>
      <c r="C6" s="291"/>
      <c r="D6" s="291" t="s">
        <v>4121</v>
      </c>
      <c r="E6" s="292"/>
      <c r="F6" s="292"/>
      <c r="G6" s="292"/>
      <c r="H6" s="292"/>
      <c r="I6" s="292"/>
      <c r="J6" s="292"/>
      <c r="K6" s="294">
        <f t="shared" si="0"/>
        <v>1000000</v>
      </c>
    </row>
    <row r="7" spans="1:11" x14ac:dyDescent="0.2">
      <c r="A7" s="289" t="s">
        <v>7</v>
      </c>
      <c r="B7" s="291">
        <v>1000000</v>
      </c>
      <c r="C7" s="291"/>
      <c r="D7" s="291" t="s">
        <v>4121</v>
      </c>
      <c r="E7" s="292"/>
      <c r="F7" s="292"/>
      <c r="G7" s="292"/>
      <c r="H7" s="292"/>
      <c r="I7" s="292"/>
      <c r="J7" s="292"/>
      <c r="K7" s="294">
        <f t="shared" si="0"/>
        <v>1000000</v>
      </c>
    </row>
    <row r="8" spans="1:11" x14ac:dyDescent="0.2">
      <c r="A8" s="289" t="s">
        <v>8</v>
      </c>
      <c r="B8" s="291">
        <v>1000000</v>
      </c>
      <c r="C8" s="291"/>
      <c r="D8" s="291" t="s">
        <v>4121</v>
      </c>
      <c r="E8" s="296">
        <v>1000000</v>
      </c>
      <c r="F8" s="292"/>
      <c r="G8" s="292"/>
      <c r="H8" s="292"/>
      <c r="I8" s="292"/>
      <c r="J8" s="292"/>
      <c r="K8" s="294">
        <f t="shared" si="0"/>
        <v>2000000</v>
      </c>
    </row>
    <row r="9" spans="1:11" x14ac:dyDescent="0.2">
      <c r="A9" s="289" t="s">
        <v>9</v>
      </c>
      <c r="B9" s="291">
        <v>1000000</v>
      </c>
      <c r="C9" s="291">
        <v>1000000</v>
      </c>
      <c r="D9" s="295">
        <v>1000000</v>
      </c>
      <c r="E9" s="292">
        <v>0</v>
      </c>
      <c r="F9" s="292"/>
      <c r="G9" s="292"/>
      <c r="H9" s="292"/>
      <c r="I9" s="292"/>
      <c r="J9" s="292"/>
      <c r="K9" s="294">
        <f t="shared" si="0"/>
        <v>3000000</v>
      </c>
    </row>
    <row r="10" spans="1:11" x14ac:dyDescent="0.2">
      <c r="A10" s="289" t="s">
        <v>10</v>
      </c>
      <c r="B10" s="291">
        <v>1000000</v>
      </c>
      <c r="C10" s="291">
        <v>500000</v>
      </c>
      <c r="D10" s="295">
        <v>1000000</v>
      </c>
      <c r="E10" s="292">
        <v>0</v>
      </c>
      <c r="F10" s="292"/>
      <c r="G10" s="292"/>
      <c r="H10" s="292"/>
      <c r="I10" s="292"/>
      <c r="J10" s="292"/>
      <c r="K10" s="294">
        <f t="shared" si="0"/>
        <v>2500000</v>
      </c>
    </row>
    <row r="11" spans="1:11" x14ac:dyDescent="0.2">
      <c r="A11" s="289" t="s">
        <v>11</v>
      </c>
      <c r="B11" s="291">
        <v>1000000</v>
      </c>
      <c r="C11" s="291">
        <v>500000</v>
      </c>
      <c r="D11" s="295">
        <v>500000</v>
      </c>
      <c r="E11" s="292">
        <v>0</v>
      </c>
      <c r="F11" s="292"/>
      <c r="G11" s="292"/>
      <c r="H11" s="292"/>
      <c r="I11" s="292"/>
      <c r="J11" s="292"/>
      <c r="K11" s="294">
        <f t="shared" si="0"/>
        <v>2000000</v>
      </c>
    </row>
    <row r="12" spans="1:11" x14ac:dyDescent="0.2">
      <c r="A12" s="289" t="s">
        <v>12</v>
      </c>
      <c r="B12" s="291">
        <v>1000000</v>
      </c>
      <c r="C12" s="291">
        <v>0</v>
      </c>
      <c r="D12" s="291" t="s">
        <v>4121</v>
      </c>
      <c r="E12" s="292" t="s">
        <v>4121</v>
      </c>
      <c r="F12" s="292"/>
      <c r="G12" s="292"/>
      <c r="H12" s="292"/>
      <c r="I12" s="292"/>
      <c r="J12" s="292"/>
      <c r="K12" s="294">
        <f t="shared" si="0"/>
        <v>1000000</v>
      </c>
    </row>
    <row r="13" spans="1:11" x14ac:dyDescent="0.2">
      <c r="A13" s="289" t="s">
        <v>13</v>
      </c>
      <c r="B13" s="291">
        <v>1000000</v>
      </c>
      <c r="C13" s="291">
        <v>500000</v>
      </c>
      <c r="D13" s="291" t="s">
        <v>4121</v>
      </c>
      <c r="E13" s="292" t="s">
        <v>4121</v>
      </c>
      <c r="F13" s="292"/>
      <c r="G13" s="292"/>
      <c r="H13" s="292"/>
      <c r="I13" s="292"/>
      <c r="J13" s="292"/>
      <c r="K13" s="294">
        <f t="shared" si="0"/>
        <v>1500000</v>
      </c>
    </row>
    <row r="14" spans="1:11" x14ac:dyDescent="0.2">
      <c r="A14" s="187"/>
      <c r="B14" s="293">
        <f t="shared" ref="B14:G14" si="1">SUM(B2:B13)</f>
        <v>10500000</v>
      </c>
      <c r="C14" s="293">
        <f t="shared" si="1"/>
        <v>2500000</v>
      </c>
      <c r="D14" s="293">
        <f t="shared" si="1"/>
        <v>2500000</v>
      </c>
      <c r="E14" s="293">
        <f t="shared" si="1"/>
        <v>1000000</v>
      </c>
      <c r="F14" s="293">
        <f t="shared" si="1"/>
        <v>0</v>
      </c>
      <c r="G14" s="293">
        <f t="shared" si="1"/>
        <v>0</v>
      </c>
      <c r="H14" s="293"/>
      <c r="I14" s="293"/>
      <c r="J14" s="293">
        <f t="shared" ref="J14" si="2">SUM(J2:J13)</f>
        <v>0</v>
      </c>
      <c r="K14" s="294">
        <f t="shared" si="0"/>
        <v>16500000</v>
      </c>
    </row>
    <row r="18" spans="1:10" ht="16" customHeight="1" x14ac:dyDescent="0.2">
      <c r="A18" s="187"/>
      <c r="B18" s="186">
        <v>1523</v>
      </c>
      <c r="C18" s="300" t="s">
        <v>4805</v>
      </c>
    </row>
    <row r="19" spans="1:10" ht="16" customHeight="1" x14ac:dyDescent="0.2">
      <c r="A19" s="187"/>
      <c r="B19" s="186">
        <v>2026</v>
      </c>
      <c r="C19" s="300" t="s">
        <v>4806</v>
      </c>
      <c r="D19" s="299"/>
    </row>
    <row r="20" spans="1:10" ht="16" customHeight="1" x14ac:dyDescent="0.2">
      <c r="A20" s="187"/>
      <c r="B20" s="186">
        <v>2250</v>
      </c>
      <c r="C20" s="300" t="s">
        <v>4714</v>
      </c>
    </row>
    <row r="21" spans="1:10" ht="16" customHeight="1" x14ac:dyDescent="0.2">
      <c r="A21" s="187"/>
      <c r="B21" s="186">
        <v>17398</v>
      </c>
      <c r="C21" s="300" t="s">
        <v>4715</v>
      </c>
      <c r="D21" s="299"/>
      <c r="J21">
        <f>54000-B21</f>
        <v>36602</v>
      </c>
    </row>
    <row r="22" spans="1:10" x14ac:dyDescent="0.2">
      <c r="A22" s="238" t="s">
        <v>4716</v>
      </c>
      <c r="B22" s="301">
        <f>SUM(B18:B21)</f>
        <v>23197</v>
      </c>
      <c r="C22" s="295">
        <f>B22*100</f>
        <v>2319700</v>
      </c>
    </row>
    <row r="24" spans="1:10" x14ac:dyDescent="0.2">
      <c r="A24" s="187"/>
      <c r="B24" s="186">
        <v>7000</v>
      </c>
      <c r="C24" s="187" t="s">
        <v>4717</v>
      </c>
    </row>
    <row r="25" spans="1:10" x14ac:dyDescent="0.2">
      <c r="A25" s="187"/>
      <c r="B25" s="186">
        <v>24000</v>
      </c>
      <c r="C25" s="187" t="s">
        <v>4718</v>
      </c>
    </row>
    <row r="26" spans="1:10" x14ac:dyDescent="0.2">
      <c r="A26" s="238" t="s">
        <v>3135</v>
      </c>
      <c r="B26" s="301">
        <f>SUM(B24:B25)</f>
        <v>31000</v>
      </c>
      <c r="C26" s="295">
        <f>B26*85</f>
        <v>2635000</v>
      </c>
      <c r="F26">
        <f>40000*80</f>
        <v>3200000</v>
      </c>
    </row>
    <row r="29" spans="1:10" x14ac:dyDescent="0.2">
      <c r="B29" s="189" t="s">
        <v>3706</v>
      </c>
      <c r="C29" s="311">
        <f>B14+C22+C26+C14</f>
        <v>17954700</v>
      </c>
    </row>
    <row r="34" spans="1:13" x14ac:dyDescent="0.2">
      <c r="A34" s="289"/>
      <c r="B34" s="290" t="s">
        <v>4583</v>
      </c>
      <c r="C34" s="290" t="s">
        <v>4585</v>
      </c>
      <c r="D34" s="290" t="s">
        <v>4586</v>
      </c>
      <c r="E34" s="290" t="s">
        <v>4584</v>
      </c>
      <c r="F34" s="290" t="s">
        <v>4928</v>
      </c>
      <c r="G34" s="290" t="s">
        <v>4929</v>
      </c>
      <c r="H34" s="290" t="s">
        <v>4930</v>
      </c>
      <c r="I34" s="290" t="s">
        <v>4931</v>
      </c>
      <c r="J34" s="290"/>
      <c r="K34" s="288" t="s">
        <v>4587</v>
      </c>
    </row>
    <row r="35" spans="1:13" x14ac:dyDescent="0.2">
      <c r="A35" s="289" t="s">
        <v>2</v>
      </c>
      <c r="B35" s="291">
        <v>1000000</v>
      </c>
      <c r="C35" s="291">
        <v>500000</v>
      </c>
      <c r="D35" s="291" t="s">
        <v>4121</v>
      </c>
      <c r="E35" s="291" t="s">
        <v>4121</v>
      </c>
      <c r="F35" s="291" t="s">
        <v>4121</v>
      </c>
      <c r="G35" s="291" t="s">
        <v>4121</v>
      </c>
      <c r="H35" s="291" t="s">
        <v>4121</v>
      </c>
      <c r="I35" s="291" t="s">
        <v>4121</v>
      </c>
      <c r="J35" s="292"/>
      <c r="K35" s="294">
        <f>SUM(B35:J35)</f>
        <v>1500000</v>
      </c>
      <c r="L35" s="292"/>
    </row>
    <row r="36" spans="1:13" x14ac:dyDescent="0.2">
      <c r="A36" s="289" t="s">
        <v>3</v>
      </c>
      <c r="B36" s="291">
        <v>1000000</v>
      </c>
      <c r="C36" s="291" t="s">
        <v>4121</v>
      </c>
      <c r="D36" s="291" t="s">
        <v>4121</v>
      </c>
      <c r="E36" s="291" t="s">
        <v>4121</v>
      </c>
      <c r="F36" s="291" t="s">
        <v>4121</v>
      </c>
      <c r="G36" s="291" t="s">
        <v>4121</v>
      </c>
      <c r="H36" s="291" t="s">
        <v>4121</v>
      </c>
      <c r="I36" s="291" t="s">
        <v>4121</v>
      </c>
      <c r="J36" s="292"/>
      <c r="K36" s="294">
        <f t="shared" ref="K36:K47" si="3">SUM(B36:J36)</f>
        <v>1000000</v>
      </c>
      <c r="L36" s="292">
        <v>3200000</v>
      </c>
    </row>
    <row r="37" spans="1:13" x14ac:dyDescent="0.2">
      <c r="A37" s="289" t="s">
        <v>4</v>
      </c>
      <c r="B37" s="291">
        <v>1000000</v>
      </c>
      <c r="C37" s="291" t="s">
        <v>4121</v>
      </c>
      <c r="D37" s="291" t="s">
        <v>4121</v>
      </c>
      <c r="E37" s="291" t="s">
        <v>4121</v>
      </c>
      <c r="F37" s="291" t="s">
        <v>4121</v>
      </c>
      <c r="G37" s="291" t="s">
        <v>4121</v>
      </c>
      <c r="H37" s="291" t="s">
        <v>4121</v>
      </c>
      <c r="I37" s="291" t="s">
        <v>4121</v>
      </c>
      <c r="J37" s="292"/>
      <c r="K37" s="294">
        <f t="shared" si="3"/>
        <v>1000000</v>
      </c>
      <c r="L37" s="292">
        <f>25000*100</f>
        <v>2500000</v>
      </c>
    </row>
    <row r="38" spans="1:13" x14ac:dyDescent="0.2">
      <c r="A38" s="289" t="s">
        <v>5</v>
      </c>
      <c r="B38" s="291" t="s">
        <v>4121</v>
      </c>
      <c r="C38" s="291"/>
      <c r="D38" s="291" t="s">
        <v>4121</v>
      </c>
      <c r="E38" s="291" t="s">
        <v>4121</v>
      </c>
      <c r="F38" s="291" t="s">
        <v>4121</v>
      </c>
      <c r="G38" s="291" t="s">
        <v>4121</v>
      </c>
      <c r="H38" s="291" t="s">
        <v>4121</v>
      </c>
      <c r="I38" s="291" t="s">
        <v>4121</v>
      </c>
      <c r="J38" s="292"/>
      <c r="K38" s="294">
        <f t="shared" si="3"/>
        <v>0</v>
      </c>
      <c r="L38" s="292"/>
    </row>
    <row r="39" spans="1:13" x14ac:dyDescent="0.2">
      <c r="A39" s="289" t="s">
        <v>6</v>
      </c>
      <c r="B39" s="291" t="s">
        <v>4121</v>
      </c>
      <c r="C39" s="291"/>
      <c r="D39" s="291" t="s">
        <v>4121</v>
      </c>
      <c r="E39" s="291" t="s">
        <v>4121</v>
      </c>
      <c r="F39" s="291" t="s">
        <v>4121</v>
      </c>
      <c r="G39" s="291" t="s">
        <v>4121</v>
      </c>
      <c r="H39" s="291" t="s">
        <v>4121</v>
      </c>
      <c r="I39" s="291" t="s">
        <v>4121</v>
      </c>
      <c r="J39" s="292"/>
      <c r="K39" s="294">
        <f t="shared" si="3"/>
        <v>0</v>
      </c>
      <c r="L39" s="292">
        <f>20000*80</f>
        <v>1600000</v>
      </c>
    </row>
    <row r="40" spans="1:13" x14ac:dyDescent="0.2">
      <c r="A40" s="289" t="s">
        <v>7</v>
      </c>
      <c r="B40" s="291" t="s">
        <v>4121</v>
      </c>
      <c r="C40" s="291"/>
      <c r="D40" s="291" t="s">
        <v>4121</v>
      </c>
      <c r="E40" s="291" t="s">
        <v>4121</v>
      </c>
      <c r="F40" s="291" t="s">
        <v>4121</v>
      </c>
      <c r="G40" s="291" t="s">
        <v>4121</v>
      </c>
      <c r="H40" s="291" t="s">
        <v>4121</v>
      </c>
      <c r="I40" s="291" t="s">
        <v>4121</v>
      </c>
      <c r="J40" s="292"/>
      <c r="K40" s="294">
        <f t="shared" si="3"/>
        <v>0</v>
      </c>
      <c r="L40" s="292">
        <f>20000*100</f>
        <v>2000000</v>
      </c>
    </row>
    <row r="41" spans="1:13" x14ac:dyDescent="0.2">
      <c r="A41" s="289" t="s">
        <v>8</v>
      </c>
      <c r="B41" s="291" t="s">
        <v>4121</v>
      </c>
      <c r="C41" s="291"/>
      <c r="D41" s="291" t="s">
        <v>4121</v>
      </c>
      <c r="E41" s="291" t="s">
        <v>4121</v>
      </c>
      <c r="F41" s="291" t="s">
        <v>4121</v>
      </c>
      <c r="G41" s="291" t="s">
        <v>4121</v>
      </c>
      <c r="H41" s="291" t="s">
        <v>4121</v>
      </c>
      <c r="I41" s="291" t="s">
        <v>4121</v>
      </c>
      <c r="J41" s="292"/>
      <c r="K41" s="294">
        <f t="shared" si="3"/>
        <v>0</v>
      </c>
      <c r="L41" s="292"/>
      <c r="M41">
        <f>30000000/60000</f>
        <v>500</v>
      </c>
    </row>
    <row r="42" spans="1:13" x14ac:dyDescent="0.2">
      <c r="A42" s="289" t="s">
        <v>9</v>
      </c>
      <c r="B42" s="291" t="s">
        <v>4121</v>
      </c>
      <c r="C42" s="291"/>
      <c r="D42" s="291" t="s">
        <v>4121</v>
      </c>
      <c r="E42" s="291" t="s">
        <v>4121</v>
      </c>
      <c r="F42" s="291" t="s">
        <v>4121</v>
      </c>
      <c r="G42" s="291" t="s">
        <v>4121</v>
      </c>
      <c r="H42" s="291" t="s">
        <v>4121</v>
      </c>
      <c r="I42" s="291" t="s">
        <v>4121</v>
      </c>
      <c r="J42" s="292"/>
      <c r="K42" s="294">
        <f t="shared" si="3"/>
        <v>0</v>
      </c>
      <c r="L42" s="292"/>
    </row>
    <row r="43" spans="1:13" x14ac:dyDescent="0.2">
      <c r="A43" s="289" t="s">
        <v>10</v>
      </c>
      <c r="B43" s="291" t="s">
        <v>4121</v>
      </c>
      <c r="C43" s="291"/>
      <c r="D43" s="291" t="s">
        <v>4121</v>
      </c>
      <c r="E43" s="291" t="s">
        <v>4121</v>
      </c>
      <c r="F43" s="291" t="s">
        <v>4121</v>
      </c>
      <c r="G43" s="291" t="s">
        <v>4121</v>
      </c>
      <c r="H43" s="291" t="s">
        <v>4121</v>
      </c>
      <c r="I43" s="291" t="s">
        <v>4121</v>
      </c>
      <c r="J43" s="292"/>
      <c r="K43" s="294">
        <f t="shared" si="3"/>
        <v>0</v>
      </c>
      <c r="L43" s="292">
        <f>50000*100</f>
        <v>5000000</v>
      </c>
    </row>
    <row r="44" spans="1:13" x14ac:dyDescent="0.2">
      <c r="A44" s="289" t="s">
        <v>11</v>
      </c>
      <c r="B44" s="291" t="s">
        <v>4121</v>
      </c>
      <c r="C44" s="291"/>
      <c r="D44" s="291" t="s">
        <v>4121</v>
      </c>
      <c r="E44" s="291" t="s">
        <v>4121</v>
      </c>
      <c r="F44" s="291" t="s">
        <v>4121</v>
      </c>
      <c r="G44" s="291" t="s">
        <v>4121</v>
      </c>
      <c r="H44" s="291" t="s">
        <v>4121</v>
      </c>
      <c r="I44" s="291" t="s">
        <v>4121</v>
      </c>
      <c r="J44" s="292"/>
      <c r="K44" s="294">
        <f t="shared" si="3"/>
        <v>0</v>
      </c>
      <c r="L44" s="292"/>
    </row>
    <row r="45" spans="1:13" x14ac:dyDescent="0.2">
      <c r="A45" s="289" t="s">
        <v>12</v>
      </c>
      <c r="B45" s="291" t="s">
        <v>4121</v>
      </c>
      <c r="C45" s="291"/>
      <c r="D45" s="291" t="s">
        <v>4121</v>
      </c>
      <c r="E45" s="291" t="s">
        <v>4121</v>
      </c>
      <c r="F45" s="291" t="s">
        <v>4121</v>
      </c>
      <c r="G45" s="291" t="s">
        <v>4121</v>
      </c>
      <c r="H45" s="291" t="s">
        <v>4121</v>
      </c>
      <c r="I45" s="291" t="s">
        <v>4121</v>
      </c>
      <c r="J45" s="292"/>
      <c r="K45" s="294">
        <f t="shared" si="3"/>
        <v>0</v>
      </c>
    </row>
    <row r="46" spans="1:13" x14ac:dyDescent="0.2">
      <c r="A46" s="289" t="s">
        <v>13</v>
      </c>
      <c r="B46" s="291" t="s">
        <v>4121</v>
      </c>
      <c r="C46" s="291"/>
      <c r="D46" s="291" t="s">
        <v>4121</v>
      </c>
      <c r="E46" s="291" t="s">
        <v>4121</v>
      </c>
      <c r="F46" s="291" t="s">
        <v>4121</v>
      </c>
      <c r="G46" s="291" t="s">
        <v>4121</v>
      </c>
      <c r="H46" s="291" t="s">
        <v>4121</v>
      </c>
      <c r="I46" s="291" t="s">
        <v>4121</v>
      </c>
      <c r="J46" s="292"/>
      <c r="K46" s="294">
        <f t="shared" si="3"/>
        <v>0</v>
      </c>
    </row>
    <row r="47" spans="1:13" x14ac:dyDescent="0.2">
      <c r="A47" s="187"/>
      <c r="B47" s="293">
        <f t="shared" ref="B47:J47" si="4">SUM(B35:B46)</f>
        <v>3000000</v>
      </c>
      <c r="C47" s="293">
        <f t="shared" si="4"/>
        <v>500000</v>
      </c>
      <c r="D47" s="293">
        <f t="shared" si="4"/>
        <v>0</v>
      </c>
      <c r="E47" s="293">
        <f t="shared" si="4"/>
        <v>0</v>
      </c>
      <c r="F47" s="293">
        <f t="shared" si="4"/>
        <v>0</v>
      </c>
      <c r="G47" s="293">
        <f t="shared" si="4"/>
        <v>0</v>
      </c>
      <c r="H47" s="293"/>
      <c r="I47" s="293"/>
      <c r="J47" s="293">
        <f t="shared" si="4"/>
        <v>0</v>
      </c>
      <c r="K47" s="294">
        <f t="shared" si="3"/>
        <v>3500000</v>
      </c>
      <c r="M47" s="346">
        <f>K47+C29</f>
        <v>21454700</v>
      </c>
    </row>
    <row r="50" spans="1:13" x14ac:dyDescent="0.2">
      <c r="A50" s="187" t="s">
        <v>4948</v>
      </c>
      <c r="B50" s="199">
        <f>36602*100</f>
        <v>3660200</v>
      </c>
      <c r="C50" s="300" t="s">
        <v>4715</v>
      </c>
    </row>
    <row r="51" spans="1:13" x14ac:dyDescent="0.2">
      <c r="A51" s="187" t="s">
        <v>4947</v>
      </c>
      <c r="B51" s="199">
        <f>77507*100</f>
        <v>7750700</v>
      </c>
      <c r="C51" s="300" t="s">
        <v>4715</v>
      </c>
    </row>
    <row r="52" spans="1:13" x14ac:dyDescent="0.2">
      <c r="A52" s="187" t="s">
        <v>4945</v>
      </c>
      <c r="B52" s="199">
        <f>138027*80</f>
        <v>11042160</v>
      </c>
      <c r="C52" s="187" t="s">
        <v>4718</v>
      </c>
      <c r="M52">
        <f>300</f>
        <v>300</v>
      </c>
    </row>
    <row r="53" spans="1:13" x14ac:dyDescent="0.2">
      <c r="A53" s="187" t="s">
        <v>4946</v>
      </c>
      <c r="B53" s="199">
        <f>40000*100</f>
        <v>4000000</v>
      </c>
      <c r="C53" s="187" t="s">
        <v>4944</v>
      </c>
      <c r="M53">
        <v>40000</v>
      </c>
    </row>
    <row r="54" spans="1:13" x14ac:dyDescent="0.2">
      <c r="A54" s="238" t="s">
        <v>3135</v>
      </c>
      <c r="B54" s="349">
        <f>SUM(B50:B53)</f>
        <v>26453060</v>
      </c>
      <c r="C54" s="295">
        <f>B54*85</f>
        <v>2248510100</v>
      </c>
      <c r="M54">
        <f>M53/M52</f>
        <v>133.33333333333334</v>
      </c>
    </row>
    <row r="55" spans="1:13" ht="5" customHeight="1" x14ac:dyDescent="0.2"/>
    <row r="56" spans="1:13" x14ac:dyDescent="0.2">
      <c r="B56" s="189" t="s">
        <v>3706</v>
      </c>
      <c r="C56" s="311">
        <f>B47+C47+B54</f>
        <v>29953060</v>
      </c>
    </row>
    <row r="59" spans="1:13" x14ac:dyDescent="0.2">
      <c r="A59" s="197" t="s">
        <v>4949</v>
      </c>
      <c r="B59" s="186"/>
      <c r="C59" s="291">
        <f>C29</f>
        <v>17954700</v>
      </c>
    </row>
    <row r="60" spans="1:13" x14ac:dyDescent="0.2">
      <c r="A60" s="187" t="s">
        <v>4950</v>
      </c>
      <c r="B60" s="186"/>
      <c r="C60" s="291">
        <f>C56</f>
        <v>29953060</v>
      </c>
    </row>
    <row r="61" spans="1:13" x14ac:dyDescent="0.2">
      <c r="A61" s="163" t="s">
        <v>4951</v>
      </c>
      <c r="B61" s="348"/>
      <c r="C61" s="350">
        <f>C59+C60</f>
        <v>47907760</v>
      </c>
    </row>
    <row r="64" spans="1:13" x14ac:dyDescent="0.2">
      <c r="B64" s="186" t="s">
        <v>4952</v>
      </c>
      <c r="C64" s="291">
        <v>24000000</v>
      </c>
    </row>
    <row r="65" spans="2:3" x14ac:dyDescent="0.2">
      <c r="B65" s="351" t="s">
        <v>2998</v>
      </c>
      <c r="C65" s="352">
        <f>C61-C64</f>
        <v>23907760</v>
      </c>
    </row>
    <row r="67" spans="2:3" x14ac:dyDescent="0.2">
      <c r="B67" s="186" t="s">
        <v>5187</v>
      </c>
      <c r="C67" s="291">
        <f>4000000</f>
        <v>4000000</v>
      </c>
    </row>
    <row r="68" spans="2:3" x14ac:dyDescent="0.2">
      <c r="B68" s="186" t="s">
        <v>5188</v>
      </c>
      <c r="C68" s="291">
        <v>0</v>
      </c>
    </row>
    <row r="69" spans="2:3" x14ac:dyDescent="0.2">
      <c r="B69" s="186" t="s">
        <v>5189</v>
      </c>
      <c r="C69" s="291">
        <v>0</v>
      </c>
    </row>
    <row r="70" spans="2:3" x14ac:dyDescent="0.2">
      <c r="B70" s="186"/>
      <c r="C70" s="291">
        <v>0</v>
      </c>
    </row>
    <row r="72" spans="2:3" x14ac:dyDescent="0.2">
      <c r="B72" s="351" t="s">
        <v>2998</v>
      </c>
      <c r="C72" s="352">
        <f>C65-(C67+C68+C69+C70)</f>
        <v>19907760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2E774-D80E-4350-9721-16804BD29946}">
  <dimension ref="A1:M68"/>
  <sheetViews>
    <sheetView zoomScale="150" workbookViewId="0">
      <pane ySplit="3" topLeftCell="A49" activePane="bottomLeft" state="frozen"/>
      <selection pane="bottomLeft" activeCell="I45" sqref="I45"/>
    </sheetView>
  </sheetViews>
  <sheetFormatPr baseColWidth="10" defaultColWidth="11.33203125" defaultRowHeight="15" x14ac:dyDescent="0.2"/>
  <cols>
    <col min="1" max="1" width="14.6640625" customWidth="1"/>
    <col min="2" max="2" width="12.33203125" style="1" customWidth="1"/>
    <col min="3" max="4" width="12.33203125" customWidth="1"/>
    <col min="5" max="5" width="11.1640625" customWidth="1"/>
    <col min="6" max="7" width="11.83203125" customWidth="1"/>
    <col min="8" max="8" width="11.33203125" customWidth="1"/>
    <col min="9" max="9" width="12.6640625" customWidth="1"/>
    <col min="10" max="10" width="11.83203125" customWidth="1"/>
    <col min="11" max="11" width="12.33203125" customWidth="1"/>
    <col min="12" max="12" width="12.83203125" customWidth="1"/>
    <col min="13" max="13" width="12.33203125" customWidth="1"/>
  </cols>
  <sheetData>
    <row r="1" spans="1:13" ht="16" x14ac:dyDescent="0.2">
      <c r="A1" s="163" t="s">
        <v>2967</v>
      </c>
      <c r="B1" s="167">
        <v>2024</v>
      </c>
    </row>
    <row r="2" spans="1:13" ht="16" hidden="1" x14ac:dyDescent="0.2">
      <c r="A2" s="163"/>
      <c r="B2" s="167">
        <v>1</v>
      </c>
      <c r="C2" s="167">
        <v>2</v>
      </c>
      <c r="D2" s="167">
        <v>3</v>
      </c>
      <c r="E2" s="167">
        <v>4</v>
      </c>
      <c r="F2" s="167">
        <v>5</v>
      </c>
      <c r="G2" s="167">
        <v>6</v>
      </c>
      <c r="H2" s="167">
        <v>7</v>
      </c>
      <c r="I2" s="167">
        <v>8</v>
      </c>
      <c r="J2" s="167">
        <v>9</v>
      </c>
      <c r="K2" s="167">
        <v>10</v>
      </c>
      <c r="L2" s="167">
        <v>11</v>
      </c>
      <c r="M2" s="167">
        <v>12</v>
      </c>
    </row>
    <row r="3" spans="1:13" x14ac:dyDescent="0.2">
      <c r="A3" s="157" t="s">
        <v>2968</v>
      </c>
      <c r="B3" s="157" t="s">
        <v>2</v>
      </c>
      <c r="C3" s="157" t="s">
        <v>3</v>
      </c>
      <c r="D3" s="157" t="s">
        <v>4</v>
      </c>
      <c r="E3" s="157" t="s">
        <v>5</v>
      </c>
      <c r="F3" s="157" t="s">
        <v>6</v>
      </c>
      <c r="G3" s="157" t="s">
        <v>7</v>
      </c>
      <c r="H3" s="157" t="s">
        <v>8</v>
      </c>
      <c r="I3" s="157" t="s">
        <v>9</v>
      </c>
      <c r="J3" s="157" t="s">
        <v>10</v>
      </c>
      <c r="K3" s="157" t="s">
        <v>11</v>
      </c>
      <c r="L3" s="157" t="s">
        <v>12</v>
      </c>
      <c r="M3" s="157" t="s">
        <v>13</v>
      </c>
    </row>
    <row r="4" spans="1:13" x14ac:dyDescent="0.2">
      <c r="A4" s="165" t="s">
        <v>91</v>
      </c>
      <c r="B4" s="166">
        <f>SUMIFS(GASTOS!$F:$F,GASTOS!$I:$I,'INFORME GASTOS'!$A4,GASTOS!$B:$B,$B$1,GASTOS!$C:$C,B$2)</f>
        <v>469000</v>
      </c>
      <c r="C4" s="166">
        <f>SUMIFS(GASTOS!$F:$F,GASTOS!$I:$I,'INFORME GASTOS'!$A4,GASTOS!$B:$B,$B$1,GASTOS!$C:$C,C$2)</f>
        <v>792000</v>
      </c>
      <c r="D4" s="166">
        <f>SUMIFS(GASTOS!$F:$F,GASTOS!$I:$I,'INFORME GASTOS'!$A4,GASTOS!$B:$B,$B$1,GASTOS!$C:$C,D$2)</f>
        <v>614000</v>
      </c>
      <c r="E4" s="166">
        <f>SUMIFS(GASTOS!$F:$F,GASTOS!$I:$I,'INFORME GASTOS'!$A4,GASTOS!$B:$B,$B$1,GASTOS!$C:$C,E$2)</f>
        <v>435000</v>
      </c>
      <c r="F4" s="166">
        <f>SUMIFS(GASTOS!$F:$F,GASTOS!$I:$I,'INFORME GASTOS'!$A4,GASTOS!$B:$B,$B$1,GASTOS!$C:$C,F$2)</f>
        <v>580000</v>
      </c>
      <c r="G4" s="166">
        <f>SUMIFS(GASTOS!$F:$F,GASTOS!$I:$I,'INFORME GASTOS'!$A4,GASTOS!$B:$B,$B$1,GASTOS!$C:$C,G$2)</f>
        <v>498000</v>
      </c>
      <c r="H4" s="166">
        <f>SUMIFS(GASTOS!$F:$F,GASTOS!$I:$I,'INFORME GASTOS'!$A4,GASTOS!$B:$B,$B$1,GASTOS!$C:$C,H$2)</f>
        <v>125000</v>
      </c>
      <c r="I4" s="166">
        <f>SUMIFS(GASTOS!$F:$F,GASTOS!$I:$I,'INFORME GASTOS'!$A4,GASTOS!$B:$B,$B$1,GASTOS!$C:$C,I$2)</f>
        <v>346000</v>
      </c>
      <c r="J4" s="166">
        <f>SUMIFS(GASTOS!$F:$F,GASTOS!$I:$I,'INFORME GASTOS'!$A4,GASTOS!$B:$B,$B$1,GASTOS!$C:$C,J$2)</f>
        <v>381000</v>
      </c>
      <c r="K4" s="166">
        <f>SUMIFS(GASTOS!$F:$F,GASTOS!$I:$I,'INFORME GASTOS'!$A4,GASTOS!$B:$B,$B$1,GASTOS!$C:$C,K$2)</f>
        <v>338000</v>
      </c>
      <c r="L4" s="166">
        <f>SUMIFS(GASTOS!$F:$F,GASTOS!$I:$I,'INFORME GASTOS'!$A4,GASTOS!$B:$B,$B$1,GASTOS!$C:$C,L$2)</f>
        <v>138000</v>
      </c>
      <c r="M4" s="166">
        <f>SUMIFS(GASTOS!$F:$F,GASTOS!$I:$I,'INFORME GASTOS'!$A4,GASTOS!$B:$B,$B$1,GASTOS!$C:$C,M$2)</f>
        <v>425000</v>
      </c>
    </row>
    <row r="5" spans="1:13" x14ac:dyDescent="0.2">
      <c r="A5" s="165" t="s">
        <v>335</v>
      </c>
      <c r="B5" s="166">
        <f>SUMIFS(GASTOS!$F:$F,GASTOS!$I:$I,'INFORME GASTOS'!$A5,GASTOS!$B:$B,$B$1,GASTOS!$C:$C,B$2)</f>
        <v>605000</v>
      </c>
      <c r="C5" s="166">
        <f>SUMIFS(GASTOS!$F:$F,GASTOS!$I:$I,'INFORME GASTOS'!$A5,GASTOS!$B:$B,$B$1,GASTOS!$C:$C,C$2)</f>
        <v>580500</v>
      </c>
      <c r="D5" s="166">
        <f>SUMIFS(GASTOS!$F:$F,GASTOS!$I:$I,'INFORME GASTOS'!$A5,GASTOS!$B:$B,$B$1,GASTOS!$C:$C,D$2)</f>
        <v>519000</v>
      </c>
      <c r="E5" s="166">
        <f>SUMIFS(GASTOS!$F:$F,GASTOS!$I:$I,'INFORME GASTOS'!$A5,GASTOS!$B:$B,$B$1,GASTOS!$C:$C,E$2)</f>
        <v>190000</v>
      </c>
      <c r="F5" s="166">
        <f>SUMIFS(GASTOS!$F:$F,GASTOS!$I:$I,'INFORME GASTOS'!$A5,GASTOS!$B:$B,$B$1,GASTOS!$C:$C,F$2)</f>
        <v>526000</v>
      </c>
      <c r="G5" s="166">
        <f>SUMIFS(GASTOS!$F:$F,GASTOS!$I:$I,'INFORME GASTOS'!$A5,GASTOS!$B:$B,$B$1,GASTOS!$C:$C,G$2)</f>
        <v>469000</v>
      </c>
      <c r="H5" s="166">
        <f>SUMIFS(GASTOS!$F:$F,GASTOS!$I:$I,'INFORME GASTOS'!$A5,GASTOS!$B:$B,$B$1,GASTOS!$C:$C,H$2)</f>
        <v>606000</v>
      </c>
      <c r="I5" s="166">
        <f>SUMIFS(GASTOS!$F:$F,GASTOS!$I:$I,'INFORME GASTOS'!$A5,GASTOS!$B:$B,$B$1,GASTOS!$C:$C,I$2)</f>
        <v>550000</v>
      </c>
      <c r="J5" s="166">
        <f>SUMIFS(GASTOS!$F:$F,GASTOS!$I:$I,'INFORME GASTOS'!$A5,GASTOS!$B:$B,$B$1,GASTOS!$C:$C,J$2)</f>
        <v>0</v>
      </c>
      <c r="K5" s="166">
        <f>SUMIFS(GASTOS!$F:$F,GASTOS!$I:$I,'INFORME GASTOS'!$A5,GASTOS!$B:$B,$B$1,GASTOS!$C:$C,K$2)</f>
        <v>110000</v>
      </c>
      <c r="L5" s="166">
        <f>SUMIFS(GASTOS!$F:$F,GASTOS!$I:$I,'INFORME GASTOS'!$A5,GASTOS!$B:$B,$B$1,GASTOS!$C:$C,L$2)</f>
        <v>426000</v>
      </c>
      <c r="M5" s="166">
        <f>SUMIFS(GASTOS!$F:$F,GASTOS!$I:$I,'INFORME GASTOS'!$A5,GASTOS!$B:$B,$B$1,GASTOS!$C:$C,M$2)</f>
        <v>320000</v>
      </c>
    </row>
    <row r="6" spans="1:13" x14ac:dyDescent="0.2">
      <c r="A6" s="165" t="s">
        <v>85</v>
      </c>
      <c r="B6" s="166">
        <f>SUMIFS(GASTOS!$F:$F,GASTOS!$I:$I,'INFORME GASTOS'!$A6,GASTOS!$B:$B,$B$1,GASTOS!$C:$C,B$2)</f>
        <v>1662000</v>
      </c>
      <c r="C6" s="166">
        <f>SUMIFS(GASTOS!$F:$F,GASTOS!$I:$I,'INFORME GASTOS'!$A6,GASTOS!$B:$B,$B$1,GASTOS!$C:$C,C$2)</f>
        <v>780000</v>
      </c>
      <c r="D6" s="166">
        <f>SUMIFS(GASTOS!$F:$F,GASTOS!$I:$I,'INFORME GASTOS'!$A6,GASTOS!$B:$B,$B$1,GASTOS!$C:$C,D$2)</f>
        <v>1566000</v>
      </c>
      <c r="E6" s="166">
        <f>SUMIFS(GASTOS!$F:$F,GASTOS!$I:$I,'INFORME GASTOS'!$A6,GASTOS!$B:$B,$B$1,GASTOS!$C:$C,E$2)</f>
        <v>929000</v>
      </c>
      <c r="F6" s="166">
        <f>SUMIFS(GASTOS!$F:$F,GASTOS!$I:$I,'INFORME GASTOS'!$A6,GASTOS!$B:$B,$B$1,GASTOS!$C:$C,F$2)</f>
        <v>2589000</v>
      </c>
      <c r="G6" s="166">
        <f>SUMIFS(GASTOS!$F:$F,GASTOS!$I:$I,'INFORME GASTOS'!$A6,GASTOS!$B:$B,$B$1,GASTOS!$C:$C,G$2)</f>
        <v>2800000</v>
      </c>
      <c r="H6" s="166">
        <f>SUMIFS(GASTOS!$F:$F,GASTOS!$I:$I,'INFORME GASTOS'!$A6,GASTOS!$B:$B,$B$1,GASTOS!$C:$C,H$2)</f>
        <v>1192000</v>
      </c>
      <c r="I6" s="166">
        <f>SUMIFS(GASTOS!$F:$F,GASTOS!$I:$I,'INFORME GASTOS'!$A6,GASTOS!$B:$B,$B$1,GASTOS!$C:$C,I$2)</f>
        <v>837000</v>
      </c>
      <c r="J6" s="166">
        <f>SUMIFS(GASTOS!$F:$F,GASTOS!$I:$I,'INFORME GASTOS'!$A6,GASTOS!$B:$B,$B$1,GASTOS!$C:$C,J$2)</f>
        <v>1156000</v>
      </c>
      <c r="K6" s="166">
        <f>SUMIFS(GASTOS!$F:$F,GASTOS!$I:$I,'INFORME GASTOS'!$A6,GASTOS!$B:$B,$B$1,GASTOS!$C:$C,K$2)</f>
        <v>3421000</v>
      </c>
      <c r="L6" s="166">
        <f>SUMIFS(GASTOS!$F:$F,GASTOS!$I:$I,'INFORME GASTOS'!$A6,GASTOS!$B:$B,$B$1,GASTOS!$C:$C,L$2)</f>
        <v>2777000</v>
      </c>
      <c r="M6" s="166">
        <f>SUMIFS(GASTOS!$F:$F,GASTOS!$I:$I,'INFORME GASTOS'!$A6,GASTOS!$B:$B,$B$1,GASTOS!$C:$C,M$2)</f>
        <v>3515000</v>
      </c>
    </row>
    <row r="7" spans="1:13" x14ac:dyDescent="0.2">
      <c r="A7" s="165" t="s">
        <v>1350</v>
      </c>
      <c r="B7" s="166">
        <f>SUMIFS(GASTOS!$F:$F,GASTOS!$I:$I,'INFORME GASTOS'!$A7,GASTOS!$B:$B,$B$1,GASTOS!$C:$C,B$2)</f>
        <v>757000</v>
      </c>
      <c r="C7" s="166">
        <f>SUMIFS(GASTOS!$F:$F,GASTOS!$I:$I,'INFORME GASTOS'!$A7,GASTOS!$B:$B,$B$1,GASTOS!$C:$C,C$2)</f>
        <v>823000</v>
      </c>
      <c r="D7" s="166">
        <f>SUMIFS(GASTOS!$F:$F,GASTOS!$I:$I,'INFORME GASTOS'!$A7,GASTOS!$B:$B,$B$1,GASTOS!$C:$C,D$2)</f>
        <v>1248000</v>
      </c>
      <c r="E7" s="166">
        <f>SUMIFS(GASTOS!$F:$F,GASTOS!$I:$I,'INFORME GASTOS'!$A7,GASTOS!$B:$B,$B$1,GASTOS!$C:$C,E$2)</f>
        <v>821000</v>
      </c>
      <c r="F7" s="166">
        <f>SUMIFS(GASTOS!$F:$F,GASTOS!$I:$I,'INFORME GASTOS'!$A7,GASTOS!$B:$B,$B$1,GASTOS!$C:$C,F$2)</f>
        <v>750000</v>
      </c>
      <c r="G7" s="166">
        <f>SUMIFS(GASTOS!$F:$F,GASTOS!$I:$I,'INFORME GASTOS'!$A7,GASTOS!$B:$B,$B$1,GASTOS!$C:$C,G$2)</f>
        <v>563000</v>
      </c>
      <c r="H7" s="166">
        <f>SUMIFS(GASTOS!$F:$F,GASTOS!$I:$I,'INFORME GASTOS'!$A7,GASTOS!$B:$B,$B$1,GASTOS!$C:$C,H$2)</f>
        <v>662000</v>
      </c>
      <c r="I7" s="166">
        <f>SUMIFS(GASTOS!$F:$F,GASTOS!$I:$I,'INFORME GASTOS'!$A7,GASTOS!$B:$B,$B$1,GASTOS!$C:$C,I$2)</f>
        <v>800000</v>
      </c>
      <c r="J7" s="166">
        <f>SUMIFS(GASTOS!$F:$F,GASTOS!$I:$I,'INFORME GASTOS'!$A7,GASTOS!$B:$B,$B$1,GASTOS!$C:$C,J$2)</f>
        <v>622000</v>
      </c>
      <c r="K7" s="166">
        <f>SUMIFS(GASTOS!$F:$F,GASTOS!$I:$I,'INFORME GASTOS'!$A7,GASTOS!$B:$B,$B$1,GASTOS!$C:$C,K$2)</f>
        <v>829000</v>
      </c>
      <c r="L7" s="166">
        <f>SUMIFS(GASTOS!$F:$F,GASTOS!$I:$I,'INFORME GASTOS'!$A7,GASTOS!$B:$B,$B$1,GASTOS!$C:$C,L$2)</f>
        <v>500000</v>
      </c>
      <c r="M7" s="166">
        <f>SUMIFS(GASTOS!$F:$F,GASTOS!$I:$I,'INFORME GASTOS'!$A7,GASTOS!$B:$B,$B$1,GASTOS!$C:$C,M$2)</f>
        <v>2772000</v>
      </c>
    </row>
    <row r="8" spans="1:13" x14ac:dyDescent="0.2">
      <c r="A8" s="165" t="s">
        <v>1815</v>
      </c>
      <c r="B8" s="166">
        <f>SUMIFS(GASTOS!$F:$F,GASTOS!$I:$I,'INFORME GASTOS'!$A8,GASTOS!$B:$B,$B$1,GASTOS!$C:$C,B$2)</f>
        <v>949000</v>
      </c>
      <c r="C8" s="166">
        <f>SUMIFS(GASTOS!$F:$F,GASTOS!$I:$I,'INFORME GASTOS'!$A8,GASTOS!$B:$B,$B$1,GASTOS!$C:$C,C$2)</f>
        <v>1324000</v>
      </c>
      <c r="D8" s="166">
        <f>SUMIFS(GASTOS!$F:$F,GASTOS!$I:$I,'INFORME GASTOS'!$A8,GASTOS!$B:$B,$B$1,GASTOS!$C:$C,D$2)</f>
        <v>729000</v>
      </c>
      <c r="E8" s="166">
        <f>SUMIFS(GASTOS!$F:$F,GASTOS!$I:$I,'INFORME GASTOS'!$A8,GASTOS!$B:$B,$B$1,GASTOS!$C:$C,E$2)</f>
        <v>1266000</v>
      </c>
      <c r="F8" s="166">
        <f>SUMIFS(GASTOS!$F:$F,GASTOS!$I:$I,'INFORME GASTOS'!$A8,GASTOS!$B:$B,$B$1,GASTOS!$C:$C,F$2)</f>
        <v>996000</v>
      </c>
      <c r="G8" s="166">
        <f>SUMIFS(GASTOS!$F:$F,GASTOS!$I:$I,'INFORME GASTOS'!$A8,GASTOS!$B:$B,$B$1,GASTOS!$C:$C,G$2)</f>
        <v>1210000</v>
      </c>
      <c r="H8" s="166">
        <f>SUMIFS(GASTOS!$F:$F,GASTOS!$I:$I,'INFORME GASTOS'!$A8,GASTOS!$B:$B,$B$1,GASTOS!$C:$C,H$2)</f>
        <v>1220000</v>
      </c>
      <c r="I8" s="166">
        <f>SUMIFS(GASTOS!$F:$F,GASTOS!$I:$I,'INFORME GASTOS'!$A8,GASTOS!$B:$B,$B$1,GASTOS!$C:$C,I$2)</f>
        <v>450000</v>
      </c>
      <c r="J8" s="166">
        <f>SUMIFS(GASTOS!$F:$F,GASTOS!$I:$I,'INFORME GASTOS'!$A8,GASTOS!$B:$B,$B$1,GASTOS!$C:$C,J$2)</f>
        <v>40000</v>
      </c>
      <c r="K8" s="166">
        <f>SUMIFS(GASTOS!$F:$F,GASTOS!$I:$I,'INFORME GASTOS'!$A8,GASTOS!$B:$B,$B$1,GASTOS!$C:$C,K$2)</f>
        <v>1285000</v>
      </c>
      <c r="L8" s="166">
        <f>SUMIFS(GASTOS!$F:$F,GASTOS!$I:$I,'INFORME GASTOS'!$A8,GASTOS!$B:$B,$B$1,GASTOS!$C:$C,L$2)</f>
        <v>497000</v>
      </c>
      <c r="M8" s="166">
        <f>SUMIFS(GASTOS!$F:$F,GASTOS!$I:$I,'INFORME GASTOS'!$A8,GASTOS!$B:$B,$B$1,GASTOS!$C:$C,M$2)</f>
        <v>60000</v>
      </c>
    </row>
    <row r="9" spans="1:13" x14ac:dyDescent="0.2">
      <c r="A9" s="165" t="s">
        <v>149</v>
      </c>
      <c r="B9" s="166">
        <f>SUMIFS(GASTOS!$F:$F,GASTOS!$I:$I,'INFORME GASTOS'!$A9,GASTOS!$B:$B,$B$1,GASTOS!$C:$C,B$2)</f>
        <v>423000</v>
      </c>
      <c r="C9" s="166">
        <f>SUMIFS(GASTOS!$F:$F,GASTOS!$I:$I,'INFORME GASTOS'!$A9,GASTOS!$B:$B,$B$1,GASTOS!$C:$C,C$2)</f>
        <v>234000</v>
      </c>
      <c r="D9" s="166">
        <f>SUMIFS(GASTOS!$F:$F,GASTOS!$I:$I,'INFORME GASTOS'!$A9,GASTOS!$B:$B,$B$1,GASTOS!$C:$C,D$2)</f>
        <v>310000</v>
      </c>
      <c r="E9" s="166">
        <f>SUMIFS(GASTOS!$F:$F,GASTOS!$I:$I,'INFORME GASTOS'!$A9,GASTOS!$B:$B,$B$1,GASTOS!$C:$C,E$2)</f>
        <v>274000</v>
      </c>
      <c r="F9" s="166">
        <f>SUMIFS(GASTOS!$F:$F,GASTOS!$I:$I,'INFORME GASTOS'!$A9,GASTOS!$B:$B,$B$1,GASTOS!$C:$C,F$2)</f>
        <v>225000</v>
      </c>
      <c r="G9" s="166">
        <f>SUMIFS(GASTOS!$F:$F,GASTOS!$I:$I,'INFORME GASTOS'!$A9,GASTOS!$B:$B,$B$1,GASTOS!$C:$C,G$2)</f>
        <v>142000</v>
      </c>
      <c r="H9" s="166">
        <f>SUMIFS(GASTOS!$F:$F,GASTOS!$I:$I,'INFORME GASTOS'!$A9,GASTOS!$B:$B,$B$1,GASTOS!$C:$C,H$2)</f>
        <v>67000</v>
      </c>
      <c r="I9" s="166">
        <f>SUMIFS(GASTOS!$F:$F,GASTOS!$I:$I,'INFORME GASTOS'!$A9,GASTOS!$B:$B,$B$1,GASTOS!$C:$C,I$2)</f>
        <v>74000</v>
      </c>
      <c r="J9" s="166">
        <f>SUMIFS(GASTOS!$F:$F,GASTOS!$I:$I,'INFORME GASTOS'!$A9,GASTOS!$B:$B,$B$1,GASTOS!$C:$C,J$2)</f>
        <v>133000</v>
      </c>
      <c r="K9" s="166">
        <f>SUMIFS(GASTOS!$F:$F,GASTOS!$I:$I,'INFORME GASTOS'!$A9,GASTOS!$B:$B,$B$1,GASTOS!$C:$C,K$2)</f>
        <v>46000</v>
      </c>
      <c r="L9" s="166">
        <f>SUMIFS(GASTOS!$F:$F,GASTOS!$I:$I,'INFORME GASTOS'!$A9,GASTOS!$B:$B,$B$1,GASTOS!$C:$C,L$2)</f>
        <v>28000</v>
      </c>
      <c r="M9" s="166">
        <f>SUMIFS(GASTOS!$F:$F,GASTOS!$I:$I,'INFORME GASTOS'!$A9,GASTOS!$B:$B,$B$1,GASTOS!$C:$C,M$2)</f>
        <v>157000</v>
      </c>
    </row>
    <row r="10" spans="1:13" x14ac:dyDescent="0.2">
      <c r="A10" s="165" t="s">
        <v>1992</v>
      </c>
      <c r="B10" s="166">
        <f>SUMIFS(GASTOS!$F:$F,GASTOS!$I:$I,'INFORME GASTOS'!$A10,GASTOS!$B:$B,$B$1,GASTOS!$C:$C,B$2)</f>
        <v>652000</v>
      </c>
      <c r="C10" s="166">
        <f>SUMIFS(GASTOS!$F:$F,GASTOS!$I:$I,'INFORME GASTOS'!$A10,GASTOS!$B:$B,$B$1,GASTOS!$C:$C,C$2)</f>
        <v>599000</v>
      </c>
      <c r="D10" s="166">
        <f>SUMIFS(GASTOS!$F:$F,GASTOS!$I:$I,'INFORME GASTOS'!$A10,GASTOS!$B:$B,$B$1,GASTOS!$C:$C,D$2)</f>
        <v>456000</v>
      </c>
      <c r="E10" s="166">
        <f>SUMIFS(GASTOS!$F:$F,GASTOS!$I:$I,'INFORME GASTOS'!$A10,GASTOS!$B:$B,$B$1,GASTOS!$C:$C,E$2)</f>
        <v>285000</v>
      </c>
      <c r="F10" s="166">
        <f>SUMIFS(GASTOS!$F:$F,GASTOS!$I:$I,'INFORME GASTOS'!$A10,GASTOS!$B:$B,$B$1,GASTOS!$C:$C,F$2)</f>
        <v>968000</v>
      </c>
      <c r="G10" s="166">
        <f>SUMIFS(GASTOS!$F:$F,GASTOS!$I:$I,'INFORME GASTOS'!$A10,GASTOS!$B:$B,$B$1,GASTOS!$C:$C,G$2)</f>
        <v>817000</v>
      </c>
      <c r="H10" s="166">
        <f>SUMIFS(GASTOS!$F:$F,GASTOS!$I:$I,'INFORME GASTOS'!$A10,GASTOS!$B:$B,$B$1,GASTOS!$C:$C,H$2)</f>
        <v>341000</v>
      </c>
      <c r="I10" s="166">
        <f>SUMIFS(GASTOS!$F:$F,GASTOS!$I:$I,'INFORME GASTOS'!$A10,GASTOS!$B:$B,$B$1,GASTOS!$C:$C,I$2)</f>
        <v>0</v>
      </c>
      <c r="J10" s="166">
        <f>SUMIFS(GASTOS!$F:$F,GASTOS!$I:$I,'INFORME GASTOS'!$A10,GASTOS!$B:$B,$B$1,GASTOS!$C:$C,J$2)</f>
        <v>476000</v>
      </c>
      <c r="K10" s="166">
        <f>SUMIFS(GASTOS!$F:$F,GASTOS!$I:$I,'INFORME GASTOS'!$A10,GASTOS!$B:$B,$B$1,GASTOS!$C:$C,K$2)</f>
        <v>51000</v>
      </c>
      <c r="L10" s="166">
        <f>SUMIFS(GASTOS!$F:$F,GASTOS!$I:$I,'INFORME GASTOS'!$A10,GASTOS!$B:$B,$B$1,GASTOS!$C:$C,L$2)</f>
        <v>0</v>
      </c>
      <c r="M10" s="166">
        <f>SUMIFS(GASTOS!$F:$F,GASTOS!$I:$I,'INFORME GASTOS'!$A10,GASTOS!$B:$B,$B$1,GASTOS!$C:$C,M$2)</f>
        <v>326000</v>
      </c>
    </row>
    <row r="11" spans="1:13" x14ac:dyDescent="0.2">
      <c r="A11" s="165" t="s">
        <v>299</v>
      </c>
      <c r="B11" s="166">
        <f>SUMIFS(GASTOS!$F:$F,GASTOS!$I:$I,'INFORME GASTOS'!$A11,GASTOS!$B:$B,$B$1,GASTOS!$C:$C,B$2)</f>
        <v>276000</v>
      </c>
      <c r="C11" s="166">
        <f>SUMIFS(GASTOS!$F:$F,GASTOS!$I:$I,'INFORME GASTOS'!$A11,GASTOS!$B:$B,$B$1,GASTOS!$C:$C,C$2)</f>
        <v>637000</v>
      </c>
      <c r="D11" s="166">
        <f>SUMIFS(GASTOS!$F:$F,GASTOS!$I:$I,'INFORME GASTOS'!$A11,GASTOS!$B:$B,$B$1,GASTOS!$C:$C,D$2)</f>
        <v>340000</v>
      </c>
      <c r="E11" s="166">
        <f>SUMIFS(GASTOS!$F:$F,GASTOS!$I:$I,'INFORME GASTOS'!$A11,GASTOS!$B:$B,$B$1,GASTOS!$C:$C,E$2)</f>
        <v>530000</v>
      </c>
      <c r="F11" s="166">
        <f>SUMIFS(GASTOS!$F:$F,GASTOS!$I:$I,'INFORME GASTOS'!$A11,GASTOS!$B:$B,$B$1,GASTOS!$C:$C,F$2)</f>
        <v>365000</v>
      </c>
      <c r="G11" s="166">
        <f>SUMIFS(GASTOS!$F:$F,GASTOS!$I:$I,'INFORME GASTOS'!$A11,GASTOS!$B:$B,$B$1,GASTOS!$C:$C,G$2)</f>
        <v>417000</v>
      </c>
      <c r="H11" s="166">
        <f>SUMIFS(GASTOS!$F:$F,GASTOS!$I:$I,'INFORME GASTOS'!$A11,GASTOS!$B:$B,$B$1,GASTOS!$C:$C,H$2)</f>
        <v>387000</v>
      </c>
      <c r="I11" s="166">
        <f>SUMIFS(GASTOS!$F:$F,GASTOS!$I:$I,'INFORME GASTOS'!$A11,GASTOS!$B:$B,$B$1,GASTOS!$C:$C,I$2)</f>
        <v>590000</v>
      </c>
      <c r="J11" s="166">
        <f>SUMIFS(GASTOS!$F:$F,GASTOS!$I:$I,'INFORME GASTOS'!$A11,GASTOS!$B:$B,$B$1,GASTOS!$C:$C,J$2)</f>
        <v>510000</v>
      </c>
      <c r="K11" s="166">
        <f>SUMIFS(GASTOS!$F:$F,GASTOS!$I:$I,'INFORME GASTOS'!$A11,GASTOS!$B:$B,$B$1,GASTOS!$C:$C,K$2)</f>
        <v>714000</v>
      </c>
      <c r="L11" s="166">
        <f>SUMIFS(GASTOS!$F:$F,GASTOS!$I:$I,'INFORME GASTOS'!$A11,GASTOS!$B:$B,$B$1,GASTOS!$C:$C,L$2)</f>
        <v>425000</v>
      </c>
      <c r="M11" s="166">
        <f>SUMIFS(GASTOS!$F:$F,GASTOS!$I:$I,'INFORME GASTOS'!$A11,GASTOS!$B:$B,$B$1,GASTOS!$C:$C,M$2)</f>
        <v>620000</v>
      </c>
    </row>
    <row r="12" spans="1:13" x14ac:dyDescent="0.2">
      <c r="A12" s="165" t="s">
        <v>1999</v>
      </c>
      <c r="B12" s="166">
        <f>SUMIFS(GASTOS!$F:$F,GASTOS!$I:$I,'INFORME GASTOS'!$A12,GASTOS!$B:$B,$B$1,GASTOS!$C:$C,B$2)</f>
        <v>1918000</v>
      </c>
      <c r="C12" s="166">
        <f>SUMIFS(GASTOS!$F:$F,GASTOS!$I:$I,'INFORME GASTOS'!$A12,GASTOS!$B:$B,$B$1,GASTOS!$C:$C,C$2)</f>
        <v>0</v>
      </c>
      <c r="D12" s="166">
        <f>SUMIFS(GASTOS!$F:$F,GASTOS!$I:$I,'INFORME GASTOS'!$A12,GASTOS!$B:$B,$B$1,GASTOS!$C:$C,D$2)</f>
        <v>328000</v>
      </c>
      <c r="E12" s="166">
        <f>SUMIFS(GASTOS!$F:$F,GASTOS!$I:$I,'INFORME GASTOS'!$A12,GASTOS!$B:$B,$B$1,GASTOS!$C:$C,E$2)</f>
        <v>150000</v>
      </c>
      <c r="F12" s="166">
        <f>SUMIFS(GASTOS!$F:$F,GASTOS!$I:$I,'INFORME GASTOS'!$A12,GASTOS!$B:$B,$B$1,GASTOS!$C:$C,F$2)</f>
        <v>32000</v>
      </c>
      <c r="G12" s="166">
        <f>SUMIFS(GASTOS!$F:$F,GASTOS!$I:$I,'INFORME GASTOS'!$A12,GASTOS!$B:$B,$B$1,GASTOS!$C:$C,G$2)</f>
        <v>24000</v>
      </c>
      <c r="H12" s="166">
        <f>SUMIFS(GASTOS!$F:$F,GASTOS!$I:$I,'INFORME GASTOS'!$A12,GASTOS!$B:$B,$B$1,GASTOS!$C:$C,H$2)</f>
        <v>120000</v>
      </c>
      <c r="I12" s="166">
        <f>SUMIFS(GASTOS!$F:$F,GASTOS!$I:$I,'INFORME GASTOS'!$A12,GASTOS!$B:$B,$B$1,GASTOS!$C:$C,I$2)</f>
        <v>331000</v>
      </c>
      <c r="J12" s="166">
        <f>SUMIFS(GASTOS!$F:$F,GASTOS!$I:$I,'INFORME GASTOS'!$A12,GASTOS!$B:$B,$B$1,GASTOS!$C:$C,J$2)</f>
        <v>637000</v>
      </c>
      <c r="K12" s="166">
        <f>SUMIFS(GASTOS!$F:$F,GASTOS!$I:$I,'INFORME GASTOS'!$A12,GASTOS!$B:$B,$B$1,GASTOS!$C:$C,K$2)</f>
        <v>813000</v>
      </c>
      <c r="L12" s="166">
        <f>SUMIFS(GASTOS!$F:$F,GASTOS!$I:$I,'INFORME GASTOS'!$A12,GASTOS!$B:$B,$B$1,GASTOS!$C:$C,L$2)</f>
        <v>109000</v>
      </c>
      <c r="M12" s="166">
        <f>SUMIFS(GASTOS!$F:$F,GASTOS!$I:$I,'INFORME GASTOS'!$A12,GASTOS!$B:$B,$B$1,GASTOS!$C:$C,M$2)</f>
        <v>89000</v>
      </c>
    </row>
    <row r="13" spans="1:13" x14ac:dyDescent="0.2">
      <c r="A13" s="165" t="s">
        <v>1729</v>
      </c>
      <c r="B13" s="166">
        <f>SUMIFS(GASTOS!$F:$F,GASTOS!$I:$I,'INFORME GASTOS'!$A13,GASTOS!$B:$B,$B$1,GASTOS!$C:$C,B$2)</f>
        <v>600000</v>
      </c>
      <c r="C13" s="166">
        <f>SUMIFS(GASTOS!$F:$F,GASTOS!$I:$I,'INFORME GASTOS'!$A13,GASTOS!$B:$B,$B$1,GASTOS!$C:$C,C$2)</f>
        <v>1000000</v>
      </c>
      <c r="D13" s="166">
        <f>SUMIFS(GASTOS!$F:$F,GASTOS!$I:$I,'INFORME GASTOS'!$A13,GASTOS!$B:$B,$B$1,GASTOS!$C:$C,D$2)</f>
        <v>700000</v>
      </c>
      <c r="E13" s="166">
        <f>SUMIFS(GASTOS!$F:$F,GASTOS!$I:$I,'INFORME GASTOS'!$A13,GASTOS!$B:$B,$B$1,GASTOS!$C:$C,E$2)</f>
        <v>0</v>
      </c>
      <c r="F13" s="166">
        <f>SUMIFS(GASTOS!$F:$F,GASTOS!$I:$I,'INFORME GASTOS'!$A13,GASTOS!$B:$B,$B$1,GASTOS!$C:$C,F$2)</f>
        <v>700000</v>
      </c>
      <c r="G13" s="166">
        <f>SUMIFS(GASTOS!$F:$F,GASTOS!$I:$I,'INFORME GASTOS'!$A13,GASTOS!$B:$B,$B$1,GASTOS!$C:$C,G$2)</f>
        <v>0</v>
      </c>
      <c r="H13" s="166">
        <f>SUMIFS(GASTOS!$F:$F,GASTOS!$I:$I,'INFORME GASTOS'!$A13,GASTOS!$B:$B,$B$1,GASTOS!$C:$C,H$2)</f>
        <v>700000</v>
      </c>
      <c r="I13" s="166">
        <f>SUMIFS(GASTOS!$F:$F,GASTOS!$I:$I,'INFORME GASTOS'!$A13,GASTOS!$B:$B,$B$1,GASTOS!$C:$C,I$2)</f>
        <v>700000</v>
      </c>
      <c r="J13" s="166">
        <f>SUMIFS(GASTOS!$F:$F,GASTOS!$I:$I,'INFORME GASTOS'!$A13,GASTOS!$B:$B,$B$1,GASTOS!$C:$C,J$2)</f>
        <v>700000</v>
      </c>
      <c r="K13" s="166">
        <f>SUMIFS(GASTOS!$F:$F,GASTOS!$I:$I,'INFORME GASTOS'!$A13,GASTOS!$B:$B,$B$1,GASTOS!$C:$C,K$2)</f>
        <v>0</v>
      </c>
      <c r="L13" s="166">
        <f>SUMIFS(GASTOS!$F:$F,GASTOS!$I:$I,'INFORME GASTOS'!$A13,GASTOS!$B:$B,$B$1,GASTOS!$C:$C,L$2)</f>
        <v>0</v>
      </c>
      <c r="M13" s="166">
        <f>SUMIFS(GASTOS!$F:$F,GASTOS!$I:$I,'INFORME GASTOS'!$A13,GASTOS!$B:$B,$B$1,GASTOS!$C:$C,M$2)</f>
        <v>1000000</v>
      </c>
    </row>
    <row r="14" spans="1:13" x14ac:dyDescent="0.2">
      <c r="A14" s="165" t="s">
        <v>1894</v>
      </c>
      <c r="B14" s="166">
        <f>SUMIFS(GASTOS!$F:$F,GASTOS!$I:$I,'INFORME GASTOS'!$A14,GASTOS!$B:$B,$B$1,GASTOS!$C:$C,B$2)</f>
        <v>250000</v>
      </c>
      <c r="C14" s="166">
        <f>SUMIFS(GASTOS!$F:$F,GASTOS!$I:$I,'INFORME GASTOS'!$A14,GASTOS!$B:$B,$B$1,GASTOS!$C:$C,C$2)</f>
        <v>250000</v>
      </c>
      <c r="D14" s="166">
        <f>SUMIFS(GASTOS!$F:$F,GASTOS!$I:$I,'INFORME GASTOS'!$A14,GASTOS!$B:$B,$B$1,GASTOS!$C:$C,D$2)</f>
        <v>250000</v>
      </c>
      <c r="E14" s="166">
        <f>SUMIFS(GASTOS!$F:$F,GASTOS!$I:$I,'INFORME GASTOS'!$A14,GASTOS!$B:$B,$B$1,GASTOS!$C:$C,E$2)</f>
        <v>250000</v>
      </c>
      <c r="F14" s="166">
        <f>SUMIFS(GASTOS!$F:$F,GASTOS!$I:$I,'INFORME GASTOS'!$A14,GASTOS!$B:$B,$B$1,GASTOS!$C:$C,F$2)</f>
        <v>250000</v>
      </c>
      <c r="G14" s="166">
        <f>SUMIFS(GASTOS!$F:$F,GASTOS!$I:$I,'INFORME GASTOS'!$A14,GASTOS!$B:$B,$B$1,GASTOS!$C:$C,G$2)</f>
        <v>250000</v>
      </c>
      <c r="H14" s="166">
        <f>SUMIFS(GASTOS!$F:$F,GASTOS!$I:$I,'INFORME GASTOS'!$A14,GASTOS!$B:$B,$B$1,GASTOS!$C:$C,H$2)</f>
        <v>250000</v>
      </c>
      <c r="I14" s="166">
        <f>SUMIFS(GASTOS!$F:$F,GASTOS!$I:$I,'INFORME GASTOS'!$A14,GASTOS!$B:$B,$B$1,GASTOS!$C:$C,I$2)</f>
        <v>250000</v>
      </c>
      <c r="J14" s="166">
        <f>SUMIFS(GASTOS!$F:$F,GASTOS!$I:$I,'INFORME GASTOS'!$A14,GASTOS!$B:$B,$B$1,GASTOS!$C:$C,J$2)</f>
        <v>0</v>
      </c>
      <c r="K14" s="166">
        <f>SUMIFS(GASTOS!$F:$F,GASTOS!$I:$I,'INFORME GASTOS'!$A14,GASTOS!$B:$B,$B$1,GASTOS!$C:$C,K$2)</f>
        <v>0</v>
      </c>
      <c r="L14" s="166">
        <f>SUMIFS(GASTOS!$F:$F,GASTOS!$I:$I,'INFORME GASTOS'!$A14,GASTOS!$B:$B,$B$1,GASTOS!$C:$C,L$2)</f>
        <v>0</v>
      </c>
      <c r="M14" s="166">
        <f>SUMIFS(GASTOS!$F:$F,GASTOS!$I:$I,'INFORME GASTOS'!$A14,GASTOS!$B:$B,$B$1,GASTOS!$C:$C,M$2)</f>
        <v>0</v>
      </c>
    </row>
    <row r="15" spans="1:13" x14ac:dyDescent="0.2">
      <c r="A15" s="165" t="s">
        <v>573</v>
      </c>
      <c r="B15" s="166">
        <f>SUMIFS(GASTOS!$F:$F,GASTOS!$I:$I,'INFORME GASTOS'!$A15,GASTOS!$B:$B,$B$1,GASTOS!$C:$C,B$2)</f>
        <v>50000</v>
      </c>
      <c r="C15" s="166">
        <f>SUMIFS(GASTOS!$F:$F,GASTOS!$I:$I,'INFORME GASTOS'!$A15,GASTOS!$B:$B,$B$1,GASTOS!$C:$C,C$2)</f>
        <v>40000</v>
      </c>
      <c r="D15" s="166">
        <f>SUMIFS(GASTOS!$F:$F,GASTOS!$I:$I,'INFORME GASTOS'!$A15,GASTOS!$B:$B,$B$1,GASTOS!$C:$C,D$2)</f>
        <v>247500</v>
      </c>
      <c r="E15" s="166">
        <f>SUMIFS(GASTOS!$F:$F,GASTOS!$I:$I,'INFORME GASTOS'!$A15,GASTOS!$B:$B,$B$1,GASTOS!$C:$C,E$2)</f>
        <v>220000</v>
      </c>
      <c r="F15" s="166">
        <f>SUMIFS(GASTOS!$F:$F,GASTOS!$I:$I,'INFORME GASTOS'!$A15,GASTOS!$B:$B,$B$1,GASTOS!$C:$C,F$2)</f>
        <v>80000</v>
      </c>
      <c r="G15" s="166">
        <f>SUMIFS(GASTOS!$F:$F,GASTOS!$I:$I,'INFORME GASTOS'!$A15,GASTOS!$B:$B,$B$1,GASTOS!$C:$C,G$2)</f>
        <v>60000</v>
      </c>
      <c r="H15" s="166">
        <f>SUMIFS(GASTOS!$F:$F,GASTOS!$I:$I,'INFORME GASTOS'!$A15,GASTOS!$B:$B,$B$1,GASTOS!$C:$C,H$2)</f>
        <v>50000</v>
      </c>
      <c r="I15" s="166">
        <f>SUMIFS(GASTOS!$F:$F,GASTOS!$I:$I,'INFORME GASTOS'!$A15,GASTOS!$B:$B,$B$1,GASTOS!$C:$C,I$2)</f>
        <v>0</v>
      </c>
      <c r="J15" s="166">
        <f>SUMIFS(GASTOS!$F:$F,GASTOS!$I:$I,'INFORME GASTOS'!$A15,GASTOS!$B:$B,$B$1,GASTOS!$C:$C,J$2)</f>
        <v>0</v>
      </c>
      <c r="K15" s="166">
        <f>SUMIFS(GASTOS!$F:$F,GASTOS!$I:$I,'INFORME GASTOS'!$A15,GASTOS!$B:$B,$B$1,GASTOS!$C:$C,K$2)</f>
        <v>0</v>
      </c>
      <c r="L15" s="166">
        <f>SUMIFS(GASTOS!$F:$F,GASTOS!$I:$I,'INFORME GASTOS'!$A15,GASTOS!$B:$B,$B$1,GASTOS!$C:$C,L$2)</f>
        <v>0</v>
      </c>
      <c r="M15" s="166">
        <f>SUMIFS(GASTOS!$F:$F,GASTOS!$I:$I,'INFORME GASTOS'!$A15,GASTOS!$B:$B,$B$1,GASTOS!$C:$C,M$2)</f>
        <v>0</v>
      </c>
    </row>
    <row r="16" spans="1:13" x14ac:dyDescent="0.2">
      <c r="A16" s="165" t="s">
        <v>391</v>
      </c>
      <c r="B16" s="166">
        <f>SUMIFS(GASTOS!$F:$F,GASTOS!$I:$I,'INFORME GASTOS'!$A16,GASTOS!$B:$B,$B$1,GASTOS!$C:$C,B$2)</f>
        <v>125700</v>
      </c>
      <c r="C16" s="166">
        <f>SUMIFS(GASTOS!$F:$F,GASTOS!$I:$I,'INFORME GASTOS'!$A16,GASTOS!$B:$B,$B$1,GASTOS!$C:$C,C$2)</f>
        <v>168000</v>
      </c>
      <c r="D16" s="166">
        <f>SUMIFS(GASTOS!$F:$F,GASTOS!$I:$I,'INFORME GASTOS'!$A16,GASTOS!$B:$B,$B$1,GASTOS!$C:$C,D$2)</f>
        <v>199000</v>
      </c>
      <c r="E16" s="166">
        <f>SUMIFS(GASTOS!$F:$F,GASTOS!$I:$I,'INFORME GASTOS'!$A16,GASTOS!$B:$B,$B$1,GASTOS!$C:$C,E$2)</f>
        <v>223000</v>
      </c>
      <c r="F16" s="166">
        <f>SUMIFS(GASTOS!$F:$F,GASTOS!$I:$I,'INFORME GASTOS'!$A16,GASTOS!$B:$B,$B$1,GASTOS!$C:$C,F$2)</f>
        <v>230000</v>
      </c>
      <c r="G16" s="166">
        <f>SUMIFS(GASTOS!$F:$F,GASTOS!$I:$I,'INFORME GASTOS'!$A16,GASTOS!$B:$B,$B$1,GASTOS!$C:$C,G$2)</f>
        <v>53000</v>
      </c>
      <c r="H16" s="166">
        <f>SUMIFS(GASTOS!$F:$F,GASTOS!$I:$I,'INFORME GASTOS'!$A16,GASTOS!$B:$B,$B$1,GASTOS!$C:$C,H$2)</f>
        <v>290000</v>
      </c>
      <c r="I16" s="166">
        <f>SUMIFS(GASTOS!$F:$F,GASTOS!$I:$I,'INFORME GASTOS'!$A16,GASTOS!$B:$B,$B$1,GASTOS!$C:$C,I$2)</f>
        <v>224600</v>
      </c>
      <c r="J16" s="166">
        <f>SUMIFS(GASTOS!$F:$F,GASTOS!$I:$I,'INFORME GASTOS'!$A16,GASTOS!$B:$B,$B$1,GASTOS!$C:$C,J$2)</f>
        <v>240000</v>
      </c>
      <c r="K16" s="166">
        <f>SUMIFS(GASTOS!$F:$F,GASTOS!$I:$I,'INFORME GASTOS'!$A16,GASTOS!$B:$B,$B$1,GASTOS!$C:$C,K$2)</f>
        <v>266000</v>
      </c>
      <c r="L16" s="166">
        <f>SUMIFS(GASTOS!$F:$F,GASTOS!$I:$I,'INFORME GASTOS'!$A16,GASTOS!$B:$B,$B$1,GASTOS!$C:$C,L$2)</f>
        <v>406000</v>
      </c>
      <c r="M16" s="166">
        <f>SUMIFS(GASTOS!$F:$F,GASTOS!$I:$I,'INFORME GASTOS'!$A16,GASTOS!$B:$B,$B$1,GASTOS!$C:$C,M$2)</f>
        <v>452000</v>
      </c>
    </row>
    <row r="17" spans="1:13" x14ac:dyDescent="0.2">
      <c r="A17" s="165" t="s">
        <v>1973</v>
      </c>
      <c r="B17" s="166">
        <f>SUMIFS(GASTOS!$F:$F,GASTOS!$I:$I,'INFORME GASTOS'!$A17,GASTOS!$B:$B,$B$1,GASTOS!$C:$C,B$2)</f>
        <v>235500</v>
      </c>
      <c r="C17" s="166">
        <f>SUMIFS(GASTOS!$F:$F,GASTOS!$I:$I,'INFORME GASTOS'!$A17,GASTOS!$B:$B,$B$1,GASTOS!$C:$C,C$2)</f>
        <v>235500</v>
      </c>
      <c r="D17" s="166">
        <f>SUMIFS(GASTOS!$F:$F,GASTOS!$I:$I,'INFORME GASTOS'!$A17,GASTOS!$B:$B,$B$1,GASTOS!$C:$C,D$2)</f>
        <v>0</v>
      </c>
      <c r="E17" s="166">
        <f>SUMIFS(GASTOS!$F:$F,GASTOS!$I:$I,'INFORME GASTOS'!$A17,GASTOS!$B:$B,$B$1,GASTOS!$C:$C,E$2)</f>
        <v>245000</v>
      </c>
      <c r="F17" s="166">
        <f>SUMIFS(GASTOS!$F:$F,GASTOS!$I:$I,'INFORME GASTOS'!$A17,GASTOS!$B:$B,$B$1,GASTOS!$C:$C,F$2)</f>
        <v>0</v>
      </c>
      <c r="G17" s="166">
        <f>SUMIFS(GASTOS!$F:$F,GASTOS!$I:$I,'INFORME GASTOS'!$A17,GASTOS!$B:$B,$B$1,GASTOS!$C:$C,G$2)</f>
        <v>0</v>
      </c>
      <c r="H17" s="166">
        <f>SUMIFS(GASTOS!$F:$F,GASTOS!$I:$I,'INFORME GASTOS'!$A17,GASTOS!$B:$B,$B$1,GASTOS!$C:$C,H$2)</f>
        <v>714000</v>
      </c>
      <c r="I17" s="166">
        <f>SUMIFS(GASTOS!$F:$F,GASTOS!$I:$I,'INFORME GASTOS'!$A17,GASTOS!$B:$B,$B$1,GASTOS!$C:$C,I$2)</f>
        <v>0</v>
      </c>
      <c r="J17" s="166">
        <f>SUMIFS(GASTOS!$F:$F,GASTOS!$I:$I,'INFORME GASTOS'!$A17,GASTOS!$B:$B,$B$1,GASTOS!$C:$C,J$2)</f>
        <v>0</v>
      </c>
      <c r="K17" s="166">
        <f>SUMIFS(GASTOS!$F:$F,GASTOS!$I:$I,'INFORME GASTOS'!$A17,GASTOS!$B:$B,$B$1,GASTOS!$C:$C,K$2)</f>
        <v>0</v>
      </c>
      <c r="L17" s="166">
        <f>SUMIFS(GASTOS!$F:$F,GASTOS!$I:$I,'INFORME GASTOS'!$A17,GASTOS!$B:$B,$B$1,GASTOS!$C:$C,L$2)</f>
        <v>0</v>
      </c>
      <c r="M17" s="166">
        <f>SUMIFS(GASTOS!$F:$F,GASTOS!$I:$I,'INFORME GASTOS'!$A17,GASTOS!$B:$B,$B$1,GASTOS!$C:$C,M$2)</f>
        <v>0</v>
      </c>
    </row>
    <row r="18" spans="1:13" x14ac:dyDescent="0.2">
      <c r="A18" s="165" t="s">
        <v>2807</v>
      </c>
      <c r="B18" s="166">
        <f>SUMIFS(GASTOS!$F:$F,GASTOS!$I:$I,'INFORME GASTOS'!$A18,GASTOS!$B:$B,$B$1,GASTOS!$C:$C,B$2)</f>
        <v>0</v>
      </c>
      <c r="C18" s="166">
        <f>SUMIFS(GASTOS!$F:$F,GASTOS!$I:$I,'INFORME GASTOS'!$A18,GASTOS!$B:$B,$B$1,GASTOS!$C:$C,C$2)</f>
        <v>0</v>
      </c>
      <c r="D18" s="166">
        <f>SUMIFS(GASTOS!$F:$F,GASTOS!$I:$I,'INFORME GASTOS'!$A18,GASTOS!$B:$B,$B$1,GASTOS!$C:$C,D$2)</f>
        <v>0</v>
      </c>
      <c r="E18" s="166">
        <f>SUMIFS(GASTOS!$F:$F,GASTOS!$I:$I,'INFORME GASTOS'!$A18,GASTOS!$B:$B,$B$1,GASTOS!$C:$C,E$2)</f>
        <v>0</v>
      </c>
      <c r="F18" s="166">
        <f>SUMIFS(GASTOS!$F:$F,GASTOS!$I:$I,'INFORME GASTOS'!$A18,GASTOS!$B:$B,$B$1,GASTOS!$C:$C,F$2)</f>
        <v>0</v>
      </c>
      <c r="G18" s="166">
        <f>SUMIFS(GASTOS!$F:$F,GASTOS!$I:$I,'INFORME GASTOS'!$A18,GASTOS!$B:$B,$B$1,GASTOS!$C:$C,G$2)</f>
        <v>0</v>
      </c>
      <c r="H18" s="166">
        <f>SUMIFS(GASTOS!$F:$F,GASTOS!$I:$I,'INFORME GASTOS'!$A18,GASTOS!$B:$B,$B$1,GASTOS!$C:$C,H$2)</f>
        <v>0</v>
      </c>
      <c r="I18" s="166">
        <f>SUMIFS(GASTOS!$F:$F,GASTOS!$I:$I,'INFORME GASTOS'!$A18,GASTOS!$B:$B,$B$1,GASTOS!$C:$C,I$2)</f>
        <v>504000</v>
      </c>
      <c r="J18" s="166">
        <f>SUMIFS(GASTOS!$F:$F,GASTOS!$I:$I,'INFORME GASTOS'!$A18,GASTOS!$B:$B,$B$1,GASTOS!$C:$C,J$2)</f>
        <v>350000</v>
      </c>
      <c r="K18" s="166">
        <f>SUMIFS(GASTOS!$F:$F,GASTOS!$I:$I,'INFORME GASTOS'!$A18,GASTOS!$B:$B,$B$1,GASTOS!$C:$C,K$2)</f>
        <v>0</v>
      </c>
      <c r="L18" s="166">
        <f>SUMIFS(GASTOS!$F:$F,GASTOS!$I:$I,'INFORME GASTOS'!$A18,GASTOS!$B:$B,$B$1,GASTOS!$C:$C,L$2)</f>
        <v>500000</v>
      </c>
      <c r="M18" s="166">
        <f>SUMIFS(GASTOS!$F:$F,GASTOS!$I:$I,'INFORME GASTOS'!$A18,GASTOS!$B:$B,$B$1,GASTOS!$C:$C,M$2)</f>
        <v>700000</v>
      </c>
    </row>
    <row r="19" spans="1:13" x14ac:dyDescent="0.2">
      <c r="A19" s="282" t="s">
        <v>4569</v>
      </c>
      <c r="B19" s="166">
        <f>SUMIFS(GASTOS!$F:$F,GASTOS!$I:$I,'INFORME GASTOS'!$A19,GASTOS!$B:$B,$B$1,GASTOS!$C:$C,B$2)</f>
        <v>0</v>
      </c>
      <c r="C19" s="166">
        <f>SUMIFS(GASTOS!$F:$F,GASTOS!$I:$I,'INFORME GASTOS'!$A19,GASTOS!$B:$B,$B$1,GASTOS!$C:$C,C$2)</f>
        <v>0</v>
      </c>
      <c r="D19" s="166">
        <f>SUMIFS(GASTOS!$F:$F,GASTOS!$I:$I,'INFORME GASTOS'!$A19,GASTOS!$B:$B,$B$1,GASTOS!$C:$C,D$2)</f>
        <v>0</v>
      </c>
      <c r="E19" s="166">
        <f>SUMIFS(GASTOS!$F:$F,GASTOS!$I:$I,'INFORME GASTOS'!$A19,GASTOS!$B:$B,$B$1,GASTOS!$C:$C,E$2)</f>
        <v>0</v>
      </c>
      <c r="F19" s="166">
        <f>SUMIFS(GASTOS!$F:$F,GASTOS!$I:$I,'INFORME GASTOS'!$A19,GASTOS!$B:$B,$B$1,GASTOS!$C:$C,F$2)</f>
        <v>0</v>
      </c>
      <c r="G19" s="166">
        <f>SUMIFS(GASTOS!$F:$F,GASTOS!$I:$I,'INFORME GASTOS'!$A19,GASTOS!$B:$B,$B$1,GASTOS!$C:$C,G$2)</f>
        <v>0</v>
      </c>
      <c r="H19" s="166">
        <f>SUMIFS(GASTOS!$F:$F,GASTOS!$I:$I,'INFORME GASTOS'!$A19,GASTOS!$B:$B,$B$1,GASTOS!$C:$C,H$2)</f>
        <v>0</v>
      </c>
      <c r="I19" s="166">
        <f>SUMIFS(GASTOS!$F:$F,GASTOS!$I:$I,'INFORME GASTOS'!$A19,GASTOS!$B:$B,$B$1,GASTOS!$C:$C,I$2)</f>
        <v>0</v>
      </c>
      <c r="J19" s="166">
        <f>SUMIFS(GASTOS!$F:$F,GASTOS!$I:$I,'INFORME GASTOS'!$A19,GASTOS!$B:$B,$B$1,GASTOS!$C:$C,J$2)</f>
        <v>0</v>
      </c>
      <c r="K19" s="166">
        <f>SUMIFS(GASTOS!$F:$F,GASTOS!$I:$I,'INFORME GASTOS'!$A19,GASTOS!$B:$B,$B$1,GASTOS!$C:$C,K$2)</f>
        <v>0</v>
      </c>
      <c r="L19" s="166">
        <f>SUMIFS(GASTOS!$F:$F,GASTOS!$I:$I,'INFORME GASTOS'!$A19,GASTOS!$B:$B,$B$1,GASTOS!$C:$C,L$2)</f>
        <v>0</v>
      </c>
      <c r="M19" s="166">
        <f>SUMIFS(GASTOS!$F:$F,GASTOS!$I:$I,'INFORME GASTOS'!$A19,GASTOS!$B:$B,$B$1,GASTOS!$C:$C,M$2)</f>
        <v>0</v>
      </c>
    </row>
    <row r="20" spans="1:13" x14ac:dyDescent="0.2">
      <c r="A20" s="165" t="s">
        <v>4137</v>
      </c>
      <c r="B20" s="166">
        <f>SUMIFS(GASTOS!$F:$F,GASTOS!$I:$I,'INFORME GASTOS'!$A20,GASTOS!$B:$B,$B$1,GASTOS!$C:$C,B$2)</f>
        <v>0</v>
      </c>
      <c r="C20" s="166">
        <f>SUMIFS(GASTOS!$F:$F,GASTOS!$I:$I,'INFORME GASTOS'!$A20,GASTOS!$B:$B,$B$1,GASTOS!$C:$C,C$2)</f>
        <v>0</v>
      </c>
      <c r="D20" s="166">
        <f>SUMIFS(GASTOS!$F:$F,GASTOS!$I:$I,'INFORME GASTOS'!$A20,GASTOS!$B:$B,$B$1,GASTOS!$C:$C,D$2)</f>
        <v>0</v>
      </c>
      <c r="E20" s="166">
        <f>SUMIFS(GASTOS!$F:$F,GASTOS!$I:$I,'INFORME GASTOS'!$A20,GASTOS!$B:$B,$B$1,GASTOS!$C:$C,E$2)</f>
        <v>0</v>
      </c>
      <c r="F20" s="166">
        <f>SUMIFS(GASTOS!$F:$F,GASTOS!$I:$I,'INFORME GASTOS'!$A20,GASTOS!$B:$B,$B$1,GASTOS!$C:$C,F$2)</f>
        <v>0</v>
      </c>
      <c r="G20" s="166">
        <f>SUMIFS(GASTOS!$F:$F,GASTOS!$I:$I,'INFORME GASTOS'!$A20,GASTOS!$B:$B,$B$1,GASTOS!$C:$C,G$2)</f>
        <v>0</v>
      </c>
      <c r="H20" s="166">
        <f>SUMIFS(GASTOS!$F:$F,GASTOS!$I:$I,'INFORME GASTOS'!$A20,GASTOS!$B:$B,$B$1,GASTOS!$C:$C,H$2)</f>
        <v>0</v>
      </c>
      <c r="I20" s="166">
        <f>SUMIFS(GASTOS!$F:$F,GASTOS!$I:$I,'INFORME GASTOS'!$A20,GASTOS!$B:$B,$B$1,GASTOS!$C:$C,I$2)</f>
        <v>0</v>
      </c>
      <c r="J20" s="166">
        <f>SUMIFS(GASTOS!$F:$F,GASTOS!$I:$I,'INFORME GASTOS'!$A20,GASTOS!$B:$B,$B$1,GASTOS!$C:$C,J$2)</f>
        <v>0</v>
      </c>
      <c r="K20" s="166">
        <f>SUMIFS(GASTOS!$F:$F,GASTOS!$I:$I,'INFORME GASTOS'!$A20,GASTOS!$B:$B,$B$1,GASTOS!$C:$C,K$2)</f>
        <v>0</v>
      </c>
      <c r="L20" s="166">
        <f>SUMIFS(GASTOS!$F:$F,GASTOS!$I:$I,'INFORME GASTOS'!$A20,GASTOS!$B:$B,$B$1,GASTOS!$C:$C,L$2)</f>
        <v>0</v>
      </c>
      <c r="M20" s="166">
        <f>SUMIFS(GASTOS!$F:$F,GASTOS!$I:$I,'INFORME GASTOS'!$A20,GASTOS!$B:$B,$B$1,GASTOS!$C:$C,M$2)</f>
        <v>0</v>
      </c>
    </row>
    <row r="21" spans="1:13" x14ac:dyDescent="0.2">
      <c r="A21" s="165" t="s">
        <v>109</v>
      </c>
      <c r="B21" s="166">
        <f>SUMIFS(GASTOS!$F:$F,GASTOS!$I:$I,'INFORME GASTOS'!$A21,GASTOS!$B:$B,$B$1,GASTOS!$C:$C,B$2)</f>
        <v>0</v>
      </c>
      <c r="C21" s="166">
        <f>SUMIFS(GASTOS!$F:$F,GASTOS!$I:$I,'INFORME GASTOS'!$A21,GASTOS!$B:$B,$B$1,GASTOS!$C:$C,C$2)</f>
        <v>0</v>
      </c>
      <c r="D21" s="166">
        <f>SUMIFS(GASTOS!$F:$F,GASTOS!$I:$I,'INFORME GASTOS'!$A21,GASTOS!$B:$B,$B$1,GASTOS!$C:$C,D$2)</f>
        <v>0</v>
      </c>
      <c r="E21" s="166">
        <f>SUMIFS(GASTOS!$F:$F,GASTOS!$I:$I,'INFORME GASTOS'!$A21,GASTOS!$B:$B,$B$1,GASTOS!$C:$C,E$2)</f>
        <v>0</v>
      </c>
      <c r="F21" s="166">
        <f>SUMIFS(GASTOS!$F:$F,GASTOS!$I:$I,'INFORME GASTOS'!$A21,GASTOS!$B:$B,$B$1,GASTOS!$C:$C,F$2)</f>
        <v>0</v>
      </c>
      <c r="G21" s="166">
        <f>SUMIFS(GASTOS!$F:$F,GASTOS!$I:$I,'INFORME GASTOS'!$A21,GASTOS!$B:$B,$B$1,GASTOS!$C:$C,G$2)</f>
        <v>0</v>
      </c>
      <c r="H21" s="166">
        <f>SUMIFS(GASTOS!$F:$F,GASTOS!$I:$I,'INFORME GASTOS'!$A21,GASTOS!$B:$B,$B$1,GASTOS!$C:$C,H$2)</f>
        <v>0</v>
      </c>
      <c r="I21" s="166">
        <f>SUMIFS(GASTOS!$F:$F,GASTOS!$I:$I,'INFORME GASTOS'!$A21,GASTOS!$B:$B,$B$1,GASTOS!$C:$C,I$2)</f>
        <v>0</v>
      </c>
      <c r="J21" s="166">
        <f>SUMIFS(GASTOS!$F:$F,GASTOS!$I:$I,'INFORME GASTOS'!$A21,GASTOS!$B:$B,$B$1,GASTOS!$C:$C,J$2)</f>
        <v>0</v>
      </c>
      <c r="K21" s="166">
        <f>SUMIFS(GASTOS!$F:$F,GASTOS!$I:$I,'INFORME GASTOS'!$A21,GASTOS!$B:$B,$B$1,GASTOS!$C:$C,K$2)</f>
        <v>0</v>
      </c>
      <c r="L21" s="166">
        <f>SUMIFS(GASTOS!$F:$F,GASTOS!$I:$I,'INFORME GASTOS'!$A21,GASTOS!$B:$B,$B$1,GASTOS!$C:$C,L$2)</f>
        <v>0</v>
      </c>
      <c r="M21" s="166">
        <f>SUMIFS(GASTOS!$F:$F,GASTOS!$I:$I,'INFORME GASTOS'!$A21,GASTOS!$B:$B,$B$1,GASTOS!$C:$C,M$2)</f>
        <v>0</v>
      </c>
    </row>
    <row r="22" spans="1:13" x14ac:dyDescent="0.2">
      <c r="B22" s="164">
        <f t="shared" ref="B22:M22" si="0">SUM(B5:B21)</f>
        <v>8503200</v>
      </c>
      <c r="C22" s="164">
        <f t="shared" si="0"/>
        <v>6671000</v>
      </c>
      <c r="D22" s="164">
        <f t="shared" si="0"/>
        <v>6892500</v>
      </c>
      <c r="E22" s="164">
        <f t="shared" si="0"/>
        <v>5383000</v>
      </c>
      <c r="F22" s="164">
        <f t="shared" si="0"/>
        <v>7711000</v>
      </c>
      <c r="G22" s="164">
        <f t="shared" si="0"/>
        <v>6805000</v>
      </c>
      <c r="H22" s="164">
        <f t="shared" si="0"/>
        <v>6599000</v>
      </c>
      <c r="I22" s="164">
        <f t="shared" si="0"/>
        <v>5310600</v>
      </c>
      <c r="J22" s="164">
        <f t="shared" si="0"/>
        <v>4864000</v>
      </c>
      <c r="K22" s="164">
        <f t="shared" si="0"/>
        <v>7535000</v>
      </c>
      <c r="L22" s="164">
        <f t="shared" si="0"/>
        <v>5668000</v>
      </c>
      <c r="M22" s="164">
        <f t="shared" si="0"/>
        <v>10011000</v>
      </c>
    </row>
    <row r="25" spans="1:13" ht="16" x14ac:dyDescent="0.2">
      <c r="A25" s="163" t="s">
        <v>2967</v>
      </c>
      <c r="B25" s="167">
        <v>2026</v>
      </c>
    </row>
    <row r="26" spans="1:13" ht="16" x14ac:dyDescent="0.2">
      <c r="A26" s="163"/>
      <c r="B26" s="167">
        <v>1</v>
      </c>
      <c r="C26" s="167">
        <v>2</v>
      </c>
      <c r="D26" s="167">
        <v>3</v>
      </c>
      <c r="E26" s="167">
        <v>4</v>
      </c>
      <c r="F26" s="167">
        <v>5</v>
      </c>
      <c r="G26" s="167">
        <v>6</v>
      </c>
      <c r="H26" s="167">
        <v>7</v>
      </c>
      <c r="I26" s="167">
        <v>8</v>
      </c>
      <c r="J26" s="167">
        <v>9</v>
      </c>
      <c r="K26" s="167">
        <v>10</v>
      </c>
      <c r="L26" s="167">
        <v>11</v>
      </c>
      <c r="M26" s="167">
        <v>12</v>
      </c>
    </row>
    <row r="27" spans="1:13" x14ac:dyDescent="0.2">
      <c r="A27" s="157" t="s">
        <v>2968</v>
      </c>
      <c r="B27" s="157" t="s">
        <v>2</v>
      </c>
      <c r="C27" s="157" t="s">
        <v>3</v>
      </c>
      <c r="D27" s="157" t="s">
        <v>4</v>
      </c>
      <c r="E27" s="157" t="s">
        <v>5</v>
      </c>
      <c r="F27" s="157" t="s">
        <v>6</v>
      </c>
      <c r="G27" s="157" t="s">
        <v>7</v>
      </c>
      <c r="H27" s="157" t="s">
        <v>8</v>
      </c>
      <c r="I27" s="157" t="s">
        <v>9</v>
      </c>
      <c r="J27" s="157" t="s">
        <v>10</v>
      </c>
      <c r="K27" s="157" t="s">
        <v>11</v>
      </c>
      <c r="L27" s="157" t="s">
        <v>12</v>
      </c>
      <c r="M27" s="157" t="s">
        <v>13</v>
      </c>
    </row>
    <row r="28" spans="1:13" x14ac:dyDescent="0.2">
      <c r="A28" s="165" t="s">
        <v>91</v>
      </c>
      <c r="B28" s="166">
        <f>SUMIFS(GASTOS!$F:$F,GASTOS!$I:$I,'INFORME GASTOS'!$A28,GASTOS!$B:$B,$B$25,GASTOS!$C:$C,B$2)</f>
        <v>638000</v>
      </c>
      <c r="C28" s="166">
        <f>SUMIFS(GASTOS!$F:$F,GASTOS!$I:$I,'INFORME GASTOS'!$A28,GASTOS!$B:$B,$B$25,GASTOS!$C:$C,C$2)</f>
        <v>584000</v>
      </c>
      <c r="D28" s="166">
        <f>SUMIFS(GASTOS!$F:$F,GASTOS!$I:$I,'INFORME GASTOS'!$A28,GASTOS!$B:$B,$B$25,GASTOS!$C:$C,D$2)</f>
        <v>309000</v>
      </c>
      <c r="E28" s="166">
        <f>SUMIFS(GASTOS!$F:$F,GASTOS!$I:$I,'INFORME GASTOS'!$A28,GASTOS!$B:$B,$B$25,GASTOS!$C:$C,E$2)</f>
        <v>210000</v>
      </c>
      <c r="F28" s="166">
        <f>SUMIFS(GASTOS!$F:$F,GASTOS!$I:$I,'INFORME GASTOS'!$A28,GASTOS!$B:$B,$B$25,GASTOS!$C:$C,F$2)</f>
        <v>1249000</v>
      </c>
      <c r="G28" s="166">
        <f>SUMIFS(GASTOS!$F:$F,GASTOS!$I:$I,'INFORME GASTOS'!$A28,GASTOS!$B:$B,$B$25,GASTOS!$C:$C,G$2)</f>
        <v>116000</v>
      </c>
      <c r="H28" s="166">
        <f>SUMIFS(GASTOS!$F:$F,GASTOS!$I:$I,'INFORME GASTOS'!$A28,GASTOS!$B:$B,$B$25,GASTOS!$C:$C,H$2)</f>
        <v>0</v>
      </c>
      <c r="I28" s="166">
        <f>SUMIFS(GASTOS!$F:$F,GASTOS!$I:$I,'INFORME GASTOS'!$A28,GASTOS!$B:$B,$B$25,GASTOS!$C:$C,I$2)</f>
        <v>0</v>
      </c>
      <c r="J28" s="166">
        <f>SUMIFS(GASTOS!$F:$F,GASTOS!$I:$I,'INFORME GASTOS'!$A28,GASTOS!$B:$B,$B$25,GASTOS!$C:$C,J$2)</f>
        <v>0</v>
      </c>
      <c r="K28" s="166">
        <f>SUMIFS(GASTOS!$F:$F,GASTOS!$I:$I,'INFORME GASTOS'!$A28,GASTOS!$B:$B,$B$25,GASTOS!$C:$C,K$2)</f>
        <v>0</v>
      </c>
      <c r="L28" s="166">
        <f>SUMIFS(GASTOS!$F:$F,GASTOS!$I:$I,'INFORME GASTOS'!$A28,GASTOS!$B:$B,$B$25,GASTOS!$C:$C,L$2)</f>
        <v>0</v>
      </c>
      <c r="M28" s="166">
        <f>SUMIFS(GASTOS!$F:$F,GASTOS!$I:$I,'INFORME GASTOS'!$A28,GASTOS!$B:$B,$B$25,GASTOS!$C:$C,M$2)</f>
        <v>725000</v>
      </c>
    </row>
    <row r="29" spans="1:13" x14ac:dyDescent="0.2">
      <c r="A29" s="165" t="s">
        <v>335</v>
      </c>
      <c r="B29" s="166">
        <f>SUMIFS(GASTOS!$F:$F,GASTOS!$I:$I,'INFORME GASTOS'!$A29,GASTOS!$B:$B,$B$25,GASTOS!$C:$C,B$2)</f>
        <v>1430000</v>
      </c>
      <c r="C29" s="166">
        <f>SUMIFS(GASTOS!$F:$F,GASTOS!$I:$I,'INFORME GASTOS'!$A29,GASTOS!$B:$B,$B$25,GASTOS!$C:$C,C$2)</f>
        <v>0</v>
      </c>
      <c r="D29" s="166">
        <f>SUMIFS(GASTOS!$F:$F,GASTOS!$I:$I,'INFORME GASTOS'!$A29,GASTOS!$B:$B,$B$25,GASTOS!$C:$C,D$2)</f>
        <v>972000</v>
      </c>
      <c r="E29" s="166">
        <f>SUMIFS(GASTOS!$F:$F,GASTOS!$I:$I,'INFORME GASTOS'!$A29,GASTOS!$B:$B,$B$25,GASTOS!$C:$C,E$2)</f>
        <v>1856000</v>
      </c>
      <c r="F29" s="166">
        <f>SUMIFS(GASTOS!$F:$F,GASTOS!$I:$I,'INFORME GASTOS'!$A29,GASTOS!$B:$B,$B$25,GASTOS!$C:$C,F$2)</f>
        <v>678000</v>
      </c>
      <c r="G29" s="166">
        <f>SUMIFS(GASTOS!$F:$F,GASTOS!$I:$I,'INFORME GASTOS'!$A29,GASTOS!$B:$B,$B$25,GASTOS!$C:$C,G$2)</f>
        <v>728000</v>
      </c>
      <c r="H29" s="166">
        <f>SUMIFS(GASTOS!$F:$F,GASTOS!$I:$I,'INFORME GASTOS'!$A29,GASTOS!$B:$B,$B$25,GASTOS!$C:$C,H$2)</f>
        <v>0</v>
      </c>
      <c r="I29" s="166">
        <f>SUMIFS(GASTOS!$F:$F,GASTOS!$I:$I,'INFORME GASTOS'!$A29,GASTOS!$B:$B,$B$25,GASTOS!$C:$C,I$2)</f>
        <v>0</v>
      </c>
      <c r="J29" s="166">
        <f>SUMIFS(GASTOS!$F:$F,GASTOS!$I:$I,'INFORME GASTOS'!$A29,GASTOS!$B:$B,$B$25,GASTOS!$C:$C,J$2)</f>
        <v>0</v>
      </c>
      <c r="K29" s="166">
        <f>SUMIFS(GASTOS!$F:$F,GASTOS!$I:$I,'INFORME GASTOS'!$A29,GASTOS!$B:$B,$B$25,GASTOS!$C:$C,K$2)</f>
        <v>0</v>
      </c>
      <c r="L29" s="166">
        <f>SUMIFS(GASTOS!$F:$F,GASTOS!$I:$I,'INFORME GASTOS'!$A29,GASTOS!$B:$B,$B$25,GASTOS!$C:$C,L$2)</f>
        <v>0</v>
      </c>
      <c r="M29" s="166">
        <f>SUMIFS(GASTOS!$F:$F,GASTOS!$I:$I,'INFORME GASTOS'!$A29,GASTOS!$B:$B,$B$25,GASTOS!$C:$C,M$2)</f>
        <v>680000</v>
      </c>
    </row>
    <row r="30" spans="1:13" x14ac:dyDescent="0.2">
      <c r="A30" s="165" t="s">
        <v>85</v>
      </c>
      <c r="B30" s="166">
        <f>SUMIFS(GASTOS!$F:$F,GASTOS!$I:$I,'INFORME GASTOS'!$A30,GASTOS!$B:$B,$B$25,GASTOS!$C:$C,B$2)</f>
        <v>1158000</v>
      </c>
      <c r="C30" s="166">
        <f>SUMIFS(GASTOS!$F:$F,GASTOS!$I:$I,'INFORME GASTOS'!$A30,GASTOS!$B:$B,$B$25,GASTOS!$C:$C,C$2)</f>
        <v>6830000</v>
      </c>
      <c r="D30" s="166">
        <f>SUMIFS(GASTOS!$F:$F,GASTOS!$I:$I,'INFORME GASTOS'!$A30,GASTOS!$B:$B,$B$25,GASTOS!$C:$C,D$2)</f>
        <v>7198000</v>
      </c>
      <c r="E30" s="166">
        <f>SUMIFS(GASTOS!$F:$F,GASTOS!$I:$I,'INFORME GASTOS'!$A30,GASTOS!$B:$B,$B$25,GASTOS!$C:$C,E$2)</f>
        <v>3603000</v>
      </c>
      <c r="F30" s="166">
        <f>SUMIFS(GASTOS!$F:$F,GASTOS!$I:$I,'INFORME GASTOS'!$A30,GASTOS!$B:$B,$B$25,GASTOS!$C:$C,F$2)</f>
        <v>1753000</v>
      </c>
      <c r="G30" s="166">
        <f>SUMIFS(GASTOS!$F:$F,GASTOS!$I:$I,'INFORME GASTOS'!$A30,GASTOS!$B:$B,$B$25,GASTOS!$C:$C,G$2)</f>
        <v>1389000</v>
      </c>
      <c r="H30" s="166">
        <f>SUMIFS(GASTOS!$F:$F,GASTOS!$I:$I,'INFORME GASTOS'!$A30,GASTOS!$B:$B,$B$25,GASTOS!$C:$C,H$2)</f>
        <v>0</v>
      </c>
      <c r="I30" s="166">
        <f>SUMIFS(GASTOS!$F:$F,GASTOS!$I:$I,'INFORME GASTOS'!$A30,GASTOS!$B:$B,$B$25,GASTOS!$C:$C,I$2)</f>
        <v>0</v>
      </c>
      <c r="J30" s="166">
        <f>SUMIFS(GASTOS!$F:$F,GASTOS!$I:$I,'INFORME GASTOS'!$A30,GASTOS!$B:$B,$B$25,GASTOS!$C:$C,J$2)</f>
        <v>0</v>
      </c>
      <c r="K30" s="166">
        <f>SUMIFS(GASTOS!$F:$F,GASTOS!$I:$I,'INFORME GASTOS'!$A30,GASTOS!$B:$B,$B$25,GASTOS!$C:$C,K$2)</f>
        <v>0</v>
      </c>
      <c r="L30" s="166">
        <f>SUMIFS(GASTOS!$F:$F,GASTOS!$I:$I,'INFORME GASTOS'!$A30,GASTOS!$B:$B,$B$25,GASTOS!$C:$C,L$2)</f>
        <v>0</v>
      </c>
      <c r="M30" s="166">
        <f>SUMIFS(GASTOS!$F:$F,GASTOS!$I:$I,'INFORME GASTOS'!$A30,GASTOS!$B:$B,$B$25,GASTOS!$C:$C,M$2)</f>
        <v>6073000</v>
      </c>
    </row>
    <row r="31" spans="1:13" x14ac:dyDescent="0.2">
      <c r="A31" s="165" t="s">
        <v>1350</v>
      </c>
      <c r="B31" s="166">
        <f>SUMIFS(GASTOS!$F:$F,GASTOS!$I:$I,'INFORME GASTOS'!$A31,GASTOS!$B:$B,$B$25,GASTOS!$C:$C,B$2)</f>
        <v>1198000</v>
      </c>
      <c r="C31" s="166">
        <f>SUMIFS(GASTOS!$F:$F,GASTOS!$I:$I,'INFORME GASTOS'!$A31,GASTOS!$B:$B,$B$25,GASTOS!$C:$C,C$2)</f>
        <v>480000</v>
      </c>
      <c r="D31" s="166">
        <f>SUMIFS(GASTOS!$F:$F,GASTOS!$I:$I,'INFORME GASTOS'!$A31,GASTOS!$B:$B,$B$25,GASTOS!$C:$C,D$2)</f>
        <v>0</v>
      </c>
      <c r="E31" s="166">
        <f>SUMIFS(GASTOS!$F:$F,GASTOS!$I:$I,'INFORME GASTOS'!$A31,GASTOS!$B:$B,$B$25,GASTOS!$C:$C,E$2)</f>
        <v>1050000</v>
      </c>
      <c r="F31" s="166">
        <f>SUMIFS(GASTOS!$F:$F,GASTOS!$I:$I,'INFORME GASTOS'!$A31,GASTOS!$B:$B,$B$25,GASTOS!$C:$C,F$2)</f>
        <v>697000</v>
      </c>
      <c r="G31" s="166">
        <f>SUMIFS(GASTOS!$F:$F,GASTOS!$I:$I,'INFORME GASTOS'!$A31,GASTOS!$B:$B,$B$25,GASTOS!$C:$C,G$2)</f>
        <v>1070000</v>
      </c>
      <c r="H31" s="166">
        <f>SUMIFS(GASTOS!$F:$F,GASTOS!$I:$I,'INFORME GASTOS'!$A31,GASTOS!$B:$B,$B$25,GASTOS!$C:$C,H$2)</f>
        <v>0</v>
      </c>
      <c r="I31" s="166">
        <f>SUMIFS(GASTOS!$F:$F,GASTOS!$I:$I,'INFORME GASTOS'!$A31,GASTOS!$B:$B,$B$25,GASTOS!$C:$C,I$2)</f>
        <v>0</v>
      </c>
      <c r="J31" s="166">
        <f>SUMIFS(GASTOS!$F:$F,GASTOS!$I:$I,'INFORME GASTOS'!$A31,GASTOS!$B:$B,$B$25,GASTOS!$C:$C,J$2)</f>
        <v>0</v>
      </c>
      <c r="K31" s="166">
        <f>SUMIFS(GASTOS!$F:$F,GASTOS!$I:$I,'INFORME GASTOS'!$A31,GASTOS!$B:$B,$B$25,GASTOS!$C:$C,K$2)</f>
        <v>0</v>
      </c>
      <c r="L31" s="166">
        <f>SUMIFS(GASTOS!$F:$F,GASTOS!$I:$I,'INFORME GASTOS'!$A31,GASTOS!$B:$B,$B$25,GASTOS!$C:$C,L$2)</f>
        <v>0</v>
      </c>
      <c r="M31" s="166">
        <f>SUMIFS(GASTOS!$F:$F,GASTOS!$I:$I,'INFORME GASTOS'!$A31,GASTOS!$B:$B,$B$25,GASTOS!$C:$C,M$2)</f>
        <v>2114000</v>
      </c>
    </row>
    <row r="32" spans="1:13" x14ac:dyDescent="0.2">
      <c r="A32" s="165" t="s">
        <v>1815</v>
      </c>
      <c r="B32" s="166">
        <f>SUMIFS(GASTOS!$F:$F,GASTOS!$I:$I,'INFORME GASTOS'!$A32,GASTOS!$B:$B,$B$25,GASTOS!$C:$C,B$2)</f>
        <v>457000</v>
      </c>
      <c r="C32" s="166">
        <f>SUMIFS(GASTOS!$F:$F,GASTOS!$I:$I,'INFORME GASTOS'!$A32,GASTOS!$B:$B,$B$25,GASTOS!$C:$C,C$2)</f>
        <v>205000</v>
      </c>
      <c r="D32" s="166">
        <f>SUMIFS(GASTOS!$F:$F,GASTOS!$I:$I,'INFORME GASTOS'!$A32,GASTOS!$B:$B,$B$25,GASTOS!$C:$C,D$2)</f>
        <v>109000</v>
      </c>
      <c r="E32" s="166">
        <f>SUMIFS(GASTOS!$F:$F,GASTOS!$I:$I,'INFORME GASTOS'!$A32,GASTOS!$B:$B,$B$25,GASTOS!$C:$C,E$2)</f>
        <v>550000</v>
      </c>
      <c r="F32" s="166">
        <f>SUMIFS(GASTOS!$F:$F,GASTOS!$I:$I,'INFORME GASTOS'!$A32,GASTOS!$B:$B,$B$25,GASTOS!$C:$C,F$2)</f>
        <v>679000</v>
      </c>
      <c r="G32" s="166">
        <f>SUMIFS(GASTOS!$F:$F,GASTOS!$I:$I,'INFORME GASTOS'!$A32,GASTOS!$B:$B,$B$25,GASTOS!$C:$C,G$2)</f>
        <v>340000</v>
      </c>
      <c r="H32" s="166">
        <f>SUMIFS(GASTOS!$F:$F,GASTOS!$I:$I,'INFORME GASTOS'!$A32,GASTOS!$B:$B,$B$25,GASTOS!$C:$C,H$2)</f>
        <v>0</v>
      </c>
      <c r="I32" s="166">
        <f>SUMIFS(GASTOS!$F:$F,GASTOS!$I:$I,'INFORME GASTOS'!$A32,GASTOS!$B:$B,$B$25,GASTOS!$C:$C,I$2)</f>
        <v>0</v>
      </c>
      <c r="J32" s="166">
        <f>SUMIFS(GASTOS!$F:$F,GASTOS!$I:$I,'INFORME GASTOS'!$A32,GASTOS!$B:$B,$B$25,GASTOS!$C:$C,J$2)</f>
        <v>0</v>
      </c>
      <c r="K32" s="166">
        <f>SUMIFS(GASTOS!$F:$F,GASTOS!$I:$I,'INFORME GASTOS'!$A32,GASTOS!$B:$B,$B$25,GASTOS!$C:$C,K$2)</f>
        <v>0</v>
      </c>
      <c r="L32" s="166">
        <f>SUMIFS(GASTOS!$F:$F,GASTOS!$I:$I,'INFORME GASTOS'!$A32,GASTOS!$B:$B,$B$25,GASTOS!$C:$C,L$2)</f>
        <v>0</v>
      </c>
      <c r="M32" s="166">
        <f>SUMIFS(GASTOS!$F:$F,GASTOS!$I:$I,'INFORME GASTOS'!$A32,GASTOS!$B:$B,$B$25,GASTOS!$C:$C,M$2)</f>
        <v>1684000</v>
      </c>
    </row>
    <row r="33" spans="1:13" x14ac:dyDescent="0.2">
      <c r="A33" s="165" t="s">
        <v>149</v>
      </c>
      <c r="B33" s="166">
        <f>SUMIFS(GASTOS!$F:$F,GASTOS!$I:$I,'INFORME GASTOS'!$A33,GASTOS!$B:$B,$B$25,GASTOS!$C:$C,B$2)</f>
        <v>24000</v>
      </c>
      <c r="C33" s="166">
        <f>SUMIFS(GASTOS!$F:$F,GASTOS!$I:$I,'INFORME GASTOS'!$A33,GASTOS!$B:$B,$B$25,GASTOS!$C:$C,C$2)</f>
        <v>173000</v>
      </c>
      <c r="D33" s="166">
        <f>SUMIFS(GASTOS!$F:$F,GASTOS!$I:$I,'INFORME GASTOS'!$A33,GASTOS!$B:$B,$B$25,GASTOS!$C:$C,D$2)</f>
        <v>0</v>
      </c>
      <c r="E33" s="166">
        <f>SUMIFS(GASTOS!$F:$F,GASTOS!$I:$I,'INFORME GASTOS'!$A33,GASTOS!$B:$B,$B$25,GASTOS!$C:$C,E$2)</f>
        <v>0</v>
      </c>
      <c r="F33" s="166">
        <f>SUMIFS(GASTOS!$F:$F,GASTOS!$I:$I,'INFORME GASTOS'!$A33,GASTOS!$B:$B,$B$25,GASTOS!$C:$C,F$2)</f>
        <v>0</v>
      </c>
      <c r="G33" s="166">
        <f>SUMIFS(GASTOS!$F:$F,GASTOS!$I:$I,'INFORME GASTOS'!$A33,GASTOS!$B:$B,$B$25,GASTOS!$C:$C,G$2)</f>
        <v>0</v>
      </c>
      <c r="H33" s="166">
        <f>SUMIFS(GASTOS!$F:$F,GASTOS!$I:$I,'INFORME GASTOS'!$A33,GASTOS!$B:$B,$B$25,GASTOS!$C:$C,H$2)</f>
        <v>0</v>
      </c>
      <c r="I33" s="166">
        <f>SUMIFS(GASTOS!$F:$F,GASTOS!$I:$I,'INFORME GASTOS'!$A33,GASTOS!$B:$B,$B$25,GASTOS!$C:$C,I$2)</f>
        <v>0</v>
      </c>
      <c r="J33" s="166">
        <f>SUMIFS(GASTOS!$F:$F,GASTOS!$I:$I,'INFORME GASTOS'!$A33,GASTOS!$B:$B,$B$25,GASTOS!$C:$C,J$2)</f>
        <v>0</v>
      </c>
      <c r="K33" s="166">
        <f>SUMIFS(GASTOS!$F:$F,GASTOS!$I:$I,'INFORME GASTOS'!$A33,GASTOS!$B:$B,$B$25,GASTOS!$C:$C,K$2)</f>
        <v>0</v>
      </c>
      <c r="L33" s="166">
        <f>SUMIFS(GASTOS!$F:$F,GASTOS!$I:$I,'INFORME GASTOS'!$A33,GASTOS!$B:$B,$B$25,GASTOS!$C:$C,L$2)</f>
        <v>0</v>
      </c>
      <c r="M33" s="166">
        <f>SUMIFS(GASTOS!$F:$F,GASTOS!$I:$I,'INFORME GASTOS'!$A33,GASTOS!$B:$B,$B$25,GASTOS!$C:$C,M$2)</f>
        <v>96000</v>
      </c>
    </row>
    <row r="34" spans="1:13" x14ac:dyDescent="0.2">
      <c r="A34" s="165" t="s">
        <v>1992</v>
      </c>
      <c r="B34" s="166">
        <f>SUMIFS(GASTOS!$F:$F,GASTOS!$I:$I,'INFORME GASTOS'!$A34,GASTOS!$B:$B,$B$25,GASTOS!$C:$C,B$2)</f>
        <v>1833000</v>
      </c>
      <c r="C34" s="166">
        <f>SUMIFS(GASTOS!$F:$F,GASTOS!$I:$I,'INFORME GASTOS'!$A34,GASTOS!$B:$B,$B$25,GASTOS!$C:$C,C$2)</f>
        <v>1044000</v>
      </c>
      <c r="D34" s="166">
        <f>SUMIFS(GASTOS!$F:$F,GASTOS!$I:$I,'INFORME GASTOS'!$A34,GASTOS!$B:$B,$B$25,GASTOS!$C:$C,D$2)</f>
        <v>0</v>
      </c>
      <c r="E34" s="166">
        <f>SUMIFS(GASTOS!$F:$F,GASTOS!$I:$I,'INFORME GASTOS'!$A34,GASTOS!$B:$B,$B$25,GASTOS!$C:$C,E$2)</f>
        <v>800000</v>
      </c>
      <c r="F34" s="166">
        <f>SUMIFS(GASTOS!$F:$F,GASTOS!$I:$I,'INFORME GASTOS'!$A34,GASTOS!$B:$B,$B$25,GASTOS!$C:$C,F$2)</f>
        <v>2390000</v>
      </c>
      <c r="G34" s="166">
        <f>SUMIFS(GASTOS!$F:$F,GASTOS!$I:$I,'INFORME GASTOS'!$A34,GASTOS!$B:$B,$B$25,GASTOS!$C:$C,G$2)</f>
        <v>353000</v>
      </c>
      <c r="H34" s="166">
        <f>SUMIFS(GASTOS!$F:$F,GASTOS!$I:$I,'INFORME GASTOS'!$A34,GASTOS!$B:$B,$B$25,GASTOS!$C:$C,H$2)</f>
        <v>0</v>
      </c>
      <c r="I34" s="166">
        <f>SUMIFS(GASTOS!$F:$F,GASTOS!$I:$I,'INFORME GASTOS'!$A34,GASTOS!$B:$B,$B$25,GASTOS!$C:$C,I$2)</f>
        <v>0</v>
      </c>
      <c r="J34" s="166">
        <f>SUMIFS(GASTOS!$F:$F,GASTOS!$I:$I,'INFORME GASTOS'!$A34,GASTOS!$B:$B,$B$25,GASTOS!$C:$C,J$2)</f>
        <v>0</v>
      </c>
      <c r="K34" s="166">
        <f>SUMIFS(GASTOS!$F:$F,GASTOS!$I:$I,'INFORME GASTOS'!$A34,GASTOS!$B:$B,$B$25,GASTOS!$C:$C,K$2)</f>
        <v>0</v>
      </c>
      <c r="L34" s="166">
        <f>SUMIFS(GASTOS!$F:$F,GASTOS!$I:$I,'INFORME GASTOS'!$A34,GASTOS!$B:$B,$B$25,GASTOS!$C:$C,L$2)</f>
        <v>0</v>
      </c>
      <c r="M34" s="166">
        <f>SUMIFS(GASTOS!$F:$F,GASTOS!$I:$I,'INFORME GASTOS'!$A34,GASTOS!$B:$B,$B$25,GASTOS!$C:$C,M$2)</f>
        <v>5915000</v>
      </c>
    </row>
    <row r="35" spans="1:13" x14ac:dyDescent="0.2">
      <c r="A35" s="165" t="s">
        <v>299</v>
      </c>
      <c r="B35" s="166">
        <f>SUMIFS(GASTOS!$F:$F,GASTOS!$I:$I,'INFORME GASTOS'!$A35,GASTOS!$B:$B,$B$25,GASTOS!$C:$C,B$2)</f>
        <v>420000</v>
      </c>
      <c r="C35" s="166">
        <f>SUMIFS(GASTOS!$F:$F,GASTOS!$I:$I,'INFORME GASTOS'!$A35,GASTOS!$B:$B,$B$25,GASTOS!$C:$C,C$2)</f>
        <v>206000</v>
      </c>
      <c r="D35" s="166">
        <f>SUMIFS(GASTOS!$F:$F,GASTOS!$I:$I,'INFORME GASTOS'!$A35,GASTOS!$B:$B,$B$25,GASTOS!$C:$C,D$2)</f>
        <v>426000</v>
      </c>
      <c r="E35" s="166">
        <f>SUMIFS(GASTOS!$F:$F,GASTOS!$I:$I,'INFORME GASTOS'!$A35,GASTOS!$B:$B,$B$25,GASTOS!$C:$C,E$2)</f>
        <v>200000</v>
      </c>
      <c r="F35" s="166">
        <f>SUMIFS(GASTOS!$F:$F,GASTOS!$I:$I,'INFORME GASTOS'!$A35,GASTOS!$B:$B,$B$25,GASTOS!$C:$C,F$2)</f>
        <v>435000</v>
      </c>
      <c r="G35" s="166">
        <f>SUMIFS(GASTOS!$F:$F,GASTOS!$I:$I,'INFORME GASTOS'!$A35,GASTOS!$B:$B,$B$25,GASTOS!$C:$C,G$2)</f>
        <v>230000</v>
      </c>
      <c r="H35" s="166">
        <f>SUMIFS(GASTOS!$F:$F,GASTOS!$I:$I,'INFORME GASTOS'!$A35,GASTOS!$B:$B,$B$25,GASTOS!$C:$C,H$2)</f>
        <v>0</v>
      </c>
      <c r="I35" s="166">
        <f>SUMIFS(GASTOS!$F:$F,GASTOS!$I:$I,'INFORME GASTOS'!$A35,GASTOS!$B:$B,$B$25,GASTOS!$C:$C,I$2)</f>
        <v>0</v>
      </c>
      <c r="J35" s="166">
        <f>SUMIFS(GASTOS!$F:$F,GASTOS!$I:$I,'INFORME GASTOS'!$A35,GASTOS!$B:$B,$B$25,GASTOS!$C:$C,J$2)</f>
        <v>0</v>
      </c>
      <c r="K35" s="166">
        <f>SUMIFS(GASTOS!$F:$F,GASTOS!$I:$I,'INFORME GASTOS'!$A35,GASTOS!$B:$B,$B$25,GASTOS!$C:$C,K$2)</f>
        <v>0</v>
      </c>
      <c r="L35" s="166">
        <f>SUMIFS(GASTOS!$F:$F,GASTOS!$I:$I,'INFORME GASTOS'!$A35,GASTOS!$B:$B,$B$25,GASTOS!$C:$C,L$2)</f>
        <v>0</v>
      </c>
      <c r="M35" s="166">
        <f>SUMIFS(GASTOS!$F:$F,GASTOS!$I:$I,'INFORME GASTOS'!$A35,GASTOS!$B:$B,$B$25,GASTOS!$C:$C,M$2)</f>
        <v>470000</v>
      </c>
    </row>
    <row r="36" spans="1:13" x14ac:dyDescent="0.2">
      <c r="A36" s="165" t="s">
        <v>1999</v>
      </c>
      <c r="B36" s="166">
        <f>SUMIFS(GASTOS!$F:$F,GASTOS!$I:$I,'INFORME GASTOS'!$A36,GASTOS!$B:$B,$B$25,GASTOS!$C:$C,B$2)</f>
        <v>420000</v>
      </c>
      <c r="C36" s="166">
        <f>SUMIFS(GASTOS!$F:$F,GASTOS!$I:$I,'INFORME GASTOS'!$A36,GASTOS!$B:$B,$B$25,GASTOS!$C:$C,C$2)</f>
        <v>0</v>
      </c>
      <c r="D36" s="166">
        <f>SUMIFS(GASTOS!$F:$F,GASTOS!$I:$I,'INFORME GASTOS'!$A36,GASTOS!$B:$B,$B$25,GASTOS!$C:$C,D$2)</f>
        <v>0</v>
      </c>
      <c r="E36" s="166">
        <f>SUMIFS(GASTOS!$F:$F,GASTOS!$I:$I,'INFORME GASTOS'!$A36,GASTOS!$B:$B,$B$25,GASTOS!$C:$C,E$2)</f>
        <v>100000</v>
      </c>
      <c r="F36" s="166">
        <f>SUMIFS(GASTOS!$F:$F,GASTOS!$I:$I,'INFORME GASTOS'!$A36,GASTOS!$B:$B,$B$25,GASTOS!$C:$C,F$2)</f>
        <v>0</v>
      </c>
      <c r="G36" s="166">
        <f>SUMIFS(GASTOS!$F:$F,GASTOS!$I:$I,'INFORME GASTOS'!$A36,GASTOS!$B:$B,$B$25,GASTOS!$C:$C,G$2)</f>
        <v>0</v>
      </c>
      <c r="H36" s="166">
        <f>SUMIFS(GASTOS!$F:$F,GASTOS!$I:$I,'INFORME GASTOS'!$A36,GASTOS!$B:$B,$B$25,GASTOS!$C:$C,H$2)</f>
        <v>0</v>
      </c>
      <c r="I36" s="166">
        <f>SUMIFS(GASTOS!$F:$F,GASTOS!$I:$I,'INFORME GASTOS'!$A36,GASTOS!$B:$B,$B$25,GASTOS!$C:$C,I$2)</f>
        <v>0</v>
      </c>
      <c r="J36" s="166">
        <f>SUMIFS(GASTOS!$F:$F,GASTOS!$I:$I,'INFORME GASTOS'!$A36,GASTOS!$B:$B,$B$25,GASTOS!$C:$C,J$2)</f>
        <v>0</v>
      </c>
      <c r="K36" s="166">
        <f>SUMIFS(GASTOS!$F:$F,GASTOS!$I:$I,'INFORME GASTOS'!$A36,GASTOS!$B:$B,$B$25,GASTOS!$C:$C,K$2)</f>
        <v>0</v>
      </c>
      <c r="L36" s="166">
        <f>SUMIFS(GASTOS!$F:$F,GASTOS!$I:$I,'INFORME GASTOS'!$A36,GASTOS!$B:$B,$B$25,GASTOS!$C:$C,L$2)</f>
        <v>0</v>
      </c>
      <c r="M36" s="166">
        <f>SUMIFS(GASTOS!$F:$F,GASTOS!$I:$I,'INFORME GASTOS'!$A36,GASTOS!$B:$B,$B$25,GASTOS!$C:$C,M$2)</f>
        <v>0</v>
      </c>
    </row>
    <row r="37" spans="1:13" x14ac:dyDescent="0.2">
      <c r="A37" s="165" t="s">
        <v>1729</v>
      </c>
      <c r="B37" s="166">
        <f>SUMIFS(GASTOS!$F:$F,GASTOS!$I:$I,'INFORME GASTOS'!$A37,GASTOS!$B:$B,$B$25,GASTOS!$C:$C,B$2)</f>
        <v>0</v>
      </c>
      <c r="C37" s="166">
        <f>SUMIFS(GASTOS!$F:$F,GASTOS!$I:$I,'INFORME GASTOS'!$A37,GASTOS!$B:$B,$B$25,GASTOS!$C:$C,C$2)</f>
        <v>500000</v>
      </c>
      <c r="D37" s="166">
        <f>SUMIFS(GASTOS!$F:$F,GASTOS!$I:$I,'INFORME GASTOS'!$A37,GASTOS!$B:$B,$B$25,GASTOS!$C:$C,D$2)</f>
        <v>0</v>
      </c>
      <c r="E37" s="166">
        <f>SUMIFS(GASTOS!$F:$F,GASTOS!$I:$I,'INFORME GASTOS'!$A37,GASTOS!$B:$B,$B$25,GASTOS!$C:$C,E$2)</f>
        <v>0</v>
      </c>
      <c r="F37" s="166">
        <f>SUMIFS(GASTOS!$F:$F,GASTOS!$I:$I,'INFORME GASTOS'!$A37,GASTOS!$B:$B,$B$25,GASTOS!$C:$C,F$2)</f>
        <v>0</v>
      </c>
      <c r="G37" s="166">
        <f>SUMIFS(GASTOS!$F:$F,GASTOS!$I:$I,'INFORME GASTOS'!$A37,GASTOS!$B:$B,$B$25,GASTOS!$C:$C,G$2)</f>
        <v>0</v>
      </c>
      <c r="H37" s="166">
        <f>SUMIFS(GASTOS!$F:$F,GASTOS!$I:$I,'INFORME GASTOS'!$A37,GASTOS!$B:$B,$B$25,GASTOS!$C:$C,H$2)</f>
        <v>0</v>
      </c>
      <c r="I37" s="166">
        <f>SUMIFS(GASTOS!$F:$F,GASTOS!$I:$I,'INFORME GASTOS'!$A37,GASTOS!$B:$B,$B$25,GASTOS!$C:$C,I$2)</f>
        <v>0</v>
      </c>
      <c r="J37" s="166">
        <f>SUMIFS(GASTOS!$F:$F,GASTOS!$I:$I,'INFORME GASTOS'!$A37,GASTOS!$B:$B,$B$25,GASTOS!$C:$C,J$2)</f>
        <v>0</v>
      </c>
      <c r="K37" s="166">
        <f>SUMIFS(GASTOS!$F:$F,GASTOS!$I:$I,'INFORME GASTOS'!$A37,GASTOS!$B:$B,$B$25,GASTOS!$C:$C,K$2)</f>
        <v>0</v>
      </c>
      <c r="L37" s="166">
        <f>SUMIFS(GASTOS!$F:$F,GASTOS!$I:$I,'INFORME GASTOS'!$A37,GASTOS!$B:$B,$B$25,GASTOS!$C:$C,L$2)</f>
        <v>0</v>
      </c>
      <c r="M37" s="166">
        <f>SUMIFS(GASTOS!$F:$F,GASTOS!$I:$I,'INFORME GASTOS'!$A37,GASTOS!$B:$B,$B$25,GASTOS!$C:$C,M$2)</f>
        <v>100000</v>
      </c>
    </row>
    <row r="38" spans="1:13" x14ac:dyDescent="0.2">
      <c r="A38" s="165" t="s">
        <v>1894</v>
      </c>
      <c r="B38" s="166">
        <f>SUMIFS(GASTOS!$F:$F,GASTOS!$I:$I,'INFORME GASTOS'!$A38,GASTOS!$B:$B,$B$25,GASTOS!$C:$C,B$2)</f>
        <v>0</v>
      </c>
      <c r="C38" s="166">
        <f>SUMIFS(GASTOS!$F:$F,GASTOS!$I:$I,'INFORME GASTOS'!$A38,GASTOS!$B:$B,$B$25,GASTOS!$C:$C,C$2)</f>
        <v>0</v>
      </c>
      <c r="D38" s="166">
        <f>SUMIFS(GASTOS!$F:$F,GASTOS!$I:$I,'INFORME GASTOS'!$A38,GASTOS!$B:$B,$B$25,GASTOS!$C:$C,D$2)</f>
        <v>0</v>
      </c>
      <c r="E38" s="166">
        <f>SUMIFS(GASTOS!$F:$F,GASTOS!$I:$I,'INFORME GASTOS'!$A38,GASTOS!$B:$B,$B$25,GASTOS!$C:$C,E$2)</f>
        <v>0</v>
      </c>
      <c r="F38" s="166">
        <f>SUMIFS(GASTOS!$F:$F,GASTOS!$I:$I,'INFORME GASTOS'!$A38,GASTOS!$B:$B,$B$25,GASTOS!$C:$C,F$2)</f>
        <v>0</v>
      </c>
      <c r="G38" s="166">
        <f>SUMIFS(GASTOS!$F:$F,GASTOS!$I:$I,'INFORME GASTOS'!$A38,GASTOS!$B:$B,$B$25,GASTOS!$C:$C,G$2)</f>
        <v>0</v>
      </c>
      <c r="H38" s="166">
        <f>SUMIFS(GASTOS!$F:$F,GASTOS!$I:$I,'INFORME GASTOS'!$A38,GASTOS!$B:$B,$B$25,GASTOS!$C:$C,H$2)</f>
        <v>0</v>
      </c>
      <c r="I38" s="166">
        <f>SUMIFS(GASTOS!$F:$F,GASTOS!$I:$I,'INFORME GASTOS'!$A38,GASTOS!$B:$B,$B$25,GASTOS!$C:$C,I$2)</f>
        <v>0</v>
      </c>
      <c r="J38" s="166">
        <f>SUMIFS(GASTOS!$F:$F,GASTOS!$I:$I,'INFORME GASTOS'!$A38,GASTOS!$B:$B,$B$25,GASTOS!$C:$C,J$2)</f>
        <v>0</v>
      </c>
      <c r="K38" s="166">
        <f>SUMIFS(GASTOS!$F:$F,GASTOS!$I:$I,'INFORME GASTOS'!$A38,GASTOS!$B:$B,$B$25,GASTOS!$C:$C,K$2)</f>
        <v>0</v>
      </c>
      <c r="L38" s="166">
        <f>SUMIFS(GASTOS!$F:$F,GASTOS!$I:$I,'INFORME GASTOS'!$A38,GASTOS!$B:$B,$B$25,GASTOS!$C:$C,L$2)</f>
        <v>0</v>
      </c>
      <c r="M38" s="166">
        <f>SUMIFS(GASTOS!$F:$F,GASTOS!$I:$I,'INFORME GASTOS'!$A38,GASTOS!$B:$B,$B$25,GASTOS!$C:$C,M$2)</f>
        <v>0</v>
      </c>
    </row>
    <row r="39" spans="1:13" x14ac:dyDescent="0.2">
      <c r="A39" s="165" t="s">
        <v>573</v>
      </c>
      <c r="B39" s="166">
        <f>SUMIFS(GASTOS!$F:$F,GASTOS!$I:$I,'INFORME GASTOS'!$A39,GASTOS!$B:$B,$B$25,GASTOS!$C:$C,B$2)</f>
        <v>0</v>
      </c>
      <c r="C39" s="166">
        <f>SUMIFS(GASTOS!$F:$F,GASTOS!$I:$I,'INFORME GASTOS'!$A39,GASTOS!$B:$B,$B$25,GASTOS!$C:$C,C$2)</f>
        <v>0</v>
      </c>
      <c r="D39" s="166">
        <f>SUMIFS(GASTOS!$F:$F,GASTOS!$I:$I,'INFORME GASTOS'!$A39,GASTOS!$B:$B,$B$25,GASTOS!$C:$C,D$2)</f>
        <v>0</v>
      </c>
      <c r="E39" s="166">
        <f>SUMIFS(GASTOS!$F:$F,GASTOS!$I:$I,'INFORME GASTOS'!$A39,GASTOS!$B:$B,$B$25,GASTOS!$C:$C,E$2)</f>
        <v>0</v>
      </c>
      <c r="F39" s="166">
        <f>SUMIFS(GASTOS!$F:$F,GASTOS!$I:$I,'INFORME GASTOS'!$A39,GASTOS!$B:$B,$B$25,GASTOS!$C:$C,F$2)</f>
        <v>0</v>
      </c>
      <c r="G39" s="166">
        <f>SUMIFS(GASTOS!$F:$F,GASTOS!$I:$I,'INFORME GASTOS'!$A39,GASTOS!$B:$B,$B$25,GASTOS!$C:$C,G$2)</f>
        <v>0</v>
      </c>
      <c r="H39" s="166">
        <f>SUMIFS(GASTOS!$F:$F,GASTOS!$I:$I,'INFORME GASTOS'!$A39,GASTOS!$B:$B,$B$25,GASTOS!$C:$C,H$2)</f>
        <v>0</v>
      </c>
      <c r="I39" s="166">
        <f>SUMIFS(GASTOS!$F:$F,GASTOS!$I:$I,'INFORME GASTOS'!$A39,GASTOS!$B:$B,$B$25,GASTOS!$C:$C,I$2)</f>
        <v>0</v>
      </c>
      <c r="J39" s="166">
        <f>SUMIFS(GASTOS!$F:$F,GASTOS!$I:$I,'INFORME GASTOS'!$A39,GASTOS!$B:$B,$B$25,GASTOS!$C:$C,J$2)</f>
        <v>0</v>
      </c>
      <c r="K39" s="166">
        <f>SUMIFS(GASTOS!$F:$F,GASTOS!$I:$I,'INFORME GASTOS'!$A39,GASTOS!$B:$B,$B$25,GASTOS!$C:$C,K$2)</f>
        <v>0</v>
      </c>
      <c r="L39" s="166">
        <f>SUMIFS(GASTOS!$F:$F,GASTOS!$I:$I,'INFORME GASTOS'!$A39,GASTOS!$B:$B,$B$25,GASTOS!$C:$C,L$2)</f>
        <v>0</v>
      </c>
      <c r="M39" s="166">
        <f>SUMIFS(GASTOS!$F:$F,GASTOS!$I:$I,'INFORME GASTOS'!$A39,GASTOS!$B:$B,$B$25,GASTOS!$C:$C,M$2)</f>
        <v>0</v>
      </c>
    </row>
    <row r="40" spans="1:13" x14ac:dyDescent="0.2">
      <c r="A40" s="165" t="s">
        <v>391</v>
      </c>
      <c r="B40" s="166">
        <f>SUMIFS(GASTOS!$F:$F,GASTOS!$I:$I,'INFORME GASTOS'!$A40,GASTOS!$B:$B,$B$25,GASTOS!$C:$C,B$2)</f>
        <v>0</v>
      </c>
      <c r="C40" s="166">
        <f>SUMIFS(GASTOS!$F:$F,GASTOS!$I:$I,'INFORME GASTOS'!$A40,GASTOS!$B:$B,$B$25,GASTOS!$C:$C,C$2)</f>
        <v>1055000</v>
      </c>
      <c r="D40" s="166">
        <f>SUMIFS(GASTOS!$F:$F,GASTOS!$I:$I,'INFORME GASTOS'!$A40,GASTOS!$B:$B,$B$25,GASTOS!$C:$C,D$2)</f>
        <v>0</v>
      </c>
      <c r="E40" s="166">
        <f>SUMIFS(GASTOS!$F:$F,GASTOS!$I:$I,'INFORME GASTOS'!$A40,GASTOS!$B:$B,$B$25,GASTOS!$C:$C,E$2)</f>
        <v>1078000</v>
      </c>
      <c r="F40" s="166">
        <f>SUMIFS(GASTOS!$F:$F,GASTOS!$I:$I,'INFORME GASTOS'!$A40,GASTOS!$B:$B,$B$25,GASTOS!$C:$C,F$2)</f>
        <v>220000</v>
      </c>
      <c r="G40" s="166">
        <f>SUMIFS(GASTOS!$F:$F,GASTOS!$I:$I,'INFORME GASTOS'!$A40,GASTOS!$B:$B,$B$25,GASTOS!$C:$C,G$2)</f>
        <v>1134300</v>
      </c>
      <c r="H40" s="166">
        <f>SUMIFS(GASTOS!$F:$F,GASTOS!$I:$I,'INFORME GASTOS'!$A40,GASTOS!$B:$B,$B$25,GASTOS!$C:$C,H$2)</f>
        <v>0</v>
      </c>
      <c r="I40" s="166">
        <f>SUMIFS(GASTOS!$F:$F,GASTOS!$I:$I,'INFORME GASTOS'!$A40,GASTOS!$B:$B,$B$25,GASTOS!$C:$C,I$2)</f>
        <v>0</v>
      </c>
      <c r="J40" s="166">
        <f>SUMIFS(GASTOS!$F:$F,GASTOS!$I:$I,'INFORME GASTOS'!$A40,GASTOS!$B:$B,$B$25,GASTOS!$C:$C,J$2)</f>
        <v>0</v>
      </c>
      <c r="K40" s="166">
        <f>SUMIFS(GASTOS!$F:$F,GASTOS!$I:$I,'INFORME GASTOS'!$A40,GASTOS!$B:$B,$B$25,GASTOS!$C:$C,K$2)</f>
        <v>0</v>
      </c>
      <c r="L40" s="166">
        <f>SUMIFS(GASTOS!$F:$F,GASTOS!$I:$I,'INFORME GASTOS'!$A40,GASTOS!$B:$B,$B$25,GASTOS!$C:$C,L$2)</f>
        <v>0</v>
      </c>
      <c r="M40" s="166">
        <f>SUMIFS(GASTOS!$F:$F,GASTOS!$I:$I,'INFORME GASTOS'!$A40,GASTOS!$B:$B,$B$25,GASTOS!$C:$C,M$2)</f>
        <v>1037000</v>
      </c>
    </row>
    <row r="41" spans="1:13" x14ac:dyDescent="0.2">
      <c r="A41" s="165" t="s">
        <v>1973</v>
      </c>
      <c r="B41" s="166">
        <f>SUMIFS(GASTOS!$F:$F,GASTOS!$I:$I,'INFORME GASTOS'!$A41,GASTOS!$B:$B,$B$25,GASTOS!$C:$C,B$2)</f>
        <v>0</v>
      </c>
      <c r="C41" s="166">
        <f>SUMIFS(GASTOS!$F:$F,GASTOS!$I:$I,'INFORME GASTOS'!$A41,GASTOS!$B:$B,$B$25,GASTOS!$C:$C,C$2)</f>
        <v>0</v>
      </c>
      <c r="D41" s="166">
        <f>SUMIFS(GASTOS!$F:$F,GASTOS!$I:$I,'INFORME GASTOS'!$A41,GASTOS!$B:$B,$B$25,GASTOS!$C:$C,D$2)</f>
        <v>0</v>
      </c>
      <c r="E41" s="166">
        <f>SUMIFS(GASTOS!$F:$F,GASTOS!$I:$I,'INFORME GASTOS'!$A41,GASTOS!$B:$B,$B$25,GASTOS!$C:$C,E$2)</f>
        <v>0</v>
      </c>
      <c r="F41" s="166">
        <f>SUMIFS(GASTOS!$F:$F,GASTOS!$I:$I,'INFORME GASTOS'!$A41,GASTOS!$B:$B,$B$25,GASTOS!$C:$C,F$2)</f>
        <v>0</v>
      </c>
      <c r="G41" s="166">
        <f>SUMIFS(GASTOS!$F:$F,GASTOS!$I:$I,'INFORME GASTOS'!$A41,GASTOS!$B:$B,$B$25,GASTOS!$C:$C,G$2)</f>
        <v>0</v>
      </c>
      <c r="H41" s="166">
        <f>SUMIFS(GASTOS!$F:$F,GASTOS!$I:$I,'INFORME GASTOS'!$A41,GASTOS!$B:$B,$B$25,GASTOS!$C:$C,H$2)</f>
        <v>0</v>
      </c>
      <c r="I41" s="166">
        <f>SUMIFS(GASTOS!$F:$F,GASTOS!$I:$I,'INFORME GASTOS'!$A41,GASTOS!$B:$B,$B$25,GASTOS!$C:$C,I$2)</f>
        <v>0</v>
      </c>
      <c r="J41" s="166">
        <f>SUMIFS(GASTOS!$F:$F,GASTOS!$I:$I,'INFORME GASTOS'!$A41,GASTOS!$B:$B,$B$25,GASTOS!$C:$C,J$2)</f>
        <v>0</v>
      </c>
      <c r="K41" s="166">
        <f>SUMIFS(GASTOS!$F:$F,GASTOS!$I:$I,'INFORME GASTOS'!$A41,GASTOS!$B:$B,$B$25,GASTOS!$C:$C,K$2)</f>
        <v>0</v>
      </c>
      <c r="L41" s="166">
        <f>SUMIFS(GASTOS!$F:$F,GASTOS!$I:$I,'INFORME GASTOS'!$A41,GASTOS!$B:$B,$B$25,GASTOS!$C:$C,L$2)</f>
        <v>0</v>
      </c>
      <c r="M41" s="166">
        <f>SUMIFS(GASTOS!$F:$F,GASTOS!$I:$I,'INFORME GASTOS'!$A41,GASTOS!$B:$B,$B$25,GASTOS!$C:$C,M$2)</f>
        <v>0</v>
      </c>
    </row>
    <row r="42" spans="1:13" x14ac:dyDescent="0.2">
      <c r="A42" s="165" t="s">
        <v>2807</v>
      </c>
      <c r="B42" s="166">
        <f>SUMIFS(GASTOS!$F:$F,GASTOS!$I:$I,'INFORME GASTOS'!$A42,GASTOS!$B:$B,$B$25,GASTOS!$C:$C,B$2)</f>
        <v>515000</v>
      </c>
      <c r="C42" s="166">
        <f>SUMIFS(GASTOS!$F:$F,GASTOS!$I:$I,'INFORME GASTOS'!$A42,GASTOS!$B:$B,$B$25,GASTOS!$C:$C,C$2)</f>
        <v>150000</v>
      </c>
      <c r="D42" s="166">
        <f>SUMIFS(GASTOS!$F:$F,GASTOS!$I:$I,'INFORME GASTOS'!$A42,GASTOS!$B:$B,$B$25,GASTOS!$C:$C,D$2)</f>
        <v>131000</v>
      </c>
      <c r="E42" s="166">
        <f>SUMIFS(GASTOS!$F:$F,GASTOS!$I:$I,'INFORME GASTOS'!$A42,GASTOS!$B:$B,$B$25,GASTOS!$C:$C,E$2)</f>
        <v>360000</v>
      </c>
      <c r="F42" s="166">
        <f>SUMIFS(GASTOS!$F:$F,GASTOS!$I:$I,'INFORME GASTOS'!$A42,GASTOS!$B:$B,$B$25,GASTOS!$C:$C,F$2)</f>
        <v>282000</v>
      </c>
      <c r="G42" s="166">
        <f>SUMIFS(GASTOS!$F:$F,GASTOS!$I:$I,'INFORME GASTOS'!$A42,GASTOS!$B:$B,$B$25,GASTOS!$C:$C,G$2)</f>
        <v>320000</v>
      </c>
      <c r="H42" s="166">
        <f>SUMIFS(GASTOS!$F:$F,GASTOS!$I:$I,'INFORME GASTOS'!$A42,GASTOS!$B:$B,$B$25,GASTOS!$C:$C,H$2)</f>
        <v>0</v>
      </c>
      <c r="I42" s="166">
        <f>SUMIFS(GASTOS!$F:$F,GASTOS!$I:$I,'INFORME GASTOS'!$A42,GASTOS!$B:$B,$B$25,GASTOS!$C:$C,I$2)</f>
        <v>0</v>
      </c>
      <c r="J42" s="166">
        <f>SUMIFS(GASTOS!$F:$F,GASTOS!$I:$I,'INFORME GASTOS'!$A42,GASTOS!$B:$B,$B$25,GASTOS!$C:$C,J$2)</f>
        <v>0</v>
      </c>
      <c r="K42" s="166">
        <f>SUMIFS(GASTOS!$F:$F,GASTOS!$I:$I,'INFORME GASTOS'!$A42,GASTOS!$B:$B,$B$25,GASTOS!$C:$C,K$2)</f>
        <v>0</v>
      </c>
      <c r="L42" s="166">
        <f>SUMIFS(GASTOS!$F:$F,GASTOS!$I:$I,'INFORME GASTOS'!$A42,GASTOS!$B:$B,$B$25,GASTOS!$C:$C,L$2)</f>
        <v>0</v>
      </c>
      <c r="M42" s="166">
        <f>SUMIFS(GASTOS!$F:$F,GASTOS!$I:$I,'INFORME GASTOS'!$A42,GASTOS!$B:$B,$B$25,GASTOS!$C:$C,M$2)</f>
        <v>160000</v>
      </c>
    </row>
    <row r="43" spans="1:13" x14ac:dyDescent="0.2">
      <c r="A43" s="282" t="s">
        <v>4569</v>
      </c>
      <c r="B43" s="166">
        <f>SUMIFS(GASTOS!$F:$F,GASTOS!$I:$I,'INFORME GASTOS'!$A43,GASTOS!$B:$B,$B$25,GASTOS!$C:$C,B$2)</f>
        <v>0</v>
      </c>
      <c r="C43" s="166">
        <f>SUMIFS(GASTOS!$F:$F,GASTOS!$I:$I,'INFORME GASTOS'!$A43,GASTOS!$B:$B,$B$25,GASTOS!$C:$C,C$2)</f>
        <v>0</v>
      </c>
      <c r="D43" s="166">
        <f>SUMIFS(GASTOS!$F:$F,GASTOS!$I:$I,'INFORME GASTOS'!$A43,GASTOS!$B:$B,$B$25,GASTOS!$C:$C,D$2)</f>
        <v>0</v>
      </c>
      <c r="E43" s="166">
        <f>SUMIFS(GASTOS!$F:$F,GASTOS!$I:$I,'INFORME GASTOS'!$A43,GASTOS!$B:$B,$B$25,GASTOS!$C:$C,E$2)</f>
        <v>0</v>
      </c>
      <c r="F43" s="166">
        <f>SUMIFS(GASTOS!$F:$F,GASTOS!$I:$I,'INFORME GASTOS'!$A43,GASTOS!$B:$B,$B$25,GASTOS!$C:$C,F$2)</f>
        <v>0</v>
      </c>
      <c r="G43" s="166">
        <f>SUMIFS(GASTOS!$F:$F,GASTOS!$I:$I,'INFORME GASTOS'!$A43,GASTOS!$B:$B,$B$25,GASTOS!$C:$C,G$2)</f>
        <v>0</v>
      </c>
      <c r="H43" s="166">
        <f>SUMIFS(GASTOS!$F:$F,GASTOS!$I:$I,'INFORME GASTOS'!$A43,GASTOS!$B:$B,$B$25,GASTOS!$C:$C,H$2)</f>
        <v>0</v>
      </c>
      <c r="I43" s="166">
        <f>SUMIFS(GASTOS!$F:$F,GASTOS!$I:$I,'INFORME GASTOS'!$A43,GASTOS!$B:$B,$B$25,GASTOS!$C:$C,I$2)</f>
        <v>0</v>
      </c>
      <c r="J43" s="166">
        <f>SUMIFS(GASTOS!$F:$F,GASTOS!$I:$I,'INFORME GASTOS'!$A43,GASTOS!$B:$B,$B$25,GASTOS!$C:$C,J$2)</f>
        <v>0</v>
      </c>
      <c r="K43" s="166">
        <f>SUMIFS(GASTOS!$F:$F,GASTOS!$I:$I,'INFORME GASTOS'!$A43,GASTOS!$B:$B,$B$25,GASTOS!$C:$C,K$2)</f>
        <v>0</v>
      </c>
      <c r="L43" s="166">
        <f>SUMIFS(GASTOS!$F:$F,GASTOS!$I:$I,'INFORME GASTOS'!$A43,GASTOS!$B:$B,$B$25,GASTOS!$C:$C,L$2)</f>
        <v>0</v>
      </c>
      <c r="M43" s="166">
        <f>SUMIFS(GASTOS!$F:$F,GASTOS!$I:$I,'INFORME GASTOS'!$A43,GASTOS!$B:$B,$B$25,GASTOS!$C:$C,M$2)</f>
        <v>0</v>
      </c>
    </row>
    <row r="44" spans="1:13" x14ac:dyDescent="0.2">
      <c r="A44" s="165" t="s">
        <v>4137</v>
      </c>
      <c r="B44" s="166">
        <f>SUMIFS(GASTOS!$F:$F,GASTOS!$I:$I,'INFORME GASTOS'!$A44,GASTOS!$B:$B,$B$25,GASTOS!$C:$C,B$2)</f>
        <v>0</v>
      </c>
      <c r="C44" s="166">
        <f>SUMIFS(GASTOS!$F:$F,GASTOS!$I:$I,'INFORME GASTOS'!$A44,GASTOS!$B:$B,$B$25,GASTOS!$C:$C,C$2)</f>
        <v>0</v>
      </c>
      <c r="D44" s="166">
        <f>SUMIFS(GASTOS!$F:$F,GASTOS!$I:$I,'INFORME GASTOS'!$A44,GASTOS!$B:$B,$B$25,GASTOS!$C:$C,D$2)</f>
        <v>0</v>
      </c>
      <c r="E44" s="166">
        <f>SUMIFS(GASTOS!$F:$F,GASTOS!$I:$I,'INFORME GASTOS'!$A44,GASTOS!$B:$B,$B$25,GASTOS!$C:$C,E$2)</f>
        <v>0</v>
      </c>
      <c r="F44" s="166">
        <f>SUMIFS(GASTOS!$F:$F,GASTOS!$I:$I,'INFORME GASTOS'!$A44,GASTOS!$B:$B,$B$25,GASTOS!$C:$C,F$2)</f>
        <v>2660000</v>
      </c>
      <c r="G44" s="166">
        <f>SUMIFS(GASTOS!$F:$F,GASTOS!$I:$I,'INFORME GASTOS'!$A44,GASTOS!$B:$B,$B$25,GASTOS!$C:$C,G$2)</f>
        <v>0</v>
      </c>
      <c r="H44" s="166">
        <f>SUMIFS(GASTOS!$F:$F,GASTOS!$I:$I,'INFORME GASTOS'!$A44,GASTOS!$B:$B,$B$25,GASTOS!$C:$C,H$2)</f>
        <v>0</v>
      </c>
      <c r="I44" s="166">
        <f>SUMIFS(GASTOS!$F:$F,GASTOS!$I:$I,'INFORME GASTOS'!$A44,GASTOS!$B:$B,$B$25,GASTOS!$C:$C,I$2)</f>
        <v>0</v>
      </c>
      <c r="J44" s="166">
        <f>SUMIFS(GASTOS!$F:$F,GASTOS!$I:$I,'INFORME GASTOS'!$A44,GASTOS!$B:$B,$B$25,GASTOS!$C:$C,J$2)</f>
        <v>0</v>
      </c>
      <c r="K44" s="166">
        <f>SUMIFS(GASTOS!$F:$F,GASTOS!$I:$I,'INFORME GASTOS'!$A44,GASTOS!$B:$B,$B$25,GASTOS!$C:$C,K$2)</f>
        <v>0</v>
      </c>
      <c r="L44" s="166">
        <f>SUMIFS(GASTOS!$F:$F,GASTOS!$I:$I,'INFORME GASTOS'!$A44,GASTOS!$B:$B,$B$25,GASTOS!$C:$C,L$2)</f>
        <v>0</v>
      </c>
      <c r="M44" s="166">
        <f>SUMIFS(GASTOS!$F:$F,GASTOS!$I:$I,'INFORME GASTOS'!$A44,GASTOS!$B:$B,$B$25,GASTOS!$C:$C,M$2)</f>
        <v>0</v>
      </c>
    </row>
    <row r="45" spans="1:13" x14ac:dyDescent="0.2">
      <c r="B45" s="164">
        <f t="shared" ref="B45:M45" si="1">SUM(B29:B44)</f>
        <v>7455000</v>
      </c>
      <c r="C45" s="164">
        <f t="shared" si="1"/>
        <v>10643000</v>
      </c>
      <c r="D45" s="164">
        <f t="shared" si="1"/>
        <v>8836000</v>
      </c>
      <c r="E45" s="164">
        <f t="shared" si="1"/>
        <v>9597000</v>
      </c>
      <c r="F45" s="164">
        <f t="shared" si="1"/>
        <v>9794000</v>
      </c>
      <c r="G45" s="164">
        <f t="shared" si="1"/>
        <v>5564300</v>
      </c>
      <c r="H45" s="164">
        <f t="shared" si="1"/>
        <v>0</v>
      </c>
      <c r="I45" s="164">
        <f t="shared" si="1"/>
        <v>0</v>
      </c>
      <c r="J45" s="164">
        <f t="shared" si="1"/>
        <v>0</v>
      </c>
      <c r="K45" s="164">
        <f t="shared" si="1"/>
        <v>0</v>
      </c>
      <c r="L45" s="164">
        <f t="shared" si="1"/>
        <v>0</v>
      </c>
      <c r="M45" s="164">
        <f t="shared" si="1"/>
        <v>18329000</v>
      </c>
    </row>
    <row r="48" spans="1:13" ht="16" x14ac:dyDescent="0.2">
      <c r="A48" s="163" t="s">
        <v>2967</v>
      </c>
      <c r="B48" s="167">
        <v>2026</v>
      </c>
    </row>
    <row r="49" spans="1:13" ht="16" x14ac:dyDescent="0.2">
      <c r="A49" s="163"/>
      <c r="B49" s="167">
        <v>1</v>
      </c>
      <c r="C49" s="167">
        <v>2</v>
      </c>
      <c r="D49" s="167">
        <v>3</v>
      </c>
      <c r="E49" s="167">
        <v>4</v>
      </c>
      <c r="F49" s="167">
        <v>5</v>
      </c>
      <c r="G49" s="167">
        <v>6</v>
      </c>
      <c r="H49" s="167">
        <v>7</v>
      </c>
      <c r="I49" s="167">
        <v>8</v>
      </c>
      <c r="J49" s="167">
        <v>9</v>
      </c>
      <c r="K49" s="167">
        <v>10</v>
      </c>
      <c r="L49" s="167">
        <v>11</v>
      </c>
      <c r="M49" s="167">
        <v>12</v>
      </c>
    </row>
    <row r="50" spans="1:13" x14ac:dyDescent="0.2">
      <c r="A50" s="157" t="s">
        <v>2968</v>
      </c>
      <c r="B50" s="157" t="s">
        <v>2</v>
      </c>
      <c r="C50" s="157" t="s">
        <v>3</v>
      </c>
      <c r="D50" s="157" t="s">
        <v>4</v>
      </c>
      <c r="E50" s="157" t="s">
        <v>5</v>
      </c>
      <c r="F50" s="157" t="s">
        <v>6</v>
      </c>
      <c r="G50" s="157" t="s">
        <v>7</v>
      </c>
      <c r="H50" s="157" t="s">
        <v>8</v>
      </c>
      <c r="I50" s="157" t="s">
        <v>9</v>
      </c>
      <c r="J50" s="157" t="s">
        <v>10</v>
      </c>
      <c r="K50" s="157" t="s">
        <v>11</v>
      </c>
      <c r="L50" s="157" t="s">
        <v>12</v>
      </c>
      <c r="M50" s="157" t="s">
        <v>13</v>
      </c>
    </row>
    <row r="51" spans="1:13" x14ac:dyDescent="0.2">
      <c r="A51" s="165" t="s">
        <v>91</v>
      </c>
      <c r="B51" s="166">
        <f>SUMIFS(GASTOS!$F:$F,GASTOS!$I:$I,'INFORME GASTOS'!$A51,GASTOS!$B:$B,$B$25,GASTOS!$C:$C,B$2)</f>
        <v>638000</v>
      </c>
      <c r="C51" s="166">
        <f>SUMIFS(GASTOS!$F:$F,GASTOS!$I:$I,'INFORME GASTOS'!$A51,GASTOS!$B:$B,$B$25,GASTOS!$C:$C,C$2)</f>
        <v>584000</v>
      </c>
      <c r="D51" s="166">
        <f>SUMIFS(GASTOS!$F:$F,GASTOS!$I:$I,'INFORME GASTOS'!$A51,GASTOS!$B:$B,$B$25,GASTOS!$C:$C,D$2)</f>
        <v>309000</v>
      </c>
      <c r="E51" s="166">
        <f>SUMIFS(GASTOS!$F:$F,GASTOS!$I:$I,'INFORME GASTOS'!$A51,GASTOS!$B:$B,$B$25,GASTOS!$C:$C,E$2)</f>
        <v>210000</v>
      </c>
      <c r="F51" s="166">
        <f>SUMIFS(GASTOS!$F:$F,GASTOS!$I:$I,'INFORME GASTOS'!$A51,GASTOS!$B:$B,$B$25,GASTOS!$C:$C,F$2)</f>
        <v>1249000</v>
      </c>
      <c r="G51" s="166">
        <f>SUMIFS(GASTOS!$F:$F,GASTOS!$I:$I,'INFORME GASTOS'!$A51,GASTOS!$B:$B,$B$25,GASTOS!$C:$C,G$2)</f>
        <v>116000</v>
      </c>
      <c r="H51" s="166">
        <f>SUMIFS(GASTOS!$F:$F,GASTOS!$I:$I,'INFORME GASTOS'!$A51,GASTOS!$B:$B,$B$25,GASTOS!$C:$C,H$2)</f>
        <v>0</v>
      </c>
      <c r="I51" s="166">
        <f>SUMIFS(GASTOS!$F:$F,GASTOS!$I:$I,'INFORME GASTOS'!$A51,GASTOS!$B:$B,$B$25,GASTOS!$C:$C,I$2)</f>
        <v>0</v>
      </c>
      <c r="J51" s="166">
        <f>SUMIFS(GASTOS!$F:$F,GASTOS!$I:$I,'INFORME GASTOS'!$A51,GASTOS!$B:$B,$B$25,GASTOS!$C:$C,J$2)</f>
        <v>0</v>
      </c>
      <c r="K51" s="166">
        <f>SUMIFS(GASTOS!$F:$F,GASTOS!$I:$I,'INFORME GASTOS'!$A51,GASTOS!$B:$B,$B$25,GASTOS!$C:$C,K$2)</f>
        <v>0</v>
      </c>
      <c r="L51" s="166">
        <f>SUMIFS(GASTOS!$F:$F,GASTOS!$I:$I,'INFORME GASTOS'!$A51,GASTOS!$B:$B,$B$25,GASTOS!$C:$C,L$2)</f>
        <v>0</v>
      </c>
      <c r="M51" s="166">
        <f>SUMIFS(GASTOS!$F:$F,GASTOS!$I:$I,'INFORME GASTOS'!$A51,GASTOS!$B:$B,$B$25,GASTOS!$C:$C,M$2)</f>
        <v>725000</v>
      </c>
    </row>
    <row r="52" spans="1:13" x14ac:dyDescent="0.2">
      <c r="A52" s="165" t="s">
        <v>335</v>
      </c>
      <c r="B52" s="166">
        <f>SUMIFS(GASTOS!$F:$F,GASTOS!$I:$I,'INFORME GASTOS'!$A52,GASTOS!$B:$B,$B$25,GASTOS!$C:$C,B$2)</f>
        <v>1430000</v>
      </c>
      <c r="C52" s="166">
        <f>SUMIFS(GASTOS!$F:$F,GASTOS!$I:$I,'INFORME GASTOS'!$A52,GASTOS!$B:$B,$B$25,GASTOS!$C:$C,C$2)</f>
        <v>0</v>
      </c>
      <c r="D52" s="166">
        <f>SUMIFS(GASTOS!$F:$F,GASTOS!$I:$I,'INFORME GASTOS'!$A52,GASTOS!$B:$B,$B$25,GASTOS!$C:$C,D$2)</f>
        <v>972000</v>
      </c>
      <c r="E52" s="166">
        <f>SUMIFS(GASTOS!$F:$F,GASTOS!$I:$I,'INFORME GASTOS'!$A52,GASTOS!$B:$B,$B$25,GASTOS!$C:$C,E$2)</f>
        <v>1856000</v>
      </c>
      <c r="F52" s="166">
        <f>SUMIFS(GASTOS!$F:$F,GASTOS!$I:$I,'INFORME GASTOS'!$A52,GASTOS!$B:$B,$B$25,GASTOS!$C:$C,F$2)</f>
        <v>678000</v>
      </c>
      <c r="G52" s="166">
        <f>SUMIFS(GASTOS!$F:$F,GASTOS!$I:$I,'INFORME GASTOS'!$A52,GASTOS!$B:$B,$B$25,GASTOS!$C:$C,G$2)</f>
        <v>728000</v>
      </c>
      <c r="H52" s="166">
        <f>SUMIFS(GASTOS!$F:$F,GASTOS!$I:$I,'INFORME GASTOS'!$A52,GASTOS!$B:$B,$B$25,GASTOS!$C:$C,H$2)</f>
        <v>0</v>
      </c>
      <c r="I52" s="166">
        <f>SUMIFS(GASTOS!$F:$F,GASTOS!$I:$I,'INFORME GASTOS'!$A52,GASTOS!$B:$B,$B$25,GASTOS!$C:$C,I$2)</f>
        <v>0</v>
      </c>
      <c r="J52" s="166">
        <f>SUMIFS(GASTOS!$F:$F,GASTOS!$I:$I,'INFORME GASTOS'!$A52,GASTOS!$B:$B,$B$25,GASTOS!$C:$C,J$2)</f>
        <v>0</v>
      </c>
      <c r="K52" s="166">
        <f>SUMIFS(GASTOS!$F:$F,GASTOS!$I:$I,'INFORME GASTOS'!$A52,GASTOS!$B:$B,$B$25,GASTOS!$C:$C,K$2)</f>
        <v>0</v>
      </c>
      <c r="L52" s="166">
        <f>SUMIFS(GASTOS!$F:$F,GASTOS!$I:$I,'INFORME GASTOS'!$A52,GASTOS!$B:$B,$B$25,GASTOS!$C:$C,L$2)</f>
        <v>0</v>
      </c>
      <c r="M52" s="166">
        <f>SUMIFS(GASTOS!$F:$F,GASTOS!$I:$I,'INFORME GASTOS'!$A52,GASTOS!$B:$B,$B$25,GASTOS!$C:$C,M$2)</f>
        <v>680000</v>
      </c>
    </row>
    <row r="53" spans="1:13" x14ac:dyDescent="0.2">
      <c r="A53" s="165" t="s">
        <v>85</v>
      </c>
      <c r="B53" s="166">
        <f>SUMIFS(GASTOS!$F:$F,GASTOS!$I:$I,'INFORME GASTOS'!$A53,GASTOS!$B:$B,$B$25,GASTOS!$C:$C,B$2)</f>
        <v>1158000</v>
      </c>
      <c r="C53" s="166">
        <f>SUMIFS(GASTOS!$F:$F,GASTOS!$I:$I,'INFORME GASTOS'!$A53,GASTOS!$B:$B,$B$25,GASTOS!$C:$C,C$2)</f>
        <v>6830000</v>
      </c>
      <c r="D53" s="166">
        <f>SUMIFS(GASTOS!$F:$F,GASTOS!$I:$I,'INFORME GASTOS'!$A53,GASTOS!$B:$B,$B$25,GASTOS!$C:$C,D$2)</f>
        <v>7198000</v>
      </c>
      <c r="E53" s="166">
        <f>SUMIFS(GASTOS!$F:$F,GASTOS!$I:$I,'INFORME GASTOS'!$A53,GASTOS!$B:$B,$B$25,GASTOS!$C:$C,E$2)</f>
        <v>3603000</v>
      </c>
      <c r="F53" s="166">
        <f>SUMIFS(GASTOS!$F:$F,GASTOS!$I:$I,'INFORME GASTOS'!$A53,GASTOS!$B:$B,$B$25,GASTOS!$C:$C,F$2)</f>
        <v>1753000</v>
      </c>
      <c r="G53" s="166">
        <f>SUMIFS(GASTOS!$F:$F,GASTOS!$I:$I,'INFORME GASTOS'!$A53,GASTOS!$B:$B,$B$25,GASTOS!$C:$C,G$2)</f>
        <v>1389000</v>
      </c>
      <c r="H53" s="166">
        <f>SUMIFS(GASTOS!$F:$F,GASTOS!$I:$I,'INFORME GASTOS'!$A53,GASTOS!$B:$B,$B$25,GASTOS!$C:$C,H$2)</f>
        <v>0</v>
      </c>
      <c r="I53" s="166">
        <f>SUMIFS(GASTOS!$F:$F,GASTOS!$I:$I,'INFORME GASTOS'!$A53,GASTOS!$B:$B,$B$25,GASTOS!$C:$C,I$2)</f>
        <v>0</v>
      </c>
      <c r="J53" s="166">
        <f>SUMIFS(GASTOS!$F:$F,GASTOS!$I:$I,'INFORME GASTOS'!$A53,GASTOS!$B:$B,$B$25,GASTOS!$C:$C,J$2)</f>
        <v>0</v>
      </c>
      <c r="K53" s="166">
        <f>SUMIFS(GASTOS!$F:$F,GASTOS!$I:$I,'INFORME GASTOS'!$A53,GASTOS!$B:$B,$B$25,GASTOS!$C:$C,K$2)</f>
        <v>0</v>
      </c>
      <c r="L53" s="166">
        <f>SUMIFS(GASTOS!$F:$F,GASTOS!$I:$I,'INFORME GASTOS'!$A53,GASTOS!$B:$B,$B$25,GASTOS!$C:$C,L$2)</f>
        <v>0</v>
      </c>
      <c r="M53" s="166">
        <f>SUMIFS(GASTOS!$F:$F,GASTOS!$I:$I,'INFORME GASTOS'!$A53,GASTOS!$B:$B,$B$25,GASTOS!$C:$C,M$2)</f>
        <v>6073000</v>
      </c>
    </row>
    <row r="54" spans="1:13" x14ac:dyDescent="0.2">
      <c r="A54" s="165" t="s">
        <v>1350</v>
      </c>
      <c r="B54" s="166">
        <f>SUMIFS(GASTOS!$F:$F,GASTOS!$I:$I,'INFORME GASTOS'!$A54,GASTOS!$B:$B,$B$25,GASTOS!$C:$C,B$2)</f>
        <v>1198000</v>
      </c>
      <c r="C54" s="166">
        <f>SUMIFS(GASTOS!$F:$F,GASTOS!$I:$I,'INFORME GASTOS'!$A54,GASTOS!$B:$B,$B$25,GASTOS!$C:$C,C$2)</f>
        <v>480000</v>
      </c>
      <c r="D54" s="166">
        <f>SUMIFS(GASTOS!$F:$F,GASTOS!$I:$I,'INFORME GASTOS'!$A54,GASTOS!$B:$B,$B$25,GASTOS!$C:$C,D$2)</f>
        <v>0</v>
      </c>
      <c r="E54" s="166">
        <f>SUMIFS(GASTOS!$F:$F,GASTOS!$I:$I,'INFORME GASTOS'!$A54,GASTOS!$B:$B,$B$25,GASTOS!$C:$C,E$2)</f>
        <v>1050000</v>
      </c>
      <c r="F54" s="166">
        <f>SUMIFS(GASTOS!$F:$F,GASTOS!$I:$I,'INFORME GASTOS'!$A54,GASTOS!$B:$B,$B$25,GASTOS!$C:$C,F$2)</f>
        <v>697000</v>
      </c>
      <c r="G54" s="166">
        <f>SUMIFS(GASTOS!$F:$F,GASTOS!$I:$I,'INFORME GASTOS'!$A54,GASTOS!$B:$B,$B$25,GASTOS!$C:$C,G$2)</f>
        <v>1070000</v>
      </c>
      <c r="H54" s="166">
        <f>SUMIFS(GASTOS!$F:$F,GASTOS!$I:$I,'INFORME GASTOS'!$A54,GASTOS!$B:$B,$B$25,GASTOS!$C:$C,H$2)</f>
        <v>0</v>
      </c>
      <c r="I54" s="166">
        <f>SUMIFS(GASTOS!$F:$F,GASTOS!$I:$I,'INFORME GASTOS'!$A54,GASTOS!$B:$B,$B$25,GASTOS!$C:$C,I$2)</f>
        <v>0</v>
      </c>
      <c r="J54" s="166">
        <f>SUMIFS(GASTOS!$F:$F,GASTOS!$I:$I,'INFORME GASTOS'!$A54,GASTOS!$B:$B,$B$25,GASTOS!$C:$C,J$2)</f>
        <v>0</v>
      </c>
      <c r="K54" s="166">
        <f>SUMIFS(GASTOS!$F:$F,GASTOS!$I:$I,'INFORME GASTOS'!$A54,GASTOS!$B:$B,$B$25,GASTOS!$C:$C,K$2)</f>
        <v>0</v>
      </c>
      <c r="L54" s="166">
        <f>SUMIFS(GASTOS!$F:$F,GASTOS!$I:$I,'INFORME GASTOS'!$A54,GASTOS!$B:$B,$B$25,GASTOS!$C:$C,L$2)</f>
        <v>0</v>
      </c>
      <c r="M54" s="166">
        <f>SUMIFS(GASTOS!$F:$F,GASTOS!$I:$I,'INFORME GASTOS'!$A54,GASTOS!$B:$B,$B$25,GASTOS!$C:$C,M$2)</f>
        <v>2114000</v>
      </c>
    </row>
    <row r="55" spans="1:13" x14ac:dyDescent="0.2">
      <c r="A55" s="165" t="s">
        <v>1815</v>
      </c>
      <c r="B55" s="166">
        <f>SUMIFS(GASTOS!$F:$F,GASTOS!$I:$I,'INFORME GASTOS'!$A55,GASTOS!$B:$B,$B$25,GASTOS!$C:$C,B$2)</f>
        <v>457000</v>
      </c>
      <c r="C55" s="166">
        <f>SUMIFS(GASTOS!$F:$F,GASTOS!$I:$I,'INFORME GASTOS'!$A55,GASTOS!$B:$B,$B$25,GASTOS!$C:$C,C$2)</f>
        <v>205000</v>
      </c>
      <c r="D55" s="166">
        <f>SUMIFS(GASTOS!$F:$F,GASTOS!$I:$I,'INFORME GASTOS'!$A55,GASTOS!$B:$B,$B$25,GASTOS!$C:$C,D$2)</f>
        <v>109000</v>
      </c>
      <c r="E55" s="166">
        <f>SUMIFS(GASTOS!$F:$F,GASTOS!$I:$I,'INFORME GASTOS'!$A55,GASTOS!$B:$B,$B$25,GASTOS!$C:$C,E$2)</f>
        <v>550000</v>
      </c>
      <c r="F55" s="166">
        <f>SUMIFS(GASTOS!$F:$F,GASTOS!$I:$I,'INFORME GASTOS'!$A55,GASTOS!$B:$B,$B$25,GASTOS!$C:$C,F$2)</f>
        <v>679000</v>
      </c>
      <c r="G55" s="166">
        <f>SUMIFS(GASTOS!$F:$F,GASTOS!$I:$I,'INFORME GASTOS'!$A55,GASTOS!$B:$B,$B$25,GASTOS!$C:$C,G$2)</f>
        <v>340000</v>
      </c>
      <c r="H55" s="166">
        <f>SUMIFS(GASTOS!$F:$F,GASTOS!$I:$I,'INFORME GASTOS'!$A55,GASTOS!$B:$B,$B$25,GASTOS!$C:$C,H$2)</f>
        <v>0</v>
      </c>
      <c r="I55" s="166">
        <f>SUMIFS(GASTOS!$F:$F,GASTOS!$I:$I,'INFORME GASTOS'!$A55,GASTOS!$B:$B,$B$25,GASTOS!$C:$C,I$2)</f>
        <v>0</v>
      </c>
      <c r="J55" s="166">
        <f>SUMIFS(GASTOS!$F:$F,GASTOS!$I:$I,'INFORME GASTOS'!$A55,GASTOS!$B:$B,$B$25,GASTOS!$C:$C,J$2)</f>
        <v>0</v>
      </c>
      <c r="K55" s="166">
        <f>SUMIFS(GASTOS!$F:$F,GASTOS!$I:$I,'INFORME GASTOS'!$A55,GASTOS!$B:$B,$B$25,GASTOS!$C:$C,K$2)</f>
        <v>0</v>
      </c>
      <c r="L55" s="166">
        <f>SUMIFS(GASTOS!$F:$F,GASTOS!$I:$I,'INFORME GASTOS'!$A55,GASTOS!$B:$B,$B$25,GASTOS!$C:$C,L$2)</f>
        <v>0</v>
      </c>
      <c r="M55" s="166">
        <f>SUMIFS(GASTOS!$F:$F,GASTOS!$I:$I,'INFORME GASTOS'!$A55,GASTOS!$B:$B,$B$25,GASTOS!$C:$C,M$2)</f>
        <v>1684000</v>
      </c>
    </row>
    <row r="56" spans="1:13" x14ac:dyDescent="0.2">
      <c r="A56" s="165" t="s">
        <v>149</v>
      </c>
      <c r="B56" s="166">
        <f>SUMIFS(GASTOS!$F:$F,GASTOS!$I:$I,'INFORME GASTOS'!$A56,GASTOS!$B:$B,$B$25,GASTOS!$C:$C,B$2)</f>
        <v>24000</v>
      </c>
      <c r="C56" s="166">
        <f>SUMIFS(GASTOS!$F:$F,GASTOS!$I:$I,'INFORME GASTOS'!$A56,GASTOS!$B:$B,$B$25,GASTOS!$C:$C,C$2)</f>
        <v>173000</v>
      </c>
      <c r="D56" s="166">
        <f>SUMIFS(GASTOS!$F:$F,GASTOS!$I:$I,'INFORME GASTOS'!$A56,GASTOS!$B:$B,$B$25,GASTOS!$C:$C,D$2)</f>
        <v>0</v>
      </c>
      <c r="E56" s="166">
        <f>SUMIFS(GASTOS!$F:$F,GASTOS!$I:$I,'INFORME GASTOS'!$A56,GASTOS!$B:$B,$B$25,GASTOS!$C:$C,E$2)</f>
        <v>0</v>
      </c>
      <c r="F56" s="166">
        <f>SUMIFS(GASTOS!$F:$F,GASTOS!$I:$I,'INFORME GASTOS'!$A56,GASTOS!$B:$B,$B$25,GASTOS!$C:$C,F$2)</f>
        <v>0</v>
      </c>
      <c r="G56" s="166">
        <f>SUMIFS(GASTOS!$F:$F,GASTOS!$I:$I,'INFORME GASTOS'!$A56,GASTOS!$B:$B,$B$25,GASTOS!$C:$C,G$2)</f>
        <v>0</v>
      </c>
      <c r="H56" s="166">
        <f>SUMIFS(GASTOS!$F:$F,GASTOS!$I:$I,'INFORME GASTOS'!$A56,GASTOS!$B:$B,$B$25,GASTOS!$C:$C,H$2)</f>
        <v>0</v>
      </c>
      <c r="I56" s="166">
        <f>SUMIFS(GASTOS!$F:$F,GASTOS!$I:$I,'INFORME GASTOS'!$A56,GASTOS!$B:$B,$B$25,GASTOS!$C:$C,I$2)</f>
        <v>0</v>
      </c>
      <c r="J56" s="166">
        <f>SUMIFS(GASTOS!$F:$F,GASTOS!$I:$I,'INFORME GASTOS'!$A56,GASTOS!$B:$B,$B$25,GASTOS!$C:$C,J$2)</f>
        <v>0</v>
      </c>
      <c r="K56" s="166">
        <f>SUMIFS(GASTOS!$F:$F,GASTOS!$I:$I,'INFORME GASTOS'!$A56,GASTOS!$B:$B,$B$25,GASTOS!$C:$C,K$2)</f>
        <v>0</v>
      </c>
      <c r="L56" s="166">
        <f>SUMIFS(GASTOS!$F:$F,GASTOS!$I:$I,'INFORME GASTOS'!$A56,GASTOS!$B:$B,$B$25,GASTOS!$C:$C,L$2)</f>
        <v>0</v>
      </c>
      <c r="M56" s="166">
        <f>SUMIFS(GASTOS!$F:$F,GASTOS!$I:$I,'INFORME GASTOS'!$A56,GASTOS!$B:$B,$B$25,GASTOS!$C:$C,M$2)</f>
        <v>96000</v>
      </c>
    </row>
    <row r="57" spans="1:13" x14ac:dyDescent="0.2">
      <c r="A57" s="165" t="s">
        <v>1992</v>
      </c>
      <c r="B57" s="166">
        <f>SUMIFS(GASTOS!$F:$F,GASTOS!$I:$I,'INFORME GASTOS'!$A57,GASTOS!$B:$B,$B$25,GASTOS!$C:$C,B$2)</f>
        <v>1833000</v>
      </c>
      <c r="C57" s="166">
        <f>SUMIFS(GASTOS!$F:$F,GASTOS!$I:$I,'INFORME GASTOS'!$A57,GASTOS!$B:$B,$B$25,GASTOS!$C:$C,C$2)</f>
        <v>1044000</v>
      </c>
      <c r="D57" s="166">
        <f>SUMIFS(GASTOS!$F:$F,GASTOS!$I:$I,'INFORME GASTOS'!$A57,GASTOS!$B:$B,$B$25,GASTOS!$C:$C,D$2)</f>
        <v>0</v>
      </c>
      <c r="E57" s="166">
        <f>SUMIFS(GASTOS!$F:$F,GASTOS!$I:$I,'INFORME GASTOS'!$A57,GASTOS!$B:$B,$B$25,GASTOS!$C:$C,E$2)</f>
        <v>800000</v>
      </c>
      <c r="F57" s="166">
        <f>SUMIFS(GASTOS!$F:$F,GASTOS!$I:$I,'INFORME GASTOS'!$A57,GASTOS!$B:$B,$B$25,GASTOS!$C:$C,F$2)</f>
        <v>2390000</v>
      </c>
      <c r="G57" s="166">
        <f>SUMIFS(GASTOS!$F:$F,GASTOS!$I:$I,'INFORME GASTOS'!$A57,GASTOS!$B:$B,$B$25,GASTOS!$C:$C,G$2)</f>
        <v>353000</v>
      </c>
      <c r="H57" s="166">
        <f>SUMIFS(GASTOS!$F:$F,GASTOS!$I:$I,'INFORME GASTOS'!$A57,GASTOS!$B:$B,$B$25,GASTOS!$C:$C,H$2)</f>
        <v>0</v>
      </c>
      <c r="I57" s="166">
        <f>SUMIFS(GASTOS!$F:$F,GASTOS!$I:$I,'INFORME GASTOS'!$A57,GASTOS!$B:$B,$B$25,GASTOS!$C:$C,I$2)</f>
        <v>0</v>
      </c>
      <c r="J57" s="166">
        <f>SUMIFS(GASTOS!$F:$F,GASTOS!$I:$I,'INFORME GASTOS'!$A57,GASTOS!$B:$B,$B$25,GASTOS!$C:$C,J$2)</f>
        <v>0</v>
      </c>
      <c r="K57" s="166">
        <f>SUMIFS(GASTOS!$F:$F,GASTOS!$I:$I,'INFORME GASTOS'!$A57,GASTOS!$B:$B,$B$25,GASTOS!$C:$C,K$2)</f>
        <v>0</v>
      </c>
      <c r="L57" s="166">
        <f>SUMIFS(GASTOS!$F:$F,GASTOS!$I:$I,'INFORME GASTOS'!$A57,GASTOS!$B:$B,$B$25,GASTOS!$C:$C,L$2)</f>
        <v>0</v>
      </c>
      <c r="M57" s="166">
        <f>SUMIFS(GASTOS!$F:$F,GASTOS!$I:$I,'INFORME GASTOS'!$A57,GASTOS!$B:$B,$B$25,GASTOS!$C:$C,M$2)</f>
        <v>5915000</v>
      </c>
    </row>
    <row r="58" spans="1:13" x14ac:dyDescent="0.2">
      <c r="A58" s="165" t="s">
        <v>299</v>
      </c>
      <c r="B58" s="166">
        <f>SUMIFS(GASTOS!$F:$F,GASTOS!$I:$I,'INFORME GASTOS'!$A58,GASTOS!$B:$B,$B$25,GASTOS!$C:$C,B$2)</f>
        <v>420000</v>
      </c>
      <c r="C58" s="166">
        <f>SUMIFS(GASTOS!$F:$F,GASTOS!$I:$I,'INFORME GASTOS'!$A58,GASTOS!$B:$B,$B$25,GASTOS!$C:$C,C$2)</f>
        <v>206000</v>
      </c>
      <c r="D58" s="166">
        <f>SUMIFS(GASTOS!$F:$F,GASTOS!$I:$I,'INFORME GASTOS'!$A58,GASTOS!$B:$B,$B$25,GASTOS!$C:$C,D$2)</f>
        <v>426000</v>
      </c>
      <c r="E58" s="166">
        <f>SUMIFS(GASTOS!$F:$F,GASTOS!$I:$I,'INFORME GASTOS'!$A58,GASTOS!$B:$B,$B$25,GASTOS!$C:$C,E$2)</f>
        <v>200000</v>
      </c>
      <c r="F58" s="166">
        <f>SUMIFS(GASTOS!$F:$F,GASTOS!$I:$I,'INFORME GASTOS'!$A58,GASTOS!$B:$B,$B$25,GASTOS!$C:$C,F$2)</f>
        <v>435000</v>
      </c>
      <c r="G58" s="166">
        <f>SUMIFS(GASTOS!$F:$F,GASTOS!$I:$I,'INFORME GASTOS'!$A58,GASTOS!$B:$B,$B$25,GASTOS!$C:$C,G$2)</f>
        <v>230000</v>
      </c>
      <c r="H58" s="166">
        <f>SUMIFS(GASTOS!$F:$F,GASTOS!$I:$I,'INFORME GASTOS'!$A58,GASTOS!$B:$B,$B$25,GASTOS!$C:$C,H$2)</f>
        <v>0</v>
      </c>
      <c r="I58" s="166">
        <f>SUMIFS(GASTOS!$F:$F,GASTOS!$I:$I,'INFORME GASTOS'!$A58,GASTOS!$B:$B,$B$25,GASTOS!$C:$C,I$2)</f>
        <v>0</v>
      </c>
      <c r="J58" s="166">
        <f>SUMIFS(GASTOS!$F:$F,GASTOS!$I:$I,'INFORME GASTOS'!$A58,GASTOS!$B:$B,$B$25,GASTOS!$C:$C,J$2)</f>
        <v>0</v>
      </c>
      <c r="K58" s="166">
        <f>SUMIFS(GASTOS!$F:$F,GASTOS!$I:$I,'INFORME GASTOS'!$A58,GASTOS!$B:$B,$B$25,GASTOS!$C:$C,K$2)</f>
        <v>0</v>
      </c>
      <c r="L58" s="166">
        <f>SUMIFS(GASTOS!$F:$F,GASTOS!$I:$I,'INFORME GASTOS'!$A58,GASTOS!$B:$B,$B$25,GASTOS!$C:$C,L$2)</f>
        <v>0</v>
      </c>
      <c r="M58" s="166">
        <f>SUMIFS(GASTOS!$F:$F,GASTOS!$I:$I,'INFORME GASTOS'!$A58,GASTOS!$B:$B,$B$25,GASTOS!$C:$C,M$2)</f>
        <v>470000</v>
      </c>
    </row>
    <row r="59" spans="1:13" x14ac:dyDescent="0.2">
      <c r="A59" s="165" t="s">
        <v>1999</v>
      </c>
      <c r="B59" s="166">
        <f>SUMIFS(GASTOS!$F:$F,GASTOS!$I:$I,'INFORME GASTOS'!$A59,GASTOS!$B:$B,$B$25,GASTOS!$C:$C,B$2)</f>
        <v>420000</v>
      </c>
      <c r="C59" s="166">
        <f>SUMIFS(GASTOS!$F:$F,GASTOS!$I:$I,'INFORME GASTOS'!$A59,GASTOS!$B:$B,$B$25,GASTOS!$C:$C,C$2)</f>
        <v>0</v>
      </c>
      <c r="D59" s="166">
        <f>SUMIFS(GASTOS!$F:$F,GASTOS!$I:$I,'INFORME GASTOS'!$A59,GASTOS!$B:$B,$B$25,GASTOS!$C:$C,D$2)</f>
        <v>0</v>
      </c>
      <c r="E59" s="166">
        <f>SUMIFS(GASTOS!$F:$F,GASTOS!$I:$I,'INFORME GASTOS'!$A59,GASTOS!$B:$B,$B$25,GASTOS!$C:$C,E$2)</f>
        <v>100000</v>
      </c>
      <c r="F59" s="166">
        <f>SUMIFS(GASTOS!$F:$F,GASTOS!$I:$I,'INFORME GASTOS'!$A59,GASTOS!$B:$B,$B$25,GASTOS!$C:$C,F$2)</f>
        <v>0</v>
      </c>
      <c r="G59" s="166">
        <f>SUMIFS(GASTOS!$F:$F,GASTOS!$I:$I,'INFORME GASTOS'!$A59,GASTOS!$B:$B,$B$25,GASTOS!$C:$C,G$2)</f>
        <v>0</v>
      </c>
      <c r="H59" s="166">
        <f>SUMIFS(GASTOS!$F:$F,GASTOS!$I:$I,'INFORME GASTOS'!$A59,GASTOS!$B:$B,$B$25,GASTOS!$C:$C,H$2)</f>
        <v>0</v>
      </c>
      <c r="I59" s="166">
        <f>SUMIFS(GASTOS!$F:$F,GASTOS!$I:$I,'INFORME GASTOS'!$A59,GASTOS!$B:$B,$B$25,GASTOS!$C:$C,I$2)</f>
        <v>0</v>
      </c>
      <c r="J59" s="166">
        <f>SUMIFS(GASTOS!$F:$F,GASTOS!$I:$I,'INFORME GASTOS'!$A59,GASTOS!$B:$B,$B$25,GASTOS!$C:$C,J$2)</f>
        <v>0</v>
      </c>
      <c r="K59" s="166">
        <f>SUMIFS(GASTOS!$F:$F,GASTOS!$I:$I,'INFORME GASTOS'!$A59,GASTOS!$B:$B,$B$25,GASTOS!$C:$C,K$2)</f>
        <v>0</v>
      </c>
      <c r="L59" s="166">
        <f>SUMIFS(GASTOS!$F:$F,GASTOS!$I:$I,'INFORME GASTOS'!$A59,GASTOS!$B:$B,$B$25,GASTOS!$C:$C,L$2)</f>
        <v>0</v>
      </c>
      <c r="M59" s="166">
        <f>SUMIFS(GASTOS!$F:$F,GASTOS!$I:$I,'INFORME GASTOS'!$A59,GASTOS!$B:$B,$B$25,GASTOS!$C:$C,M$2)</f>
        <v>0</v>
      </c>
    </row>
    <row r="60" spans="1:13" x14ac:dyDescent="0.2">
      <c r="A60" s="165" t="s">
        <v>1729</v>
      </c>
      <c r="B60" s="166">
        <f>SUMIFS(GASTOS!$F:$F,GASTOS!$I:$I,'INFORME GASTOS'!$A60,GASTOS!$B:$B,$B$25,GASTOS!$C:$C,B$2)</f>
        <v>0</v>
      </c>
      <c r="C60" s="166">
        <f>SUMIFS(GASTOS!$F:$F,GASTOS!$I:$I,'INFORME GASTOS'!$A60,GASTOS!$B:$B,$B$25,GASTOS!$C:$C,C$2)</f>
        <v>500000</v>
      </c>
      <c r="D60" s="166">
        <f>SUMIFS(GASTOS!$F:$F,GASTOS!$I:$I,'INFORME GASTOS'!$A60,GASTOS!$B:$B,$B$25,GASTOS!$C:$C,D$2)</f>
        <v>0</v>
      </c>
      <c r="E60" s="166">
        <f>SUMIFS(GASTOS!$F:$F,GASTOS!$I:$I,'INFORME GASTOS'!$A60,GASTOS!$B:$B,$B$25,GASTOS!$C:$C,E$2)</f>
        <v>0</v>
      </c>
      <c r="F60" s="166">
        <f>SUMIFS(GASTOS!$F:$F,GASTOS!$I:$I,'INFORME GASTOS'!$A60,GASTOS!$B:$B,$B$25,GASTOS!$C:$C,F$2)</f>
        <v>0</v>
      </c>
      <c r="G60" s="166">
        <f>SUMIFS(GASTOS!$F:$F,GASTOS!$I:$I,'INFORME GASTOS'!$A60,GASTOS!$B:$B,$B$25,GASTOS!$C:$C,G$2)</f>
        <v>0</v>
      </c>
      <c r="H60" s="166">
        <f>SUMIFS(GASTOS!$F:$F,GASTOS!$I:$I,'INFORME GASTOS'!$A60,GASTOS!$B:$B,$B$25,GASTOS!$C:$C,H$2)</f>
        <v>0</v>
      </c>
      <c r="I60" s="166">
        <f>SUMIFS(GASTOS!$F:$F,GASTOS!$I:$I,'INFORME GASTOS'!$A60,GASTOS!$B:$B,$B$25,GASTOS!$C:$C,I$2)</f>
        <v>0</v>
      </c>
      <c r="J60" s="166">
        <f>SUMIFS(GASTOS!$F:$F,GASTOS!$I:$I,'INFORME GASTOS'!$A60,GASTOS!$B:$B,$B$25,GASTOS!$C:$C,J$2)</f>
        <v>0</v>
      </c>
      <c r="K60" s="166">
        <f>SUMIFS(GASTOS!$F:$F,GASTOS!$I:$I,'INFORME GASTOS'!$A60,GASTOS!$B:$B,$B$25,GASTOS!$C:$C,K$2)</f>
        <v>0</v>
      </c>
      <c r="L60" s="166">
        <f>SUMIFS(GASTOS!$F:$F,GASTOS!$I:$I,'INFORME GASTOS'!$A60,GASTOS!$B:$B,$B$25,GASTOS!$C:$C,L$2)</f>
        <v>0</v>
      </c>
      <c r="M60" s="166">
        <f>SUMIFS(GASTOS!$F:$F,GASTOS!$I:$I,'INFORME GASTOS'!$A60,GASTOS!$B:$B,$B$25,GASTOS!$C:$C,M$2)</f>
        <v>100000</v>
      </c>
    </row>
    <row r="61" spans="1:13" x14ac:dyDescent="0.2">
      <c r="A61" s="165" t="s">
        <v>1894</v>
      </c>
      <c r="B61" s="166">
        <f>SUMIFS(GASTOS!$F:$F,GASTOS!$I:$I,'INFORME GASTOS'!$A61,GASTOS!$B:$B,$B$25,GASTOS!$C:$C,B$2)</f>
        <v>0</v>
      </c>
      <c r="C61" s="166">
        <f>SUMIFS(GASTOS!$F:$F,GASTOS!$I:$I,'INFORME GASTOS'!$A61,GASTOS!$B:$B,$B$25,GASTOS!$C:$C,C$2)</f>
        <v>0</v>
      </c>
      <c r="D61" s="166">
        <f>SUMIFS(GASTOS!$F:$F,GASTOS!$I:$I,'INFORME GASTOS'!$A61,GASTOS!$B:$B,$B$25,GASTOS!$C:$C,D$2)</f>
        <v>0</v>
      </c>
      <c r="E61" s="166">
        <f>SUMIFS(GASTOS!$F:$F,GASTOS!$I:$I,'INFORME GASTOS'!$A61,GASTOS!$B:$B,$B$25,GASTOS!$C:$C,E$2)</f>
        <v>0</v>
      </c>
      <c r="F61" s="166">
        <f>SUMIFS(GASTOS!$F:$F,GASTOS!$I:$I,'INFORME GASTOS'!$A61,GASTOS!$B:$B,$B$25,GASTOS!$C:$C,F$2)</f>
        <v>0</v>
      </c>
      <c r="G61" s="166">
        <f>SUMIFS(GASTOS!$F:$F,GASTOS!$I:$I,'INFORME GASTOS'!$A61,GASTOS!$B:$B,$B$25,GASTOS!$C:$C,G$2)</f>
        <v>0</v>
      </c>
      <c r="H61" s="166">
        <f>SUMIFS(GASTOS!$F:$F,GASTOS!$I:$I,'INFORME GASTOS'!$A61,GASTOS!$B:$B,$B$25,GASTOS!$C:$C,H$2)</f>
        <v>0</v>
      </c>
      <c r="I61" s="166">
        <f>SUMIFS(GASTOS!$F:$F,GASTOS!$I:$I,'INFORME GASTOS'!$A61,GASTOS!$B:$B,$B$25,GASTOS!$C:$C,I$2)</f>
        <v>0</v>
      </c>
      <c r="J61" s="166">
        <f>SUMIFS(GASTOS!$F:$F,GASTOS!$I:$I,'INFORME GASTOS'!$A61,GASTOS!$B:$B,$B$25,GASTOS!$C:$C,J$2)</f>
        <v>0</v>
      </c>
      <c r="K61" s="166">
        <f>SUMIFS(GASTOS!$F:$F,GASTOS!$I:$I,'INFORME GASTOS'!$A61,GASTOS!$B:$B,$B$25,GASTOS!$C:$C,K$2)</f>
        <v>0</v>
      </c>
      <c r="L61" s="166">
        <f>SUMIFS(GASTOS!$F:$F,GASTOS!$I:$I,'INFORME GASTOS'!$A61,GASTOS!$B:$B,$B$25,GASTOS!$C:$C,L$2)</f>
        <v>0</v>
      </c>
      <c r="M61" s="166">
        <f>SUMIFS(GASTOS!$F:$F,GASTOS!$I:$I,'INFORME GASTOS'!$A61,GASTOS!$B:$B,$B$25,GASTOS!$C:$C,M$2)</f>
        <v>0</v>
      </c>
    </row>
    <row r="62" spans="1:13" x14ac:dyDescent="0.2">
      <c r="A62" s="165" t="s">
        <v>573</v>
      </c>
      <c r="B62" s="166">
        <f>SUMIFS(GASTOS!$F:$F,GASTOS!$I:$I,'INFORME GASTOS'!$A62,GASTOS!$B:$B,$B$25,GASTOS!$C:$C,B$2)</f>
        <v>0</v>
      </c>
      <c r="C62" s="166">
        <f>SUMIFS(GASTOS!$F:$F,GASTOS!$I:$I,'INFORME GASTOS'!$A62,GASTOS!$B:$B,$B$25,GASTOS!$C:$C,C$2)</f>
        <v>0</v>
      </c>
      <c r="D62" s="166">
        <f>SUMIFS(GASTOS!$F:$F,GASTOS!$I:$I,'INFORME GASTOS'!$A62,GASTOS!$B:$B,$B$25,GASTOS!$C:$C,D$2)</f>
        <v>0</v>
      </c>
      <c r="E62" s="166">
        <f>SUMIFS(GASTOS!$F:$F,GASTOS!$I:$I,'INFORME GASTOS'!$A62,GASTOS!$B:$B,$B$25,GASTOS!$C:$C,E$2)</f>
        <v>0</v>
      </c>
      <c r="F62" s="166">
        <f>SUMIFS(GASTOS!$F:$F,GASTOS!$I:$I,'INFORME GASTOS'!$A62,GASTOS!$B:$B,$B$25,GASTOS!$C:$C,F$2)</f>
        <v>0</v>
      </c>
      <c r="G62" s="166">
        <f>SUMIFS(GASTOS!$F:$F,GASTOS!$I:$I,'INFORME GASTOS'!$A62,GASTOS!$B:$B,$B$25,GASTOS!$C:$C,G$2)</f>
        <v>0</v>
      </c>
      <c r="H62" s="166">
        <f>SUMIFS(GASTOS!$F:$F,GASTOS!$I:$I,'INFORME GASTOS'!$A62,GASTOS!$B:$B,$B$25,GASTOS!$C:$C,H$2)</f>
        <v>0</v>
      </c>
      <c r="I62" s="166">
        <f>SUMIFS(GASTOS!$F:$F,GASTOS!$I:$I,'INFORME GASTOS'!$A62,GASTOS!$B:$B,$B$25,GASTOS!$C:$C,I$2)</f>
        <v>0</v>
      </c>
      <c r="J62" s="166">
        <f>SUMIFS(GASTOS!$F:$F,GASTOS!$I:$I,'INFORME GASTOS'!$A62,GASTOS!$B:$B,$B$25,GASTOS!$C:$C,J$2)</f>
        <v>0</v>
      </c>
      <c r="K62" s="166">
        <f>SUMIFS(GASTOS!$F:$F,GASTOS!$I:$I,'INFORME GASTOS'!$A62,GASTOS!$B:$B,$B$25,GASTOS!$C:$C,K$2)</f>
        <v>0</v>
      </c>
      <c r="L62" s="166">
        <f>SUMIFS(GASTOS!$F:$F,GASTOS!$I:$I,'INFORME GASTOS'!$A62,GASTOS!$B:$B,$B$25,GASTOS!$C:$C,L$2)</f>
        <v>0</v>
      </c>
      <c r="M62" s="166">
        <f>SUMIFS(GASTOS!$F:$F,GASTOS!$I:$I,'INFORME GASTOS'!$A62,GASTOS!$B:$B,$B$25,GASTOS!$C:$C,M$2)</f>
        <v>0</v>
      </c>
    </row>
    <row r="63" spans="1:13" x14ac:dyDescent="0.2">
      <c r="A63" s="165" t="s">
        <v>391</v>
      </c>
      <c r="B63" s="166">
        <f>SUMIFS(GASTOS!$F:$F,GASTOS!$I:$I,'INFORME GASTOS'!$A63,GASTOS!$B:$B,$B$25,GASTOS!$C:$C,B$2)</f>
        <v>0</v>
      </c>
      <c r="C63" s="166">
        <f>SUMIFS(GASTOS!$F:$F,GASTOS!$I:$I,'INFORME GASTOS'!$A63,GASTOS!$B:$B,$B$25,GASTOS!$C:$C,C$2)</f>
        <v>1055000</v>
      </c>
      <c r="D63" s="166">
        <f>SUMIFS(GASTOS!$F:$F,GASTOS!$I:$I,'INFORME GASTOS'!$A63,GASTOS!$B:$B,$B$25,GASTOS!$C:$C,D$2)</f>
        <v>0</v>
      </c>
      <c r="E63" s="166">
        <f>SUMIFS(GASTOS!$F:$F,GASTOS!$I:$I,'INFORME GASTOS'!$A63,GASTOS!$B:$B,$B$25,GASTOS!$C:$C,E$2)</f>
        <v>1078000</v>
      </c>
      <c r="F63" s="166">
        <f>SUMIFS(GASTOS!$F:$F,GASTOS!$I:$I,'INFORME GASTOS'!$A63,GASTOS!$B:$B,$B$25,GASTOS!$C:$C,F$2)</f>
        <v>220000</v>
      </c>
      <c r="G63" s="166">
        <f>SUMIFS(GASTOS!$F:$F,GASTOS!$I:$I,'INFORME GASTOS'!$A63,GASTOS!$B:$B,$B$25,GASTOS!$C:$C,G$2)</f>
        <v>1134300</v>
      </c>
      <c r="H63" s="166">
        <f>SUMIFS(GASTOS!$F:$F,GASTOS!$I:$I,'INFORME GASTOS'!$A63,GASTOS!$B:$B,$B$25,GASTOS!$C:$C,H$2)</f>
        <v>0</v>
      </c>
      <c r="I63" s="166">
        <f>SUMIFS(GASTOS!$F:$F,GASTOS!$I:$I,'INFORME GASTOS'!$A63,GASTOS!$B:$B,$B$25,GASTOS!$C:$C,I$2)</f>
        <v>0</v>
      </c>
      <c r="J63" s="166">
        <f>SUMIFS(GASTOS!$F:$F,GASTOS!$I:$I,'INFORME GASTOS'!$A63,GASTOS!$B:$B,$B$25,GASTOS!$C:$C,J$2)</f>
        <v>0</v>
      </c>
      <c r="K63" s="166">
        <f>SUMIFS(GASTOS!$F:$F,GASTOS!$I:$I,'INFORME GASTOS'!$A63,GASTOS!$B:$B,$B$25,GASTOS!$C:$C,K$2)</f>
        <v>0</v>
      </c>
      <c r="L63" s="166">
        <f>SUMIFS(GASTOS!$F:$F,GASTOS!$I:$I,'INFORME GASTOS'!$A63,GASTOS!$B:$B,$B$25,GASTOS!$C:$C,L$2)</f>
        <v>0</v>
      </c>
      <c r="M63" s="166">
        <f>SUMIFS(GASTOS!$F:$F,GASTOS!$I:$I,'INFORME GASTOS'!$A63,GASTOS!$B:$B,$B$25,GASTOS!$C:$C,M$2)</f>
        <v>1037000</v>
      </c>
    </row>
    <row r="64" spans="1:13" x14ac:dyDescent="0.2">
      <c r="A64" s="165" t="s">
        <v>1973</v>
      </c>
      <c r="B64" s="166">
        <f>SUMIFS(GASTOS!$F:$F,GASTOS!$I:$I,'INFORME GASTOS'!$A64,GASTOS!$B:$B,$B$25,GASTOS!$C:$C,B$2)</f>
        <v>0</v>
      </c>
      <c r="C64" s="166">
        <f>SUMIFS(GASTOS!$F:$F,GASTOS!$I:$I,'INFORME GASTOS'!$A64,GASTOS!$B:$B,$B$25,GASTOS!$C:$C,C$2)</f>
        <v>0</v>
      </c>
      <c r="D64" s="166">
        <f>SUMIFS(GASTOS!$F:$F,GASTOS!$I:$I,'INFORME GASTOS'!$A64,GASTOS!$B:$B,$B$25,GASTOS!$C:$C,D$2)</f>
        <v>0</v>
      </c>
      <c r="E64" s="166">
        <f>SUMIFS(GASTOS!$F:$F,GASTOS!$I:$I,'INFORME GASTOS'!$A64,GASTOS!$B:$B,$B$25,GASTOS!$C:$C,E$2)</f>
        <v>0</v>
      </c>
      <c r="F64" s="166">
        <f>SUMIFS(GASTOS!$F:$F,GASTOS!$I:$I,'INFORME GASTOS'!$A64,GASTOS!$B:$B,$B$25,GASTOS!$C:$C,F$2)</f>
        <v>0</v>
      </c>
      <c r="G64" s="166">
        <f>SUMIFS(GASTOS!$F:$F,GASTOS!$I:$I,'INFORME GASTOS'!$A64,GASTOS!$B:$B,$B$25,GASTOS!$C:$C,G$2)</f>
        <v>0</v>
      </c>
      <c r="H64" s="166">
        <f>SUMIFS(GASTOS!$F:$F,GASTOS!$I:$I,'INFORME GASTOS'!$A64,GASTOS!$B:$B,$B$25,GASTOS!$C:$C,H$2)</f>
        <v>0</v>
      </c>
      <c r="I64" s="166">
        <f>SUMIFS(GASTOS!$F:$F,GASTOS!$I:$I,'INFORME GASTOS'!$A64,GASTOS!$B:$B,$B$25,GASTOS!$C:$C,I$2)</f>
        <v>0</v>
      </c>
      <c r="J64" s="166">
        <f>SUMIFS(GASTOS!$F:$F,GASTOS!$I:$I,'INFORME GASTOS'!$A64,GASTOS!$B:$B,$B$25,GASTOS!$C:$C,J$2)</f>
        <v>0</v>
      </c>
      <c r="K64" s="166">
        <f>SUMIFS(GASTOS!$F:$F,GASTOS!$I:$I,'INFORME GASTOS'!$A64,GASTOS!$B:$B,$B$25,GASTOS!$C:$C,K$2)</f>
        <v>0</v>
      </c>
      <c r="L64" s="166">
        <f>SUMIFS(GASTOS!$F:$F,GASTOS!$I:$I,'INFORME GASTOS'!$A64,GASTOS!$B:$B,$B$25,GASTOS!$C:$C,L$2)</f>
        <v>0</v>
      </c>
      <c r="M64" s="166">
        <f>SUMIFS(GASTOS!$F:$F,GASTOS!$I:$I,'INFORME GASTOS'!$A64,GASTOS!$B:$B,$B$25,GASTOS!$C:$C,M$2)</f>
        <v>0</v>
      </c>
    </row>
    <row r="65" spans="1:13" x14ac:dyDescent="0.2">
      <c r="A65" s="165" t="s">
        <v>2807</v>
      </c>
      <c r="B65" s="166">
        <f>SUMIFS(GASTOS!$F:$F,GASTOS!$I:$I,'INFORME GASTOS'!$A65,GASTOS!$B:$B,$B$25,GASTOS!$C:$C,B$2)</f>
        <v>515000</v>
      </c>
      <c r="C65" s="166">
        <f>SUMIFS(GASTOS!$F:$F,GASTOS!$I:$I,'INFORME GASTOS'!$A65,GASTOS!$B:$B,$B$25,GASTOS!$C:$C,C$2)</f>
        <v>150000</v>
      </c>
      <c r="D65" s="166">
        <f>SUMIFS(GASTOS!$F:$F,GASTOS!$I:$I,'INFORME GASTOS'!$A65,GASTOS!$B:$B,$B$25,GASTOS!$C:$C,D$2)</f>
        <v>131000</v>
      </c>
      <c r="E65" s="166">
        <f>SUMIFS(GASTOS!$F:$F,GASTOS!$I:$I,'INFORME GASTOS'!$A65,GASTOS!$B:$B,$B$25,GASTOS!$C:$C,E$2)</f>
        <v>360000</v>
      </c>
      <c r="F65" s="166">
        <f>SUMIFS(GASTOS!$F:$F,GASTOS!$I:$I,'INFORME GASTOS'!$A65,GASTOS!$B:$B,$B$25,GASTOS!$C:$C,F$2)</f>
        <v>282000</v>
      </c>
      <c r="G65" s="166">
        <f>SUMIFS(GASTOS!$F:$F,GASTOS!$I:$I,'INFORME GASTOS'!$A65,GASTOS!$B:$B,$B$25,GASTOS!$C:$C,G$2)</f>
        <v>320000</v>
      </c>
      <c r="H65" s="166">
        <f>SUMIFS(GASTOS!$F:$F,GASTOS!$I:$I,'INFORME GASTOS'!$A65,GASTOS!$B:$B,$B$25,GASTOS!$C:$C,H$2)</f>
        <v>0</v>
      </c>
      <c r="I65" s="166">
        <f>SUMIFS(GASTOS!$F:$F,GASTOS!$I:$I,'INFORME GASTOS'!$A65,GASTOS!$B:$B,$B$25,GASTOS!$C:$C,I$2)</f>
        <v>0</v>
      </c>
      <c r="J65" s="166">
        <f>SUMIFS(GASTOS!$F:$F,GASTOS!$I:$I,'INFORME GASTOS'!$A65,GASTOS!$B:$B,$B$25,GASTOS!$C:$C,J$2)</f>
        <v>0</v>
      </c>
      <c r="K65" s="166">
        <f>SUMIFS(GASTOS!$F:$F,GASTOS!$I:$I,'INFORME GASTOS'!$A65,GASTOS!$B:$B,$B$25,GASTOS!$C:$C,K$2)</f>
        <v>0</v>
      </c>
      <c r="L65" s="166">
        <f>SUMIFS(GASTOS!$F:$F,GASTOS!$I:$I,'INFORME GASTOS'!$A65,GASTOS!$B:$B,$B$25,GASTOS!$C:$C,L$2)</f>
        <v>0</v>
      </c>
      <c r="M65" s="166">
        <f>SUMIFS(GASTOS!$F:$F,GASTOS!$I:$I,'INFORME GASTOS'!$A65,GASTOS!$B:$B,$B$25,GASTOS!$C:$C,M$2)</f>
        <v>160000</v>
      </c>
    </row>
    <row r="66" spans="1:13" x14ac:dyDescent="0.2">
      <c r="A66" s="282" t="s">
        <v>4569</v>
      </c>
      <c r="B66" s="166">
        <f>SUMIFS(GASTOS!$F:$F,GASTOS!$I:$I,'INFORME GASTOS'!$A66,GASTOS!$B:$B,$B$25,GASTOS!$C:$C,B$2)</f>
        <v>0</v>
      </c>
      <c r="C66" s="166">
        <f>SUMIFS(GASTOS!$F:$F,GASTOS!$I:$I,'INFORME GASTOS'!$A66,GASTOS!$B:$B,$B$25,GASTOS!$C:$C,C$2)</f>
        <v>0</v>
      </c>
      <c r="D66" s="166">
        <f>SUMIFS(GASTOS!$F:$F,GASTOS!$I:$I,'INFORME GASTOS'!$A66,GASTOS!$B:$B,$B$25,GASTOS!$C:$C,D$2)</f>
        <v>0</v>
      </c>
      <c r="E66" s="166">
        <f>SUMIFS(GASTOS!$F:$F,GASTOS!$I:$I,'INFORME GASTOS'!$A66,GASTOS!$B:$B,$B$25,GASTOS!$C:$C,E$2)</f>
        <v>0</v>
      </c>
      <c r="F66" s="166">
        <f>SUMIFS(GASTOS!$F:$F,GASTOS!$I:$I,'INFORME GASTOS'!$A66,GASTOS!$B:$B,$B$25,GASTOS!$C:$C,F$2)</f>
        <v>0</v>
      </c>
      <c r="G66" s="166">
        <f>SUMIFS(GASTOS!$F:$F,GASTOS!$I:$I,'INFORME GASTOS'!$A66,GASTOS!$B:$B,$B$25,GASTOS!$C:$C,G$2)</f>
        <v>0</v>
      </c>
      <c r="H66" s="166">
        <f>SUMIFS(GASTOS!$F:$F,GASTOS!$I:$I,'INFORME GASTOS'!$A66,GASTOS!$B:$B,$B$25,GASTOS!$C:$C,H$2)</f>
        <v>0</v>
      </c>
      <c r="I66" s="166">
        <f>SUMIFS(GASTOS!$F:$F,GASTOS!$I:$I,'INFORME GASTOS'!$A66,GASTOS!$B:$B,$B$25,GASTOS!$C:$C,I$2)</f>
        <v>0</v>
      </c>
      <c r="J66" s="166">
        <f>SUMIFS(GASTOS!$F:$F,GASTOS!$I:$I,'INFORME GASTOS'!$A66,GASTOS!$B:$B,$B$25,GASTOS!$C:$C,J$2)</f>
        <v>0</v>
      </c>
      <c r="K66" s="166">
        <f>SUMIFS(GASTOS!$F:$F,GASTOS!$I:$I,'INFORME GASTOS'!$A66,GASTOS!$B:$B,$B$25,GASTOS!$C:$C,K$2)</f>
        <v>0</v>
      </c>
      <c r="L66" s="166">
        <f>SUMIFS(GASTOS!$F:$F,GASTOS!$I:$I,'INFORME GASTOS'!$A66,GASTOS!$B:$B,$B$25,GASTOS!$C:$C,L$2)</f>
        <v>0</v>
      </c>
      <c r="M66" s="166">
        <f>SUMIFS(GASTOS!$F:$F,GASTOS!$I:$I,'INFORME GASTOS'!$A66,GASTOS!$B:$B,$B$25,GASTOS!$C:$C,M$2)</f>
        <v>0</v>
      </c>
    </row>
    <row r="67" spans="1:13" x14ac:dyDescent="0.2">
      <c r="A67" s="165" t="s">
        <v>4137</v>
      </c>
      <c r="B67" s="166">
        <f>SUMIFS(GASTOS!$F:$F,GASTOS!$I:$I,'INFORME GASTOS'!$A67,GASTOS!$B:$B,$B$25,GASTOS!$C:$C,B$2)</f>
        <v>0</v>
      </c>
      <c r="C67" s="166">
        <f>SUMIFS(GASTOS!$F:$F,GASTOS!$I:$I,'INFORME GASTOS'!$A67,GASTOS!$B:$B,$B$25,GASTOS!$C:$C,C$2)</f>
        <v>0</v>
      </c>
      <c r="D67" s="166">
        <f>SUMIFS(GASTOS!$F:$F,GASTOS!$I:$I,'INFORME GASTOS'!$A67,GASTOS!$B:$B,$B$25,GASTOS!$C:$C,D$2)</f>
        <v>0</v>
      </c>
      <c r="E67" s="166">
        <f>SUMIFS(GASTOS!$F:$F,GASTOS!$I:$I,'INFORME GASTOS'!$A67,GASTOS!$B:$B,$B$25,GASTOS!$C:$C,E$2)</f>
        <v>0</v>
      </c>
      <c r="F67" s="166">
        <f>SUMIFS(GASTOS!$F:$F,GASTOS!$I:$I,'INFORME GASTOS'!$A67,GASTOS!$B:$B,$B$25,GASTOS!$C:$C,F$2)</f>
        <v>2660000</v>
      </c>
      <c r="G67" s="166">
        <f>SUMIFS(GASTOS!$F:$F,GASTOS!$I:$I,'INFORME GASTOS'!$A67,GASTOS!$B:$B,$B$25,GASTOS!$C:$C,G$2)</f>
        <v>0</v>
      </c>
      <c r="H67" s="166">
        <f>SUMIFS(GASTOS!$F:$F,GASTOS!$I:$I,'INFORME GASTOS'!$A67,GASTOS!$B:$B,$B$25,GASTOS!$C:$C,H$2)</f>
        <v>0</v>
      </c>
      <c r="I67" s="166">
        <f>SUMIFS(GASTOS!$F:$F,GASTOS!$I:$I,'INFORME GASTOS'!$A67,GASTOS!$B:$B,$B$25,GASTOS!$C:$C,I$2)</f>
        <v>0</v>
      </c>
      <c r="J67" s="166">
        <f>SUMIFS(GASTOS!$F:$F,GASTOS!$I:$I,'INFORME GASTOS'!$A67,GASTOS!$B:$B,$B$25,GASTOS!$C:$C,J$2)</f>
        <v>0</v>
      </c>
      <c r="K67" s="166">
        <f>SUMIFS(GASTOS!$F:$F,GASTOS!$I:$I,'INFORME GASTOS'!$A67,GASTOS!$B:$B,$B$25,GASTOS!$C:$C,K$2)</f>
        <v>0</v>
      </c>
      <c r="L67" s="166">
        <f>SUMIFS(GASTOS!$F:$F,GASTOS!$I:$I,'INFORME GASTOS'!$A67,GASTOS!$B:$B,$B$25,GASTOS!$C:$C,L$2)</f>
        <v>0</v>
      </c>
      <c r="M67" s="166">
        <f>SUMIFS(GASTOS!$F:$F,GASTOS!$I:$I,'INFORME GASTOS'!$A67,GASTOS!$B:$B,$B$25,GASTOS!$C:$C,M$2)</f>
        <v>0</v>
      </c>
    </row>
    <row r="68" spans="1:13" x14ac:dyDescent="0.2">
      <c r="B68" s="164">
        <f t="shared" ref="B68:M68" si="2">SUM(B52:B67)</f>
        <v>7455000</v>
      </c>
      <c r="C68" s="164">
        <f t="shared" si="2"/>
        <v>10643000</v>
      </c>
      <c r="D68" s="164">
        <f t="shared" si="2"/>
        <v>8836000</v>
      </c>
      <c r="E68" s="164">
        <f t="shared" si="2"/>
        <v>9597000</v>
      </c>
      <c r="F68" s="164">
        <f t="shared" si="2"/>
        <v>9794000</v>
      </c>
      <c r="G68" s="164">
        <f t="shared" si="2"/>
        <v>5564300</v>
      </c>
      <c r="H68" s="164">
        <f t="shared" si="2"/>
        <v>0</v>
      </c>
      <c r="I68" s="164">
        <f t="shared" si="2"/>
        <v>0</v>
      </c>
      <c r="J68" s="164">
        <f t="shared" si="2"/>
        <v>0</v>
      </c>
      <c r="K68" s="164">
        <f t="shared" si="2"/>
        <v>0</v>
      </c>
      <c r="L68" s="164">
        <f t="shared" si="2"/>
        <v>0</v>
      </c>
      <c r="M68" s="164">
        <f t="shared" si="2"/>
        <v>18329000</v>
      </c>
    </row>
  </sheetData>
  <phoneticPr fontId="10" type="noConversion"/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5318A-F906-43FD-AF5F-8914BE55CA85}">
  <dimension ref="A1:AO42"/>
  <sheetViews>
    <sheetView topLeftCell="E1" zoomScale="167" workbookViewId="0">
      <pane ySplit="2" topLeftCell="A3" activePane="bottomLeft" state="frozen"/>
      <selection pane="bottomLeft" activeCell="E8" sqref="E8"/>
    </sheetView>
  </sheetViews>
  <sheetFormatPr baseColWidth="10" defaultColWidth="11.33203125" defaultRowHeight="15" x14ac:dyDescent="0.2"/>
  <cols>
    <col min="1" max="1" width="5.33203125" customWidth="1"/>
    <col min="2" max="2" width="4.6640625" customWidth="1"/>
    <col min="3" max="3" width="4.1640625" bestFit="1" customWidth="1"/>
    <col min="4" max="4" width="32.1640625" customWidth="1"/>
    <col min="5" max="5" width="26.33203125" customWidth="1"/>
    <col min="6" max="6" width="13" customWidth="1"/>
    <col min="7" max="7" width="6.33203125" style="160" customWidth="1"/>
    <col min="8" max="8" width="12.83203125" hidden="1" customWidth="1"/>
    <col min="9" max="9" width="12.33203125" hidden="1" customWidth="1"/>
    <col min="10" max="10" width="13.1640625" hidden="1" customWidth="1"/>
    <col min="11" max="11" width="13.33203125" hidden="1" customWidth="1"/>
    <col min="12" max="12" width="13.6640625" hidden="1" customWidth="1"/>
    <col min="13" max="13" width="17" hidden="1" customWidth="1"/>
    <col min="14" max="14" width="13.6640625" hidden="1" customWidth="1"/>
    <col min="15" max="15" width="17" hidden="1" customWidth="1"/>
    <col min="16" max="16" width="11.6640625" hidden="1" customWidth="1"/>
    <col min="17" max="17" width="11.33203125" hidden="1" customWidth="1"/>
    <col min="18" max="18" width="12.1640625" hidden="1" customWidth="1"/>
    <col min="19" max="19" width="12.33203125" hidden="1" customWidth="1"/>
    <col min="20" max="20" width="12.83203125" hidden="1" customWidth="1"/>
    <col min="21" max="21" width="11.33203125" hidden="1" customWidth="1"/>
    <col min="22" max="22" width="12.83203125" hidden="1" customWidth="1"/>
    <col min="23" max="23" width="18.33203125" hidden="1" customWidth="1"/>
    <col min="24" max="24" width="12.83203125" hidden="1" customWidth="1"/>
    <col min="25" max="25" width="11.5" hidden="1" customWidth="1"/>
    <col min="26" max="26" width="13" hidden="1" customWidth="1"/>
    <col min="27" max="27" width="11.33203125" hidden="1" customWidth="1"/>
    <col min="28" max="28" width="12.33203125" hidden="1" customWidth="1"/>
    <col min="29" max="29" width="11.33203125" hidden="1" customWidth="1"/>
    <col min="30" max="30" width="12.33203125" hidden="1" customWidth="1"/>
    <col min="31" max="31" width="11.33203125" hidden="1" customWidth="1"/>
    <col min="32" max="32" width="12.33203125" hidden="1" customWidth="1"/>
    <col min="33" max="33" width="11.33203125" hidden="1" customWidth="1"/>
    <col min="34" max="34" width="12.33203125" hidden="1" customWidth="1"/>
    <col min="35" max="35" width="11.33203125" hidden="1" customWidth="1"/>
    <col min="36" max="36" width="12.33203125" customWidth="1"/>
    <col min="37" max="37" width="11.33203125" customWidth="1"/>
    <col min="38" max="38" width="12.33203125" bestFit="1" customWidth="1"/>
    <col min="40" max="40" width="12.33203125" bestFit="1" customWidth="1"/>
  </cols>
  <sheetData>
    <row r="1" spans="1:41" ht="19" x14ac:dyDescent="0.25">
      <c r="A1" s="382" t="s">
        <v>2969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</row>
    <row r="2" spans="1:41" x14ac:dyDescent="0.2">
      <c r="A2" s="12" t="s">
        <v>77</v>
      </c>
      <c r="B2" s="12" t="s">
        <v>2970</v>
      </c>
      <c r="C2" s="12" t="s">
        <v>2971</v>
      </c>
      <c r="D2" s="135" t="s">
        <v>78</v>
      </c>
      <c r="E2" s="12" t="s">
        <v>82</v>
      </c>
      <c r="F2" s="30" t="s">
        <v>72</v>
      </c>
      <c r="G2" s="159" t="s">
        <v>15</v>
      </c>
      <c r="H2" s="30" t="s">
        <v>2972</v>
      </c>
      <c r="I2" s="30" t="s">
        <v>2973</v>
      </c>
      <c r="J2" s="30" t="s">
        <v>4</v>
      </c>
      <c r="K2" s="30" t="s">
        <v>2973</v>
      </c>
      <c r="L2" s="30" t="s">
        <v>5</v>
      </c>
      <c r="M2" s="30" t="s">
        <v>2973</v>
      </c>
      <c r="N2" s="30" t="s">
        <v>6</v>
      </c>
      <c r="O2" s="30" t="s">
        <v>2973</v>
      </c>
      <c r="P2" s="30" t="s">
        <v>7</v>
      </c>
      <c r="Q2" s="30" t="s">
        <v>2973</v>
      </c>
      <c r="R2" s="30" t="s">
        <v>8</v>
      </c>
      <c r="S2" s="30" t="s">
        <v>2973</v>
      </c>
      <c r="T2" s="30" t="s">
        <v>9</v>
      </c>
      <c r="U2" s="30" t="s">
        <v>2973</v>
      </c>
      <c r="V2" s="30" t="s">
        <v>10</v>
      </c>
      <c r="W2" s="30" t="s">
        <v>2973</v>
      </c>
      <c r="X2" s="30" t="s">
        <v>3379</v>
      </c>
      <c r="Y2" s="30" t="s">
        <v>2973</v>
      </c>
      <c r="Z2" s="30" t="s">
        <v>4070</v>
      </c>
      <c r="AA2" s="30" t="s">
        <v>2973</v>
      </c>
      <c r="AB2" s="30" t="s">
        <v>4071</v>
      </c>
      <c r="AC2" s="30" t="s">
        <v>2973</v>
      </c>
      <c r="AD2" s="30" t="s">
        <v>4</v>
      </c>
      <c r="AE2" s="30" t="s">
        <v>2973</v>
      </c>
      <c r="AF2" s="30" t="s">
        <v>5</v>
      </c>
      <c r="AG2" s="30" t="s">
        <v>2973</v>
      </c>
      <c r="AH2" s="30" t="s">
        <v>6</v>
      </c>
      <c r="AI2" s="30" t="s">
        <v>2973</v>
      </c>
      <c r="AJ2" s="30" t="s">
        <v>7</v>
      </c>
      <c r="AK2" s="30" t="s">
        <v>2973</v>
      </c>
      <c r="AL2" s="30" t="s">
        <v>8</v>
      </c>
      <c r="AM2" s="30" t="s">
        <v>2973</v>
      </c>
      <c r="AN2" s="30" t="s">
        <v>9</v>
      </c>
      <c r="AO2" s="30" t="s">
        <v>2973</v>
      </c>
    </row>
    <row r="3" spans="1:41" ht="14.25" customHeight="1" x14ac:dyDescent="0.2">
      <c r="A3" s="8">
        <v>1</v>
      </c>
      <c r="B3" s="8">
        <f t="shared" ref="B3:B14" si="0">YEAR(D3)</f>
        <v>2020</v>
      </c>
      <c r="C3" s="8">
        <f t="shared" ref="C3:C8" si="1">MONTH(D3)</f>
        <v>2</v>
      </c>
      <c r="D3" s="93">
        <v>43862</v>
      </c>
      <c r="E3" s="36" t="s">
        <v>2974</v>
      </c>
      <c r="F3" s="35">
        <v>3060000</v>
      </c>
      <c r="G3" s="180">
        <v>3.5000000000000003E-2</v>
      </c>
      <c r="H3" s="35">
        <v>3060000</v>
      </c>
      <c r="I3" s="35">
        <f>H3*G3</f>
        <v>107100.00000000001</v>
      </c>
      <c r="J3" s="35">
        <v>3060000</v>
      </c>
      <c r="K3" s="35">
        <v>0</v>
      </c>
      <c r="L3" s="35">
        <v>5000000</v>
      </c>
      <c r="M3" s="35">
        <f>L3*G3</f>
        <v>175000.00000000003</v>
      </c>
      <c r="N3" s="35">
        <v>3657500</v>
      </c>
      <c r="O3" s="35">
        <f>N3*G3</f>
        <v>128012.50000000001</v>
      </c>
      <c r="P3" s="35">
        <v>2785512.5</v>
      </c>
      <c r="Q3" s="35">
        <f>P3*G3</f>
        <v>97492.937500000015</v>
      </c>
      <c r="R3" s="35">
        <v>2785512.5</v>
      </c>
      <c r="S3" s="35">
        <f>R3*G3</f>
        <v>97492.937500000015</v>
      </c>
      <c r="T3" s="35">
        <v>2785512.5</v>
      </c>
      <c r="U3" s="35">
        <f>T3*G3</f>
        <v>97492.937500000015</v>
      </c>
      <c r="V3" s="35">
        <v>0</v>
      </c>
      <c r="W3" s="35">
        <f>V3*G3</f>
        <v>0</v>
      </c>
      <c r="X3" s="35">
        <v>0</v>
      </c>
      <c r="Y3" s="35">
        <v>0</v>
      </c>
      <c r="Z3" s="35">
        <v>0</v>
      </c>
      <c r="AA3" s="35">
        <f>Z3*$G3</f>
        <v>0</v>
      </c>
      <c r="AB3" s="35">
        <v>0</v>
      </c>
      <c r="AC3" s="35">
        <f>AB3*$G3</f>
        <v>0</v>
      </c>
      <c r="AD3" s="35">
        <v>0</v>
      </c>
      <c r="AE3" s="35">
        <f>AD3*$G3</f>
        <v>0</v>
      </c>
      <c r="AF3" s="35">
        <v>0</v>
      </c>
      <c r="AG3" s="35">
        <f>AF3*$G3</f>
        <v>0</v>
      </c>
      <c r="AH3" s="35">
        <v>0</v>
      </c>
      <c r="AI3" s="35">
        <f>AH3*$G3</f>
        <v>0</v>
      </c>
      <c r="AJ3" s="35">
        <v>0</v>
      </c>
      <c r="AK3" s="35">
        <f>AJ3*$G3</f>
        <v>0</v>
      </c>
      <c r="AL3" s="35">
        <v>0</v>
      </c>
      <c r="AM3" s="35">
        <f>AL3*$G3</f>
        <v>0</v>
      </c>
      <c r="AN3" s="35">
        <v>0</v>
      </c>
      <c r="AO3" s="35">
        <f>AN3*$G3</f>
        <v>0</v>
      </c>
    </row>
    <row r="4" spans="1:41" ht="14.25" customHeight="1" x14ac:dyDescent="0.2">
      <c r="A4" s="8">
        <v>3</v>
      </c>
      <c r="B4" s="8">
        <f t="shared" si="0"/>
        <v>2020</v>
      </c>
      <c r="C4" s="8">
        <f t="shared" si="1"/>
        <v>9</v>
      </c>
      <c r="D4" s="85">
        <v>44075</v>
      </c>
      <c r="E4" s="5" t="s">
        <v>2975</v>
      </c>
      <c r="F4" s="31">
        <v>6200000</v>
      </c>
      <c r="G4" s="161">
        <v>3.5000000000000003E-2</v>
      </c>
      <c r="H4" s="45">
        <v>1681220.225258125</v>
      </c>
      <c r="I4" s="45">
        <f t="shared" ref="I4:I14" si="2">H4*G4</f>
        <v>58842.707884034382</v>
      </c>
      <c r="J4" s="31">
        <v>1497465.1358021349</v>
      </c>
      <c r="K4" s="31">
        <f t="shared" ref="K4:K18" si="3">J4*G4</f>
        <v>52411.279753074727</v>
      </c>
      <c r="L4" s="31">
        <v>1349876.4155552096</v>
      </c>
      <c r="M4" s="31">
        <f t="shared" ref="M4:N19" si="4">L4*G4</f>
        <v>47245.674544432339</v>
      </c>
      <c r="N4" s="31">
        <v>1397122.0900996421</v>
      </c>
      <c r="O4" s="31">
        <f>N4*G4</f>
        <v>48899.273153487477</v>
      </c>
      <c r="P4" s="31">
        <v>1763521.3632531296</v>
      </c>
      <c r="Q4" s="31">
        <f t="shared" ref="Q4:Q22" si="5">P4*G4</f>
        <v>61723.247713859542</v>
      </c>
      <c r="R4" s="31">
        <v>1763521.3632531296</v>
      </c>
      <c r="S4" s="31">
        <f t="shared" ref="S4:S22" si="6">R4*G4</f>
        <v>61723.247713859542</v>
      </c>
      <c r="T4" s="31">
        <v>1763521.3632531296</v>
      </c>
      <c r="U4" s="31">
        <f>T4*G4</f>
        <v>61723.247713859542</v>
      </c>
      <c r="V4" s="31">
        <v>3223142.7514265222</v>
      </c>
      <c r="W4" s="31">
        <f>V4*G4</f>
        <v>112809.99629992829</v>
      </c>
      <c r="X4" s="31">
        <v>3152000</v>
      </c>
      <c r="Y4" s="31">
        <f>X4*G4</f>
        <v>110320.00000000001</v>
      </c>
      <c r="Z4" s="31">
        <v>3152000</v>
      </c>
      <c r="AA4" s="31">
        <f>Z4*$G4</f>
        <v>110320.00000000001</v>
      </c>
      <c r="AB4" s="31">
        <v>3152000</v>
      </c>
      <c r="AC4" s="31">
        <f>AB4*$G4</f>
        <v>110320.00000000001</v>
      </c>
      <c r="AD4" s="31">
        <v>5172775.6068267711</v>
      </c>
      <c r="AE4" s="31">
        <f>AD4*$G4</f>
        <v>181047.14623893701</v>
      </c>
      <c r="AF4" s="31">
        <v>5172775.6068267711</v>
      </c>
      <c r="AG4" s="31">
        <f>AF4*$G4</f>
        <v>181047.14623893701</v>
      </c>
      <c r="AH4" s="31">
        <v>5172775.6068267711</v>
      </c>
      <c r="AI4" s="31">
        <f>AH4*$G4</f>
        <v>181047.14623893701</v>
      </c>
      <c r="AJ4" s="31">
        <v>5172775.6068267711</v>
      </c>
      <c r="AK4" s="31">
        <f>AJ4*$G4</f>
        <v>181047.14623893701</v>
      </c>
      <c r="AL4" s="31">
        <v>5172775.6068267711</v>
      </c>
      <c r="AM4" s="31">
        <f>AL4*$G4</f>
        <v>181047.14623893701</v>
      </c>
      <c r="AN4" s="31">
        <v>5172775.6068267711</v>
      </c>
      <c r="AO4" s="31">
        <f>AN4*$G4</f>
        <v>181047.14623893701</v>
      </c>
    </row>
    <row r="5" spans="1:41" ht="14.25" customHeight="1" x14ac:dyDescent="0.2">
      <c r="A5" s="8">
        <v>4</v>
      </c>
      <c r="B5" s="8">
        <f t="shared" si="0"/>
        <v>2021</v>
      </c>
      <c r="C5" s="8">
        <f t="shared" si="1"/>
        <v>2</v>
      </c>
      <c r="D5" s="225">
        <v>44228</v>
      </c>
      <c r="E5" s="226" t="s">
        <v>2976</v>
      </c>
      <c r="F5" s="224">
        <v>21000000</v>
      </c>
      <c r="G5" s="227">
        <v>3.5000000000000003E-2</v>
      </c>
      <c r="H5" s="45">
        <v>14984550.188153572</v>
      </c>
      <c r="I5" s="45">
        <f t="shared" si="2"/>
        <v>524459.25658537506</v>
      </c>
      <c r="J5" s="31">
        <v>15509009.444738947</v>
      </c>
      <c r="K5" s="31">
        <f t="shared" si="3"/>
        <v>542815.33056586317</v>
      </c>
      <c r="L5" s="31">
        <v>16051824.775304809</v>
      </c>
      <c r="M5" s="31">
        <f t="shared" si="4"/>
        <v>561813.86713566841</v>
      </c>
      <c r="N5" s="31">
        <v>16613638.642440477</v>
      </c>
      <c r="O5" s="31">
        <v>0</v>
      </c>
      <c r="P5" s="35">
        <v>16613638.642440477</v>
      </c>
      <c r="Q5" s="35">
        <v>0</v>
      </c>
      <c r="R5" s="35">
        <v>16613638.642440477</v>
      </c>
      <c r="S5" s="35">
        <v>0</v>
      </c>
      <c r="T5" s="35">
        <v>16613638.642440477</v>
      </c>
      <c r="U5" s="35">
        <v>0</v>
      </c>
      <c r="V5" s="35">
        <v>16613638.642440477</v>
      </c>
      <c r="W5" s="35">
        <v>0</v>
      </c>
      <c r="X5" s="35">
        <v>16613638.642440477</v>
      </c>
      <c r="Y5" s="35">
        <v>0</v>
      </c>
      <c r="Z5" s="35">
        <v>16613638.642440477</v>
      </c>
      <c r="AA5" s="35">
        <v>0</v>
      </c>
      <c r="AB5" s="35">
        <v>16613638.642440477</v>
      </c>
      <c r="AC5" s="35">
        <v>0</v>
      </c>
      <c r="AD5" s="35">
        <v>16613638.642440477</v>
      </c>
      <c r="AE5" s="35">
        <v>0</v>
      </c>
      <c r="AF5" s="35">
        <v>16613638.642440477</v>
      </c>
      <c r="AG5" s="35">
        <v>0</v>
      </c>
      <c r="AH5" s="35">
        <v>16613638.642440477</v>
      </c>
      <c r="AI5" s="35">
        <v>0</v>
      </c>
      <c r="AJ5" s="35">
        <v>16613638.642440477</v>
      </c>
      <c r="AK5" s="35">
        <v>0</v>
      </c>
      <c r="AL5" s="35">
        <v>16613638.642440477</v>
      </c>
      <c r="AM5" s="35">
        <v>0</v>
      </c>
      <c r="AN5" s="35">
        <v>16613638.642440477</v>
      </c>
      <c r="AO5" s="35">
        <v>0</v>
      </c>
    </row>
    <row r="6" spans="1:41" ht="14.25" customHeight="1" x14ac:dyDescent="0.2">
      <c r="A6" s="8">
        <v>5</v>
      </c>
      <c r="B6" s="8">
        <f t="shared" si="0"/>
        <v>2021</v>
      </c>
      <c r="C6" s="8">
        <f t="shared" si="1"/>
        <v>12</v>
      </c>
      <c r="D6" s="225">
        <v>44531</v>
      </c>
      <c r="E6" s="226" t="s">
        <v>2977</v>
      </c>
      <c r="F6" s="224">
        <v>4000000</v>
      </c>
      <c r="G6" s="227">
        <v>3.5000000000000003E-2</v>
      </c>
      <c r="H6" s="45">
        <v>3291685.4950249256</v>
      </c>
      <c r="I6" s="45">
        <f t="shared" si="2"/>
        <v>115208.9923258724</v>
      </c>
      <c r="J6" s="31">
        <v>3406894.4873507977</v>
      </c>
      <c r="K6" s="31">
        <f t="shared" si="3"/>
        <v>119241.30705727793</v>
      </c>
      <c r="L6" s="31">
        <v>3526135.7944080755</v>
      </c>
      <c r="M6" s="31">
        <f t="shared" si="4"/>
        <v>123414.75280428266</v>
      </c>
      <c r="N6" s="31">
        <v>3649550.5472123581</v>
      </c>
      <c r="O6" s="31">
        <v>0</v>
      </c>
      <c r="P6" s="35">
        <v>3649550.5472123581</v>
      </c>
      <c r="Q6" s="35">
        <v>0</v>
      </c>
      <c r="R6" s="35">
        <v>3649550.5472123581</v>
      </c>
      <c r="S6" s="35">
        <v>0</v>
      </c>
      <c r="T6" s="35">
        <v>3649550.5472123581</v>
      </c>
      <c r="U6" s="35">
        <v>0</v>
      </c>
      <c r="V6" s="35">
        <v>3649550.5472123581</v>
      </c>
      <c r="W6" s="35">
        <v>0</v>
      </c>
      <c r="X6" s="35">
        <v>3649550.5472123581</v>
      </c>
      <c r="Y6" s="35">
        <v>0</v>
      </c>
      <c r="Z6" s="35">
        <v>3649550.5472123581</v>
      </c>
      <c r="AA6" s="35">
        <v>0</v>
      </c>
      <c r="AB6" s="35">
        <v>3649550.5472123581</v>
      </c>
      <c r="AC6" s="35">
        <v>0</v>
      </c>
      <c r="AD6" s="35">
        <v>3649550.5472123581</v>
      </c>
      <c r="AE6" s="35">
        <v>0</v>
      </c>
      <c r="AF6" s="35">
        <v>3649550.5472123581</v>
      </c>
      <c r="AG6" s="35">
        <v>0</v>
      </c>
      <c r="AH6" s="35">
        <v>3649550.5472123581</v>
      </c>
      <c r="AI6" s="35">
        <v>0</v>
      </c>
      <c r="AJ6" s="35">
        <v>3649550.5472123581</v>
      </c>
      <c r="AK6" s="35">
        <v>0</v>
      </c>
      <c r="AL6" s="35">
        <v>3649550.5472123581</v>
      </c>
      <c r="AM6" s="35">
        <v>0</v>
      </c>
      <c r="AN6" s="35">
        <v>1000000</v>
      </c>
      <c r="AO6" s="35">
        <v>0</v>
      </c>
    </row>
    <row r="7" spans="1:41" ht="14.25" customHeight="1" x14ac:dyDescent="0.2">
      <c r="A7" s="8">
        <v>6</v>
      </c>
      <c r="B7" s="8">
        <f t="shared" si="0"/>
        <v>2023</v>
      </c>
      <c r="C7" s="8">
        <f t="shared" si="1"/>
        <v>1</v>
      </c>
      <c r="D7" s="225">
        <v>44927</v>
      </c>
      <c r="E7" s="226" t="s">
        <v>2978</v>
      </c>
      <c r="F7" s="224">
        <v>1500000</v>
      </c>
      <c r="G7" s="227">
        <v>3.5000000000000003E-2</v>
      </c>
      <c r="H7" s="45">
        <v>910029.56134835049</v>
      </c>
      <c r="I7" s="45">
        <f t="shared" si="2"/>
        <v>31851.034647192271</v>
      </c>
      <c r="J7" s="31">
        <v>941880.59599554271</v>
      </c>
      <c r="K7" s="31">
        <f t="shared" si="3"/>
        <v>32965.820859843996</v>
      </c>
      <c r="L7" s="31">
        <v>974846.41685538669</v>
      </c>
      <c r="M7" s="31">
        <f t="shared" si="4"/>
        <v>34119.624589938539</v>
      </c>
      <c r="N7" s="31">
        <v>1008965.0414453252</v>
      </c>
      <c r="O7" s="31">
        <f t="shared" ref="O7:O19" si="7">N7*G7</f>
        <v>35313.776450586389</v>
      </c>
      <c r="P7" s="31">
        <v>1044279.8528959117</v>
      </c>
      <c r="Q7" s="31">
        <f t="shared" si="5"/>
        <v>36549.794851356914</v>
      </c>
      <c r="R7" s="31">
        <v>1044279.8528959117</v>
      </c>
      <c r="S7" s="31">
        <f t="shared" si="6"/>
        <v>36549.794851356914</v>
      </c>
      <c r="T7" s="31">
        <v>1044279.8528959117</v>
      </c>
      <c r="U7" s="31">
        <f t="shared" ref="U7:U22" si="8">T7*G7</f>
        <v>36549.794851356914</v>
      </c>
      <c r="V7" s="35">
        <v>1044279.8528959117</v>
      </c>
      <c r="W7" s="35">
        <v>0</v>
      </c>
      <c r="X7" s="35">
        <v>1044279.8528959117</v>
      </c>
      <c r="Y7" s="35">
        <v>0</v>
      </c>
      <c r="Z7" s="35">
        <v>1044279.8528959117</v>
      </c>
      <c r="AA7" s="35">
        <v>0</v>
      </c>
      <c r="AB7" s="35">
        <v>1044279.8528959117</v>
      </c>
      <c r="AC7" s="35">
        <v>0</v>
      </c>
      <c r="AD7" s="35">
        <v>1044279.8528959117</v>
      </c>
      <c r="AE7" s="35">
        <v>0</v>
      </c>
      <c r="AF7" s="35">
        <v>1044279.8528959117</v>
      </c>
      <c r="AG7" s="35">
        <v>0</v>
      </c>
      <c r="AH7" s="35">
        <v>1044279.8528959117</v>
      </c>
      <c r="AI7" s="35">
        <v>0</v>
      </c>
      <c r="AJ7" s="35">
        <v>1044279.8528959117</v>
      </c>
      <c r="AK7" s="35">
        <v>0</v>
      </c>
      <c r="AL7" s="35">
        <v>1044279.8528959117</v>
      </c>
      <c r="AM7" s="35">
        <v>0</v>
      </c>
      <c r="AN7" s="35">
        <v>1044279.8528959117</v>
      </c>
      <c r="AO7" s="35">
        <v>0</v>
      </c>
    </row>
    <row r="8" spans="1:41" ht="14.25" customHeight="1" x14ac:dyDescent="0.2">
      <c r="A8" s="8">
        <v>7</v>
      </c>
      <c r="B8" s="8">
        <f t="shared" si="0"/>
        <v>2023</v>
      </c>
      <c r="C8" s="8">
        <f t="shared" si="1"/>
        <v>1</v>
      </c>
      <c r="D8" s="225">
        <v>44944</v>
      </c>
      <c r="E8" s="226" t="s">
        <v>2979</v>
      </c>
      <c r="F8" s="224">
        <v>14700000</v>
      </c>
      <c r="G8" s="227">
        <v>3.5000000000000003E-2</v>
      </c>
      <c r="H8" s="45">
        <v>14700501.889351243</v>
      </c>
      <c r="I8" s="45">
        <f t="shared" si="2"/>
        <v>514517.56612729357</v>
      </c>
      <c r="J8" s="31">
        <v>14415019.455478536</v>
      </c>
      <c r="K8" s="31">
        <f t="shared" si="3"/>
        <v>504525.68094174878</v>
      </c>
      <c r="L8" s="31">
        <v>14919545.136420285</v>
      </c>
      <c r="M8" s="31">
        <f t="shared" si="4"/>
        <v>522184.07977471006</v>
      </c>
      <c r="N8" s="31">
        <v>14224229.216194995</v>
      </c>
      <c r="O8" s="31">
        <f t="shared" si="7"/>
        <v>497848.02256682486</v>
      </c>
      <c r="P8" s="31">
        <v>14022077.23876182</v>
      </c>
      <c r="Q8" s="31">
        <f t="shared" si="5"/>
        <v>490772.70335666375</v>
      </c>
      <c r="R8" s="31">
        <v>14022077.23876182</v>
      </c>
      <c r="S8" s="31">
        <f t="shared" si="6"/>
        <v>490772.70335666375</v>
      </c>
      <c r="T8" s="31">
        <v>14022077.23876182</v>
      </c>
      <c r="U8" s="31">
        <f t="shared" si="8"/>
        <v>490772.70335666375</v>
      </c>
      <c r="V8" s="35">
        <v>13890053.635519478</v>
      </c>
      <c r="W8" s="35">
        <f t="shared" ref="W8:W17" si="9">V8*G8</f>
        <v>486151.87724318181</v>
      </c>
      <c r="X8" s="35">
        <v>13890053.635519478</v>
      </c>
      <c r="Y8" s="35">
        <v>0</v>
      </c>
      <c r="Z8" s="35">
        <v>13890053.635519478</v>
      </c>
      <c r="AA8" s="35">
        <v>0</v>
      </c>
      <c r="AB8" s="35">
        <v>13890053.635519478</v>
      </c>
      <c r="AC8" s="35">
        <v>0</v>
      </c>
      <c r="AD8" s="35">
        <v>13890053.635519478</v>
      </c>
      <c r="AE8" s="35">
        <v>0</v>
      </c>
      <c r="AF8" s="35">
        <v>13890053.635519478</v>
      </c>
      <c r="AG8" s="35">
        <v>0</v>
      </c>
      <c r="AH8" s="35">
        <v>13890053.635519478</v>
      </c>
      <c r="AI8" s="35">
        <v>0</v>
      </c>
      <c r="AJ8" s="35">
        <v>13890053.635519478</v>
      </c>
      <c r="AK8" s="35">
        <v>0</v>
      </c>
      <c r="AL8" s="35">
        <v>13890053.635519478</v>
      </c>
      <c r="AM8" s="35">
        <v>0</v>
      </c>
      <c r="AN8" s="35">
        <v>13890053.635519478</v>
      </c>
      <c r="AO8" s="35">
        <v>0</v>
      </c>
    </row>
    <row r="9" spans="1:41" x14ac:dyDescent="0.2">
      <c r="A9" s="8">
        <v>8</v>
      </c>
      <c r="B9" s="8">
        <f t="shared" si="0"/>
        <v>2023</v>
      </c>
      <c r="C9" s="8">
        <f t="shared" ref="C9:C14" si="10">MONTH(D9)</f>
        <v>2</v>
      </c>
      <c r="D9" s="225">
        <v>44958</v>
      </c>
      <c r="E9" s="226" t="s">
        <v>2980</v>
      </c>
      <c r="F9" s="224">
        <v>40000000</v>
      </c>
      <c r="G9" s="227">
        <v>0</v>
      </c>
      <c r="H9" s="35">
        <v>21000000</v>
      </c>
      <c r="I9" s="35">
        <f t="shared" si="2"/>
        <v>0</v>
      </c>
      <c r="J9" s="35">
        <v>19000000</v>
      </c>
      <c r="K9" s="35">
        <f t="shared" si="3"/>
        <v>0</v>
      </c>
      <c r="L9" s="35">
        <v>17000000</v>
      </c>
      <c r="M9" s="35">
        <f t="shared" si="4"/>
        <v>0</v>
      </c>
      <c r="N9" s="35">
        <v>15000000</v>
      </c>
      <c r="O9" s="35">
        <f t="shared" si="7"/>
        <v>0</v>
      </c>
      <c r="P9" s="35">
        <v>14000000</v>
      </c>
      <c r="Q9" s="35">
        <f t="shared" si="5"/>
        <v>0</v>
      </c>
      <c r="R9" s="35">
        <v>14000000</v>
      </c>
      <c r="S9" s="35">
        <f t="shared" si="6"/>
        <v>0</v>
      </c>
      <c r="T9" s="35">
        <v>14000000</v>
      </c>
      <c r="U9" s="35">
        <f t="shared" si="8"/>
        <v>0</v>
      </c>
      <c r="V9" s="35">
        <v>12000000</v>
      </c>
      <c r="W9" s="35">
        <f t="shared" si="9"/>
        <v>0</v>
      </c>
      <c r="X9" s="35">
        <v>12000000</v>
      </c>
      <c r="Y9" s="35">
        <f>X9*I9</f>
        <v>0</v>
      </c>
      <c r="Z9" s="35">
        <v>12000000</v>
      </c>
      <c r="AA9" s="35">
        <f>Z9*K9</f>
        <v>0</v>
      </c>
      <c r="AB9" s="35">
        <v>12000000</v>
      </c>
      <c r="AC9" s="35">
        <f>AB9*M9</f>
        <v>0</v>
      </c>
      <c r="AD9" s="35">
        <v>12000000</v>
      </c>
      <c r="AE9" s="35">
        <f>AD9*O9</f>
        <v>0</v>
      </c>
      <c r="AF9" s="35">
        <v>12000000</v>
      </c>
      <c r="AG9" s="35">
        <f>AF9*Q9</f>
        <v>0</v>
      </c>
      <c r="AH9" s="35">
        <v>12000000</v>
      </c>
      <c r="AI9" s="35">
        <f>AH9*S9</f>
        <v>0</v>
      </c>
      <c r="AJ9" s="35">
        <v>12000000</v>
      </c>
      <c r="AK9" s="35">
        <f>AJ9*U9</f>
        <v>0</v>
      </c>
      <c r="AL9" s="35">
        <v>12000000</v>
      </c>
      <c r="AM9" s="35">
        <f>AL9*W9</f>
        <v>0</v>
      </c>
      <c r="AN9" s="35">
        <v>12000000</v>
      </c>
      <c r="AO9" s="35">
        <f>AN9*Y9</f>
        <v>0</v>
      </c>
    </row>
    <row r="10" spans="1:41" x14ac:dyDescent="0.2">
      <c r="A10" s="8">
        <v>9</v>
      </c>
      <c r="B10" s="8">
        <f t="shared" si="0"/>
        <v>2023</v>
      </c>
      <c r="C10" s="8">
        <f t="shared" si="10"/>
        <v>8</v>
      </c>
      <c r="D10" s="225">
        <v>45139</v>
      </c>
      <c r="E10" s="226" t="s">
        <v>2981</v>
      </c>
      <c r="F10" s="224">
        <v>4000000</v>
      </c>
      <c r="G10" s="227">
        <v>0.05</v>
      </c>
      <c r="H10" s="45">
        <v>4264126.25</v>
      </c>
      <c r="I10" s="45">
        <f t="shared" si="2"/>
        <v>213206.3125</v>
      </c>
      <c r="J10" s="31">
        <v>4477332.5625</v>
      </c>
      <c r="K10" s="31">
        <f t="shared" si="3"/>
        <v>223866.62812500002</v>
      </c>
      <c r="L10" s="31">
        <v>4401199.1906249998</v>
      </c>
      <c r="M10" s="31">
        <f t="shared" si="4"/>
        <v>220059.95953125</v>
      </c>
      <c r="N10" s="31">
        <v>4621259.1501562502</v>
      </c>
      <c r="O10" s="31">
        <f t="shared" si="7"/>
        <v>231062.95750781253</v>
      </c>
      <c r="P10" s="31">
        <v>4852322.1076640626</v>
      </c>
      <c r="Q10" s="31">
        <f t="shared" si="5"/>
        <v>242616.10538320313</v>
      </c>
      <c r="R10" s="31">
        <v>4852322.1076640626</v>
      </c>
      <c r="S10" s="31">
        <f t="shared" si="6"/>
        <v>242616.10538320313</v>
      </c>
      <c r="T10" s="31">
        <v>4852322.1076640626</v>
      </c>
      <c r="U10" s="31">
        <f t="shared" si="8"/>
        <v>242616.10538320313</v>
      </c>
      <c r="V10" s="35">
        <v>5898027.8488788418</v>
      </c>
      <c r="W10" s="35">
        <f t="shared" si="9"/>
        <v>294901.39244394208</v>
      </c>
      <c r="X10" s="206">
        <v>6827704.4885583688</v>
      </c>
      <c r="Y10" s="35">
        <v>0</v>
      </c>
      <c r="Z10" s="206">
        <v>6827704.4885583688</v>
      </c>
      <c r="AA10" s="35">
        <v>0</v>
      </c>
      <c r="AB10" s="206">
        <v>6827704.4885583688</v>
      </c>
      <c r="AC10" s="35">
        <v>0</v>
      </c>
      <c r="AD10" s="206">
        <v>6827704.4885583688</v>
      </c>
      <c r="AE10" s="35">
        <v>0</v>
      </c>
      <c r="AF10" s="206">
        <v>6827704.4885583688</v>
      </c>
      <c r="AG10" s="35">
        <v>0</v>
      </c>
      <c r="AH10" s="206">
        <v>6827704.4885583688</v>
      </c>
      <c r="AI10" s="35">
        <v>0</v>
      </c>
      <c r="AJ10" s="206">
        <v>6827704.4885583688</v>
      </c>
      <c r="AK10" s="35">
        <v>0</v>
      </c>
      <c r="AL10" s="206">
        <v>6827704.4885583688</v>
      </c>
      <c r="AM10" s="35">
        <v>0</v>
      </c>
      <c r="AN10" s="206">
        <v>6827704.4885583688</v>
      </c>
      <c r="AO10" s="35">
        <v>0</v>
      </c>
    </row>
    <row r="11" spans="1:41" x14ac:dyDescent="0.2">
      <c r="A11" s="8">
        <v>10</v>
      </c>
      <c r="B11" s="8">
        <f t="shared" si="0"/>
        <v>2023</v>
      </c>
      <c r="C11" s="8">
        <f t="shared" si="10"/>
        <v>12</v>
      </c>
      <c r="D11" s="85">
        <v>45261</v>
      </c>
      <c r="E11" s="5" t="s">
        <v>2982</v>
      </c>
      <c r="F11" s="31">
        <v>5236000</v>
      </c>
      <c r="G11" s="161">
        <v>3.5000000000000003E-2</v>
      </c>
      <c r="H11" s="45">
        <v>5319152.4744983874</v>
      </c>
      <c r="I11" s="45">
        <f t="shared" si="2"/>
        <v>186170.33660744358</v>
      </c>
      <c r="J11" s="31">
        <v>5318322.8111058306</v>
      </c>
      <c r="K11" s="31">
        <f t="shared" si="3"/>
        <v>186141.29838870408</v>
      </c>
      <c r="L11" s="31">
        <v>5317464.1094945343</v>
      </c>
      <c r="M11" s="31">
        <f t="shared" si="4"/>
        <v>186111.24383230871</v>
      </c>
      <c r="N11" s="31">
        <v>5313575.3533268431</v>
      </c>
      <c r="O11" s="31">
        <f t="shared" si="7"/>
        <v>185975.13736643954</v>
      </c>
      <c r="P11" s="31">
        <v>5309550.4906932823</v>
      </c>
      <c r="Q11" s="31">
        <f t="shared" si="5"/>
        <v>185834.26717426491</v>
      </c>
      <c r="R11" s="31">
        <v>5309550.4906932823</v>
      </c>
      <c r="S11" s="31">
        <f t="shared" si="6"/>
        <v>185834.26717426491</v>
      </c>
      <c r="T11" s="31">
        <v>5309550.4906932823</v>
      </c>
      <c r="U11" s="31">
        <f t="shared" si="8"/>
        <v>185834.26717426491</v>
      </c>
      <c r="V11" s="31">
        <v>5291992.1648002965</v>
      </c>
      <c r="W11" s="31">
        <f t="shared" si="9"/>
        <v>185219.72576801039</v>
      </c>
      <c r="X11" s="31">
        <v>6775588.8074740348</v>
      </c>
      <c r="Y11" s="31">
        <f>X11*G11</f>
        <v>237145.60826159123</v>
      </c>
      <c r="Z11" s="31">
        <v>6775588.8074740348</v>
      </c>
      <c r="AA11" s="31">
        <f>Z11*$G11</f>
        <v>237145.60826159123</v>
      </c>
      <c r="AB11" s="31">
        <v>6775588.8074740348</v>
      </c>
      <c r="AC11" s="31">
        <f>AB11*$G11</f>
        <v>237145.60826159123</v>
      </c>
      <c r="AD11" s="31">
        <v>7020180.1202863725</v>
      </c>
      <c r="AE11" s="31">
        <f>AD11*$G11</f>
        <v>245706.30421002305</v>
      </c>
      <c r="AF11" s="31">
        <v>7020180.1202863725</v>
      </c>
      <c r="AG11" s="31">
        <f>AF11*$G11</f>
        <v>245706.30421002305</v>
      </c>
      <c r="AH11" s="31">
        <v>7020180.1202863725</v>
      </c>
      <c r="AI11" s="31">
        <f>AH11*$G11</f>
        <v>245706.30421002305</v>
      </c>
      <c r="AJ11" s="31">
        <v>7020180.1202863725</v>
      </c>
      <c r="AK11" s="31">
        <f>AJ11*$G11</f>
        <v>245706.30421002305</v>
      </c>
      <c r="AL11" s="31">
        <v>7020180.1202863725</v>
      </c>
      <c r="AM11" s="31">
        <f>AL11*$G11</f>
        <v>245706.30421002305</v>
      </c>
      <c r="AN11" s="31">
        <v>7020180.1202863725</v>
      </c>
      <c r="AO11" s="31">
        <f>AN11*$G11</f>
        <v>245706.30421002305</v>
      </c>
    </row>
    <row r="12" spans="1:41" x14ac:dyDescent="0.2">
      <c r="A12" s="8">
        <v>11</v>
      </c>
      <c r="B12" s="8">
        <f t="shared" si="0"/>
        <v>2023</v>
      </c>
      <c r="C12" s="8">
        <f t="shared" si="10"/>
        <v>12</v>
      </c>
      <c r="D12" s="85">
        <v>45261</v>
      </c>
      <c r="E12" s="5" t="s">
        <v>2983</v>
      </c>
      <c r="F12" s="31">
        <v>9000000</v>
      </c>
      <c r="G12" s="161">
        <v>1.4999999999999999E-2</v>
      </c>
      <c r="H12" s="45">
        <v>9000000</v>
      </c>
      <c r="I12" s="45">
        <f t="shared" si="2"/>
        <v>135000</v>
      </c>
      <c r="J12" s="31">
        <v>9000000</v>
      </c>
      <c r="K12" s="31">
        <f t="shared" si="3"/>
        <v>135000</v>
      </c>
      <c r="L12" s="31">
        <v>9000000</v>
      </c>
      <c r="M12" s="31">
        <f t="shared" si="4"/>
        <v>135000</v>
      </c>
      <c r="N12" s="31">
        <v>9000000</v>
      </c>
      <c r="O12" s="31">
        <f t="shared" si="7"/>
        <v>135000</v>
      </c>
      <c r="P12" s="31">
        <v>9000000</v>
      </c>
      <c r="Q12" s="31">
        <f t="shared" si="5"/>
        <v>135000</v>
      </c>
      <c r="R12" s="31">
        <v>9000000</v>
      </c>
      <c r="S12" s="31">
        <f t="shared" si="6"/>
        <v>135000</v>
      </c>
      <c r="T12" s="31">
        <v>9000000</v>
      </c>
      <c r="U12" s="31">
        <f t="shared" si="8"/>
        <v>135000</v>
      </c>
      <c r="V12" s="31">
        <v>9000000</v>
      </c>
      <c r="W12" s="31">
        <f t="shared" si="9"/>
        <v>135000</v>
      </c>
      <c r="X12" s="31">
        <v>9000000</v>
      </c>
      <c r="Y12" s="31">
        <f>X12*G12</f>
        <v>135000</v>
      </c>
      <c r="Z12" s="31">
        <v>9000000</v>
      </c>
      <c r="AA12" s="31">
        <f t="shared" ref="AA12:AC24" si="11">Z12*$G12</f>
        <v>135000</v>
      </c>
      <c r="AB12" s="31">
        <v>9000000</v>
      </c>
      <c r="AC12" s="31">
        <f t="shared" si="11"/>
        <v>135000</v>
      </c>
      <c r="AD12" s="31">
        <v>9000000</v>
      </c>
      <c r="AE12" s="31">
        <f>AD12*$G12</f>
        <v>135000</v>
      </c>
      <c r="AF12" s="31">
        <v>9000000</v>
      </c>
      <c r="AG12" s="31">
        <f>AF12*$G12</f>
        <v>135000</v>
      </c>
      <c r="AH12" s="31">
        <v>9000000</v>
      </c>
      <c r="AI12" s="31">
        <f>AH12*$G12</f>
        <v>135000</v>
      </c>
      <c r="AJ12" s="31">
        <v>9000000</v>
      </c>
      <c r="AK12" s="31">
        <f>AJ12*$G12</f>
        <v>135000</v>
      </c>
      <c r="AL12" s="31">
        <v>9000000</v>
      </c>
      <c r="AM12" s="31">
        <f>AL12*$G12</f>
        <v>135000</v>
      </c>
      <c r="AN12" s="31">
        <v>4000000</v>
      </c>
      <c r="AO12" s="31">
        <f>AN12*$G12</f>
        <v>60000</v>
      </c>
    </row>
    <row r="13" spans="1:41" x14ac:dyDescent="0.2">
      <c r="A13" s="8">
        <v>13</v>
      </c>
      <c r="B13" s="8">
        <f t="shared" si="0"/>
        <v>2024</v>
      </c>
      <c r="C13" s="8">
        <f t="shared" si="10"/>
        <v>2</v>
      </c>
      <c r="D13" s="93">
        <v>45329</v>
      </c>
      <c r="E13" s="36" t="s">
        <v>2984</v>
      </c>
      <c r="F13" s="35">
        <v>7000000</v>
      </c>
      <c r="G13" s="180">
        <v>3.5000000000000003E-2</v>
      </c>
      <c r="H13" s="35">
        <v>7000000</v>
      </c>
      <c r="I13" s="35">
        <f t="shared" si="2"/>
        <v>245000.00000000003</v>
      </c>
      <c r="J13" s="35">
        <v>7245000</v>
      </c>
      <c r="K13" s="35">
        <f t="shared" si="3"/>
        <v>253575.00000000003</v>
      </c>
      <c r="L13" s="35">
        <v>6768575</v>
      </c>
      <c r="M13" s="35">
        <f t="shared" si="4"/>
        <v>236900.12500000003</v>
      </c>
      <c r="N13" s="35">
        <v>5765116.7543749996</v>
      </c>
      <c r="O13" s="35">
        <f t="shared" si="7"/>
        <v>201779.08640312499</v>
      </c>
      <c r="P13" s="35">
        <v>5236895.8407781245</v>
      </c>
      <c r="Q13" s="35">
        <f t="shared" si="5"/>
        <v>183291.35442723439</v>
      </c>
      <c r="R13" s="35">
        <v>5236895.8407781245</v>
      </c>
      <c r="S13" s="35">
        <f t="shared" si="6"/>
        <v>183291.35442723439</v>
      </c>
      <c r="T13" s="35">
        <v>5236895.8407781245</v>
      </c>
      <c r="U13" s="35">
        <f t="shared" si="8"/>
        <v>183291.35442723439</v>
      </c>
      <c r="V13" s="35">
        <v>3538695.7781838607</v>
      </c>
      <c r="W13" s="35">
        <f t="shared" si="9"/>
        <v>123854.35223643514</v>
      </c>
      <c r="X13" s="35">
        <v>2411421.0134594818</v>
      </c>
      <c r="Y13" s="35">
        <f>X13*G13</f>
        <v>84399.735471081876</v>
      </c>
      <c r="Z13" s="35">
        <v>2411421.0134594818</v>
      </c>
      <c r="AA13" s="35">
        <f t="shared" si="11"/>
        <v>84399.735471081876</v>
      </c>
      <c r="AB13" s="35">
        <v>1765820.7489305637</v>
      </c>
      <c r="AC13" s="35">
        <f t="shared" si="11"/>
        <v>61803.726212569738</v>
      </c>
      <c r="AD13" s="35">
        <v>1097624.4751431334</v>
      </c>
      <c r="AE13" s="35">
        <f>AD13*$G13</f>
        <v>38416.856630009672</v>
      </c>
      <c r="AF13" s="35">
        <v>1097624.4751431334</v>
      </c>
      <c r="AG13" s="35">
        <f>AF13*$G13</f>
        <v>38416.856630009672</v>
      </c>
      <c r="AH13" s="35">
        <v>1097624.4751431334</v>
      </c>
      <c r="AI13" s="35">
        <f>AH13*$G13</f>
        <v>38416.856630009672</v>
      </c>
      <c r="AJ13" s="35">
        <v>0</v>
      </c>
      <c r="AK13" s="35">
        <f>AJ13*$G13</f>
        <v>0</v>
      </c>
      <c r="AL13" s="35">
        <v>0</v>
      </c>
      <c r="AM13" s="35">
        <f>AL13*$G13</f>
        <v>0</v>
      </c>
      <c r="AN13" s="35">
        <v>0</v>
      </c>
      <c r="AO13" s="35">
        <f>AN13*$G13</f>
        <v>0</v>
      </c>
    </row>
    <row r="14" spans="1:41" x14ac:dyDescent="0.2">
      <c r="A14" s="8">
        <v>14</v>
      </c>
      <c r="B14" s="8">
        <f t="shared" si="0"/>
        <v>2024</v>
      </c>
      <c r="C14" s="8">
        <f t="shared" si="10"/>
        <v>2</v>
      </c>
      <c r="D14" s="93">
        <v>45323</v>
      </c>
      <c r="E14" s="36" t="s">
        <v>2985</v>
      </c>
      <c r="F14" s="35">
        <v>35000000</v>
      </c>
      <c r="G14" s="180">
        <v>0.02</v>
      </c>
      <c r="H14" s="35">
        <v>25000000</v>
      </c>
      <c r="I14" s="35">
        <f t="shared" si="2"/>
        <v>500000</v>
      </c>
      <c r="J14" s="35">
        <v>35000000</v>
      </c>
      <c r="K14" s="35">
        <f t="shared" si="3"/>
        <v>700000</v>
      </c>
      <c r="L14" s="35">
        <v>0</v>
      </c>
      <c r="M14" s="35">
        <f t="shared" si="4"/>
        <v>0</v>
      </c>
      <c r="N14" s="35">
        <f t="shared" si="4"/>
        <v>0</v>
      </c>
      <c r="O14" s="35">
        <f t="shared" si="7"/>
        <v>0</v>
      </c>
      <c r="P14" s="35">
        <f>O14*H14</f>
        <v>0</v>
      </c>
      <c r="Q14" s="35">
        <f t="shared" si="5"/>
        <v>0</v>
      </c>
      <c r="R14" s="35">
        <f>Q14*J14</f>
        <v>0</v>
      </c>
      <c r="S14" s="35">
        <f t="shared" si="6"/>
        <v>0</v>
      </c>
      <c r="T14" s="35">
        <f>S14*L14</f>
        <v>0</v>
      </c>
      <c r="U14" s="35">
        <f t="shared" si="8"/>
        <v>0</v>
      </c>
      <c r="V14" s="35">
        <f>U14*N14</f>
        <v>0</v>
      </c>
      <c r="W14" s="35">
        <f t="shared" si="9"/>
        <v>0</v>
      </c>
      <c r="X14" s="35">
        <f>W14*H14</f>
        <v>0</v>
      </c>
      <c r="Y14" s="35">
        <f>X14*I14</f>
        <v>0</v>
      </c>
      <c r="Z14" s="35">
        <f>Y14*J14</f>
        <v>0</v>
      </c>
      <c r="AA14" s="224">
        <f t="shared" si="11"/>
        <v>0</v>
      </c>
      <c r="AB14" s="35">
        <f>AA14*L14</f>
        <v>0</v>
      </c>
      <c r="AC14" s="224">
        <f t="shared" si="11"/>
        <v>0</v>
      </c>
      <c r="AD14" s="35">
        <f>AC14*N14</f>
        <v>0</v>
      </c>
      <c r="AE14" s="224">
        <f>AD14*$G14</f>
        <v>0</v>
      </c>
      <c r="AF14" s="35">
        <f>AE14*P14</f>
        <v>0</v>
      </c>
      <c r="AG14" s="224">
        <f>AF14*$G14</f>
        <v>0</v>
      </c>
      <c r="AH14" s="35">
        <f>AG14*R14</f>
        <v>0</v>
      </c>
      <c r="AI14" s="224">
        <f>AH14*$G14</f>
        <v>0</v>
      </c>
      <c r="AJ14" s="35">
        <f>AI14*T14</f>
        <v>0</v>
      </c>
      <c r="AK14" s="224">
        <f>AJ14*$G14</f>
        <v>0</v>
      </c>
      <c r="AL14" s="35">
        <f>AK14*V14</f>
        <v>0</v>
      </c>
      <c r="AM14" s="224">
        <f>AL14*$G14</f>
        <v>0</v>
      </c>
      <c r="AN14" s="35">
        <f>AM14*X14</f>
        <v>0</v>
      </c>
      <c r="AO14" s="224">
        <f>AN14*$G14</f>
        <v>0</v>
      </c>
    </row>
    <row r="15" spans="1:41" x14ac:dyDescent="0.2">
      <c r="A15" s="8">
        <v>17</v>
      </c>
      <c r="B15" s="8">
        <f t="shared" ref="B15:B22" si="12">YEAR(D15)</f>
        <v>2024</v>
      </c>
      <c r="C15" s="8">
        <f t="shared" ref="C15:C22" si="13">MONTH(D15)</f>
        <v>2</v>
      </c>
      <c r="D15" s="225">
        <v>45323</v>
      </c>
      <c r="E15" s="226" t="s">
        <v>2986</v>
      </c>
      <c r="F15" s="224">
        <v>210000</v>
      </c>
      <c r="G15" s="227">
        <v>3.5000000000000003E-2</v>
      </c>
      <c r="H15" s="224">
        <v>210000</v>
      </c>
      <c r="I15" s="224">
        <f>H15*G15</f>
        <v>7350.0000000000009</v>
      </c>
      <c r="J15" s="224">
        <v>210000</v>
      </c>
      <c r="K15" s="224">
        <f t="shared" si="3"/>
        <v>7350.0000000000009</v>
      </c>
      <c r="L15" s="224">
        <v>210000</v>
      </c>
      <c r="M15" s="224">
        <f t="shared" si="4"/>
        <v>7350.0000000000009</v>
      </c>
      <c r="N15" s="224">
        <v>210000</v>
      </c>
      <c r="O15" s="224">
        <f t="shared" si="7"/>
        <v>7350.0000000000009</v>
      </c>
      <c r="P15" s="224">
        <v>210000</v>
      </c>
      <c r="Q15" s="224">
        <f t="shared" si="5"/>
        <v>7350.0000000000009</v>
      </c>
      <c r="R15" s="224">
        <v>210000</v>
      </c>
      <c r="S15" s="224">
        <f t="shared" si="6"/>
        <v>7350.0000000000009</v>
      </c>
      <c r="T15" s="224">
        <v>210000</v>
      </c>
      <c r="U15" s="224">
        <f t="shared" si="8"/>
        <v>7350.0000000000009</v>
      </c>
      <c r="V15" s="224">
        <v>210000</v>
      </c>
      <c r="W15" s="224">
        <f t="shared" si="9"/>
        <v>7350.0000000000009</v>
      </c>
      <c r="X15" s="224">
        <v>210000</v>
      </c>
      <c r="Y15" s="224">
        <f>X15*G15</f>
        <v>7350.0000000000009</v>
      </c>
      <c r="Z15" s="224">
        <v>0</v>
      </c>
      <c r="AA15" s="224">
        <f t="shared" si="11"/>
        <v>0</v>
      </c>
      <c r="AB15" s="224">
        <v>0</v>
      </c>
      <c r="AC15" s="224">
        <f t="shared" si="11"/>
        <v>0</v>
      </c>
      <c r="AD15" s="224">
        <v>0</v>
      </c>
      <c r="AE15" s="224">
        <f>AD15*$G15</f>
        <v>0</v>
      </c>
      <c r="AF15" s="224">
        <v>0</v>
      </c>
      <c r="AG15" s="224">
        <f>AF15*$G15</f>
        <v>0</v>
      </c>
      <c r="AH15" s="224">
        <v>0</v>
      </c>
      <c r="AI15" s="224">
        <f>AH15*$G15</f>
        <v>0</v>
      </c>
      <c r="AJ15" s="224">
        <v>0</v>
      </c>
      <c r="AK15" s="224">
        <f>AJ15*$G15</f>
        <v>0</v>
      </c>
      <c r="AL15" s="224">
        <v>0</v>
      </c>
      <c r="AM15" s="224">
        <f>AL15*$G15</f>
        <v>0</v>
      </c>
      <c r="AN15" s="224">
        <v>0</v>
      </c>
      <c r="AO15" s="224">
        <f>AN15*$G15</f>
        <v>0</v>
      </c>
    </row>
    <row r="16" spans="1:41" x14ac:dyDescent="0.2">
      <c r="A16" s="8">
        <v>18</v>
      </c>
      <c r="B16" s="8">
        <f t="shared" si="12"/>
        <v>2024</v>
      </c>
      <c r="C16" s="8">
        <f t="shared" si="13"/>
        <v>3</v>
      </c>
      <c r="D16" s="225">
        <v>45354</v>
      </c>
      <c r="E16" s="226" t="s">
        <v>2987</v>
      </c>
      <c r="F16" s="224">
        <v>2600000</v>
      </c>
      <c r="G16" s="227">
        <v>0.05</v>
      </c>
      <c r="H16" s="224">
        <v>2600000</v>
      </c>
      <c r="I16" s="224">
        <f>H16*G16</f>
        <v>130000</v>
      </c>
      <c r="J16" s="224">
        <v>2600000</v>
      </c>
      <c r="K16" s="224">
        <f t="shared" si="3"/>
        <v>130000</v>
      </c>
      <c r="L16" s="224">
        <v>2600000</v>
      </c>
      <c r="M16" s="224">
        <f t="shared" si="4"/>
        <v>130000</v>
      </c>
      <c r="N16" s="224">
        <v>5000000</v>
      </c>
      <c r="O16" s="224">
        <f t="shared" si="7"/>
        <v>250000</v>
      </c>
      <c r="P16" s="224">
        <v>6890000</v>
      </c>
      <c r="Q16" s="224">
        <f t="shared" si="5"/>
        <v>344500</v>
      </c>
      <c r="R16" s="224">
        <v>6890000</v>
      </c>
      <c r="S16" s="224">
        <f t="shared" si="6"/>
        <v>344500</v>
      </c>
      <c r="T16" s="224">
        <v>6890000</v>
      </c>
      <c r="U16" s="224">
        <f t="shared" si="8"/>
        <v>344500</v>
      </c>
      <c r="V16" s="224">
        <v>9803098.4562500007</v>
      </c>
      <c r="W16" s="224">
        <f t="shared" si="9"/>
        <v>490154.92281250004</v>
      </c>
      <c r="X16" s="224">
        <v>12552399.350416405</v>
      </c>
      <c r="Y16" s="224">
        <f>X16*G16</f>
        <v>627619.96752082033</v>
      </c>
      <c r="Z16" s="224">
        <v>12552399.350416405</v>
      </c>
      <c r="AA16" s="224">
        <v>0</v>
      </c>
      <c r="AB16" s="224">
        <v>12552399.350416405</v>
      </c>
      <c r="AC16" s="224">
        <v>0</v>
      </c>
      <c r="AD16" s="224">
        <v>12552399.350416405</v>
      </c>
      <c r="AE16" s="224">
        <v>0</v>
      </c>
      <c r="AF16" s="224">
        <v>12552399.350416405</v>
      </c>
      <c r="AG16" s="224">
        <v>0</v>
      </c>
      <c r="AH16" s="224">
        <v>12552399.350416405</v>
      </c>
      <c r="AI16" s="224">
        <v>0</v>
      </c>
      <c r="AJ16" s="224">
        <v>12552399.350416405</v>
      </c>
      <c r="AK16" s="224">
        <v>0</v>
      </c>
      <c r="AL16" s="224">
        <v>12552399.350416405</v>
      </c>
      <c r="AM16" s="224">
        <v>0</v>
      </c>
      <c r="AN16" s="224">
        <v>12552399.350416405</v>
      </c>
      <c r="AO16" s="224">
        <v>0</v>
      </c>
    </row>
    <row r="17" spans="1:41" x14ac:dyDescent="0.2">
      <c r="A17" s="8">
        <v>19</v>
      </c>
      <c r="B17" s="8">
        <f t="shared" si="12"/>
        <v>2024</v>
      </c>
      <c r="C17" s="8">
        <f t="shared" si="13"/>
        <v>3</v>
      </c>
      <c r="D17" s="225">
        <v>45357</v>
      </c>
      <c r="E17" s="226" t="s">
        <v>2988</v>
      </c>
      <c r="F17" s="224">
        <f>2900000+500000</f>
        <v>3400000</v>
      </c>
      <c r="G17" s="227">
        <v>0.05</v>
      </c>
      <c r="H17" s="224">
        <v>3400000</v>
      </c>
      <c r="I17" s="224">
        <v>0</v>
      </c>
      <c r="J17" s="224">
        <v>3400000</v>
      </c>
      <c r="K17" s="224">
        <f t="shared" si="3"/>
        <v>170000</v>
      </c>
      <c r="L17" s="224">
        <v>3547500</v>
      </c>
      <c r="M17" s="224">
        <f t="shared" si="4"/>
        <v>177375</v>
      </c>
      <c r="N17" s="224">
        <v>3584875</v>
      </c>
      <c r="O17" s="224">
        <f t="shared" si="7"/>
        <v>179243.75</v>
      </c>
      <c r="P17" s="224">
        <v>3152118.75</v>
      </c>
      <c r="Q17" s="224">
        <f t="shared" si="5"/>
        <v>157605.9375</v>
      </c>
      <c r="R17" s="224">
        <v>3152118.75</v>
      </c>
      <c r="S17" s="224">
        <f t="shared" si="6"/>
        <v>157605.9375</v>
      </c>
      <c r="T17" s="224">
        <v>3152118.75</v>
      </c>
      <c r="U17" s="224">
        <f t="shared" si="8"/>
        <v>157605.9375</v>
      </c>
      <c r="V17" s="224">
        <v>1456169.7788671872</v>
      </c>
      <c r="W17" s="224">
        <f t="shared" si="9"/>
        <v>72808.488943359363</v>
      </c>
      <c r="X17" s="224">
        <v>566729.24516844738</v>
      </c>
      <c r="Y17" s="224">
        <f>X17*G17</f>
        <v>28336.462258422369</v>
      </c>
      <c r="Z17" s="224">
        <v>566729.24516844738</v>
      </c>
      <c r="AA17" s="224">
        <f t="shared" si="11"/>
        <v>28336.462258422369</v>
      </c>
      <c r="AB17" s="224">
        <v>0</v>
      </c>
      <c r="AC17" s="224">
        <f t="shared" si="11"/>
        <v>0</v>
      </c>
      <c r="AD17" s="224">
        <v>0</v>
      </c>
      <c r="AE17" s="224">
        <f t="shared" ref="AE17:AE24" si="14">AD17*$G17</f>
        <v>0</v>
      </c>
      <c r="AF17" s="224">
        <v>0</v>
      </c>
      <c r="AG17" s="224">
        <f t="shared" ref="AG17:AG32" si="15">AF17*$G17</f>
        <v>0</v>
      </c>
      <c r="AH17" s="224">
        <v>0</v>
      </c>
      <c r="AI17" s="224">
        <f t="shared" ref="AI17:AI32" si="16">AH17*$G17</f>
        <v>0</v>
      </c>
      <c r="AJ17" s="224">
        <v>0</v>
      </c>
      <c r="AK17" s="224">
        <f t="shared" ref="AK17:AK32" si="17">AJ17*$G17</f>
        <v>0</v>
      </c>
      <c r="AL17" s="224">
        <v>0</v>
      </c>
      <c r="AM17" s="224">
        <f t="shared" ref="AK17:AM34" si="18">AL17*$G17</f>
        <v>0</v>
      </c>
      <c r="AN17" s="224">
        <v>0</v>
      </c>
      <c r="AO17" s="224">
        <f t="shared" ref="AO17:AO33" si="19">AN17*$G17</f>
        <v>0</v>
      </c>
    </row>
    <row r="18" spans="1:41" x14ac:dyDescent="0.2">
      <c r="A18" s="8">
        <v>20</v>
      </c>
      <c r="B18" s="8">
        <f t="shared" si="12"/>
        <v>2024</v>
      </c>
      <c r="C18" s="8">
        <f t="shared" si="13"/>
        <v>3</v>
      </c>
      <c r="D18" s="93">
        <v>45359</v>
      </c>
      <c r="E18" s="36" t="s">
        <v>51</v>
      </c>
      <c r="F18" s="35">
        <v>5000000</v>
      </c>
      <c r="G18" s="180">
        <v>0.02</v>
      </c>
      <c r="H18" s="35">
        <v>0</v>
      </c>
      <c r="I18" s="35">
        <v>0</v>
      </c>
      <c r="J18" s="35">
        <v>5000000</v>
      </c>
      <c r="K18" s="35">
        <f t="shared" si="3"/>
        <v>100000</v>
      </c>
      <c r="L18" s="35">
        <v>0</v>
      </c>
      <c r="M18" s="35">
        <f t="shared" si="4"/>
        <v>0</v>
      </c>
      <c r="N18" s="35">
        <v>0</v>
      </c>
      <c r="O18" s="35">
        <f t="shared" si="7"/>
        <v>0</v>
      </c>
      <c r="P18" s="35">
        <v>0</v>
      </c>
      <c r="Q18" s="35">
        <f t="shared" si="5"/>
        <v>0</v>
      </c>
      <c r="R18" s="35">
        <v>0</v>
      </c>
      <c r="S18" s="35">
        <f t="shared" si="6"/>
        <v>0</v>
      </c>
      <c r="T18" s="35">
        <v>0</v>
      </c>
      <c r="U18" s="35">
        <f t="shared" si="8"/>
        <v>0</v>
      </c>
      <c r="V18" s="35">
        <v>0</v>
      </c>
      <c r="W18" s="35">
        <v>0</v>
      </c>
      <c r="X18" s="35">
        <v>0</v>
      </c>
      <c r="Y18" s="35">
        <v>0</v>
      </c>
      <c r="Z18" s="35">
        <v>0</v>
      </c>
      <c r="AA18" s="224">
        <f t="shared" si="11"/>
        <v>0</v>
      </c>
      <c r="AB18" s="35">
        <v>0</v>
      </c>
      <c r="AC18" s="224">
        <f t="shared" si="11"/>
        <v>0</v>
      </c>
      <c r="AD18" s="35">
        <v>0</v>
      </c>
      <c r="AE18" s="224">
        <f t="shared" si="14"/>
        <v>0</v>
      </c>
      <c r="AF18" s="35">
        <v>0</v>
      </c>
      <c r="AG18" s="224">
        <f t="shared" si="15"/>
        <v>0</v>
      </c>
      <c r="AH18" s="35">
        <v>0</v>
      </c>
      <c r="AI18" s="224">
        <f t="shared" si="16"/>
        <v>0</v>
      </c>
      <c r="AJ18" s="35">
        <v>0</v>
      </c>
      <c r="AK18" s="224">
        <f t="shared" si="17"/>
        <v>0</v>
      </c>
      <c r="AL18" s="35">
        <v>0</v>
      </c>
      <c r="AM18" s="224">
        <f t="shared" si="18"/>
        <v>0</v>
      </c>
      <c r="AN18" s="35">
        <v>0</v>
      </c>
      <c r="AO18" s="224">
        <f t="shared" si="19"/>
        <v>0</v>
      </c>
    </row>
    <row r="19" spans="1:41" x14ac:dyDescent="0.2">
      <c r="A19" s="8">
        <v>21</v>
      </c>
      <c r="B19" s="8">
        <f t="shared" si="12"/>
        <v>2024</v>
      </c>
      <c r="C19" s="8">
        <f t="shared" si="13"/>
        <v>4</v>
      </c>
      <c r="D19" s="93">
        <v>45384</v>
      </c>
      <c r="E19" s="36" t="s">
        <v>2989</v>
      </c>
      <c r="F19" s="35">
        <v>2000000</v>
      </c>
      <c r="G19" s="180">
        <v>0</v>
      </c>
      <c r="H19" s="35"/>
      <c r="I19" s="35"/>
      <c r="J19" s="35"/>
      <c r="K19" s="35"/>
      <c r="L19" s="35">
        <v>2000000</v>
      </c>
      <c r="M19" s="35">
        <f t="shared" si="4"/>
        <v>0</v>
      </c>
      <c r="N19" s="35">
        <v>0</v>
      </c>
      <c r="O19" s="35">
        <f t="shared" si="7"/>
        <v>0</v>
      </c>
      <c r="P19" s="35">
        <v>0</v>
      </c>
      <c r="Q19" s="35">
        <f t="shared" si="5"/>
        <v>0</v>
      </c>
      <c r="R19" s="35">
        <v>0</v>
      </c>
      <c r="S19" s="35">
        <f t="shared" si="6"/>
        <v>0</v>
      </c>
      <c r="T19" s="35">
        <v>0</v>
      </c>
      <c r="U19" s="35">
        <f t="shared" si="8"/>
        <v>0</v>
      </c>
      <c r="V19" s="35">
        <v>0</v>
      </c>
      <c r="W19" s="35">
        <f t="shared" ref="W19:W24" si="20">V19*G19</f>
        <v>0</v>
      </c>
      <c r="X19" s="35">
        <v>0</v>
      </c>
      <c r="Y19" s="35">
        <v>0</v>
      </c>
      <c r="Z19" s="35">
        <v>0</v>
      </c>
      <c r="AA19" s="224">
        <f t="shared" si="11"/>
        <v>0</v>
      </c>
      <c r="AB19" s="35">
        <v>0</v>
      </c>
      <c r="AC19" s="224">
        <f t="shared" si="11"/>
        <v>0</v>
      </c>
      <c r="AD19" s="35">
        <v>0</v>
      </c>
      <c r="AE19" s="224">
        <f t="shared" si="14"/>
        <v>0</v>
      </c>
      <c r="AF19" s="35">
        <v>0</v>
      </c>
      <c r="AG19" s="224">
        <f t="shared" si="15"/>
        <v>0</v>
      </c>
      <c r="AH19" s="35">
        <v>0</v>
      </c>
      <c r="AI19" s="224">
        <f t="shared" si="16"/>
        <v>0</v>
      </c>
      <c r="AJ19" s="35">
        <v>0</v>
      </c>
      <c r="AK19" s="224">
        <f t="shared" si="17"/>
        <v>0</v>
      </c>
      <c r="AL19" s="35">
        <v>0</v>
      </c>
      <c r="AM19" s="224">
        <f t="shared" si="18"/>
        <v>0</v>
      </c>
      <c r="AN19" s="35">
        <v>0</v>
      </c>
      <c r="AO19" s="224">
        <f t="shared" si="19"/>
        <v>0</v>
      </c>
    </row>
    <row r="20" spans="1:41" x14ac:dyDescent="0.2">
      <c r="A20" s="8">
        <v>22</v>
      </c>
      <c r="B20" s="8">
        <f t="shared" si="12"/>
        <v>2024</v>
      </c>
      <c r="C20" s="8">
        <f t="shared" si="13"/>
        <v>5</v>
      </c>
      <c r="D20" s="85">
        <v>45433</v>
      </c>
      <c r="E20" s="5" t="s">
        <v>2990</v>
      </c>
      <c r="F20" s="31">
        <v>350000</v>
      </c>
      <c r="G20" s="161"/>
      <c r="H20" s="31"/>
      <c r="I20" s="31"/>
      <c r="J20" s="31"/>
      <c r="K20" s="31"/>
      <c r="L20" s="31"/>
      <c r="M20" s="31"/>
      <c r="N20" s="31"/>
      <c r="O20" s="31"/>
      <c r="P20" s="31">
        <v>350000</v>
      </c>
      <c r="Q20" s="31">
        <f t="shared" si="5"/>
        <v>0</v>
      </c>
      <c r="R20" s="31">
        <v>350000</v>
      </c>
      <c r="S20" s="31">
        <f t="shared" si="6"/>
        <v>0</v>
      </c>
      <c r="T20" s="31">
        <v>350000</v>
      </c>
      <c r="U20" s="31">
        <f t="shared" si="8"/>
        <v>0</v>
      </c>
      <c r="V20" s="31">
        <v>350000</v>
      </c>
      <c r="W20" s="31">
        <f t="shared" si="20"/>
        <v>0</v>
      </c>
      <c r="X20" s="31">
        <v>350000</v>
      </c>
      <c r="Y20" s="31">
        <f>X20*G20</f>
        <v>0</v>
      </c>
      <c r="Z20" s="31">
        <v>350000</v>
      </c>
      <c r="AA20" s="31">
        <f t="shared" si="11"/>
        <v>0</v>
      </c>
      <c r="AB20" s="31">
        <v>350000</v>
      </c>
      <c r="AC20" s="31">
        <f t="shared" si="11"/>
        <v>0</v>
      </c>
      <c r="AD20" s="31">
        <v>350000</v>
      </c>
      <c r="AE20" s="31">
        <f t="shared" si="14"/>
        <v>0</v>
      </c>
      <c r="AF20" s="31">
        <v>350000</v>
      </c>
      <c r="AG20" s="31">
        <f t="shared" si="15"/>
        <v>0</v>
      </c>
      <c r="AH20" s="31">
        <v>350000</v>
      </c>
      <c r="AI20" s="31">
        <f t="shared" si="16"/>
        <v>0</v>
      </c>
      <c r="AJ20" s="31">
        <v>350000</v>
      </c>
      <c r="AK20" s="31">
        <f t="shared" si="17"/>
        <v>0</v>
      </c>
      <c r="AL20" s="31">
        <v>350000</v>
      </c>
      <c r="AM20" s="31">
        <f t="shared" si="18"/>
        <v>0</v>
      </c>
      <c r="AN20" s="31">
        <v>350000</v>
      </c>
      <c r="AO20" s="31">
        <f t="shared" si="19"/>
        <v>0</v>
      </c>
    </row>
    <row r="21" spans="1:41" x14ac:dyDescent="0.2">
      <c r="A21" s="8">
        <v>24</v>
      </c>
      <c r="B21" s="8">
        <f t="shared" si="12"/>
        <v>2024</v>
      </c>
      <c r="C21" s="8">
        <f t="shared" si="13"/>
        <v>5</v>
      </c>
      <c r="D21" s="225">
        <v>45427</v>
      </c>
      <c r="E21" s="226" t="s">
        <v>2991</v>
      </c>
      <c r="F21" s="224">
        <v>1500000</v>
      </c>
      <c r="G21" s="227">
        <v>3.5000000000000003E-2</v>
      </c>
      <c r="H21" s="224"/>
      <c r="I21" s="224"/>
      <c r="J21" s="224"/>
      <c r="K21" s="224"/>
      <c r="L21" s="224"/>
      <c r="M21" s="224"/>
      <c r="N21" s="224"/>
      <c r="O21" s="224"/>
      <c r="P21" s="224">
        <v>1552500</v>
      </c>
      <c r="Q21" s="224">
        <f t="shared" si="5"/>
        <v>54337.500000000007</v>
      </c>
      <c r="R21" s="224">
        <v>1552500</v>
      </c>
      <c r="S21" s="224">
        <f t="shared" si="6"/>
        <v>54337.500000000007</v>
      </c>
      <c r="T21" s="224">
        <v>1552500</v>
      </c>
      <c r="U21" s="224">
        <f t="shared" si="8"/>
        <v>54337.500000000007</v>
      </c>
      <c r="V21" s="224">
        <v>552000</v>
      </c>
      <c r="W21" s="224">
        <f t="shared" si="20"/>
        <v>19320.000000000004</v>
      </c>
      <c r="X21" s="224">
        <v>552000</v>
      </c>
      <c r="Y21" s="224">
        <f>X21*G21</f>
        <v>19320.000000000004</v>
      </c>
      <c r="Z21" s="224">
        <v>552000</v>
      </c>
      <c r="AA21" s="224">
        <f t="shared" si="11"/>
        <v>19320.000000000004</v>
      </c>
      <c r="AB21" s="224">
        <v>0</v>
      </c>
      <c r="AC21" s="224">
        <f t="shared" si="11"/>
        <v>0</v>
      </c>
      <c r="AD21" s="224">
        <v>0</v>
      </c>
      <c r="AE21" s="224">
        <f t="shared" si="14"/>
        <v>0</v>
      </c>
      <c r="AF21" s="224">
        <v>0</v>
      </c>
      <c r="AG21" s="224">
        <f t="shared" si="15"/>
        <v>0</v>
      </c>
      <c r="AH21" s="224">
        <v>0</v>
      </c>
      <c r="AI21" s="224">
        <f t="shared" si="16"/>
        <v>0</v>
      </c>
      <c r="AJ21" s="224">
        <v>0</v>
      </c>
      <c r="AK21" s="224">
        <f t="shared" si="17"/>
        <v>0</v>
      </c>
      <c r="AL21" s="224">
        <v>0</v>
      </c>
      <c r="AM21" s="224">
        <f t="shared" si="18"/>
        <v>0</v>
      </c>
      <c r="AN21" s="224">
        <v>0</v>
      </c>
      <c r="AO21" s="224">
        <f t="shared" si="19"/>
        <v>0</v>
      </c>
    </row>
    <row r="22" spans="1:41" x14ac:dyDescent="0.2">
      <c r="A22" s="8">
        <v>26</v>
      </c>
      <c r="B22" s="8">
        <f t="shared" si="12"/>
        <v>2024</v>
      </c>
      <c r="C22" s="8">
        <f t="shared" si="13"/>
        <v>6</v>
      </c>
      <c r="D22" s="85">
        <v>45458</v>
      </c>
      <c r="E22" s="5" t="s">
        <v>51</v>
      </c>
      <c r="F22" s="31">
        <v>2000000</v>
      </c>
      <c r="G22" s="161">
        <v>2.5000000000000001E-2</v>
      </c>
      <c r="H22" s="31"/>
      <c r="I22" s="31"/>
      <c r="J22" s="31"/>
      <c r="K22" s="31"/>
      <c r="L22" s="31"/>
      <c r="M22" s="31"/>
      <c r="N22" s="31"/>
      <c r="O22" s="31"/>
      <c r="P22" s="31">
        <v>2000000</v>
      </c>
      <c r="Q22" s="31">
        <f t="shared" si="5"/>
        <v>50000</v>
      </c>
      <c r="R22" s="31">
        <v>2000000</v>
      </c>
      <c r="S22" s="31">
        <f t="shared" si="6"/>
        <v>50000</v>
      </c>
      <c r="T22" s="31">
        <v>2000000</v>
      </c>
      <c r="U22" s="31">
        <f t="shared" si="8"/>
        <v>50000</v>
      </c>
      <c r="V22" s="31">
        <v>2129453.515625</v>
      </c>
      <c r="W22" s="31">
        <f t="shared" si="20"/>
        <v>53236.337890625</v>
      </c>
      <c r="X22" s="31">
        <v>2293188.5273498534</v>
      </c>
      <c r="Y22" s="31">
        <f>X22*G22</f>
        <v>57329.713183746338</v>
      </c>
      <c r="Z22" s="31">
        <v>2293188.5273498534</v>
      </c>
      <c r="AA22" s="31">
        <f t="shared" si="11"/>
        <v>57329.713183746338</v>
      </c>
      <c r="AB22" s="31">
        <v>2293188.5273498534</v>
      </c>
      <c r="AC22" s="31">
        <f t="shared" si="11"/>
        <v>57329.713183746338</v>
      </c>
      <c r="AD22" s="31">
        <v>2409281.1965469397</v>
      </c>
      <c r="AE22" s="31">
        <f t="shared" si="14"/>
        <v>60232.029913673498</v>
      </c>
      <c r="AF22" s="31">
        <v>2409281.1965469397</v>
      </c>
      <c r="AG22" s="31">
        <f t="shared" si="15"/>
        <v>60232.029913673498</v>
      </c>
      <c r="AH22" s="31">
        <v>2409281.1965469397</v>
      </c>
      <c r="AI22" s="31">
        <f t="shared" si="16"/>
        <v>60232.029913673498</v>
      </c>
      <c r="AJ22" s="31">
        <v>2409281.1965469397</v>
      </c>
      <c r="AK22" s="31">
        <f t="shared" si="17"/>
        <v>60232.029913673498</v>
      </c>
      <c r="AL22" s="31">
        <v>2409281.1965469397</v>
      </c>
      <c r="AM22" s="31">
        <f t="shared" si="18"/>
        <v>60232.029913673498</v>
      </c>
      <c r="AN22" s="31">
        <v>2409281.1965469397</v>
      </c>
      <c r="AO22" s="31">
        <f t="shared" si="19"/>
        <v>60232.029913673498</v>
      </c>
    </row>
    <row r="23" spans="1:41" x14ac:dyDescent="0.2">
      <c r="A23" s="8">
        <v>28</v>
      </c>
      <c r="B23" s="8">
        <f t="shared" ref="B23:B30" si="21">YEAR(D23)</f>
        <v>2024</v>
      </c>
      <c r="C23" s="8">
        <f t="shared" ref="C23:C30" si="22">MONTH(D23)</f>
        <v>9</v>
      </c>
      <c r="D23" s="93">
        <v>45558</v>
      </c>
      <c r="E23" s="36" t="s">
        <v>2992</v>
      </c>
      <c r="F23" s="35">
        <v>500000</v>
      </c>
      <c r="G23" s="180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>
        <v>500000</v>
      </c>
      <c r="W23" s="35">
        <f t="shared" si="20"/>
        <v>0</v>
      </c>
      <c r="X23" s="35">
        <f>W23*H23</f>
        <v>0</v>
      </c>
      <c r="Y23" s="35">
        <f>X23*I23</f>
        <v>0</v>
      </c>
      <c r="Z23" s="35">
        <f>Y23*J23</f>
        <v>0</v>
      </c>
      <c r="AA23" s="224">
        <f t="shared" si="11"/>
        <v>0</v>
      </c>
      <c r="AB23" s="35">
        <f>AA23*L23</f>
        <v>0</v>
      </c>
      <c r="AC23" s="224">
        <f t="shared" si="11"/>
        <v>0</v>
      </c>
      <c r="AD23" s="35">
        <f>AC23*N23</f>
        <v>0</v>
      </c>
      <c r="AE23" s="224">
        <f t="shared" si="14"/>
        <v>0</v>
      </c>
      <c r="AF23" s="35">
        <f>AE23*P23</f>
        <v>0</v>
      </c>
      <c r="AG23" s="224">
        <f t="shared" si="15"/>
        <v>0</v>
      </c>
      <c r="AH23" s="35">
        <f>AG23*R23</f>
        <v>0</v>
      </c>
      <c r="AI23" s="224">
        <f t="shared" si="16"/>
        <v>0</v>
      </c>
      <c r="AJ23" s="35">
        <f>AI23*T23</f>
        <v>0</v>
      </c>
      <c r="AK23" s="224">
        <f t="shared" si="17"/>
        <v>0</v>
      </c>
      <c r="AL23" s="35">
        <f>AK23*V23</f>
        <v>0</v>
      </c>
      <c r="AM23" s="224">
        <f t="shared" si="18"/>
        <v>0</v>
      </c>
      <c r="AN23" s="35">
        <f>AM23*X23</f>
        <v>0</v>
      </c>
      <c r="AO23" s="224">
        <f t="shared" si="19"/>
        <v>0</v>
      </c>
    </row>
    <row r="24" spans="1:41" x14ac:dyDescent="0.2">
      <c r="A24" s="8">
        <v>30</v>
      </c>
      <c r="B24" s="8">
        <f t="shared" si="21"/>
        <v>2024</v>
      </c>
      <c r="C24" s="8">
        <f t="shared" si="22"/>
        <v>9</v>
      </c>
      <c r="D24" s="85">
        <v>45551</v>
      </c>
      <c r="E24" s="5" t="s">
        <v>2985</v>
      </c>
      <c r="F24" s="31">
        <v>50000000</v>
      </c>
      <c r="G24" s="179">
        <v>1.8499999999999999E-2</v>
      </c>
      <c r="H24" s="179">
        <v>1.8499999999999999E-2</v>
      </c>
      <c r="I24" s="179">
        <v>1.8499999999999999E-2</v>
      </c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>
        <v>30677220</v>
      </c>
      <c r="W24" s="31">
        <f t="shared" si="20"/>
        <v>567528.56999999995</v>
      </c>
      <c r="X24" s="192">
        <v>50308377.782288082</v>
      </c>
      <c r="Y24" s="31">
        <f>X24*G24</f>
        <v>930704.98897232942</v>
      </c>
      <c r="Z24" s="192">
        <v>50308377.782288082</v>
      </c>
      <c r="AA24" s="31">
        <f t="shared" si="11"/>
        <v>930704.98897232942</v>
      </c>
      <c r="AB24" s="192">
        <v>50308377.782288082</v>
      </c>
      <c r="AC24" s="31">
        <f t="shared" si="11"/>
        <v>930704.98897232942</v>
      </c>
      <c r="AD24" s="192">
        <v>51262005.802528732</v>
      </c>
      <c r="AE24" s="31">
        <f t="shared" si="14"/>
        <v>948347.10734678153</v>
      </c>
      <c r="AF24" s="192">
        <v>51262005.802528732</v>
      </c>
      <c r="AG24" s="31">
        <f t="shared" si="15"/>
        <v>948347.10734678153</v>
      </c>
      <c r="AH24" s="192">
        <v>51262005.802528732</v>
      </c>
      <c r="AI24" s="31">
        <f t="shared" si="16"/>
        <v>948347.10734678153</v>
      </c>
      <c r="AJ24" s="192">
        <v>51262005.802528732</v>
      </c>
      <c r="AK24" s="31">
        <f t="shared" si="17"/>
        <v>948347.10734678153</v>
      </c>
      <c r="AL24" s="192">
        <v>51262005.802528732</v>
      </c>
      <c r="AM24" s="31">
        <f t="shared" si="18"/>
        <v>948347.10734678153</v>
      </c>
      <c r="AN24" s="192">
        <v>51262005.802528732</v>
      </c>
      <c r="AO24" s="31">
        <f t="shared" si="19"/>
        <v>948347.10734678153</v>
      </c>
    </row>
    <row r="25" spans="1:41" x14ac:dyDescent="0.2">
      <c r="A25" s="8">
        <v>32</v>
      </c>
      <c r="B25" s="186">
        <f t="shared" si="21"/>
        <v>2025</v>
      </c>
      <c r="C25" s="186">
        <f t="shared" si="22"/>
        <v>1</v>
      </c>
      <c r="D25" s="204">
        <v>45672</v>
      </c>
      <c r="E25" s="5" t="s">
        <v>4073</v>
      </c>
      <c r="F25" s="192">
        <v>30000000</v>
      </c>
      <c r="G25" s="179">
        <v>1.8499999999999999E-2</v>
      </c>
      <c r="H25" s="228"/>
      <c r="I25" s="228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92"/>
      <c r="Y25" s="188"/>
      <c r="Z25" s="192">
        <v>20000000</v>
      </c>
      <c r="AA25" s="31">
        <f t="shared" ref="AA25:AA30" si="23">Z25*$G25</f>
        <v>370000</v>
      </c>
      <c r="AB25" s="192">
        <v>20000000</v>
      </c>
      <c r="AC25" s="31">
        <f t="shared" ref="AC25:AC30" si="24">AB25*$G25</f>
        <v>370000</v>
      </c>
      <c r="AD25" s="192">
        <v>20565267.5</v>
      </c>
      <c r="AE25" s="31">
        <f t="shared" ref="AE25:AE32" si="25">AD25*$G25</f>
        <v>380457.44874999998</v>
      </c>
      <c r="AF25" s="192">
        <v>20565267.5</v>
      </c>
      <c r="AG25" s="31">
        <f t="shared" si="15"/>
        <v>380457.44874999998</v>
      </c>
      <c r="AH25" s="192">
        <v>20565267.5</v>
      </c>
      <c r="AI25" s="31">
        <f t="shared" si="16"/>
        <v>380457.44874999998</v>
      </c>
      <c r="AJ25" s="192">
        <v>20565267.5</v>
      </c>
      <c r="AK25" s="31">
        <f t="shared" si="17"/>
        <v>380457.44874999998</v>
      </c>
      <c r="AL25" s="192">
        <v>20565267.5</v>
      </c>
      <c r="AM25" s="31">
        <f t="shared" si="18"/>
        <v>380457.44874999998</v>
      </c>
      <c r="AN25" s="192">
        <v>20565267.5</v>
      </c>
      <c r="AO25" s="31">
        <f t="shared" si="19"/>
        <v>380457.44874999998</v>
      </c>
    </row>
    <row r="26" spans="1:41" x14ac:dyDescent="0.2">
      <c r="A26" s="8">
        <v>34</v>
      </c>
      <c r="B26" s="8">
        <f t="shared" si="21"/>
        <v>2024</v>
      </c>
      <c r="C26" s="8">
        <f t="shared" si="22"/>
        <v>10</v>
      </c>
      <c r="D26" s="85">
        <v>45581</v>
      </c>
      <c r="E26" s="5" t="s">
        <v>2993</v>
      </c>
      <c r="F26" s="31">
        <v>3000000</v>
      </c>
      <c r="G26" s="179">
        <v>0.05</v>
      </c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>
        <f>V26*G26</f>
        <v>0</v>
      </c>
      <c r="X26" s="31">
        <v>3315375</v>
      </c>
      <c r="Y26" s="31">
        <f>X26*G26</f>
        <v>165768.75</v>
      </c>
      <c r="Z26" s="31">
        <v>3315375</v>
      </c>
      <c r="AA26" s="31">
        <f t="shared" si="23"/>
        <v>165768.75</v>
      </c>
      <c r="AB26" s="31">
        <v>3315375</v>
      </c>
      <c r="AC26" s="31">
        <f t="shared" si="24"/>
        <v>165768.75</v>
      </c>
      <c r="AD26" s="31">
        <v>3655200.9375</v>
      </c>
      <c r="AE26" s="31">
        <f t="shared" si="25"/>
        <v>182760.046875</v>
      </c>
      <c r="AF26" s="31">
        <v>3655200.9375</v>
      </c>
      <c r="AG26" s="31">
        <f t="shared" si="15"/>
        <v>182760.046875</v>
      </c>
      <c r="AH26" s="31">
        <v>3655200.9375</v>
      </c>
      <c r="AI26" s="31">
        <f t="shared" si="16"/>
        <v>182760.046875</v>
      </c>
      <c r="AJ26" s="31">
        <v>3655200.9375</v>
      </c>
      <c r="AK26" s="31">
        <f t="shared" si="17"/>
        <v>182760.046875</v>
      </c>
      <c r="AL26" s="31">
        <v>3655200.9375</v>
      </c>
      <c r="AM26" s="31">
        <f t="shared" si="18"/>
        <v>182760.046875</v>
      </c>
      <c r="AN26" s="31">
        <v>3655200.9375</v>
      </c>
      <c r="AO26" s="31">
        <f t="shared" si="19"/>
        <v>182760.046875</v>
      </c>
    </row>
    <row r="27" spans="1:41" x14ac:dyDescent="0.2">
      <c r="A27" s="8">
        <v>36</v>
      </c>
      <c r="B27" s="8">
        <f t="shared" si="21"/>
        <v>2024</v>
      </c>
      <c r="C27" s="8">
        <f t="shared" si="22"/>
        <v>10</v>
      </c>
      <c r="D27" s="93">
        <v>45591</v>
      </c>
      <c r="E27" s="36" t="s">
        <v>2994</v>
      </c>
      <c r="F27" s="35">
        <v>8100000</v>
      </c>
      <c r="G27" s="207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>
        <v>8100000</v>
      </c>
      <c r="Y27" s="35"/>
      <c r="Z27" s="35">
        <v>8100000</v>
      </c>
      <c r="AA27" s="224">
        <f t="shared" si="23"/>
        <v>0</v>
      </c>
      <c r="AB27" s="35">
        <v>8100000</v>
      </c>
      <c r="AC27" s="224">
        <f t="shared" si="24"/>
        <v>0</v>
      </c>
      <c r="AD27" s="35">
        <v>8100000</v>
      </c>
      <c r="AE27" s="224">
        <f t="shared" si="25"/>
        <v>0</v>
      </c>
      <c r="AF27" s="35">
        <v>8100000</v>
      </c>
      <c r="AG27" s="224">
        <f t="shared" si="15"/>
        <v>0</v>
      </c>
      <c r="AH27" s="35">
        <v>8100000</v>
      </c>
      <c r="AI27" s="224">
        <f t="shared" si="16"/>
        <v>0</v>
      </c>
      <c r="AJ27" s="35">
        <v>8100000</v>
      </c>
      <c r="AK27" s="224">
        <f t="shared" si="17"/>
        <v>0</v>
      </c>
      <c r="AL27" s="35">
        <v>8100000</v>
      </c>
      <c r="AM27" s="224">
        <f t="shared" si="18"/>
        <v>0</v>
      </c>
      <c r="AN27" s="35">
        <v>8100000</v>
      </c>
      <c r="AO27" s="224">
        <f t="shared" si="19"/>
        <v>0</v>
      </c>
    </row>
    <row r="28" spans="1:41" x14ac:dyDescent="0.2">
      <c r="A28" s="8">
        <v>38</v>
      </c>
      <c r="B28" s="8">
        <f t="shared" si="21"/>
        <v>2024</v>
      </c>
      <c r="C28" s="8">
        <f t="shared" si="22"/>
        <v>12</v>
      </c>
      <c r="D28" s="85">
        <v>45640</v>
      </c>
      <c r="E28" s="5" t="s">
        <v>2995</v>
      </c>
      <c r="F28" s="31">
        <v>4000000</v>
      </c>
      <c r="G28" s="179">
        <v>4.4999999999999998E-2</v>
      </c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>
        <v>4000000</v>
      </c>
      <c r="Y28" s="31">
        <f>X28*G28</f>
        <v>180000</v>
      </c>
      <c r="Z28" s="31">
        <v>4000000</v>
      </c>
      <c r="AA28" s="31">
        <f t="shared" si="23"/>
        <v>180000</v>
      </c>
      <c r="AB28" s="31">
        <v>4000000</v>
      </c>
      <c r="AC28" s="31">
        <f t="shared" si="24"/>
        <v>180000</v>
      </c>
      <c r="AD28" s="31">
        <v>3920500</v>
      </c>
      <c r="AE28" s="31">
        <f t="shared" si="25"/>
        <v>176422.5</v>
      </c>
      <c r="AF28" s="31">
        <v>3920500</v>
      </c>
      <c r="AG28" s="31">
        <f t="shared" si="15"/>
        <v>176422.5</v>
      </c>
      <c r="AH28" s="31">
        <v>3920500</v>
      </c>
      <c r="AI28" s="31">
        <f t="shared" si="16"/>
        <v>176422.5</v>
      </c>
      <c r="AJ28" s="31">
        <v>3920500</v>
      </c>
      <c r="AK28" s="31">
        <f t="shared" si="17"/>
        <v>176422.5</v>
      </c>
      <c r="AL28" s="31">
        <v>3920500</v>
      </c>
      <c r="AM28" s="31">
        <f t="shared" si="18"/>
        <v>176422.5</v>
      </c>
      <c r="AN28" s="31">
        <v>24000000</v>
      </c>
      <c r="AO28" s="31">
        <f t="shared" si="19"/>
        <v>1080000</v>
      </c>
    </row>
    <row r="29" spans="1:41" x14ac:dyDescent="0.2">
      <c r="A29" s="8">
        <v>40</v>
      </c>
      <c r="B29" s="8">
        <f t="shared" si="21"/>
        <v>2024</v>
      </c>
      <c r="C29" s="8">
        <f t="shared" si="22"/>
        <v>11</v>
      </c>
      <c r="D29" s="85">
        <v>45623</v>
      </c>
      <c r="E29" s="5" t="s">
        <v>2996</v>
      </c>
      <c r="F29" s="31">
        <v>2000000</v>
      </c>
      <c r="G29" s="179">
        <v>0.05</v>
      </c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>
        <v>2000000</v>
      </c>
      <c r="Y29" s="31">
        <f>X29*G29</f>
        <v>100000</v>
      </c>
      <c r="Z29" s="31">
        <v>2000000</v>
      </c>
      <c r="AA29" s="31">
        <f t="shared" si="23"/>
        <v>100000</v>
      </c>
      <c r="AB29" s="31">
        <v>2000000</v>
      </c>
      <c r="AC29" s="31">
        <f t="shared" si="24"/>
        <v>100000</v>
      </c>
      <c r="AD29" s="31">
        <v>2000000</v>
      </c>
      <c r="AE29" s="31">
        <f t="shared" si="25"/>
        <v>100000</v>
      </c>
      <c r="AF29" s="31">
        <v>2000000</v>
      </c>
      <c r="AG29" s="31">
        <f t="shared" si="15"/>
        <v>100000</v>
      </c>
      <c r="AH29" s="31">
        <v>2000000</v>
      </c>
      <c r="AI29" s="31">
        <f t="shared" si="16"/>
        <v>100000</v>
      </c>
      <c r="AJ29" s="31">
        <v>2000000</v>
      </c>
      <c r="AK29" s="31">
        <f t="shared" si="17"/>
        <v>100000</v>
      </c>
      <c r="AL29" s="31">
        <v>2000000</v>
      </c>
      <c r="AM29" s="31">
        <f t="shared" si="18"/>
        <v>100000</v>
      </c>
      <c r="AN29" s="31">
        <v>2000000</v>
      </c>
      <c r="AO29" s="31">
        <f t="shared" si="19"/>
        <v>100000</v>
      </c>
    </row>
    <row r="30" spans="1:41" x14ac:dyDescent="0.2">
      <c r="A30" s="8">
        <v>42</v>
      </c>
      <c r="B30" s="8">
        <f t="shared" si="21"/>
        <v>2024</v>
      </c>
      <c r="C30" s="8">
        <f t="shared" si="22"/>
        <v>12</v>
      </c>
      <c r="D30" s="93">
        <v>45637</v>
      </c>
      <c r="E30" s="36" t="s">
        <v>3922</v>
      </c>
      <c r="F30" s="35">
        <f>1400000-800000</f>
        <v>600000</v>
      </c>
      <c r="G30" s="207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>
        <v>600000</v>
      </c>
      <c r="Y30" s="35">
        <f>X30*G30</f>
        <v>0</v>
      </c>
      <c r="Z30" s="35">
        <v>600000</v>
      </c>
      <c r="AA30" s="35">
        <f t="shared" si="23"/>
        <v>0</v>
      </c>
      <c r="AB30" s="35">
        <v>600000</v>
      </c>
      <c r="AC30" s="35">
        <f t="shared" si="24"/>
        <v>0</v>
      </c>
      <c r="AD30" s="35">
        <v>600000</v>
      </c>
      <c r="AE30" s="35">
        <f t="shared" si="25"/>
        <v>0</v>
      </c>
      <c r="AF30" s="35">
        <v>600000</v>
      </c>
      <c r="AG30" s="35">
        <f t="shared" si="15"/>
        <v>0</v>
      </c>
      <c r="AH30" s="35">
        <v>600000</v>
      </c>
      <c r="AI30" s="35">
        <f t="shared" si="16"/>
        <v>0</v>
      </c>
      <c r="AJ30" s="35">
        <v>600000</v>
      </c>
      <c r="AK30" s="35">
        <f t="shared" si="17"/>
        <v>0</v>
      </c>
      <c r="AL30" s="35">
        <v>600000</v>
      </c>
      <c r="AM30" s="35">
        <f t="shared" si="18"/>
        <v>0</v>
      </c>
      <c r="AN30" s="35">
        <v>600000</v>
      </c>
      <c r="AO30" s="35">
        <f t="shared" si="19"/>
        <v>0</v>
      </c>
    </row>
    <row r="31" spans="1:41" x14ac:dyDescent="0.2">
      <c r="A31" s="8">
        <v>44</v>
      </c>
      <c r="B31" s="8">
        <f t="shared" ref="B31:B34" si="26">YEAR(D31)</f>
        <v>2025</v>
      </c>
      <c r="C31" s="8">
        <f t="shared" ref="C31:C34" si="27">MONTH(D31)</f>
        <v>2</v>
      </c>
      <c r="D31" s="204">
        <v>45703</v>
      </c>
      <c r="E31" s="187" t="s">
        <v>3844</v>
      </c>
      <c r="F31" s="188">
        <v>1500000</v>
      </c>
      <c r="G31" s="179">
        <v>1.8499999999999999E-2</v>
      </c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>
        <v>1500000</v>
      </c>
      <c r="AE31" s="31">
        <f t="shared" si="25"/>
        <v>27750</v>
      </c>
      <c r="AF31" s="188">
        <v>1500000</v>
      </c>
      <c r="AG31" s="31">
        <f t="shared" si="15"/>
        <v>27750</v>
      </c>
      <c r="AH31" s="188">
        <v>1500000</v>
      </c>
      <c r="AI31" s="31">
        <f t="shared" si="16"/>
        <v>27750</v>
      </c>
      <c r="AJ31" s="188">
        <v>1500000</v>
      </c>
      <c r="AK31" s="31">
        <f t="shared" si="17"/>
        <v>27750</v>
      </c>
      <c r="AL31" s="188">
        <v>1500000</v>
      </c>
      <c r="AM31" s="31">
        <f t="shared" si="18"/>
        <v>27750</v>
      </c>
      <c r="AN31" s="188">
        <v>1500000</v>
      </c>
      <c r="AO31" s="31">
        <f t="shared" si="19"/>
        <v>27750</v>
      </c>
    </row>
    <row r="32" spans="1:41" x14ac:dyDescent="0.2">
      <c r="A32" s="8">
        <v>46</v>
      </c>
      <c r="B32" s="8">
        <f t="shared" si="26"/>
        <v>2025</v>
      </c>
      <c r="C32" s="8">
        <f t="shared" si="27"/>
        <v>3</v>
      </c>
      <c r="D32" s="229">
        <v>45717</v>
      </c>
      <c r="E32" s="230" t="s">
        <v>4072</v>
      </c>
      <c r="F32" s="231">
        <v>1100000</v>
      </c>
      <c r="G32" s="232">
        <v>0</v>
      </c>
      <c r="H32" s="231"/>
      <c r="I32" s="231"/>
      <c r="J32" s="231"/>
      <c r="K32" s="231"/>
      <c r="L32" s="231"/>
      <c r="M32" s="231"/>
      <c r="N32" s="231"/>
      <c r="O32" s="231"/>
      <c r="P32" s="231"/>
      <c r="Q32" s="231"/>
      <c r="R32" s="231"/>
      <c r="S32" s="231"/>
      <c r="T32" s="231"/>
      <c r="U32" s="231"/>
      <c r="V32" s="231"/>
      <c r="W32" s="231"/>
      <c r="X32" s="231"/>
      <c r="Y32" s="231"/>
      <c r="Z32" s="231"/>
      <c r="AA32" s="231"/>
      <c r="AB32" s="231"/>
      <c r="AC32" s="231"/>
      <c r="AD32" s="231">
        <v>1100000</v>
      </c>
      <c r="AE32" s="35">
        <f t="shared" si="25"/>
        <v>0</v>
      </c>
      <c r="AF32" s="231">
        <v>1100000</v>
      </c>
      <c r="AG32" s="35">
        <f t="shared" si="15"/>
        <v>0</v>
      </c>
      <c r="AH32" s="231">
        <v>1100000</v>
      </c>
      <c r="AI32" s="35">
        <f t="shared" si="16"/>
        <v>0</v>
      </c>
      <c r="AJ32" s="231">
        <v>1100000</v>
      </c>
      <c r="AK32" s="35">
        <f t="shared" si="17"/>
        <v>0</v>
      </c>
      <c r="AL32" s="231">
        <v>1100000</v>
      </c>
      <c r="AM32" s="35">
        <f t="shared" si="18"/>
        <v>0</v>
      </c>
      <c r="AN32" s="231">
        <v>1100000</v>
      </c>
      <c r="AO32" s="35">
        <f t="shared" si="19"/>
        <v>0</v>
      </c>
    </row>
    <row r="33" spans="1:41" x14ac:dyDescent="0.2">
      <c r="A33" s="8">
        <v>48</v>
      </c>
      <c r="B33" s="8">
        <f t="shared" si="26"/>
        <v>1900</v>
      </c>
      <c r="C33" s="8">
        <f t="shared" si="27"/>
        <v>1</v>
      </c>
      <c r="D33" s="204"/>
      <c r="E33" s="187" t="s">
        <v>4517</v>
      </c>
      <c r="F33" s="188">
        <v>54000000</v>
      </c>
      <c r="G33" s="228">
        <v>1.8499999999999999E-2</v>
      </c>
      <c r="H33" s="188"/>
      <c r="I33" s="188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  <c r="AI33" s="188"/>
      <c r="AJ33" s="188">
        <v>54000000</v>
      </c>
      <c r="AK33" s="31">
        <f t="shared" si="18"/>
        <v>999000</v>
      </c>
      <c r="AL33" s="188">
        <v>54000000</v>
      </c>
      <c r="AM33" s="31">
        <f t="shared" si="18"/>
        <v>999000</v>
      </c>
      <c r="AN33" s="188">
        <v>54000000</v>
      </c>
      <c r="AO33" s="31">
        <f t="shared" si="19"/>
        <v>999000</v>
      </c>
    </row>
    <row r="34" spans="1:41" x14ac:dyDescent="0.2">
      <c r="A34" s="8">
        <v>50</v>
      </c>
      <c r="B34" s="8">
        <f t="shared" si="26"/>
        <v>2025</v>
      </c>
      <c r="C34" s="8">
        <f t="shared" si="27"/>
        <v>7</v>
      </c>
      <c r="D34" s="204">
        <v>45848</v>
      </c>
      <c r="E34" s="187" t="s">
        <v>4519</v>
      </c>
      <c r="F34" s="188">
        <v>10000000</v>
      </c>
      <c r="G34" s="228">
        <v>0.03</v>
      </c>
      <c r="H34" s="188"/>
      <c r="I34" s="188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>
        <v>10000000</v>
      </c>
      <c r="AM34" s="31">
        <f t="shared" si="18"/>
        <v>300000</v>
      </c>
      <c r="AN34" s="188">
        <v>10000000</v>
      </c>
      <c r="AO34" s="31">
        <f t="shared" ref="AO34:AO35" si="28">AN34*$G34</f>
        <v>300000</v>
      </c>
    </row>
    <row r="35" spans="1:41" x14ac:dyDescent="0.2">
      <c r="A35" s="8">
        <v>52</v>
      </c>
      <c r="B35" s="8">
        <f t="shared" ref="B35:B41" si="29">YEAR(D35)</f>
        <v>2025</v>
      </c>
      <c r="C35" s="8">
        <f t="shared" ref="C35:C41" si="30">MONTH(D35)</f>
        <v>7</v>
      </c>
      <c r="D35" s="204">
        <v>45848</v>
      </c>
      <c r="E35" s="187" t="s">
        <v>4518</v>
      </c>
      <c r="F35" s="188">
        <v>20000000</v>
      </c>
      <c r="G35" s="228">
        <v>0.03</v>
      </c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/>
      <c r="AH35" s="188"/>
      <c r="AI35" s="188"/>
      <c r="AJ35" s="188"/>
      <c r="AK35" s="188"/>
      <c r="AL35" s="188">
        <v>20000000</v>
      </c>
      <c r="AM35" s="31">
        <f t="shared" ref="AM35" si="31">AL35*$G35</f>
        <v>600000</v>
      </c>
      <c r="AN35" s="188">
        <v>20000000</v>
      </c>
      <c r="AO35" s="31">
        <f t="shared" si="28"/>
        <v>600000</v>
      </c>
    </row>
    <row r="36" spans="1:41" x14ac:dyDescent="0.2">
      <c r="A36" s="8">
        <v>54</v>
      </c>
      <c r="B36" s="8">
        <f t="shared" si="29"/>
        <v>2026</v>
      </c>
      <c r="C36" s="8">
        <f t="shared" si="30"/>
        <v>6</v>
      </c>
      <c r="D36" s="204">
        <v>46185</v>
      </c>
      <c r="E36" s="187" t="s">
        <v>5229</v>
      </c>
      <c r="F36" s="188">
        <v>5000000</v>
      </c>
      <c r="G36" s="228">
        <v>0.03</v>
      </c>
      <c r="H36" s="188"/>
      <c r="I36" s="188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  <c r="AM36" s="188"/>
      <c r="AN36" s="188"/>
      <c r="AO36" s="188"/>
    </row>
    <row r="37" spans="1:41" x14ac:dyDescent="0.2">
      <c r="A37" s="8">
        <v>56</v>
      </c>
      <c r="B37" s="8">
        <f t="shared" si="29"/>
        <v>2026</v>
      </c>
      <c r="C37" s="8">
        <f t="shared" si="30"/>
        <v>5</v>
      </c>
      <c r="D37" s="204">
        <v>46149</v>
      </c>
      <c r="E37" s="187" t="s">
        <v>5230</v>
      </c>
      <c r="F37" s="188">
        <v>1000000</v>
      </c>
      <c r="G37" s="228">
        <v>0</v>
      </c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/>
      <c r="AJ37" s="188"/>
      <c r="AK37" s="188"/>
      <c r="AL37" s="188"/>
      <c r="AM37" s="188"/>
      <c r="AN37" s="188"/>
      <c r="AO37" s="188"/>
    </row>
    <row r="38" spans="1:41" x14ac:dyDescent="0.2">
      <c r="A38" s="8">
        <v>58</v>
      </c>
      <c r="B38" s="8">
        <f t="shared" si="29"/>
        <v>2026</v>
      </c>
      <c r="C38" s="8">
        <f t="shared" si="30"/>
        <v>4</v>
      </c>
      <c r="D38" s="204">
        <v>46113</v>
      </c>
      <c r="E38" s="187" t="s">
        <v>5231</v>
      </c>
      <c r="F38" s="188">
        <v>4000000</v>
      </c>
      <c r="G38" s="228">
        <v>3.5000000000000003E-2</v>
      </c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  <c r="AJ38" s="188"/>
      <c r="AK38" s="188"/>
      <c r="AL38" s="188"/>
      <c r="AM38" s="188"/>
      <c r="AN38" s="188"/>
      <c r="AO38" s="188"/>
    </row>
    <row r="39" spans="1:41" x14ac:dyDescent="0.2">
      <c r="A39" s="8">
        <v>60</v>
      </c>
      <c r="B39" s="8">
        <f t="shared" si="29"/>
        <v>2026</v>
      </c>
      <c r="C39" s="8">
        <f t="shared" si="30"/>
        <v>1</v>
      </c>
      <c r="D39" s="204">
        <v>46037</v>
      </c>
      <c r="E39" s="187" t="s">
        <v>5232</v>
      </c>
      <c r="F39" s="188">
        <v>2000000</v>
      </c>
      <c r="G39" s="228">
        <v>0.03</v>
      </c>
      <c r="H39" s="188"/>
      <c r="I39" s="188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/>
      <c r="AH39" s="188"/>
      <c r="AI39" s="188"/>
      <c r="AJ39" s="188"/>
      <c r="AK39" s="188"/>
      <c r="AL39" s="188"/>
      <c r="AM39" s="188"/>
      <c r="AN39" s="188"/>
      <c r="AO39" s="188"/>
    </row>
    <row r="40" spans="1:41" x14ac:dyDescent="0.2">
      <c r="A40" s="8">
        <v>62</v>
      </c>
      <c r="B40" s="8">
        <f t="shared" si="29"/>
        <v>1900</v>
      </c>
      <c r="C40" s="8">
        <f t="shared" si="30"/>
        <v>1</v>
      </c>
      <c r="D40" s="204"/>
      <c r="E40" s="187"/>
      <c r="F40" s="188"/>
      <c r="G40" s="228"/>
      <c r="H40" s="188"/>
      <c r="I40" s="188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</row>
    <row r="41" spans="1:41" x14ac:dyDescent="0.2">
      <c r="A41" s="8">
        <v>64</v>
      </c>
      <c r="B41" s="8">
        <f t="shared" si="29"/>
        <v>1900</v>
      </c>
      <c r="C41" s="8">
        <f t="shared" si="30"/>
        <v>1</v>
      </c>
      <c r="D41" s="85"/>
      <c r="E41" s="5"/>
      <c r="F41" s="31"/>
      <c r="G41" s="16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>
        <f>V41*G41</f>
        <v>0</v>
      </c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</row>
    <row r="42" spans="1:41" x14ac:dyDescent="0.2">
      <c r="F42" s="30">
        <f>SUM(F3:F41)</f>
        <v>364556000</v>
      </c>
      <c r="G42" s="174"/>
      <c r="H42" s="30">
        <f t="shared" ref="H42:Y42" si="32">SUM(H3:H41)</f>
        <v>116421266.1021346</v>
      </c>
      <c r="I42" s="30">
        <f t="shared" si="32"/>
        <v>2768706.2251772112</v>
      </c>
      <c r="J42" s="30">
        <f t="shared" si="32"/>
        <v>130080924.49297179</v>
      </c>
      <c r="K42" s="30">
        <f t="shared" si="32"/>
        <v>3157892.3456915128</v>
      </c>
      <c r="L42" s="30">
        <f t="shared" si="32"/>
        <v>92666966.838663295</v>
      </c>
      <c r="M42" s="30">
        <f t="shared" si="32"/>
        <v>2556574.3272125912</v>
      </c>
      <c r="N42" s="30">
        <f t="shared" si="32"/>
        <v>89045831.795250878</v>
      </c>
      <c r="O42" s="30">
        <f t="shared" si="32"/>
        <v>1900484.5034482758</v>
      </c>
      <c r="P42" s="30">
        <f t="shared" si="32"/>
        <v>92431967.333699167</v>
      </c>
      <c r="Q42" s="30">
        <f t="shared" si="32"/>
        <v>2047073.8479065825</v>
      </c>
      <c r="R42" s="30">
        <f t="shared" si="32"/>
        <v>92431967.333699167</v>
      </c>
      <c r="S42" s="30">
        <f t="shared" si="32"/>
        <v>2047073.8479065825</v>
      </c>
      <c r="T42" s="30">
        <f t="shared" si="32"/>
        <v>92431967.333699167</v>
      </c>
      <c r="U42" s="30">
        <f t="shared" si="32"/>
        <v>2047073.8479065825</v>
      </c>
      <c r="V42" s="30">
        <f t="shared" si="32"/>
        <v>119827322.97209993</v>
      </c>
      <c r="W42" s="30">
        <f t="shared" si="32"/>
        <v>2548335.6636379818</v>
      </c>
      <c r="X42" s="30">
        <f t="shared" si="32"/>
        <v>160212306.8927829</v>
      </c>
      <c r="Y42" s="30">
        <f t="shared" si="32"/>
        <v>2683295.2256679917</v>
      </c>
      <c r="Z42" s="30">
        <f t="shared" ref="Z42:AO42" si="33">SUM(Z3:Z41)</f>
        <v>180002306.8927829</v>
      </c>
      <c r="AA42" s="30">
        <f t="shared" si="33"/>
        <v>2418325.2581471712</v>
      </c>
      <c r="AB42" s="30">
        <f t="shared" si="33"/>
        <v>178237977.38308552</v>
      </c>
      <c r="AC42" s="30">
        <f t="shared" si="33"/>
        <v>2348072.7866302365</v>
      </c>
      <c r="AD42" s="30">
        <f t="shared" si="33"/>
        <v>184330462.15587497</v>
      </c>
      <c r="AE42" s="30">
        <f t="shared" si="33"/>
        <v>2476139.4399644248</v>
      </c>
      <c r="AF42" s="30">
        <f t="shared" si="33"/>
        <v>184330462.15587497</v>
      </c>
      <c r="AG42" s="30">
        <f t="shared" si="33"/>
        <v>2476139.4399644248</v>
      </c>
      <c r="AH42" s="30">
        <f t="shared" si="33"/>
        <v>184330462.15587497</v>
      </c>
      <c r="AI42" s="30">
        <f t="shared" si="33"/>
        <v>2476139.4399644248</v>
      </c>
      <c r="AJ42" s="30">
        <f t="shared" si="33"/>
        <v>237232837.68073183</v>
      </c>
      <c r="AK42" s="30">
        <f t="shared" si="33"/>
        <v>3436722.5833344152</v>
      </c>
      <c r="AL42" s="30">
        <f t="shared" si="33"/>
        <v>267232837.68073183</v>
      </c>
      <c r="AM42" s="30">
        <f t="shared" si="33"/>
        <v>4336722.5833344152</v>
      </c>
      <c r="AN42" s="30">
        <f t="shared" si="33"/>
        <v>279662787.13351947</v>
      </c>
      <c r="AO42" s="30">
        <f t="shared" si="33"/>
        <v>5165300.0833344152</v>
      </c>
    </row>
  </sheetData>
  <mergeCells count="1">
    <mergeCell ref="A1:K1"/>
  </mergeCell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Y139"/>
  <sheetViews>
    <sheetView topLeftCell="C1" zoomScale="150" zoomScaleNormal="85" workbookViewId="0">
      <pane ySplit="1" topLeftCell="A38" activePane="bottomLeft" state="frozen"/>
      <selection activeCell="C1" sqref="C1"/>
      <selection pane="bottomLeft" activeCell="H39" sqref="H39:I40"/>
    </sheetView>
  </sheetViews>
  <sheetFormatPr baseColWidth="10" defaultColWidth="10.6640625" defaultRowHeight="15" x14ac:dyDescent="0.2"/>
  <cols>
    <col min="1" max="1" width="12.5" customWidth="1"/>
    <col min="2" max="2" width="13.33203125" customWidth="1"/>
    <col min="3" max="3" width="14.33203125" style="1" customWidth="1"/>
    <col min="4" max="4" width="21.33203125" customWidth="1"/>
    <col min="5" max="5" width="14.6640625" customWidth="1"/>
    <col min="6" max="6" width="18" bestFit="1" customWidth="1"/>
    <col min="7" max="7" width="6.5" customWidth="1"/>
    <col min="8" max="8" width="17.33203125" customWidth="1"/>
    <col min="9" max="9" width="13.6640625" customWidth="1"/>
    <col min="10" max="10" width="13.1640625" customWidth="1"/>
    <col min="11" max="11" width="3.33203125" customWidth="1"/>
    <col min="12" max="12" width="13.33203125" style="1" customWidth="1"/>
    <col min="13" max="13" width="13.33203125" customWidth="1"/>
    <col min="14" max="14" width="61.5" bestFit="1" customWidth="1"/>
    <col min="17" max="18" width="11.6640625" bestFit="1" customWidth="1"/>
    <col min="19" max="19" width="25.6640625" bestFit="1" customWidth="1"/>
  </cols>
  <sheetData>
    <row r="1" spans="2:25" x14ac:dyDescent="0.2">
      <c r="B1" s="10" t="s">
        <v>2997</v>
      </c>
      <c r="C1" s="12" t="s">
        <v>2998</v>
      </c>
      <c r="D1" s="12" t="s">
        <v>2999</v>
      </c>
      <c r="E1" s="10"/>
      <c r="F1" s="12" t="s">
        <v>3000</v>
      </c>
      <c r="I1" s="24"/>
    </row>
    <row r="2" spans="2:25" x14ac:dyDescent="0.2">
      <c r="B2" s="10"/>
      <c r="C2" s="12"/>
      <c r="D2" s="10"/>
      <c r="E2" s="10"/>
      <c r="F2" s="10"/>
      <c r="P2">
        <v>2000000</v>
      </c>
      <c r="Q2" t="s">
        <v>3001</v>
      </c>
    </row>
    <row r="3" spans="2:25" x14ac:dyDescent="0.2">
      <c r="B3" s="5" t="s">
        <v>7</v>
      </c>
      <c r="C3" s="7">
        <v>566100</v>
      </c>
      <c r="D3" s="7">
        <v>-60000</v>
      </c>
      <c r="E3" s="7"/>
      <c r="F3" s="7">
        <v>0</v>
      </c>
      <c r="I3" s="78"/>
      <c r="P3">
        <v>2000000</v>
      </c>
      <c r="Q3" t="s">
        <v>3001</v>
      </c>
      <c r="R3" s="47">
        <v>43507</v>
      </c>
    </row>
    <row r="4" spans="2:25" x14ac:dyDescent="0.2">
      <c r="B4" s="5" t="s">
        <v>8</v>
      </c>
      <c r="C4" s="7">
        <v>1663600</v>
      </c>
      <c r="D4" s="7">
        <v>-60000</v>
      </c>
      <c r="E4" s="7"/>
      <c r="F4" s="7">
        <v>0</v>
      </c>
      <c r="I4" s="78"/>
    </row>
    <row r="5" spans="2:25" x14ac:dyDescent="0.2">
      <c r="B5" s="5" t="s">
        <v>9</v>
      </c>
      <c r="C5" s="7">
        <v>-243200</v>
      </c>
      <c r="D5" s="7">
        <v>-60000</v>
      </c>
      <c r="E5" s="7"/>
      <c r="F5" s="7">
        <v>-3202.8</v>
      </c>
    </row>
    <row r="6" spans="2:25" x14ac:dyDescent="0.2">
      <c r="B6" s="5" t="s">
        <v>10</v>
      </c>
      <c r="C6" s="7">
        <v>1457000</v>
      </c>
      <c r="D6" s="7">
        <v>-60000</v>
      </c>
      <c r="E6" s="7"/>
      <c r="F6" s="7">
        <v>-28482.400000000001</v>
      </c>
      <c r="I6" s="24"/>
    </row>
    <row r="7" spans="2:25" x14ac:dyDescent="0.2">
      <c r="B7" s="5" t="s">
        <v>11</v>
      </c>
      <c r="C7" s="7">
        <v>916700</v>
      </c>
      <c r="D7" s="7">
        <v>-60000</v>
      </c>
      <c r="E7" s="7"/>
      <c r="F7" s="7">
        <v>-34442</v>
      </c>
      <c r="Q7" s="42">
        <v>43867</v>
      </c>
      <c r="R7" s="7">
        <v>510400</v>
      </c>
      <c r="S7" s="5" t="s">
        <v>3002</v>
      </c>
    </row>
    <row r="8" spans="2:25" x14ac:dyDescent="0.2">
      <c r="B8" s="5" t="s">
        <v>12</v>
      </c>
      <c r="C8" s="7">
        <v>2574700</v>
      </c>
      <c r="D8" s="7">
        <v>-60000</v>
      </c>
      <c r="E8" s="7"/>
      <c r="F8" s="7">
        <v>-34396.400000000001</v>
      </c>
      <c r="Q8" s="42">
        <v>43867</v>
      </c>
      <c r="R8" s="7">
        <v>2084000</v>
      </c>
      <c r="S8" s="5" t="s">
        <v>3003</v>
      </c>
    </row>
    <row r="9" spans="2:25" x14ac:dyDescent="0.2">
      <c r="B9" s="5" t="s">
        <v>13</v>
      </c>
      <c r="C9" s="7">
        <v>1148860</v>
      </c>
      <c r="D9" s="7">
        <v>-60000</v>
      </c>
      <c r="E9" s="7"/>
      <c r="F9" s="7">
        <v>-48377.919999999998</v>
      </c>
      <c r="Q9" s="42">
        <v>43784</v>
      </c>
      <c r="R9" s="7">
        <v>449600</v>
      </c>
      <c r="S9" s="5" t="s">
        <v>3002</v>
      </c>
    </row>
    <row r="10" spans="2:25" x14ac:dyDescent="0.2">
      <c r="B10" s="5" t="s">
        <v>2</v>
      </c>
      <c r="C10" s="7">
        <v>1316700</v>
      </c>
      <c r="D10" s="7">
        <v>-62000</v>
      </c>
      <c r="E10" s="7"/>
      <c r="F10" s="7">
        <v>-41412.400000000001</v>
      </c>
      <c r="Q10" s="42">
        <v>43817</v>
      </c>
      <c r="R10" s="7">
        <v>449600</v>
      </c>
      <c r="S10" s="5" t="s">
        <v>3002</v>
      </c>
    </row>
    <row r="11" spans="2:25" x14ac:dyDescent="0.2">
      <c r="B11" s="5" t="s">
        <v>3</v>
      </c>
      <c r="C11" s="7">
        <v>1166700</v>
      </c>
      <c r="D11" s="7">
        <v>-62000</v>
      </c>
      <c r="E11" s="7"/>
      <c r="F11" s="7">
        <v>-45946.8</v>
      </c>
      <c r="Q11" s="42">
        <v>43839</v>
      </c>
      <c r="R11" s="7">
        <v>358800</v>
      </c>
      <c r="S11" s="5" t="s">
        <v>3004</v>
      </c>
    </row>
    <row r="12" spans="2:25" x14ac:dyDescent="0.2">
      <c r="B12" s="5" t="s">
        <v>4</v>
      </c>
      <c r="C12" s="7">
        <v>1824950</v>
      </c>
      <c r="D12" s="7">
        <v>-62000</v>
      </c>
      <c r="E12" s="7"/>
      <c r="F12" s="7">
        <v>-53939.200000000004</v>
      </c>
      <c r="Q12" s="42">
        <v>43839</v>
      </c>
      <c r="R12" s="7">
        <v>138000</v>
      </c>
      <c r="S12" s="5" t="s">
        <v>3004</v>
      </c>
    </row>
    <row r="13" spans="2:25" x14ac:dyDescent="0.2">
      <c r="B13" s="5" t="s">
        <v>5</v>
      </c>
      <c r="C13" s="7">
        <v>2148203.333333334</v>
      </c>
      <c r="D13" s="7">
        <v>-62000</v>
      </c>
      <c r="E13" s="7"/>
      <c r="F13" s="7">
        <v>-64140.066666666666</v>
      </c>
      <c r="Q13" s="42">
        <v>43840</v>
      </c>
      <c r="R13" s="7">
        <v>383000</v>
      </c>
      <c r="S13" s="5" t="s">
        <v>3002</v>
      </c>
    </row>
    <row r="14" spans="2:25" x14ac:dyDescent="0.2">
      <c r="B14" s="5" t="s">
        <v>6</v>
      </c>
      <c r="C14" s="7">
        <v>1441093.333333334</v>
      </c>
      <c r="D14" s="7">
        <v>-62000</v>
      </c>
      <c r="E14" s="7"/>
      <c r="F14" s="7">
        <v>-54698.866666666669</v>
      </c>
      <c r="Q14" s="42">
        <v>43853</v>
      </c>
      <c r="R14" s="7">
        <v>500000</v>
      </c>
      <c r="S14" s="5" t="s">
        <v>3005</v>
      </c>
    </row>
    <row r="15" spans="2:25" x14ac:dyDescent="0.2">
      <c r="B15" s="5" t="s">
        <v>7</v>
      </c>
      <c r="C15" s="7">
        <v>2524350</v>
      </c>
      <c r="D15" s="7">
        <v>-62000</v>
      </c>
      <c r="E15" s="7"/>
      <c r="F15" s="7">
        <v>-67276.399999999994</v>
      </c>
      <c r="H15" s="157" t="s">
        <v>82</v>
      </c>
      <c r="I15" s="157" t="s">
        <v>1</v>
      </c>
      <c r="J15" s="157" t="s">
        <v>78</v>
      </c>
      <c r="Q15" s="42">
        <v>43853</v>
      </c>
      <c r="R15" s="7">
        <v>53000</v>
      </c>
      <c r="S15" s="5" t="s">
        <v>3006</v>
      </c>
    </row>
    <row r="16" spans="2:25" x14ac:dyDescent="0.2">
      <c r="B16" s="5" t="s">
        <v>8</v>
      </c>
      <c r="C16" s="7">
        <v>2200613.3333333358</v>
      </c>
      <c r="D16" s="7">
        <v>-62000</v>
      </c>
      <c r="E16" s="7"/>
      <c r="F16" s="7">
        <v>-57859.360000000001</v>
      </c>
      <c r="H16" s="5" t="s">
        <v>3007</v>
      </c>
      <c r="I16" s="7">
        <v>250000000</v>
      </c>
      <c r="J16" s="42">
        <v>44868</v>
      </c>
      <c r="Y16">
        <v>1000000</v>
      </c>
    </row>
    <row r="17" spans="1:25" x14ac:dyDescent="0.2">
      <c r="B17" s="5" t="s">
        <v>9</v>
      </c>
      <c r="C17" s="7">
        <v>8250288.9679999985</v>
      </c>
      <c r="D17" s="7">
        <v>-62000</v>
      </c>
      <c r="E17" s="7"/>
      <c r="F17" s="7">
        <v>-77143.98</v>
      </c>
      <c r="H17" s="5" t="s">
        <v>1641</v>
      </c>
      <c r="I17" s="7">
        <v>5700000</v>
      </c>
      <c r="J17" s="42">
        <v>44868</v>
      </c>
      <c r="Y17">
        <v>5400000</v>
      </c>
    </row>
    <row r="18" spans="1:25" x14ac:dyDescent="0.2">
      <c r="B18" s="5" t="s">
        <v>10</v>
      </c>
      <c r="C18" s="7">
        <v>7749331.0506666619</v>
      </c>
      <c r="D18" s="7">
        <v>-62000</v>
      </c>
      <c r="E18" s="7"/>
      <c r="F18" s="7">
        <v>-59757.595797333357</v>
      </c>
      <c r="H18" s="5" t="s">
        <v>3008</v>
      </c>
      <c r="I18" s="177">
        <v>40000000</v>
      </c>
      <c r="J18" s="42">
        <v>44105</v>
      </c>
      <c r="V18">
        <v>1215000</v>
      </c>
      <c r="Y18">
        <f>42*20000</f>
        <v>840000</v>
      </c>
    </row>
    <row r="19" spans="1:25" x14ac:dyDescent="0.2">
      <c r="B19" s="5" t="s">
        <v>11</v>
      </c>
      <c r="C19" s="7">
        <v>4492654.5211360119</v>
      </c>
      <c r="D19" s="7">
        <v>-62000</v>
      </c>
      <c r="E19" s="7"/>
      <c r="F19" s="7">
        <v>-71255.95524878928</v>
      </c>
      <c r="H19" s="5" t="s">
        <v>3009</v>
      </c>
      <c r="I19" s="177">
        <v>26500000</v>
      </c>
      <c r="J19" s="42">
        <v>44950</v>
      </c>
      <c r="V19">
        <v>1197000</v>
      </c>
      <c r="Y19">
        <v>270000</v>
      </c>
    </row>
    <row r="20" spans="1:25" x14ac:dyDescent="0.2">
      <c r="B20" s="5" t="s">
        <v>12</v>
      </c>
      <c r="C20" s="7">
        <v>3663289.9556773361</v>
      </c>
      <c r="D20" s="7">
        <v>-62000</v>
      </c>
      <c r="E20" s="7"/>
      <c r="F20" s="7">
        <v>-57639.040177290655</v>
      </c>
      <c r="H20" s="5" t="s">
        <v>3010</v>
      </c>
      <c r="I20" s="177">
        <v>5900000</v>
      </c>
      <c r="J20" s="42">
        <v>44972</v>
      </c>
      <c r="V20">
        <f>V18-V19</f>
        <v>18000</v>
      </c>
      <c r="Y20">
        <v>55000</v>
      </c>
    </row>
    <row r="21" spans="1:25" x14ac:dyDescent="0.2">
      <c r="B21" s="5" t="s">
        <v>13</v>
      </c>
      <c r="C21" s="7">
        <v>3767543.3333333321</v>
      </c>
      <c r="D21" s="7">
        <v>-62000</v>
      </c>
      <c r="E21" s="7"/>
      <c r="F21" s="7">
        <v>-62812</v>
      </c>
      <c r="H21" s="5" t="s">
        <v>3011</v>
      </c>
      <c r="I21" s="177">
        <v>2300000</v>
      </c>
      <c r="J21" s="42">
        <v>45140</v>
      </c>
      <c r="Y21">
        <f>24*2000</f>
        <v>48000</v>
      </c>
    </row>
    <row r="22" spans="1:25" x14ac:dyDescent="0.2">
      <c r="A22" s="3">
        <f>BRAYAN!C2</f>
        <v>1113000</v>
      </c>
      <c r="B22" s="5" t="s">
        <v>2</v>
      </c>
      <c r="C22" s="7">
        <v>2888350</v>
      </c>
      <c r="D22" s="7">
        <v>-62000</v>
      </c>
      <c r="E22" s="7"/>
      <c r="F22" s="7">
        <v>-54825.200000000004</v>
      </c>
      <c r="H22" s="5" t="s">
        <v>3012</v>
      </c>
      <c r="I22" s="177">
        <v>129000000</v>
      </c>
      <c r="J22" s="42">
        <v>45168</v>
      </c>
      <c r="Y22">
        <v>2000</v>
      </c>
    </row>
    <row r="23" spans="1:25" x14ac:dyDescent="0.2">
      <c r="A23" s="3">
        <f>BRAYAN!D2</f>
        <v>1588000</v>
      </c>
      <c r="B23" s="5" t="s">
        <v>3</v>
      </c>
      <c r="C23" s="7">
        <v>3014900</v>
      </c>
      <c r="D23" s="7">
        <v>-62000</v>
      </c>
      <c r="E23" s="7"/>
      <c r="F23" s="7">
        <v>-56958.8</v>
      </c>
      <c r="H23" s="5" t="s">
        <v>3921</v>
      </c>
      <c r="I23" s="7">
        <v>4600000</v>
      </c>
      <c r="J23" s="205">
        <v>45610</v>
      </c>
    </row>
    <row r="24" spans="1:25" x14ac:dyDescent="0.2">
      <c r="A24" s="3">
        <f>BRAYAN!E2</f>
        <v>1732000</v>
      </c>
      <c r="B24" s="5" t="s">
        <v>4</v>
      </c>
      <c r="C24" s="7">
        <v>3297656.6666666642</v>
      </c>
      <c r="D24" s="7">
        <v>-62000</v>
      </c>
      <c r="E24" s="7"/>
      <c r="F24" s="7">
        <v>-56958.8</v>
      </c>
      <c r="H24" s="5" t="s">
        <v>3923</v>
      </c>
      <c r="I24" s="7">
        <v>0</v>
      </c>
      <c r="J24" s="205">
        <v>45651</v>
      </c>
    </row>
    <row r="25" spans="1:25" x14ac:dyDescent="0.2">
      <c r="A25" s="3">
        <f>BRAYAN!F2</f>
        <v>1422000</v>
      </c>
      <c r="B25" s="5" t="s">
        <v>5</v>
      </c>
      <c r="C25" s="7">
        <v>1374956.6666666679</v>
      </c>
      <c r="D25" s="7">
        <v>-62000</v>
      </c>
      <c r="E25" s="7"/>
      <c r="F25" s="7">
        <v>-56958.8</v>
      </c>
      <c r="H25" s="5" t="s">
        <v>4130</v>
      </c>
      <c r="I25" s="7">
        <v>6800000</v>
      </c>
      <c r="J25" s="42">
        <v>45736</v>
      </c>
    </row>
    <row r="26" spans="1:25" x14ac:dyDescent="0.2">
      <c r="A26" s="3">
        <f>BRAYAN!G2</f>
        <v>1000000</v>
      </c>
      <c r="B26" s="5" t="s">
        <v>6</v>
      </c>
      <c r="C26" s="7">
        <v>1921000</v>
      </c>
      <c r="D26" s="7">
        <v>0</v>
      </c>
      <c r="E26" s="7"/>
      <c r="F26" s="7">
        <v>-56958.8</v>
      </c>
      <c r="H26" s="5" t="s">
        <v>4656</v>
      </c>
      <c r="I26" s="7">
        <v>2800000</v>
      </c>
      <c r="J26" s="205">
        <v>45928</v>
      </c>
    </row>
    <row r="27" spans="1:25" x14ac:dyDescent="0.2">
      <c r="A27" s="3">
        <f>BRAYAN!H2</f>
        <v>1000000</v>
      </c>
      <c r="B27" s="5" t="s">
        <v>7</v>
      </c>
      <c r="C27" s="7">
        <v>1790800</v>
      </c>
      <c r="D27" s="7">
        <v>0</v>
      </c>
      <c r="E27" s="7"/>
      <c r="F27" s="7">
        <v>-56958.8</v>
      </c>
      <c r="H27" s="5"/>
      <c r="I27" s="7"/>
      <c r="J27" s="5"/>
    </row>
    <row r="28" spans="1:25" x14ac:dyDescent="0.2">
      <c r="A28" s="3">
        <f>BRAYAN!I2</f>
        <v>1500000</v>
      </c>
      <c r="B28" s="5" t="s">
        <v>8</v>
      </c>
      <c r="C28" s="7">
        <v>2573550</v>
      </c>
      <c r="D28" s="7">
        <v>0</v>
      </c>
      <c r="E28" s="7"/>
      <c r="F28" s="7">
        <v>-56958.8</v>
      </c>
      <c r="H28" s="5"/>
      <c r="I28" s="7"/>
      <c r="J28" s="5"/>
    </row>
    <row r="29" spans="1:25" x14ac:dyDescent="0.2">
      <c r="A29" s="3">
        <f>BRAYAN!J2</f>
        <v>1800000</v>
      </c>
      <c r="B29" s="5" t="s">
        <v>9</v>
      </c>
      <c r="C29" s="7">
        <v>3379243.3333333321</v>
      </c>
      <c r="D29" s="7">
        <v>0</v>
      </c>
      <c r="E29" s="7"/>
      <c r="F29" s="7">
        <v>-56958.8</v>
      </c>
      <c r="I29" s="151">
        <f>-(SUM(I16:I28))</f>
        <v>-473600000</v>
      </c>
    </row>
    <row r="30" spans="1:25" x14ac:dyDescent="0.2">
      <c r="A30" s="3">
        <f>BRAYAN!K2</f>
        <v>3100000</v>
      </c>
      <c r="B30" s="5" t="s">
        <v>10</v>
      </c>
      <c r="C30" s="7">
        <v>2922223.333333334</v>
      </c>
      <c r="D30" s="7">
        <v>0</v>
      </c>
      <c r="E30" s="7"/>
      <c r="F30" s="7">
        <v>-56958.8</v>
      </c>
      <c r="O30" s="66"/>
    </row>
    <row r="31" spans="1:25" x14ac:dyDescent="0.2">
      <c r="A31" s="3">
        <f>BRAYAN!L2</f>
        <v>2708500</v>
      </c>
      <c r="B31" s="5" t="s">
        <v>11</v>
      </c>
      <c r="C31" s="7">
        <v>2500000</v>
      </c>
      <c r="D31" s="7">
        <v>0</v>
      </c>
      <c r="E31" s="7"/>
      <c r="F31" s="7">
        <v>-56958.8</v>
      </c>
      <c r="H31" s="383"/>
      <c r="I31" s="383"/>
      <c r="J31" s="383"/>
      <c r="L31" s="383">
        <v>43646</v>
      </c>
      <c r="M31" s="383"/>
      <c r="N31" s="383"/>
    </row>
    <row r="32" spans="1:25" x14ac:dyDescent="0.2">
      <c r="A32" s="3">
        <f>BRAYAN!M2</f>
        <v>2800000</v>
      </c>
      <c r="B32" s="5" t="s">
        <v>12</v>
      </c>
      <c r="C32" s="7">
        <v>3480000</v>
      </c>
      <c r="D32" s="7">
        <v>0</v>
      </c>
      <c r="E32" s="7"/>
      <c r="F32" s="7">
        <v>-56958.8</v>
      </c>
      <c r="H32" s="384" t="s">
        <v>3013</v>
      </c>
      <c r="I32" s="385"/>
      <c r="J32" s="385"/>
      <c r="L32" s="386" t="s">
        <v>3014</v>
      </c>
      <c r="M32" s="386"/>
      <c r="N32" s="387"/>
    </row>
    <row r="33" spans="1:14" x14ac:dyDescent="0.2">
      <c r="A33" s="3">
        <v>2553300</v>
      </c>
      <c r="B33" s="5" t="s">
        <v>13</v>
      </c>
      <c r="C33" s="7">
        <v>2553300</v>
      </c>
      <c r="D33" s="7">
        <v>0</v>
      </c>
      <c r="E33" s="7"/>
      <c r="F33" s="7">
        <v>-56958.8</v>
      </c>
      <c r="H33" s="5" t="s">
        <v>3015</v>
      </c>
      <c r="I33" s="7">
        <v>0</v>
      </c>
      <c r="J33" s="67">
        <v>45548</v>
      </c>
      <c r="L33" s="77">
        <v>43713</v>
      </c>
      <c r="M33" s="46">
        <v>1048000</v>
      </c>
      <c r="N33" s="36" t="s">
        <v>3016</v>
      </c>
    </row>
    <row r="34" spans="1:14" x14ac:dyDescent="0.2">
      <c r="A34" s="3">
        <v>3033000</v>
      </c>
      <c r="B34" s="5" t="s">
        <v>2</v>
      </c>
      <c r="C34" s="7">
        <v>3480000</v>
      </c>
      <c r="D34" s="7">
        <v>0</v>
      </c>
      <c r="E34" s="7"/>
      <c r="F34" s="7">
        <v>-56958.8</v>
      </c>
      <c r="H34" s="5" t="s">
        <v>3017</v>
      </c>
      <c r="I34" s="7">
        <v>0</v>
      </c>
      <c r="J34" s="67">
        <v>45548</v>
      </c>
      <c r="L34" s="77">
        <v>43978</v>
      </c>
      <c r="M34" s="46">
        <v>1103990</v>
      </c>
      <c r="N34" s="36" t="s">
        <v>3018</v>
      </c>
    </row>
    <row r="35" spans="1:14" x14ac:dyDescent="0.2">
      <c r="A35" s="3">
        <v>3500000</v>
      </c>
      <c r="B35" s="5" t="s">
        <v>3</v>
      </c>
      <c r="C35" s="7">
        <v>3600000</v>
      </c>
      <c r="D35" s="7">
        <v>-69000</v>
      </c>
      <c r="E35" s="7"/>
      <c r="F35" s="7">
        <v>-56958.8</v>
      </c>
      <c r="H35" s="5" t="s">
        <v>3019</v>
      </c>
      <c r="I35" s="7">
        <v>10000000</v>
      </c>
      <c r="J35" s="67">
        <v>45548</v>
      </c>
      <c r="L35" s="77">
        <v>44180</v>
      </c>
      <c r="M35" s="46">
        <v>271000</v>
      </c>
      <c r="N35" s="36" t="s">
        <v>3020</v>
      </c>
    </row>
    <row r="36" spans="1:14" x14ac:dyDescent="0.2">
      <c r="A36" s="3">
        <v>2500000</v>
      </c>
      <c r="B36" s="5" t="s">
        <v>4</v>
      </c>
      <c r="C36" s="7">
        <v>2600000</v>
      </c>
      <c r="D36" s="7">
        <v>-69000</v>
      </c>
      <c r="E36" s="7"/>
      <c r="F36" s="7">
        <v>-56958.8</v>
      </c>
      <c r="H36" s="5" t="s">
        <v>3021</v>
      </c>
      <c r="I36" s="7">
        <v>1279000</v>
      </c>
      <c r="J36" s="67">
        <v>45548</v>
      </c>
      <c r="K36" s="47"/>
      <c r="L36" s="77"/>
      <c r="M36" s="46"/>
      <c r="N36" s="36"/>
    </row>
    <row r="37" spans="1:14" x14ac:dyDescent="0.2">
      <c r="A37" s="3">
        <v>3740000</v>
      </c>
      <c r="B37" s="5" t="s">
        <v>5</v>
      </c>
      <c r="C37" s="7">
        <v>4000000</v>
      </c>
      <c r="D37" s="7">
        <v>-69000</v>
      </c>
      <c r="E37" s="7"/>
      <c r="F37" s="7">
        <v>-56958.8</v>
      </c>
      <c r="H37" s="5" t="s">
        <v>3022</v>
      </c>
      <c r="I37" s="7">
        <v>865000</v>
      </c>
      <c r="J37" s="67">
        <v>45548</v>
      </c>
      <c r="L37" s="67"/>
      <c r="M37" s="13"/>
      <c r="N37" s="25"/>
    </row>
    <row r="38" spans="1:14" x14ac:dyDescent="0.2">
      <c r="A38" s="3">
        <v>2500000</v>
      </c>
      <c r="B38" s="5" t="s">
        <v>6</v>
      </c>
      <c r="C38" s="7">
        <v>2500000</v>
      </c>
      <c r="D38" s="7">
        <v>-69000</v>
      </c>
      <c r="E38" s="7"/>
      <c r="F38" s="7">
        <v>-56958.8</v>
      </c>
      <c r="H38" s="5" t="s">
        <v>3023</v>
      </c>
      <c r="I38" s="7">
        <v>86000</v>
      </c>
      <c r="J38" s="67">
        <v>45548</v>
      </c>
      <c r="L38" s="67">
        <v>44140</v>
      </c>
      <c r="M38" s="13">
        <v>380000</v>
      </c>
      <c r="N38" s="25" t="s">
        <v>3024</v>
      </c>
    </row>
    <row r="39" spans="1:14" x14ac:dyDescent="0.2">
      <c r="A39" s="3">
        <v>3050000</v>
      </c>
      <c r="B39" s="5" t="s">
        <v>7</v>
      </c>
      <c r="C39" s="7">
        <v>3050000</v>
      </c>
      <c r="D39" s="7">
        <v>-69000</v>
      </c>
      <c r="E39" s="7"/>
      <c r="F39" s="7">
        <v>-22000</v>
      </c>
      <c r="H39" s="5" t="s">
        <v>3025</v>
      </c>
      <c r="I39" s="7">
        <v>83000</v>
      </c>
      <c r="J39" s="67"/>
      <c r="L39" s="67">
        <v>44230</v>
      </c>
      <c r="M39" s="13">
        <v>120000</v>
      </c>
      <c r="N39" s="25" t="s">
        <v>3026</v>
      </c>
    </row>
    <row r="40" spans="1:14" x14ac:dyDescent="0.2">
      <c r="A40" s="3">
        <v>4890000</v>
      </c>
      <c r="B40" s="5" t="s">
        <v>8</v>
      </c>
      <c r="C40" s="7">
        <v>4890000</v>
      </c>
      <c r="D40" s="7">
        <v>-69000</v>
      </c>
      <c r="E40" s="7"/>
      <c r="F40" s="7">
        <v>-22000</v>
      </c>
      <c r="H40" s="5" t="s">
        <v>3027</v>
      </c>
      <c r="I40" s="7">
        <v>1012000</v>
      </c>
      <c r="J40" s="67"/>
      <c r="L40" s="77">
        <v>44051</v>
      </c>
      <c r="M40" s="46">
        <v>200000</v>
      </c>
      <c r="N40" s="36" t="s">
        <v>3028</v>
      </c>
    </row>
    <row r="41" spans="1:14" x14ac:dyDescent="0.2">
      <c r="A41" s="3">
        <v>4200000</v>
      </c>
      <c r="B41" s="5" t="s">
        <v>9</v>
      </c>
      <c r="C41" s="7">
        <v>4200000</v>
      </c>
      <c r="D41" s="7">
        <v>-69000</v>
      </c>
      <c r="E41" s="7"/>
      <c r="F41" s="7">
        <v>-22000</v>
      </c>
      <c r="H41" s="5" t="s">
        <v>3029</v>
      </c>
      <c r="I41" s="7">
        <v>11500</v>
      </c>
      <c r="J41" s="67">
        <v>45548</v>
      </c>
      <c r="L41" s="77">
        <v>44058</v>
      </c>
      <c r="M41" s="46">
        <v>88500</v>
      </c>
      <c r="N41" s="36" t="s">
        <v>3030</v>
      </c>
    </row>
    <row r="42" spans="1:14" x14ac:dyDescent="0.2">
      <c r="A42" s="3">
        <v>3800000</v>
      </c>
      <c r="B42" s="5" t="s">
        <v>10</v>
      </c>
      <c r="C42" s="7">
        <v>3800000</v>
      </c>
      <c r="D42" s="7">
        <v>-69000</v>
      </c>
      <c r="E42" s="7"/>
      <c r="F42" s="7">
        <v>-22000</v>
      </c>
      <c r="H42" s="5" t="s">
        <v>4063</v>
      </c>
      <c r="I42" s="7">
        <v>4245500</v>
      </c>
      <c r="J42" s="67">
        <v>45548</v>
      </c>
      <c r="L42" s="77">
        <v>44089</v>
      </c>
      <c r="M42" s="46">
        <v>88500</v>
      </c>
      <c r="N42" s="36" t="s">
        <v>3030</v>
      </c>
    </row>
    <row r="43" spans="1:14" x14ac:dyDescent="0.2">
      <c r="A43" s="3">
        <v>4000000</v>
      </c>
      <c r="B43" s="5" t="s">
        <v>11</v>
      </c>
      <c r="C43" s="7">
        <v>4000000</v>
      </c>
      <c r="D43" s="7">
        <v>-69000</v>
      </c>
      <c r="E43" s="7"/>
      <c r="F43" s="7">
        <v>-22000</v>
      </c>
      <c r="H43" s="5" t="s">
        <v>3031</v>
      </c>
      <c r="I43" s="13">
        <v>5000000</v>
      </c>
      <c r="J43" s="67">
        <v>45548</v>
      </c>
      <c r="L43" s="129">
        <v>44440</v>
      </c>
      <c r="M43" s="88">
        <v>1000000</v>
      </c>
      <c r="N43" s="89" t="s">
        <v>3032</v>
      </c>
    </row>
    <row r="44" spans="1:14" x14ac:dyDescent="0.2">
      <c r="A44" s="112">
        <v>3750000</v>
      </c>
      <c r="B44" s="5" t="s">
        <v>12</v>
      </c>
      <c r="C44" s="7">
        <v>3750000</v>
      </c>
      <c r="D44" s="7">
        <v>-69000</v>
      </c>
      <c r="E44" s="7"/>
      <c r="F44" s="7">
        <v>-22000</v>
      </c>
      <c r="H44" s="5" t="s">
        <v>3033</v>
      </c>
      <c r="I44" s="13">
        <v>400000000</v>
      </c>
      <c r="J44" s="67">
        <v>45812</v>
      </c>
      <c r="L44" s="129">
        <v>44495</v>
      </c>
      <c r="M44" s="88">
        <v>2100000</v>
      </c>
      <c r="N44" s="89" t="s">
        <v>3034</v>
      </c>
    </row>
    <row r="45" spans="1:14" x14ac:dyDescent="0.2">
      <c r="A45" s="3">
        <v>4500000</v>
      </c>
      <c r="B45" s="5" t="s">
        <v>13</v>
      </c>
      <c r="C45" s="7">
        <v>4500000</v>
      </c>
      <c r="D45" s="7">
        <v>-69000</v>
      </c>
      <c r="E45" s="7"/>
      <c r="F45" s="7">
        <v>-22000</v>
      </c>
      <c r="H45" s="5" t="s">
        <v>1673</v>
      </c>
      <c r="I45" s="7">
        <v>0</v>
      </c>
      <c r="J45" s="67"/>
      <c r="L45" s="129">
        <v>44504</v>
      </c>
      <c r="M45" s="88">
        <f>145500*4</f>
        <v>582000</v>
      </c>
      <c r="N45" s="89" t="s">
        <v>3035</v>
      </c>
    </row>
    <row r="46" spans="1:14" x14ac:dyDescent="0.2">
      <c r="A46" s="3">
        <v>6000000</v>
      </c>
      <c r="B46" s="5" t="s">
        <v>2</v>
      </c>
      <c r="C46" s="7">
        <v>6000000</v>
      </c>
      <c r="D46" s="7">
        <v>-69000</v>
      </c>
      <c r="E46" s="7"/>
      <c r="F46" s="7">
        <v>-22000</v>
      </c>
      <c r="H46" s="5" t="s">
        <v>3036</v>
      </c>
      <c r="I46" s="13">
        <v>0</v>
      </c>
      <c r="J46" s="67"/>
      <c r="L46" s="129">
        <v>44718</v>
      </c>
      <c r="M46" s="88">
        <v>1000000</v>
      </c>
      <c r="N46" s="89" t="s">
        <v>1454</v>
      </c>
    </row>
    <row r="47" spans="1:14" x14ac:dyDescent="0.2">
      <c r="A47" s="3">
        <v>4700000</v>
      </c>
      <c r="B47" s="5" t="s">
        <v>3</v>
      </c>
      <c r="C47" s="7">
        <v>4700000</v>
      </c>
      <c r="D47" s="7">
        <v>-69000</v>
      </c>
      <c r="E47" s="7"/>
      <c r="F47" s="7">
        <v>-22000</v>
      </c>
      <c r="H47" s="5" t="s">
        <v>3037</v>
      </c>
      <c r="I47" s="13">
        <v>0</v>
      </c>
      <c r="J47" s="67"/>
      <c r="L47" s="129">
        <v>44805</v>
      </c>
      <c r="M47" s="88">
        <v>1000000</v>
      </c>
      <c r="N47" s="89" t="s">
        <v>3038</v>
      </c>
    </row>
    <row r="48" spans="1:14" x14ac:dyDescent="0.2">
      <c r="A48" s="3">
        <v>5000000</v>
      </c>
      <c r="B48" s="5" t="s">
        <v>4</v>
      </c>
      <c r="C48" s="7">
        <v>5000000</v>
      </c>
      <c r="D48" s="7">
        <v>-69000</v>
      </c>
      <c r="E48" s="7"/>
      <c r="F48" s="7">
        <v>-22000</v>
      </c>
      <c r="H48" s="5" t="s">
        <v>3039</v>
      </c>
      <c r="I48" s="13">
        <v>0</v>
      </c>
      <c r="J48" s="67"/>
      <c r="L48" s="129">
        <v>44783</v>
      </c>
      <c r="M48" s="88">
        <v>250000</v>
      </c>
      <c r="N48" s="89" t="s">
        <v>3040</v>
      </c>
    </row>
    <row r="49" spans="1:14" x14ac:dyDescent="0.2">
      <c r="A49" s="3">
        <v>5000000</v>
      </c>
      <c r="B49" s="5" t="s">
        <v>5</v>
      </c>
      <c r="C49" s="112">
        <v>4500000</v>
      </c>
      <c r="D49" s="7">
        <v>-69000</v>
      </c>
      <c r="E49" s="112"/>
      <c r="F49" s="7">
        <v>-22000</v>
      </c>
      <c r="H49" s="5" t="s">
        <v>995</v>
      </c>
      <c r="I49" s="7">
        <v>0</v>
      </c>
      <c r="J49" s="67">
        <v>45569</v>
      </c>
      <c r="L49" s="129">
        <v>44785</v>
      </c>
      <c r="M49" s="88">
        <v>1430000</v>
      </c>
      <c r="N49" s="89" t="s">
        <v>3041</v>
      </c>
    </row>
    <row r="50" spans="1:14" x14ac:dyDescent="0.2">
      <c r="A50" s="3">
        <v>4000000</v>
      </c>
      <c r="B50" s="5" t="s">
        <v>6</v>
      </c>
      <c r="C50" s="112">
        <v>4000000</v>
      </c>
      <c r="D50" s="7">
        <v>-69000</v>
      </c>
      <c r="E50" s="112"/>
      <c r="F50" s="7">
        <v>-22000</v>
      </c>
      <c r="H50" s="5" t="s">
        <v>3042</v>
      </c>
      <c r="I50" s="7">
        <v>0</v>
      </c>
      <c r="J50" s="67">
        <v>45334</v>
      </c>
      <c r="L50" s="129">
        <v>44792</v>
      </c>
      <c r="M50" s="88">
        <v>1074000</v>
      </c>
      <c r="N50" s="89" t="s">
        <v>3043</v>
      </c>
    </row>
    <row r="51" spans="1:14" x14ac:dyDescent="0.2">
      <c r="A51" s="3">
        <v>5500000</v>
      </c>
      <c r="B51" s="53" t="s">
        <v>7</v>
      </c>
      <c r="C51" s="112">
        <v>5400000</v>
      </c>
      <c r="D51" s="7">
        <v>-69000</v>
      </c>
      <c r="E51" s="112"/>
      <c r="F51" s="7">
        <v>-22000</v>
      </c>
      <c r="H51" s="5" t="s">
        <v>1665</v>
      </c>
      <c r="I51" s="7">
        <v>0</v>
      </c>
      <c r="J51" s="67">
        <v>45435</v>
      </c>
      <c r="L51" s="129">
        <v>44593</v>
      </c>
      <c r="M51" s="88">
        <v>1000000</v>
      </c>
      <c r="N51" s="89" t="s">
        <v>3044</v>
      </c>
    </row>
    <row r="52" spans="1:14" x14ac:dyDescent="0.2">
      <c r="A52" s="112">
        <v>3800000</v>
      </c>
      <c r="B52" s="53" t="s">
        <v>8</v>
      </c>
      <c r="C52" s="112">
        <v>3785000</v>
      </c>
      <c r="D52" s="7">
        <v>-69000</v>
      </c>
      <c r="E52" s="112"/>
      <c r="F52" s="7">
        <v>-22000</v>
      </c>
      <c r="I52" s="79">
        <f>SUM(I33:I51)</f>
        <v>422582000</v>
      </c>
      <c r="J52" s="24"/>
      <c r="L52" s="129">
        <v>44640</v>
      </c>
      <c r="M52" s="88">
        <v>1000000</v>
      </c>
      <c r="N52" s="89" t="s">
        <v>3044</v>
      </c>
    </row>
    <row r="53" spans="1:14" x14ac:dyDescent="0.2">
      <c r="A53" s="3">
        <v>4750000</v>
      </c>
      <c r="B53" s="53" t="s">
        <v>9</v>
      </c>
      <c r="C53" s="112">
        <v>4750000</v>
      </c>
      <c r="D53" s="7">
        <v>-69000</v>
      </c>
      <c r="E53" s="112"/>
      <c r="F53" s="7">
        <v>-22000</v>
      </c>
      <c r="H53" s="24"/>
      <c r="L53" s="129">
        <v>44713</v>
      </c>
      <c r="M53" s="88">
        <v>1000000</v>
      </c>
      <c r="N53" s="89" t="s">
        <v>3045</v>
      </c>
    </row>
    <row r="54" spans="1:14" x14ac:dyDescent="0.2">
      <c r="A54" s="3">
        <v>5000000</v>
      </c>
      <c r="B54" s="53" t="s">
        <v>10</v>
      </c>
      <c r="C54" s="112">
        <v>4700000</v>
      </c>
      <c r="D54" s="7">
        <v>-69000</v>
      </c>
      <c r="E54" s="112"/>
      <c r="F54" s="7">
        <v>-22000</v>
      </c>
      <c r="H54" s="82" t="s">
        <v>79</v>
      </c>
      <c r="I54" s="7" t="e">
        <f>BRAYAN!CD60</f>
        <v>#REF!</v>
      </c>
      <c r="J54" s="24"/>
      <c r="L54" s="129">
        <v>45073</v>
      </c>
      <c r="M54" s="88">
        <v>13500000</v>
      </c>
      <c r="N54" s="133" t="s">
        <v>3046</v>
      </c>
    </row>
    <row r="55" spans="1:14" x14ac:dyDescent="0.2">
      <c r="A55" s="3">
        <v>4500000</v>
      </c>
      <c r="B55" s="53" t="s">
        <v>11</v>
      </c>
      <c r="C55" s="112">
        <v>4500000</v>
      </c>
      <c r="D55" s="7">
        <v>-69000</v>
      </c>
      <c r="E55" s="112"/>
      <c r="F55" s="7">
        <v>-22000</v>
      </c>
      <c r="H55" s="82" t="s">
        <v>17</v>
      </c>
      <c r="I55" s="7">
        <f>C110</f>
        <v>382250768.64425659</v>
      </c>
      <c r="L55" s="129">
        <v>45045</v>
      </c>
      <c r="M55" s="88">
        <v>2530000</v>
      </c>
      <c r="N55" s="89" t="s">
        <v>3047</v>
      </c>
    </row>
    <row r="56" spans="1:14" x14ac:dyDescent="0.2">
      <c r="A56" s="3">
        <v>7000000</v>
      </c>
      <c r="B56" s="53" t="s">
        <v>12</v>
      </c>
      <c r="C56" s="112">
        <v>7695000</v>
      </c>
      <c r="D56" s="7">
        <v>-69000</v>
      </c>
      <c r="E56" s="112"/>
      <c r="F56" s="7">
        <v>-22000</v>
      </c>
      <c r="H56" s="82" t="s">
        <v>3048</v>
      </c>
      <c r="I56" s="7">
        <v>1500000</v>
      </c>
      <c r="L56" s="129">
        <v>45279</v>
      </c>
      <c r="M56" s="88">
        <v>502000</v>
      </c>
      <c r="N56" s="89" t="s">
        <v>3049</v>
      </c>
    </row>
    <row r="57" spans="1:14" x14ac:dyDescent="0.2">
      <c r="A57" s="3">
        <v>10000000</v>
      </c>
      <c r="B57" s="53" t="s">
        <v>13</v>
      </c>
      <c r="C57" s="112">
        <v>12000000</v>
      </c>
      <c r="D57" s="7">
        <v>-69000</v>
      </c>
      <c r="E57" s="112"/>
      <c r="F57" s="7">
        <v>-22000</v>
      </c>
      <c r="H57" s="378" t="s">
        <v>5227</v>
      </c>
      <c r="I57" s="216">
        <f>PROYECTOS!D98</f>
        <v>53488000</v>
      </c>
      <c r="J57" s="158">
        <v>45568</v>
      </c>
      <c r="L57" s="129">
        <v>45279</v>
      </c>
      <c r="M57" s="88">
        <v>502000</v>
      </c>
      <c r="N57" s="89" t="s">
        <v>3050</v>
      </c>
    </row>
    <row r="58" spans="1:14" x14ac:dyDescent="0.2">
      <c r="A58" s="3">
        <v>6000000</v>
      </c>
      <c r="B58" s="53" t="s">
        <v>3051</v>
      </c>
      <c r="C58" s="112">
        <v>5800000</v>
      </c>
      <c r="D58" s="7">
        <v>-69000</v>
      </c>
      <c r="E58" s="112"/>
      <c r="F58" s="7">
        <v>-22000</v>
      </c>
      <c r="H58" s="162" t="s">
        <v>72</v>
      </c>
      <c r="I58" s="46">
        <v>-279000000</v>
      </c>
      <c r="L58" s="129">
        <v>45383</v>
      </c>
      <c r="M58" s="88">
        <v>2500000</v>
      </c>
      <c r="N58" s="89" t="s">
        <v>3053</v>
      </c>
    </row>
    <row r="59" spans="1:14" x14ac:dyDescent="0.2">
      <c r="A59" s="112">
        <v>6800000</v>
      </c>
      <c r="B59" s="53" t="s">
        <v>3</v>
      </c>
      <c r="C59" s="112">
        <v>6800000</v>
      </c>
      <c r="D59" s="7">
        <v>-69000</v>
      </c>
      <c r="E59" s="112"/>
      <c r="F59" s="7">
        <v>-22000</v>
      </c>
      <c r="H59" s="162" t="s">
        <v>3052</v>
      </c>
      <c r="I59" s="46">
        <f>I29</f>
        <v>-473600000</v>
      </c>
      <c r="L59" s="129">
        <v>45383</v>
      </c>
      <c r="M59" s="88">
        <v>3446750</v>
      </c>
      <c r="N59" s="89" t="s">
        <v>3054</v>
      </c>
    </row>
    <row r="60" spans="1:14" x14ac:dyDescent="0.2">
      <c r="A60" s="3">
        <v>7000000</v>
      </c>
      <c r="B60" s="53" t="s">
        <v>4</v>
      </c>
      <c r="C60" s="112">
        <v>7800000</v>
      </c>
      <c r="D60" s="7">
        <v>-69000</v>
      </c>
      <c r="E60" s="112"/>
      <c r="F60" s="7">
        <v>-22000</v>
      </c>
      <c r="H60" s="24"/>
      <c r="I60" s="79" t="e">
        <f>SUM(I54:I59)</f>
        <v>#REF!</v>
      </c>
      <c r="L60" s="129">
        <v>45379</v>
      </c>
      <c r="M60" s="88">
        <v>800000</v>
      </c>
      <c r="N60" s="89" t="s">
        <v>3055</v>
      </c>
    </row>
    <row r="61" spans="1:14" x14ac:dyDescent="0.2">
      <c r="A61" s="3">
        <v>7000000</v>
      </c>
      <c r="B61" s="53" t="s">
        <v>5</v>
      </c>
      <c r="C61" s="112">
        <v>8000000</v>
      </c>
      <c r="D61" s="7">
        <v>-69000</v>
      </c>
      <c r="E61" s="112"/>
      <c r="F61" s="7">
        <v>-22000</v>
      </c>
      <c r="H61" s="24"/>
      <c r="L61" s="129">
        <v>45421</v>
      </c>
      <c r="M61" s="88">
        <v>300000</v>
      </c>
      <c r="N61" s="89" t="s">
        <v>3056</v>
      </c>
    </row>
    <row r="62" spans="1:14" x14ac:dyDescent="0.2">
      <c r="A62" s="3">
        <v>7000000</v>
      </c>
      <c r="B62" s="53" t="s">
        <v>6</v>
      </c>
      <c r="C62" s="112">
        <v>5500000</v>
      </c>
      <c r="D62" s="7">
        <v>-69000</v>
      </c>
      <c r="E62" s="112"/>
      <c r="F62" s="7">
        <v>-22000</v>
      </c>
      <c r="H62" s="24"/>
      <c r="L62" s="129">
        <v>45427</v>
      </c>
      <c r="M62" s="88">
        <v>471000</v>
      </c>
      <c r="N62" s="89" t="s">
        <v>3057</v>
      </c>
    </row>
    <row r="63" spans="1:14" x14ac:dyDescent="0.2">
      <c r="A63" s="3">
        <v>7000000</v>
      </c>
      <c r="B63" s="53" t="s">
        <v>7</v>
      </c>
      <c r="C63" s="112">
        <v>7000000</v>
      </c>
      <c r="D63" s="7">
        <v>-69000</v>
      </c>
      <c r="E63" s="112"/>
      <c r="F63" s="7">
        <v>-22000</v>
      </c>
      <c r="H63" s="24"/>
      <c r="I63" s="3" t="e">
        <f>I52-I60</f>
        <v>#REF!</v>
      </c>
      <c r="L63" s="129">
        <v>45428</v>
      </c>
      <c r="M63" s="88">
        <v>471000</v>
      </c>
      <c r="N63" s="89" t="s">
        <v>3058</v>
      </c>
    </row>
    <row r="64" spans="1:14" x14ac:dyDescent="0.2">
      <c r="A64" s="3">
        <v>7000000</v>
      </c>
      <c r="B64" s="53" t="s">
        <v>8</v>
      </c>
      <c r="C64" s="112">
        <v>7000000</v>
      </c>
      <c r="D64" s="7">
        <v>-69000</v>
      </c>
      <c r="E64" s="112"/>
      <c r="F64" s="7">
        <v>-22000</v>
      </c>
      <c r="H64" s="24"/>
      <c r="L64" s="129">
        <v>45428</v>
      </c>
      <c r="M64" s="88">
        <v>471000</v>
      </c>
      <c r="N64" s="89" t="s">
        <v>3058</v>
      </c>
    </row>
    <row r="65" spans="1:14" x14ac:dyDescent="0.2">
      <c r="A65" s="3">
        <v>7000000</v>
      </c>
      <c r="B65" s="53" t="s">
        <v>9</v>
      </c>
      <c r="C65" s="112">
        <v>7000000</v>
      </c>
      <c r="D65" s="7">
        <v>-69000</v>
      </c>
      <c r="E65" s="112"/>
      <c r="F65" s="7">
        <v>-22000</v>
      </c>
      <c r="H65" s="24"/>
      <c r="L65" s="129">
        <v>45428</v>
      </c>
      <c r="M65" s="88">
        <v>471000</v>
      </c>
      <c r="N65" s="89" t="s">
        <v>3058</v>
      </c>
    </row>
    <row r="66" spans="1:14" x14ac:dyDescent="0.2">
      <c r="A66" s="3">
        <v>7000000</v>
      </c>
      <c r="B66" s="53" t="s">
        <v>10</v>
      </c>
      <c r="C66" s="112">
        <v>7000000</v>
      </c>
      <c r="D66" s="7">
        <v>-69000</v>
      </c>
      <c r="E66" s="112"/>
      <c r="F66" s="7">
        <v>-22000</v>
      </c>
      <c r="H66" s="24"/>
      <c r="L66" s="129">
        <v>45435</v>
      </c>
      <c r="M66" s="88">
        <v>471000</v>
      </c>
      <c r="N66" s="89" t="s">
        <v>3059</v>
      </c>
    </row>
    <row r="67" spans="1:14" x14ac:dyDescent="0.2">
      <c r="A67" s="3">
        <v>10000000</v>
      </c>
      <c r="B67" s="53" t="s">
        <v>11</v>
      </c>
      <c r="C67" s="112">
        <v>7000000</v>
      </c>
      <c r="D67" s="7">
        <v>-69000</v>
      </c>
      <c r="E67" s="112"/>
      <c r="F67" s="7">
        <v>-22000</v>
      </c>
      <c r="H67" s="24"/>
      <c r="L67" s="129">
        <v>45435</v>
      </c>
      <c r="M67" s="88">
        <v>471000</v>
      </c>
      <c r="N67" s="89" t="s">
        <v>3060</v>
      </c>
    </row>
    <row r="68" spans="1:14" x14ac:dyDescent="0.2">
      <c r="A68" s="112">
        <v>8000000</v>
      </c>
      <c r="B68" s="53" t="s">
        <v>12</v>
      </c>
      <c r="C68" s="112">
        <v>8000000</v>
      </c>
      <c r="D68" s="7">
        <v>-69000</v>
      </c>
      <c r="E68" s="112"/>
      <c r="F68" s="7">
        <v>-22000</v>
      </c>
      <c r="H68" s="24"/>
      <c r="L68" s="129">
        <v>45435</v>
      </c>
      <c r="M68" s="88">
        <v>4871000</v>
      </c>
      <c r="N68" s="89" t="s">
        <v>3061</v>
      </c>
    </row>
    <row r="69" spans="1:14" x14ac:dyDescent="0.2">
      <c r="A69" s="3">
        <v>10000000</v>
      </c>
      <c r="B69" s="53" t="s">
        <v>13</v>
      </c>
      <c r="C69" s="7">
        <v>10000000</v>
      </c>
      <c r="D69" s="7">
        <v>-69000</v>
      </c>
      <c r="E69" s="112"/>
      <c r="F69" s="7">
        <v>-22000</v>
      </c>
      <c r="H69" s="24"/>
      <c r="L69" s="129">
        <v>45435</v>
      </c>
      <c r="M69" s="88">
        <v>500000</v>
      </c>
      <c r="N69" s="89" t="s">
        <v>3062</v>
      </c>
    </row>
    <row r="70" spans="1:14" x14ac:dyDescent="0.2">
      <c r="A70" s="3">
        <v>5000000</v>
      </c>
      <c r="B70" s="53" t="s">
        <v>2</v>
      </c>
      <c r="C70" s="7">
        <v>4000000</v>
      </c>
      <c r="D70" s="7">
        <v>-69000</v>
      </c>
      <c r="E70" s="112"/>
      <c r="F70" s="7">
        <v>-22000</v>
      </c>
      <c r="H70" s="24"/>
      <c r="L70" s="129">
        <v>45436</v>
      </c>
      <c r="M70" s="88">
        <v>1000000</v>
      </c>
      <c r="N70" s="89" t="s">
        <v>3063</v>
      </c>
    </row>
    <row r="71" spans="1:14" x14ac:dyDescent="0.2">
      <c r="A71" s="112">
        <v>7000000</v>
      </c>
      <c r="B71" s="53" t="s">
        <v>3</v>
      </c>
      <c r="C71" s="112">
        <v>7000000</v>
      </c>
      <c r="D71" s="7">
        <v>-69000</v>
      </c>
      <c r="E71" s="112"/>
      <c r="F71" s="7">
        <v>-22000</v>
      </c>
      <c r="H71" s="24"/>
      <c r="L71" s="129">
        <v>45470</v>
      </c>
      <c r="M71" s="88">
        <v>2350000</v>
      </c>
      <c r="N71" s="89" t="s">
        <v>3064</v>
      </c>
    </row>
    <row r="72" spans="1:14" x14ac:dyDescent="0.2">
      <c r="A72" s="3">
        <v>6000000</v>
      </c>
      <c r="B72" s="53" t="s">
        <v>4</v>
      </c>
      <c r="C72" s="112">
        <v>6000000</v>
      </c>
      <c r="D72" s="7">
        <v>-69000</v>
      </c>
      <c r="E72" s="112"/>
      <c r="F72" s="7">
        <v>-22000</v>
      </c>
      <c r="H72" s="24"/>
      <c r="L72" s="129">
        <v>45537</v>
      </c>
      <c r="M72" s="88">
        <v>2000000</v>
      </c>
      <c r="N72" s="89" t="s">
        <v>3065</v>
      </c>
    </row>
    <row r="73" spans="1:14" x14ac:dyDescent="0.2">
      <c r="A73" s="3">
        <v>6000000</v>
      </c>
      <c r="B73" s="53" t="s">
        <v>5</v>
      </c>
      <c r="C73" s="3">
        <v>6000000</v>
      </c>
      <c r="D73" s="7">
        <v>-69000</v>
      </c>
      <c r="E73" s="112"/>
      <c r="F73" s="7">
        <v>-22000</v>
      </c>
      <c r="H73" s="24"/>
      <c r="L73" s="129">
        <v>45537</v>
      </c>
      <c r="M73" s="88">
        <v>600000</v>
      </c>
      <c r="N73" s="89" t="s">
        <v>3066</v>
      </c>
    </row>
    <row r="74" spans="1:14" x14ac:dyDescent="0.2">
      <c r="A74" s="3">
        <v>5500000</v>
      </c>
      <c r="B74" s="53" t="s">
        <v>6</v>
      </c>
      <c r="C74" s="112">
        <v>5000000</v>
      </c>
      <c r="D74" s="7">
        <v>-69000</v>
      </c>
      <c r="E74" s="112"/>
      <c r="F74" s="7">
        <v>-22000</v>
      </c>
      <c r="H74" s="24"/>
      <c r="L74" s="129">
        <v>45540</v>
      </c>
      <c r="M74" s="88">
        <v>3000000</v>
      </c>
      <c r="N74" s="89" t="s">
        <v>3067</v>
      </c>
    </row>
    <row r="75" spans="1:14" x14ac:dyDescent="0.2">
      <c r="A75" s="3">
        <v>4700000</v>
      </c>
      <c r="B75" s="53" t="s">
        <v>7</v>
      </c>
      <c r="C75" s="112">
        <v>4500000</v>
      </c>
      <c r="D75" s="7">
        <v>-69000</v>
      </c>
      <c r="E75" s="112"/>
      <c r="F75" s="7">
        <v>-22000</v>
      </c>
      <c r="H75" s="24"/>
      <c r="L75" s="129">
        <v>45561</v>
      </c>
      <c r="M75" s="88">
        <v>2500000</v>
      </c>
      <c r="N75" s="89" t="s">
        <v>3068</v>
      </c>
    </row>
    <row r="76" spans="1:14" x14ac:dyDescent="0.2">
      <c r="A76" s="3">
        <v>8000000</v>
      </c>
      <c r="B76" s="53" t="s">
        <v>8</v>
      </c>
      <c r="C76" s="112">
        <v>7500000</v>
      </c>
      <c r="D76" s="7">
        <v>-69000</v>
      </c>
      <c r="E76" s="112"/>
      <c r="F76" s="7">
        <v>-22000</v>
      </c>
      <c r="H76" s="24"/>
      <c r="L76" s="129">
        <v>45930</v>
      </c>
      <c r="M76" s="88">
        <v>2915000</v>
      </c>
      <c r="N76" s="89" t="s">
        <v>4640</v>
      </c>
    </row>
    <row r="77" spans="1:14" x14ac:dyDescent="0.2">
      <c r="A77" s="3">
        <v>6200000</v>
      </c>
      <c r="B77" s="53" t="s">
        <v>9</v>
      </c>
      <c r="C77" s="112">
        <v>6000000</v>
      </c>
      <c r="D77" s="7">
        <v>-69000</v>
      </c>
      <c r="E77" s="112"/>
      <c r="F77" s="7">
        <v>-22000</v>
      </c>
      <c r="H77" s="24"/>
      <c r="L77" s="129"/>
      <c r="M77" s="88"/>
      <c r="N77" s="89"/>
    </row>
    <row r="78" spans="1:14" x14ac:dyDescent="0.2">
      <c r="A78" s="3">
        <v>6000000</v>
      </c>
      <c r="B78" s="53" t="s">
        <v>10</v>
      </c>
      <c r="C78" s="112">
        <v>6000000</v>
      </c>
      <c r="D78" s="7">
        <v>-69000</v>
      </c>
      <c r="E78" s="112"/>
      <c r="F78" s="7">
        <v>-22000</v>
      </c>
      <c r="H78" s="24"/>
      <c r="L78" s="129"/>
      <c r="M78" s="88"/>
      <c r="N78" s="89"/>
    </row>
    <row r="79" spans="1:14" x14ac:dyDescent="0.2">
      <c r="A79" s="3">
        <v>7000000</v>
      </c>
      <c r="B79" s="53" t="s">
        <v>11</v>
      </c>
      <c r="C79" s="112">
        <v>6500000</v>
      </c>
      <c r="D79" s="7">
        <v>-69000</v>
      </c>
      <c r="E79" s="112"/>
      <c r="F79" s="7">
        <v>-22000</v>
      </c>
      <c r="H79" s="24"/>
      <c r="L79" s="129"/>
      <c r="M79" s="88"/>
      <c r="N79" s="89"/>
    </row>
    <row r="80" spans="1:14" x14ac:dyDescent="0.2">
      <c r="A80" s="3">
        <v>5000000</v>
      </c>
      <c r="B80" s="53" t="s">
        <v>12</v>
      </c>
      <c r="C80" s="112">
        <v>4700000</v>
      </c>
      <c r="D80" s="7">
        <v>-69000</v>
      </c>
      <c r="E80" s="112"/>
      <c r="F80" s="7">
        <v>-22000</v>
      </c>
      <c r="H80" s="24"/>
      <c r="L80" s="130"/>
      <c r="M80" s="14"/>
      <c r="N80" s="69"/>
    </row>
    <row r="81" spans="1:14" x14ac:dyDescent="0.2">
      <c r="A81" s="3">
        <v>7000000</v>
      </c>
      <c r="B81" s="53" t="s">
        <v>13</v>
      </c>
      <c r="C81" s="112">
        <v>6000000</v>
      </c>
      <c r="D81" s="7">
        <v>-69000</v>
      </c>
      <c r="E81" s="112"/>
      <c r="F81" s="7">
        <v>-22000</v>
      </c>
      <c r="H81" s="24"/>
      <c r="L81" s="209"/>
      <c r="M81" s="210"/>
      <c r="N81" s="211"/>
    </row>
    <row r="82" spans="1:14" x14ac:dyDescent="0.2">
      <c r="A82" s="3">
        <v>5000000</v>
      </c>
      <c r="B82" s="53" t="s">
        <v>2</v>
      </c>
      <c r="C82" s="3">
        <v>5000000</v>
      </c>
      <c r="D82" s="7">
        <v>-69000</v>
      </c>
      <c r="E82" s="112"/>
      <c r="F82" s="7">
        <v>-22000</v>
      </c>
      <c r="H82" s="24"/>
      <c r="L82" s="209"/>
      <c r="M82" s="210"/>
      <c r="N82" s="211"/>
    </row>
    <row r="83" spans="1:14" x14ac:dyDescent="0.2">
      <c r="A83" s="3">
        <v>7000000</v>
      </c>
      <c r="B83" s="53" t="s">
        <v>3</v>
      </c>
      <c r="C83" s="112">
        <v>7000000</v>
      </c>
      <c r="D83" s="7">
        <v>-69000</v>
      </c>
      <c r="E83" s="112"/>
      <c r="F83" s="7">
        <v>-22000</v>
      </c>
      <c r="H83" s="24"/>
      <c r="L83" s="209"/>
      <c r="M83" s="210"/>
      <c r="N83" s="211"/>
    </row>
    <row r="84" spans="1:14" x14ac:dyDescent="0.2">
      <c r="A84" s="3">
        <v>6000000</v>
      </c>
      <c r="B84" s="53" t="s">
        <v>4</v>
      </c>
      <c r="C84" s="112">
        <v>5000000</v>
      </c>
      <c r="D84" s="7">
        <v>-69000</v>
      </c>
      <c r="E84" s="112"/>
      <c r="F84" s="7">
        <v>-22000</v>
      </c>
      <c r="H84" s="24"/>
      <c r="L84" s="209"/>
      <c r="M84" s="210"/>
      <c r="N84" s="211"/>
    </row>
    <row r="85" spans="1:14" x14ac:dyDescent="0.2">
      <c r="A85" s="3">
        <v>5700000</v>
      </c>
      <c r="B85" s="53" t="s">
        <v>5</v>
      </c>
      <c r="C85" s="258">
        <v>5000000</v>
      </c>
      <c r="D85" s="7">
        <v>-69000</v>
      </c>
      <c r="E85" s="112"/>
      <c r="F85" s="7">
        <v>-22000</v>
      </c>
      <c r="H85" s="24"/>
      <c r="L85" s="209"/>
      <c r="M85" s="210"/>
      <c r="N85" s="211"/>
    </row>
    <row r="86" spans="1:14" x14ac:dyDescent="0.2">
      <c r="A86" s="3">
        <v>6500000</v>
      </c>
      <c r="B86" s="53" t="s">
        <v>6</v>
      </c>
      <c r="C86" s="216">
        <v>6500000</v>
      </c>
      <c r="D86" s="7">
        <v>-69000</v>
      </c>
      <c r="E86" s="258"/>
      <c r="F86" s="7">
        <v>-22000</v>
      </c>
      <c r="H86" s="24"/>
      <c r="L86" s="209"/>
      <c r="M86" s="210"/>
      <c r="N86" s="211"/>
    </row>
    <row r="87" spans="1:14" x14ac:dyDescent="0.2">
      <c r="A87" s="3">
        <v>5000000</v>
      </c>
      <c r="B87" s="187" t="s">
        <v>7</v>
      </c>
      <c r="C87" s="216">
        <v>5000000</v>
      </c>
      <c r="D87" s="216">
        <v>-69000</v>
      </c>
      <c r="E87" s="258"/>
      <c r="F87" s="7">
        <v>-22000</v>
      </c>
      <c r="H87" s="24"/>
      <c r="L87" s="209"/>
      <c r="M87" s="210"/>
      <c r="N87" s="211"/>
    </row>
    <row r="88" spans="1:14" x14ac:dyDescent="0.2">
      <c r="A88" s="3">
        <v>7500000</v>
      </c>
      <c r="B88" s="187" t="s">
        <v>8</v>
      </c>
      <c r="C88" s="216">
        <v>7500000</v>
      </c>
      <c r="D88" s="216">
        <v>-69000</v>
      </c>
      <c r="E88" s="258"/>
      <c r="F88" s="7">
        <v>-22000</v>
      </c>
      <c r="H88" s="24"/>
      <c r="L88" s="209"/>
      <c r="M88" s="210"/>
      <c r="N88" s="211"/>
    </row>
    <row r="89" spans="1:14" x14ac:dyDescent="0.2">
      <c r="A89" s="3">
        <v>6000000</v>
      </c>
      <c r="B89" s="187" t="s">
        <v>9</v>
      </c>
      <c r="C89" s="3">
        <v>6000000</v>
      </c>
      <c r="D89" s="7">
        <v>-69000</v>
      </c>
      <c r="E89" s="258"/>
      <c r="F89" s="7">
        <v>-22000</v>
      </c>
      <c r="H89" s="24"/>
      <c r="L89" s="209"/>
      <c r="M89" s="210"/>
      <c r="N89" s="211"/>
    </row>
    <row r="90" spans="1:14" x14ac:dyDescent="0.2">
      <c r="A90" s="150">
        <v>9000000</v>
      </c>
      <c r="B90" s="187" t="s">
        <v>10</v>
      </c>
      <c r="C90" s="150">
        <v>9000000</v>
      </c>
      <c r="D90" s="216">
        <v>-69000</v>
      </c>
      <c r="E90" s="258"/>
      <c r="F90" s="7">
        <v>-22000</v>
      </c>
      <c r="H90" s="24"/>
      <c r="L90" s="209"/>
      <c r="M90" s="210"/>
      <c r="N90" s="211"/>
    </row>
    <row r="91" spans="1:14" x14ac:dyDescent="0.2">
      <c r="A91" s="150">
        <v>4500000</v>
      </c>
      <c r="B91" s="187" t="s">
        <v>11</v>
      </c>
      <c r="C91" s="150">
        <v>4000000</v>
      </c>
      <c r="D91" s="216">
        <v>-69000</v>
      </c>
      <c r="E91" s="258"/>
      <c r="F91" s="7">
        <v>-22000</v>
      </c>
      <c r="H91" s="24"/>
      <c r="L91" s="209"/>
      <c r="M91" s="210"/>
      <c r="N91" s="211"/>
    </row>
    <row r="92" spans="1:14" x14ac:dyDescent="0.2">
      <c r="A92" s="150">
        <v>4500000</v>
      </c>
      <c r="B92" s="187" t="s">
        <v>12</v>
      </c>
      <c r="C92" s="150">
        <v>4000000</v>
      </c>
      <c r="D92" s="7">
        <v>-69000</v>
      </c>
      <c r="E92" s="258"/>
      <c r="F92" s="7">
        <v>-22000</v>
      </c>
      <c r="H92" s="24"/>
      <c r="L92" s="209"/>
      <c r="M92" s="210"/>
      <c r="N92" s="211"/>
    </row>
    <row r="93" spans="1:14" x14ac:dyDescent="0.2">
      <c r="A93" s="150">
        <v>6000000</v>
      </c>
      <c r="B93" s="187" t="s">
        <v>13</v>
      </c>
      <c r="C93" s="150">
        <v>5000000</v>
      </c>
      <c r="D93" s="216">
        <v>-69000</v>
      </c>
      <c r="E93" s="258"/>
      <c r="F93" s="7">
        <v>-22000</v>
      </c>
      <c r="H93" s="24"/>
      <c r="L93" s="209"/>
      <c r="M93" s="210"/>
      <c r="N93" s="211"/>
    </row>
    <row r="94" spans="1:14" x14ac:dyDescent="0.2">
      <c r="A94" s="368">
        <v>5600000</v>
      </c>
      <c r="B94" s="187" t="s">
        <v>2</v>
      </c>
      <c r="C94" s="370">
        <v>5000000</v>
      </c>
      <c r="D94" s="7">
        <v>-69000</v>
      </c>
      <c r="E94" s="258"/>
      <c r="F94" s="7">
        <v>-22000</v>
      </c>
      <c r="H94" s="24"/>
      <c r="L94" s="209"/>
      <c r="M94" s="210"/>
      <c r="N94" s="211"/>
    </row>
    <row r="95" spans="1:14" x14ac:dyDescent="0.2">
      <c r="A95" s="368">
        <v>4500000</v>
      </c>
      <c r="B95" s="187" t="s">
        <v>3</v>
      </c>
      <c r="C95" s="370">
        <v>4500000</v>
      </c>
      <c r="D95" s="216">
        <v>-69000</v>
      </c>
      <c r="E95" s="258"/>
      <c r="F95" s="7">
        <v>-22000</v>
      </c>
      <c r="H95" s="24"/>
      <c r="L95" s="209"/>
      <c r="M95" s="210"/>
      <c r="N95" s="211"/>
    </row>
    <row r="96" spans="1:14" x14ac:dyDescent="0.2">
      <c r="A96" s="368">
        <v>7000000</v>
      </c>
      <c r="B96" s="187" t="s">
        <v>4</v>
      </c>
      <c r="C96" s="370">
        <v>7000000</v>
      </c>
      <c r="D96" s="7">
        <v>-69000</v>
      </c>
      <c r="E96" s="258"/>
      <c r="F96" s="7">
        <v>-22000</v>
      </c>
      <c r="H96" s="24"/>
      <c r="L96" s="209"/>
      <c r="M96" s="210"/>
      <c r="N96" s="211"/>
    </row>
    <row r="97" spans="1:14" x14ac:dyDescent="0.2">
      <c r="A97" s="368">
        <v>6000000</v>
      </c>
      <c r="B97" s="187" t="s">
        <v>5</v>
      </c>
      <c r="C97" s="370">
        <v>5000000</v>
      </c>
      <c r="D97" s="216">
        <v>-69000</v>
      </c>
      <c r="E97" s="258"/>
      <c r="F97" s="7">
        <v>-22000</v>
      </c>
      <c r="H97" s="24"/>
      <c r="L97" s="209"/>
      <c r="M97" s="210"/>
      <c r="N97" s="211"/>
    </row>
    <row r="98" spans="1:14" x14ac:dyDescent="0.2">
      <c r="A98" s="368">
        <v>7000000</v>
      </c>
      <c r="B98" s="187" t="s">
        <v>6</v>
      </c>
      <c r="C98" s="370">
        <v>6000000</v>
      </c>
      <c r="D98" s="7">
        <v>-69000</v>
      </c>
      <c r="E98" s="258"/>
      <c r="F98" s="7">
        <v>-22000</v>
      </c>
      <c r="H98" s="24"/>
      <c r="L98" s="209"/>
      <c r="M98" s="210"/>
      <c r="N98" s="211"/>
    </row>
    <row r="99" spans="1:14" x14ac:dyDescent="0.2">
      <c r="A99" s="368"/>
      <c r="B99" s="187" t="s">
        <v>7</v>
      </c>
      <c r="C99" s="370"/>
      <c r="D99" s="258"/>
      <c r="E99" s="258"/>
      <c r="F99" s="258"/>
      <c r="H99" s="24"/>
      <c r="L99" s="209"/>
      <c r="M99" s="210"/>
      <c r="N99" s="211"/>
    </row>
    <row r="100" spans="1:14" x14ac:dyDescent="0.2">
      <c r="A100" s="368"/>
      <c r="B100" s="187" t="s">
        <v>8</v>
      </c>
      <c r="C100" s="370"/>
      <c r="D100" s="258"/>
      <c r="E100" s="258"/>
      <c r="F100" s="258"/>
      <c r="H100" s="24"/>
      <c r="L100" s="209"/>
      <c r="M100" s="210"/>
      <c r="N100" s="211"/>
    </row>
    <row r="101" spans="1:14" x14ac:dyDescent="0.2">
      <c r="A101" s="368"/>
      <c r="B101" s="369"/>
      <c r="C101" s="370"/>
      <c r="D101" s="258"/>
      <c r="E101" s="258"/>
      <c r="F101" s="258"/>
      <c r="H101" s="24"/>
      <c r="L101" s="209"/>
      <c r="M101" s="210"/>
      <c r="N101" s="211"/>
    </row>
    <row r="102" spans="1:14" x14ac:dyDescent="0.2">
      <c r="B102" s="116"/>
      <c r="C102" s="107"/>
      <c r="D102" s="117"/>
      <c r="E102" s="107"/>
      <c r="F102" s="107"/>
      <c r="H102" s="24"/>
      <c r="L102" s="51"/>
      <c r="M102" s="7"/>
      <c r="N102" s="5"/>
    </row>
    <row r="103" spans="1:14" x14ac:dyDescent="0.2">
      <c r="B103" s="51">
        <v>43830</v>
      </c>
      <c r="C103" s="7">
        <v>2500000</v>
      </c>
      <c r="D103" s="80" t="s">
        <v>3069</v>
      </c>
      <c r="E103" s="7"/>
      <c r="F103" s="7"/>
      <c r="H103" s="24"/>
      <c r="L103" s="51">
        <v>44454</v>
      </c>
      <c r="M103" s="7">
        <v>0</v>
      </c>
      <c r="N103" s="5" t="s">
        <v>3070</v>
      </c>
    </row>
    <row r="104" spans="1:14" x14ac:dyDescent="0.2">
      <c r="B104" s="42"/>
      <c r="C104" s="7">
        <v>5000000</v>
      </c>
      <c r="D104" s="80" t="s">
        <v>3071</v>
      </c>
      <c r="E104" s="7"/>
      <c r="F104" s="7"/>
      <c r="H104" s="24"/>
      <c r="L104" s="51">
        <v>44484</v>
      </c>
      <c r="M104" s="7">
        <v>0</v>
      </c>
      <c r="N104" s="5" t="s">
        <v>3072</v>
      </c>
    </row>
    <row r="105" spans="1:14" x14ac:dyDescent="0.2">
      <c r="B105" s="42" t="s">
        <v>12</v>
      </c>
      <c r="C105" s="7">
        <v>2905000</v>
      </c>
      <c r="D105" s="5" t="s">
        <v>3073</v>
      </c>
      <c r="E105" s="5"/>
      <c r="F105" s="7"/>
      <c r="H105" s="24"/>
      <c r="L105" s="51">
        <v>44515</v>
      </c>
      <c r="M105" s="7">
        <v>0</v>
      </c>
      <c r="N105" s="5" t="s">
        <v>3074</v>
      </c>
    </row>
    <row r="106" spans="1:14" x14ac:dyDescent="0.2">
      <c r="B106" s="5"/>
      <c r="C106" s="8"/>
      <c r="D106" s="5"/>
      <c r="E106" s="5"/>
      <c r="F106" s="7"/>
      <c r="H106" s="24"/>
      <c r="L106" s="51">
        <v>44558</v>
      </c>
      <c r="M106" s="7">
        <v>0</v>
      </c>
      <c r="N106" s="5" t="s">
        <v>3075</v>
      </c>
    </row>
    <row r="107" spans="1:14" x14ac:dyDescent="0.2">
      <c r="H107" s="24"/>
      <c r="L107" s="51">
        <v>44477</v>
      </c>
      <c r="M107" s="7">
        <v>0</v>
      </c>
      <c r="N107" s="5" t="s">
        <v>3076</v>
      </c>
    </row>
    <row r="108" spans="1:14" x14ac:dyDescent="0.2">
      <c r="C108" s="9">
        <f>SUM(C3:C106)</f>
        <v>454730457.82881331</v>
      </c>
      <c r="D108" s="9">
        <f>SUM(D3:D106)</f>
        <v>-5828000</v>
      </c>
      <c r="E108" s="9">
        <f>SUM(E3:E106)</f>
        <v>0</v>
      </c>
      <c r="F108" s="9">
        <f>SUM(F3:F106)</f>
        <v>-3148949.1845567473</v>
      </c>
      <c r="H108" s="24"/>
      <c r="L108" s="51">
        <v>44666</v>
      </c>
      <c r="M108" s="7">
        <v>0</v>
      </c>
      <c r="N108" s="5" t="s">
        <v>3077</v>
      </c>
    </row>
    <row r="109" spans="1:14" x14ac:dyDescent="0.2">
      <c r="H109" s="24"/>
      <c r="L109" s="51">
        <v>44737</v>
      </c>
      <c r="M109" s="7">
        <v>0</v>
      </c>
      <c r="N109" s="5" t="s">
        <v>3078</v>
      </c>
    </row>
    <row r="110" spans="1:14" x14ac:dyDescent="0.2">
      <c r="C110" s="81">
        <f>C108+D108+F108+E108-M129</f>
        <v>382250768.64425659</v>
      </c>
      <c r="J110" s="24"/>
      <c r="L110" s="51">
        <v>44750</v>
      </c>
      <c r="M110" s="7">
        <v>0</v>
      </c>
      <c r="N110" s="5" t="s">
        <v>3079</v>
      </c>
    </row>
    <row r="111" spans="1:14" x14ac:dyDescent="0.2">
      <c r="C111" s="24"/>
      <c r="L111" s="51">
        <v>44757</v>
      </c>
      <c r="M111" s="7">
        <v>0</v>
      </c>
      <c r="N111" s="5" t="s">
        <v>3080</v>
      </c>
    </row>
    <row r="112" spans="1:14" x14ac:dyDescent="0.2">
      <c r="L112" s="51">
        <v>44868</v>
      </c>
      <c r="M112" s="7">
        <v>0</v>
      </c>
      <c r="N112" s="5" t="s">
        <v>3081</v>
      </c>
    </row>
    <row r="113" spans="9:14" x14ac:dyDescent="0.2">
      <c r="L113" s="51">
        <v>44868</v>
      </c>
      <c r="M113" s="7">
        <v>0</v>
      </c>
      <c r="N113" s="5" t="s">
        <v>3082</v>
      </c>
    </row>
    <row r="114" spans="9:14" x14ac:dyDescent="0.2">
      <c r="L114" s="51" t="s">
        <v>3083</v>
      </c>
      <c r="M114" s="7">
        <v>0</v>
      </c>
      <c r="N114" s="5" t="s">
        <v>3084</v>
      </c>
    </row>
    <row r="115" spans="9:14" x14ac:dyDescent="0.2">
      <c r="I115" s="24"/>
      <c r="L115" s="51" t="s">
        <v>3083</v>
      </c>
      <c r="M115" s="7">
        <v>0</v>
      </c>
      <c r="N115" s="5" t="s">
        <v>3085</v>
      </c>
    </row>
    <row r="116" spans="9:14" x14ac:dyDescent="0.2">
      <c r="L116" s="51" t="s">
        <v>3083</v>
      </c>
      <c r="M116" s="7">
        <v>232000</v>
      </c>
      <c r="N116" s="5" t="s">
        <v>3086</v>
      </c>
    </row>
    <row r="117" spans="9:14" x14ac:dyDescent="0.2">
      <c r="L117" s="51">
        <v>45046</v>
      </c>
      <c r="M117" s="31">
        <v>193000</v>
      </c>
      <c r="N117" s="5" t="s">
        <v>3087</v>
      </c>
    </row>
    <row r="118" spans="9:14" x14ac:dyDescent="0.2">
      <c r="L118" s="51">
        <v>45046</v>
      </c>
      <c r="M118" s="31">
        <v>99000</v>
      </c>
      <c r="N118" s="5" t="s">
        <v>3088</v>
      </c>
    </row>
    <row r="119" spans="9:14" x14ac:dyDescent="0.2">
      <c r="L119" s="51">
        <v>45128</v>
      </c>
      <c r="M119" s="7">
        <v>0</v>
      </c>
      <c r="N119" s="5" t="s">
        <v>3089</v>
      </c>
    </row>
    <row r="120" spans="9:14" x14ac:dyDescent="0.2">
      <c r="L120" s="51">
        <v>45187</v>
      </c>
      <c r="M120" s="7">
        <v>0</v>
      </c>
      <c r="N120" s="5" t="s">
        <v>3090</v>
      </c>
    </row>
    <row r="121" spans="9:14" x14ac:dyDescent="0.2">
      <c r="L121" s="51">
        <v>44712</v>
      </c>
      <c r="M121" s="7">
        <v>680000</v>
      </c>
      <c r="N121" s="5" t="s">
        <v>3091</v>
      </c>
    </row>
    <row r="122" spans="9:14" x14ac:dyDescent="0.2">
      <c r="L122" s="51">
        <v>44440</v>
      </c>
      <c r="M122" s="7">
        <v>0</v>
      </c>
      <c r="N122" s="5" t="s">
        <v>3092</v>
      </c>
    </row>
    <row r="123" spans="9:14" x14ac:dyDescent="0.2">
      <c r="L123" s="51">
        <v>45398</v>
      </c>
      <c r="M123" s="7">
        <v>208000</v>
      </c>
      <c r="N123" s="5" t="s">
        <v>3093</v>
      </c>
    </row>
    <row r="124" spans="9:14" x14ac:dyDescent="0.2">
      <c r="L124" s="51">
        <v>45398</v>
      </c>
      <c r="M124" s="7">
        <v>365000</v>
      </c>
      <c r="N124" s="5" t="s">
        <v>3094</v>
      </c>
    </row>
    <row r="125" spans="9:14" x14ac:dyDescent="0.2">
      <c r="L125" s="51">
        <v>45399</v>
      </c>
      <c r="M125" s="7">
        <v>217000</v>
      </c>
      <c r="N125" s="5" t="s">
        <v>3095</v>
      </c>
    </row>
    <row r="126" spans="9:14" x14ac:dyDescent="0.2">
      <c r="L126" s="51">
        <v>45399</v>
      </c>
      <c r="M126" s="7">
        <v>130000</v>
      </c>
      <c r="N126" s="5" t="s">
        <v>3096</v>
      </c>
    </row>
    <row r="127" spans="9:14" x14ac:dyDescent="0.2">
      <c r="L127" s="51"/>
      <c r="M127" s="7"/>
      <c r="N127" s="5"/>
    </row>
    <row r="128" spans="9:14" x14ac:dyDescent="0.2">
      <c r="L128" s="50"/>
      <c r="M128" s="3"/>
    </row>
    <row r="129" spans="12:14" x14ac:dyDescent="0.2">
      <c r="M129" s="9">
        <f>SUM(M33:M127)</f>
        <v>63502740</v>
      </c>
    </row>
    <row r="131" spans="12:14" x14ac:dyDescent="0.2">
      <c r="L131"/>
    </row>
    <row r="132" spans="12:14" x14ac:dyDescent="0.2">
      <c r="L132"/>
    </row>
    <row r="133" spans="12:14" x14ac:dyDescent="0.2">
      <c r="L133"/>
    </row>
    <row r="134" spans="12:14" x14ac:dyDescent="0.2">
      <c r="L134"/>
    </row>
    <row r="136" spans="12:14" x14ac:dyDescent="0.2">
      <c r="M136" s="175"/>
      <c r="N136" s="47"/>
    </row>
    <row r="137" spans="12:14" x14ac:dyDescent="0.2">
      <c r="M137" s="175"/>
      <c r="N137" s="47"/>
    </row>
    <row r="138" spans="12:14" x14ac:dyDescent="0.2">
      <c r="M138" s="175"/>
      <c r="N138" s="47"/>
    </row>
    <row r="139" spans="12:14" x14ac:dyDescent="0.2">
      <c r="M139" s="175"/>
      <c r="N139" s="47"/>
    </row>
  </sheetData>
  <mergeCells count="4">
    <mergeCell ref="H31:J31"/>
    <mergeCell ref="L31:N31"/>
    <mergeCell ref="H32:J32"/>
    <mergeCell ref="L32:N32"/>
  </mergeCells>
  <phoneticPr fontId="10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A1:R3628"/>
  <sheetViews>
    <sheetView topLeftCell="A3589" zoomScale="144" zoomScaleNormal="127" workbookViewId="0">
      <selection activeCell="F3606" sqref="F3606"/>
    </sheetView>
  </sheetViews>
  <sheetFormatPr baseColWidth="10" defaultColWidth="10.6640625" defaultRowHeight="15" x14ac:dyDescent="0.2"/>
  <cols>
    <col min="2" max="2" width="10.6640625" style="1"/>
    <col min="3" max="3" width="52.33203125" customWidth="1"/>
    <col min="4" max="4" width="9.33203125" style="4" customWidth="1"/>
    <col min="5" max="5" width="12" style="1" customWidth="1"/>
    <col min="6" max="6" width="18.33203125" style="1" customWidth="1"/>
    <col min="7" max="7" width="16.1640625" style="1" customWidth="1"/>
    <col min="8" max="8" width="15.6640625" style="1" customWidth="1"/>
    <col min="9" max="9" width="1.33203125" customWidth="1"/>
    <col min="10" max="10" width="22.33203125" customWidth="1"/>
    <col min="11" max="11" width="11.6640625" style="1" customWidth="1"/>
    <col min="12" max="12" width="12" customWidth="1"/>
    <col min="13" max="14" width="8.33203125" customWidth="1"/>
  </cols>
  <sheetData>
    <row r="1" spans="3:18" x14ac:dyDescent="0.2">
      <c r="C1" s="25" t="s">
        <v>82</v>
      </c>
      <c r="D1" s="11" t="s">
        <v>3097</v>
      </c>
      <c r="E1" s="12" t="s">
        <v>1</v>
      </c>
      <c r="F1" s="12" t="s">
        <v>3098</v>
      </c>
      <c r="G1" s="12" t="s">
        <v>3099</v>
      </c>
      <c r="H1" s="12" t="s">
        <v>3100</v>
      </c>
      <c r="I1" s="12" t="s">
        <v>3101</v>
      </c>
    </row>
    <row r="2" spans="3:18" x14ac:dyDescent="0.2">
      <c r="C2" s="5" t="s">
        <v>3102</v>
      </c>
      <c r="D2" s="6">
        <v>1</v>
      </c>
      <c r="E2" s="7">
        <v>1000000</v>
      </c>
      <c r="F2" s="7">
        <f>D2*E2</f>
        <v>1000000</v>
      </c>
      <c r="G2" s="17">
        <v>1000000</v>
      </c>
      <c r="H2" s="7"/>
      <c r="I2" s="7"/>
    </row>
    <row r="3" spans="3:18" x14ac:dyDescent="0.2">
      <c r="C3" s="5" t="s">
        <v>3103</v>
      </c>
      <c r="D3" s="6">
        <v>1</v>
      </c>
      <c r="E3" s="7">
        <v>1500000</v>
      </c>
      <c r="F3" s="7">
        <f>D3*E3</f>
        <v>1500000</v>
      </c>
      <c r="G3" s="13">
        <v>1500000</v>
      </c>
      <c r="H3" s="7"/>
      <c r="I3" s="7"/>
    </row>
    <row r="4" spans="3:18" x14ac:dyDescent="0.2">
      <c r="C4" s="5" t="s">
        <v>3104</v>
      </c>
      <c r="D4" s="6">
        <v>1</v>
      </c>
      <c r="E4" s="7">
        <v>558000</v>
      </c>
      <c r="F4" s="7">
        <f>D4*E4</f>
        <v>558000</v>
      </c>
      <c r="G4" s="17">
        <v>558000</v>
      </c>
      <c r="H4" s="7"/>
      <c r="I4" s="7"/>
    </row>
    <row r="5" spans="3:18" x14ac:dyDescent="0.2">
      <c r="C5" s="5" t="s">
        <v>3105</v>
      </c>
      <c r="D5" s="6">
        <v>1</v>
      </c>
      <c r="E5" s="7">
        <v>500000</v>
      </c>
      <c r="F5" s="7">
        <v>371500</v>
      </c>
      <c r="G5" s="7"/>
      <c r="H5" s="14">
        <v>371500</v>
      </c>
      <c r="I5" s="7"/>
      <c r="R5">
        <v>277400</v>
      </c>
    </row>
    <row r="6" spans="3:18" x14ac:dyDescent="0.2">
      <c r="C6" s="5" t="s">
        <v>3106</v>
      </c>
      <c r="D6" s="6">
        <v>1</v>
      </c>
      <c r="E6" s="7">
        <v>250000</v>
      </c>
      <c r="F6" s="7">
        <f t="shared" ref="F6:F15" si="0">D6*E6</f>
        <v>250000</v>
      </c>
      <c r="G6" s="7"/>
      <c r="H6" s="17">
        <v>250000</v>
      </c>
      <c r="I6" s="7"/>
      <c r="R6">
        <v>32100</v>
      </c>
    </row>
    <row r="7" spans="3:18" x14ac:dyDescent="0.2">
      <c r="C7" s="5" t="s">
        <v>3107</v>
      </c>
      <c r="D7" s="6">
        <v>210</v>
      </c>
      <c r="E7" s="7">
        <v>500</v>
      </c>
      <c r="F7" s="7">
        <f t="shared" si="0"/>
        <v>105000</v>
      </c>
      <c r="G7" s="13">
        <v>105000</v>
      </c>
      <c r="H7" s="7"/>
      <c r="I7" s="7"/>
      <c r="R7">
        <v>62000</v>
      </c>
    </row>
    <row r="8" spans="3:18" x14ac:dyDescent="0.2">
      <c r="C8" s="5" t="s">
        <v>3108</v>
      </c>
      <c r="D8" s="6">
        <v>400</v>
      </c>
      <c r="E8" s="7">
        <v>500</v>
      </c>
      <c r="F8" s="7">
        <f t="shared" si="0"/>
        <v>200000</v>
      </c>
      <c r="G8" s="13">
        <v>200000</v>
      </c>
      <c r="H8" s="7"/>
      <c r="I8" s="7"/>
      <c r="J8" s="15"/>
      <c r="K8" s="143"/>
    </row>
    <row r="9" spans="3:18" x14ac:dyDescent="0.2">
      <c r="C9" s="5" t="s">
        <v>3109</v>
      </c>
      <c r="D9" s="6">
        <v>226</v>
      </c>
      <c r="E9" s="7">
        <v>500</v>
      </c>
      <c r="F9" s="7">
        <f t="shared" si="0"/>
        <v>113000</v>
      </c>
      <c r="G9" s="13">
        <v>113000</v>
      </c>
      <c r="H9" s="7"/>
      <c r="I9" s="7"/>
    </row>
    <row r="10" spans="3:18" x14ac:dyDescent="0.2">
      <c r="C10" s="5" t="s">
        <v>3110</v>
      </c>
      <c r="D10" s="6">
        <v>1</v>
      </c>
      <c r="E10" s="7">
        <v>95000</v>
      </c>
      <c r="F10" s="7">
        <f t="shared" si="0"/>
        <v>95000</v>
      </c>
      <c r="G10" s="14">
        <v>95000</v>
      </c>
      <c r="H10" s="7"/>
      <c r="I10" s="7"/>
    </row>
    <row r="11" spans="3:18" x14ac:dyDescent="0.2">
      <c r="C11" s="5" t="s">
        <v>3111</v>
      </c>
      <c r="D11" s="6">
        <v>1</v>
      </c>
      <c r="E11" s="7">
        <v>150000</v>
      </c>
      <c r="F11" s="7">
        <f t="shared" si="0"/>
        <v>150000</v>
      </c>
      <c r="G11" s="14">
        <v>150000</v>
      </c>
      <c r="H11" s="7"/>
      <c r="I11" s="7"/>
    </row>
    <row r="12" spans="3:18" x14ac:dyDescent="0.2">
      <c r="C12" s="5" t="s">
        <v>3112</v>
      </c>
      <c r="D12" s="6">
        <v>1</v>
      </c>
      <c r="E12" s="7">
        <v>69500</v>
      </c>
      <c r="F12" s="7">
        <f t="shared" si="0"/>
        <v>69500</v>
      </c>
      <c r="G12" s="14">
        <v>69500</v>
      </c>
      <c r="H12" s="7"/>
      <c r="I12" s="7"/>
    </row>
    <row r="13" spans="3:18" x14ac:dyDescent="0.2">
      <c r="C13" s="5" t="s">
        <v>3113</v>
      </c>
      <c r="D13" s="6">
        <v>1</v>
      </c>
      <c r="E13" s="7">
        <v>240000</v>
      </c>
      <c r="F13" s="7">
        <f t="shared" si="0"/>
        <v>240000</v>
      </c>
      <c r="G13" s="14">
        <v>240000</v>
      </c>
      <c r="H13" s="7"/>
      <c r="I13" s="7"/>
    </row>
    <row r="14" spans="3:18" x14ac:dyDescent="0.2">
      <c r="C14" s="5" t="s">
        <v>3114</v>
      </c>
      <c r="D14" s="6">
        <v>1</v>
      </c>
      <c r="E14" s="7">
        <v>97500</v>
      </c>
      <c r="F14" s="7">
        <f t="shared" si="0"/>
        <v>97500</v>
      </c>
      <c r="G14" s="14">
        <v>97500</v>
      </c>
      <c r="H14" s="7"/>
      <c r="I14" s="7"/>
    </row>
    <row r="15" spans="3:18" x14ac:dyDescent="0.2">
      <c r="C15" s="5" t="s">
        <v>3115</v>
      </c>
      <c r="D15" s="6">
        <v>1</v>
      </c>
      <c r="E15" s="7">
        <v>95000</v>
      </c>
      <c r="F15" s="7">
        <f t="shared" si="0"/>
        <v>95000</v>
      </c>
      <c r="G15" s="14">
        <v>95000</v>
      </c>
      <c r="H15" s="7"/>
      <c r="I15" s="7"/>
    </row>
    <row r="16" spans="3:18" x14ac:dyDescent="0.2">
      <c r="C16" s="5" t="s">
        <v>3116</v>
      </c>
      <c r="D16" s="6">
        <v>2250</v>
      </c>
      <c r="E16" s="7">
        <v>500</v>
      </c>
      <c r="G16" s="7"/>
      <c r="H16" s="14">
        <f>D16*E16</f>
        <v>1125000</v>
      </c>
      <c r="I16" s="7"/>
      <c r="O16">
        <v>71594013</v>
      </c>
    </row>
    <row r="17" spans="3:15" x14ac:dyDescent="0.2">
      <c r="C17" s="5" t="s">
        <v>3117</v>
      </c>
      <c r="D17" s="6">
        <v>2</v>
      </c>
      <c r="E17" s="7">
        <v>10000</v>
      </c>
      <c r="F17" s="7">
        <f>D17*E17</f>
        <v>20000</v>
      </c>
      <c r="G17" s="7"/>
      <c r="H17" s="13">
        <v>20000</v>
      </c>
      <c r="I17" s="7"/>
    </row>
    <row r="18" spans="3:15" x14ac:dyDescent="0.2">
      <c r="C18" s="5" t="s">
        <v>3118</v>
      </c>
      <c r="D18" s="6">
        <v>1</v>
      </c>
      <c r="E18" s="7"/>
      <c r="F18" s="7"/>
      <c r="G18" s="7"/>
      <c r="H18" s="7">
        <v>500000</v>
      </c>
      <c r="I18" s="7"/>
    </row>
    <row r="19" spans="3:15" x14ac:dyDescent="0.2">
      <c r="C19" s="5" t="s">
        <v>3119</v>
      </c>
      <c r="D19" s="6">
        <v>1</v>
      </c>
      <c r="E19" s="7">
        <v>310000</v>
      </c>
      <c r="F19" s="7">
        <v>310000</v>
      </c>
      <c r="G19" s="8"/>
      <c r="H19" s="14">
        <v>310000</v>
      </c>
      <c r="I19" s="5"/>
    </row>
    <row r="20" spans="3:15" x14ac:dyDescent="0.2">
      <c r="C20" s="5" t="s">
        <v>3120</v>
      </c>
      <c r="D20" s="6">
        <v>1</v>
      </c>
      <c r="E20" s="8">
        <v>30000</v>
      </c>
      <c r="F20" s="7">
        <f>D20*E20</f>
        <v>30000</v>
      </c>
      <c r="G20" s="8"/>
      <c r="H20" s="14">
        <v>30000</v>
      </c>
      <c r="I20" s="5"/>
    </row>
    <row r="22" spans="3:15" x14ac:dyDescent="0.2">
      <c r="C22" s="5" t="s">
        <v>3121</v>
      </c>
      <c r="D22" s="6">
        <v>1</v>
      </c>
      <c r="E22" s="7">
        <v>95000</v>
      </c>
      <c r="F22" s="17">
        <f t="shared" ref="F22:F27" si="1">D22*E22</f>
        <v>95000</v>
      </c>
      <c r="G22" s="16"/>
      <c r="H22" s="7"/>
      <c r="I22" s="7"/>
    </row>
    <row r="23" spans="3:15" x14ac:dyDescent="0.2">
      <c r="C23" s="5" t="s">
        <v>3122</v>
      </c>
      <c r="D23" s="6">
        <v>1</v>
      </c>
      <c r="E23" s="7">
        <v>250000</v>
      </c>
      <c r="F23" s="18">
        <f t="shared" si="1"/>
        <v>250000</v>
      </c>
      <c r="G23" s="7"/>
      <c r="H23" s="8"/>
      <c r="I23" s="7"/>
    </row>
    <row r="24" spans="3:15" x14ac:dyDescent="0.2">
      <c r="C24" s="5" t="s">
        <v>3123</v>
      </c>
      <c r="D24" s="6">
        <v>1700</v>
      </c>
      <c r="E24" s="7">
        <v>50</v>
      </c>
      <c r="F24" s="18">
        <f t="shared" si="1"/>
        <v>85000</v>
      </c>
      <c r="G24" s="7"/>
      <c r="H24" s="8"/>
      <c r="I24" s="7"/>
    </row>
    <row r="25" spans="3:15" x14ac:dyDescent="0.2">
      <c r="C25" s="5" t="s">
        <v>3124</v>
      </c>
      <c r="D25" s="6">
        <v>500</v>
      </c>
      <c r="E25" s="7">
        <v>50</v>
      </c>
      <c r="F25" s="7">
        <f t="shared" si="1"/>
        <v>25000</v>
      </c>
      <c r="G25" s="7"/>
      <c r="H25" s="8"/>
      <c r="I25" s="7"/>
    </row>
    <row r="26" spans="3:15" x14ac:dyDescent="0.2">
      <c r="C26" s="5" t="s">
        <v>3125</v>
      </c>
      <c r="D26" s="6">
        <v>1450</v>
      </c>
      <c r="E26" s="8">
        <v>50</v>
      </c>
      <c r="F26" s="7">
        <f t="shared" si="1"/>
        <v>72500</v>
      </c>
      <c r="G26" s="8"/>
      <c r="H26" s="8"/>
      <c r="I26" s="7"/>
    </row>
    <row r="27" spans="3:15" x14ac:dyDescent="0.2">
      <c r="C27" s="5" t="s">
        <v>3126</v>
      </c>
      <c r="D27" s="6">
        <v>2800</v>
      </c>
      <c r="E27" s="8">
        <v>150</v>
      </c>
      <c r="F27" s="13">
        <f t="shared" si="1"/>
        <v>420000</v>
      </c>
      <c r="G27" s="8"/>
      <c r="H27" s="8"/>
      <c r="I27" s="7"/>
    </row>
    <row r="28" spans="3:15" x14ac:dyDescent="0.2">
      <c r="C28" s="5" t="s">
        <v>3127</v>
      </c>
      <c r="D28" s="6">
        <v>1</v>
      </c>
      <c r="E28" s="7">
        <v>1500000</v>
      </c>
      <c r="F28" s="13">
        <v>1200000</v>
      </c>
      <c r="G28" s="7"/>
      <c r="H28" s="8"/>
      <c r="I28" s="7"/>
      <c r="O28" s="1"/>
    </row>
    <row r="29" spans="3:15" x14ac:dyDescent="0.2">
      <c r="C29" s="5" t="s">
        <v>3102</v>
      </c>
      <c r="D29" s="6">
        <v>1</v>
      </c>
      <c r="E29" s="7">
        <v>1000000</v>
      </c>
      <c r="F29" s="7">
        <f>D29*E29</f>
        <v>1000000</v>
      </c>
      <c r="G29" s="16"/>
      <c r="H29" s="8"/>
      <c r="I29" s="5"/>
    </row>
    <row r="30" spans="3:15" x14ac:dyDescent="0.2">
      <c r="C30" s="5" t="s">
        <v>3104</v>
      </c>
      <c r="D30" s="6">
        <v>1</v>
      </c>
      <c r="E30" s="8">
        <v>558000</v>
      </c>
      <c r="F30" s="17">
        <f>D30*E30</f>
        <v>558000</v>
      </c>
      <c r="G30" s="16"/>
      <c r="H30" s="8"/>
      <c r="I30" s="5"/>
    </row>
    <row r="31" spans="3:15" x14ac:dyDescent="0.2">
      <c r="C31" s="5" t="s">
        <v>3105</v>
      </c>
      <c r="D31" s="6">
        <v>1</v>
      </c>
      <c r="E31" s="8">
        <v>350000</v>
      </c>
      <c r="F31" s="17">
        <f>D31*E31</f>
        <v>350000</v>
      </c>
      <c r="G31" s="16"/>
      <c r="H31" s="8"/>
      <c r="I31" s="5"/>
    </row>
    <row r="32" spans="3:15" x14ac:dyDescent="0.2">
      <c r="C32" s="5" t="s">
        <v>3106</v>
      </c>
      <c r="D32" s="6">
        <v>1</v>
      </c>
      <c r="E32" s="8">
        <v>250000</v>
      </c>
      <c r="F32" s="17">
        <f>D32*E32</f>
        <v>250000</v>
      </c>
      <c r="G32" s="16"/>
      <c r="H32" s="8"/>
      <c r="I32" s="5"/>
    </row>
    <row r="33" spans="3:9" x14ac:dyDescent="0.2">
      <c r="C33" s="5" t="s">
        <v>3112</v>
      </c>
      <c r="D33" s="6">
        <v>1</v>
      </c>
      <c r="E33" s="7">
        <v>69500</v>
      </c>
      <c r="F33" s="14">
        <v>0</v>
      </c>
      <c r="G33" s="16"/>
      <c r="H33" s="8"/>
      <c r="I33" s="5"/>
    </row>
    <row r="34" spans="3:9" x14ac:dyDescent="0.2">
      <c r="C34" s="5" t="s">
        <v>3113</v>
      </c>
      <c r="D34" s="6">
        <v>1</v>
      </c>
      <c r="E34" s="7">
        <v>240000</v>
      </c>
      <c r="F34" s="14">
        <f t="shared" ref="F34:F41" si="2">D34*E34</f>
        <v>240000</v>
      </c>
      <c r="G34" s="16"/>
      <c r="H34" s="8"/>
      <c r="I34" s="5"/>
    </row>
    <row r="35" spans="3:9" x14ac:dyDescent="0.2">
      <c r="C35" s="5" t="s">
        <v>3114</v>
      </c>
      <c r="D35" s="6">
        <v>1</v>
      </c>
      <c r="E35" s="7">
        <v>97500</v>
      </c>
      <c r="F35" s="14">
        <f t="shared" si="2"/>
        <v>97500</v>
      </c>
      <c r="G35" s="16"/>
      <c r="H35" s="8"/>
      <c r="I35" s="5"/>
    </row>
    <row r="36" spans="3:9" x14ac:dyDescent="0.2">
      <c r="C36" s="5" t="s">
        <v>3115</v>
      </c>
      <c r="D36" s="6">
        <v>1</v>
      </c>
      <c r="E36" s="7">
        <v>95000</v>
      </c>
      <c r="F36" s="14">
        <f t="shared" si="2"/>
        <v>95000</v>
      </c>
      <c r="G36" s="16"/>
      <c r="H36" s="8"/>
      <c r="I36" s="5"/>
    </row>
    <row r="37" spans="3:9" x14ac:dyDescent="0.2">
      <c r="C37" s="5" t="s">
        <v>3128</v>
      </c>
      <c r="D37" s="6">
        <v>1</v>
      </c>
      <c r="E37" s="8">
        <v>850000</v>
      </c>
      <c r="F37" s="14">
        <f t="shared" si="2"/>
        <v>850000</v>
      </c>
      <c r="G37" s="16"/>
      <c r="H37" s="8"/>
      <c r="I37" s="5"/>
    </row>
    <row r="38" spans="3:9" x14ac:dyDescent="0.2">
      <c r="C38" s="5" t="s">
        <v>3129</v>
      </c>
      <c r="D38" s="6">
        <v>1</v>
      </c>
      <c r="E38" s="8">
        <v>90000</v>
      </c>
      <c r="F38" s="14">
        <f t="shared" si="2"/>
        <v>90000</v>
      </c>
      <c r="G38" s="8"/>
      <c r="H38" s="7"/>
      <c r="I38" s="5"/>
    </row>
    <row r="39" spans="3:9" x14ac:dyDescent="0.2">
      <c r="C39" s="5" t="s">
        <v>3130</v>
      </c>
      <c r="D39" s="6">
        <v>2</v>
      </c>
      <c r="E39" s="8">
        <v>50000</v>
      </c>
      <c r="F39" s="13">
        <f t="shared" si="2"/>
        <v>100000</v>
      </c>
      <c r="G39" s="16"/>
      <c r="H39" s="8"/>
      <c r="I39" s="5"/>
    </row>
    <row r="40" spans="3:9" x14ac:dyDescent="0.2">
      <c r="C40" s="5" t="s">
        <v>3131</v>
      </c>
      <c r="D40" s="6">
        <v>2</v>
      </c>
      <c r="E40" s="8">
        <v>40000</v>
      </c>
      <c r="F40" s="13">
        <f t="shared" si="2"/>
        <v>80000</v>
      </c>
      <c r="G40" s="16"/>
      <c r="H40" s="8"/>
      <c r="I40" s="5"/>
    </row>
    <row r="41" spans="3:9" x14ac:dyDescent="0.2">
      <c r="C41" s="5" t="s">
        <v>3132</v>
      </c>
      <c r="D41" s="6">
        <v>82000</v>
      </c>
      <c r="E41" s="8">
        <v>20</v>
      </c>
      <c r="F41" s="7">
        <f t="shared" si="2"/>
        <v>1640000</v>
      </c>
      <c r="G41" s="8"/>
      <c r="H41" s="8"/>
      <c r="I41" s="5"/>
    </row>
    <row r="42" spans="3:9" x14ac:dyDescent="0.2">
      <c r="C42" s="5"/>
      <c r="D42" s="6"/>
      <c r="E42" s="8"/>
      <c r="F42" s="7"/>
      <c r="G42" s="8"/>
      <c r="H42" s="8"/>
      <c r="I42" s="5"/>
    </row>
    <row r="43" spans="3:9" x14ac:dyDescent="0.2">
      <c r="F43" s="9">
        <f>SUM(F2:F41)</f>
        <v>12702500</v>
      </c>
      <c r="G43" s="9">
        <f>SUM(G2:G26)</f>
        <v>4223000</v>
      </c>
      <c r="H43" s="9">
        <f>SUM(H2:H41)</f>
        <v>2606500</v>
      </c>
      <c r="I43" s="9">
        <f>SUM(I2:I41)</f>
        <v>0</v>
      </c>
    </row>
    <row r="44" spans="3:9" x14ac:dyDescent="0.2">
      <c r="G44" s="3">
        <f>4229000-G43</f>
        <v>6000</v>
      </c>
      <c r="H44" s="3">
        <f>2044250-H43</f>
        <v>-562250</v>
      </c>
    </row>
    <row r="45" spans="3:9" x14ac:dyDescent="0.2">
      <c r="H45" s="3">
        <f>H44+G44</f>
        <v>-556250</v>
      </c>
    </row>
    <row r="49" spans="3:7" x14ac:dyDescent="0.2">
      <c r="C49" s="25" t="s">
        <v>3133</v>
      </c>
      <c r="D49" s="11" t="s">
        <v>3133</v>
      </c>
      <c r="E49" s="12" t="s">
        <v>722</v>
      </c>
      <c r="F49" s="12" t="s">
        <v>3134</v>
      </c>
      <c r="G49" s="12" t="s">
        <v>3135</v>
      </c>
    </row>
    <row r="50" spans="3:7" x14ac:dyDescent="0.2">
      <c r="C50" s="5" t="s">
        <v>3136</v>
      </c>
      <c r="D50" s="6">
        <v>2</v>
      </c>
      <c r="E50" s="8">
        <v>30000</v>
      </c>
      <c r="F50" s="8">
        <v>30</v>
      </c>
      <c r="G50" s="7">
        <f>D50*E50*F50</f>
        <v>1800000</v>
      </c>
    </row>
    <row r="51" spans="3:7" x14ac:dyDescent="0.2">
      <c r="C51" s="5" t="s">
        <v>3136</v>
      </c>
      <c r="D51" s="6">
        <v>2</v>
      </c>
      <c r="E51" s="8">
        <v>30000</v>
      </c>
      <c r="F51" s="8">
        <v>15</v>
      </c>
      <c r="G51" s="7">
        <f>D51*E51*F51</f>
        <v>900000</v>
      </c>
    </row>
    <row r="52" spans="3:7" x14ac:dyDescent="0.2">
      <c r="C52" s="5" t="s">
        <v>3137</v>
      </c>
      <c r="D52" s="6">
        <v>7850</v>
      </c>
      <c r="E52" s="8">
        <v>45</v>
      </c>
      <c r="F52" s="8"/>
      <c r="G52" s="7">
        <f>D52*E52</f>
        <v>353250</v>
      </c>
    </row>
    <row r="53" spans="3:7" x14ac:dyDescent="0.2">
      <c r="C53" s="5" t="s">
        <v>695</v>
      </c>
      <c r="D53" s="6">
        <v>7850</v>
      </c>
      <c r="E53" s="8">
        <v>45</v>
      </c>
      <c r="F53" s="8"/>
      <c r="G53" s="7">
        <f>D53*E53</f>
        <v>353250</v>
      </c>
    </row>
    <row r="54" spans="3:7" x14ac:dyDescent="0.2">
      <c r="C54" s="272" t="s">
        <v>3138</v>
      </c>
      <c r="E54" s="8"/>
      <c r="F54" s="8"/>
      <c r="G54" s="7">
        <v>300000</v>
      </c>
    </row>
    <row r="55" spans="3:7" x14ac:dyDescent="0.2">
      <c r="C55" s="5"/>
      <c r="D55" s="6"/>
      <c r="E55" s="8"/>
      <c r="F55" s="8"/>
      <c r="G55" s="7"/>
    </row>
    <row r="56" spans="3:7" x14ac:dyDescent="0.2">
      <c r="G56" s="9">
        <f>SUM(G50:G55)</f>
        <v>3706500</v>
      </c>
    </row>
    <row r="58" spans="3:7" x14ac:dyDescent="0.2">
      <c r="F58" s="2" t="s">
        <v>3139</v>
      </c>
      <c r="G58" s="9">
        <f>4400000-G56</f>
        <v>693500</v>
      </c>
    </row>
    <row r="61" spans="3:7" x14ac:dyDescent="0.2">
      <c r="C61" s="400" t="s">
        <v>2</v>
      </c>
      <c r="D61" s="400"/>
      <c r="E61" s="400"/>
      <c r="F61" s="400"/>
    </row>
    <row r="62" spans="3:7" x14ac:dyDescent="0.2">
      <c r="C62" s="25" t="s">
        <v>82</v>
      </c>
      <c r="D62" s="11" t="s">
        <v>3097</v>
      </c>
      <c r="E62" s="12" t="s">
        <v>1</v>
      </c>
      <c r="F62" s="12" t="s">
        <v>3140</v>
      </c>
    </row>
    <row r="63" spans="3:7" x14ac:dyDescent="0.2">
      <c r="C63" s="19" t="s">
        <v>3141</v>
      </c>
      <c r="D63" s="20">
        <v>1</v>
      </c>
      <c r="E63" s="21">
        <v>200000</v>
      </c>
      <c r="F63" s="22"/>
    </row>
    <row r="64" spans="3:7" x14ac:dyDescent="0.2">
      <c r="C64" s="19" t="s">
        <v>3127</v>
      </c>
      <c r="D64" s="20">
        <v>1</v>
      </c>
      <c r="E64" s="21">
        <v>1500000</v>
      </c>
      <c r="F64" s="22"/>
    </row>
    <row r="65" spans="3:6" x14ac:dyDescent="0.2">
      <c r="C65" s="5" t="s">
        <v>3102</v>
      </c>
      <c r="D65" s="6">
        <v>1</v>
      </c>
      <c r="E65" s="7">
        <v>1000000</v>
      </c>
      <c r="F65" s="8"/>
    </row>
    <row r="66" spans="3:6" x14ac:dyDescent="0.2">
      <c r="C66" s="19" t="s">
        <v>3104</v>
      </c>
      <c r="D66" s="20">
        <v>1</v>
      </c>
      <c r="E66" s="21">
        <v>558000</v>
      </c>
      <c r="F66" s="22"/>
    </row>
    <row r="67" spans="3:6" x14ac:dyDescent="0.2">
      <c r="C67" s="5" t="s">
        <v>3105</v>
      </c>
      <c r="D67" s="6">
        <v>1</v>
      </c>
      <c r="E67" s="7">
        <v>350000</v>
      </c>
      <c r="F67" s="8"/>
    </row>
    <row r="68" spans="3:6" x14ac:dyDescent="0.2">
      <c r="C68" s="19" t="s">
        <v>3106</v>
      </c>
      <c r="D68" s="20">
        <v>1</v>
      </c>
      <c r="E68" s="21">
        <v>250000</v>
      </c>
      <c r="F68" s="22"/>
    </row>
    <row r="69" spans="3:6" x14ac:dyDescent="0.2">
      <c r="C69" s="19" t="s">
        <v>3142</v>
      </c>
      <c r="D69" s="20">
        <v>1</v>
      </c>
      <c r="E69" s="21">
        <v>200000</v>
      </c>
      <c r="F69" s="22"/>
    </row>
    <row r="70" spans="3:6" x14ac:dyDescent="0.2">
      <c r="C70" s="19" t="s">
        <v>3113</v>
      </c>
      <c r="D70" s="20">
        <v>1</v>
      </c>
      <c r="E70" s="21">
        <v>240000</v>
      </c>
      <c r="F70" s="22"/>
    </row>
    <row r="71" spans="3:6" x14ac:dyDescent="0.2">
      <c r="C71" s="19" t="s">
        <v>3114</v>
      </c>
      <c r="D71" s="20">
        <v>1</v>
      </c>
      <c r="E71" s="21">
        <v>100000</v>
      </c>
      <c r="F71" s="22"/>
    </row>
    <row r="72" spans="3:6" x14ac:dyDescent="0.2">
      <c r="C72" s="5" t="s">
        <v>3128</v>
      </c>
      <c r="D72" s="6">
        <v>1</v>
      </c>
      <c r="E72" s="8"/>
      <c r="F72" s="7">
        <v>1120000</v>
      </c>
    </row>
    <row r="73" spans="3:6" x14ac:dyDescent="0.2">
      <c r="C73" s="5" t="s">
        <v>3129</v>
      </c>
      <c r="D73" s="6">
        <v>1</v>
      </c>
      <c r="E73" s="8"/>
      <c r="F73" s="7">
        <v>140000</v>
      </c>
    </row>
    <row r="74" spans="3:6" x14ac:dyDescent="0.2">
      <c r="C74" s="5" t="s">
        <v>3143</v>
      </c>
      <c r="D74" s="6">
        <v>1</v>
      </c>
      <c r="E74" s="7"/>
      <c r="F74" s="8"/>
    </row>
    <row r="75" spans="3:6" x14ac:dyDescent="0.2">
      <c r="C75" s="5"/>
      <c r="D75" s="6"/>
      <c r="E75" s="8"/>
      <c r="F75" s="8"/>
    </row>
    <row r="76" spans="3:6" x14ac:dyDescent="0.2">
      <c r="C76" s="5"/>
      <c r="D76" s="6"/>
      <c r="E76" s="8"/>
      <c r="F76" s="8"/>
    </row>
    <row r="77" spans="3:6" x14ac:dyDescent="0.2">
      <c r="E77" s="9">
        <f>SUM(E63:E75)</f>
        <v>4398000</v>
      </c>
      <c r="F77" s="9">
        <f>SUM(F63:F75)</f>
        <v>1260000</v>
      </c>
    </row>
    <row r="82" spans="3:6" ht="24" x14ac:dyDescent="0.3">
      <c r="C82" s="399" t="s">
        <v>3</v>
      </c>
      <c r="D82" s="399"/>
      <c r="E82" s="399"/>
      <c r="F82" s="399"/>
    </row>
    <row r="83" spans="3:6" x14ac:dyDescent="0.2">
      <c r="C83" s="25" t="s">
        <v>82</v>
      </c>
      <c r="D83" s="11" t="s">
        <v>3097</v>
      </c>
      <c r="E83" s="12" t="s">
        <v>1</v>
      </c>
      <c r="F83" s="12" t="s">
        <v>3140</v>
      </c>
    </row>
    <row r="84" spans="3:6" x14ac:dyDescent="0.2">
      <c r="C84" s="5" t="s">
        <v>3127</v>
      </c>
      <c r="D84" s="6">
        <v>1</v>
      </c>
      <c r="E84" s="21">
        <v>2000000</v>
      </c>
      <c r="F84" s="8"/>
    </row>
    <row r="85" spans="3:6" x14ac:dyDescent="0.2">
      <c r="C85" s="5" t="s">
        <v>3102</v>
      </c>
      <c r="D85" s="6">
        <v>1</v>
      </c>
      <c r="E85" s="21">
        <v>1000000</v>
      </c>
      <c r="F85" s="8"/>
    </row>
    <row r="86" spans="3:6" x14ac:dyDescent="0.2">
      <c r="C86" s="5" t="s">
        <v>3104</v>
      </c>
      <c r="D86" s="6">
        <v>1</v>
      </c>
      <c r="E86" s="21">
        <v>360000</v>
      </c>
      <c r="F86" s="8"/>
    </row>
    <row r="87" spans="3:6" x14ac:dyDescent="0.2">
      <c r="C87" s="5" t="s">
        <v>3106</v>
      </c>
      <c r="D87" s="6">
        <v>1</v>
      </c>
      <c r="E87" s="21">
        <v>250000</v>
      </c>
      <c r="F87" s="8"/>
    </row>
    <row r="88" spans="3:6" x14ac:dyDescent="0.2">
      <c r="C88" s="5" t="s">
        <v>3144</v>
      </c>
      <c r="D88" s="6">
        <v>1</v>
      </c>
      <c r="E88" s="21">
        <v>205000</v>
      </c>
      <c r="F88" s="8"/>
    </row>
    <row r="89" spans="3:6" x14ac:dyDescent="0.2">
      <c r="C89" s="5" t="s">
        <v>3113</v>
      </c>
      <c r="D89" s="6">
        <v>1</v>
      </c>
      <c r="E89" s="21">
        <v>240000</v>
      </c>
      <c r="F89" s="8"/>
    </row>
    <row r="90" spans="3:6" x14ac:dyDescent="0.2">
      <c r="C90" s="5" t="s">
        <v>3114</v>
      </c>
      <c r="D90" s="6">
        <v>1</v>
      </c>
      <c r="E90" s="21">
        <v>105000</v>
      </c>
      <c r="F90" s="8"/>
    </row>
    <row r="91" spans="3:6" x14ac:dyDescent="0.2">
      <c r="C91" s="5" t="s">
        <v>3128</v>
      </c>
      <c r="D91" s="6">
        <v>1</v>
      </c>
      <c r="E91" s="8"/>
      <c r="F91" s="21">
        <v>1120000</v>
      </c>
    </row>
    <row r="92" spans="3:6" x14ac:dyDescent="0.2">
      <c r="C92" s="5" t="s">
        <v>3145</v>
      </c>
      <c r="D92" s="6">
        <v>1</v>
      </c>
      <c r="E92" s="21">
        <v>134000</v>
      </c>
    </row>
    <row r="93" spans="3:6" x14ac:dyDescent="0.2">
      <c r="C93" s="5" t="s">
        <v>3146</v>
      </c>
      <c r="D93" s="6">
        <v>5</v>
      </c>
      <c r="F93" s="21">
        <f>D93*45000</f>
        <v>225000</v>
      </c>
    </row>
    <row r="94" spans="3:6" x14ac:dyDescent="0.2">
      <c r="C94" s="5" t="s">
        <v>3143</v>
      </c>
      <c r="D94" s="6">
        <v>1</v>
      </c>
      <c r="E94" s="7">
        <v>0</v>
      </c>
      <c r="F94" s="8"/>
    </row>
    <row r="95" spans="3:6" x14ac:dyDescent="0.2">
      <c r="C95" s="5" t="s">
        <v>3147</v>
      </c>
      <c r="D95" s="6">
        <v>2800</v>
      </c>
      <c r="E95" s="21">
        <f>D95*38</f>
        <v>106400</v>
      </c>
      <c r="F95" s="8"/>
    </row>
    <row r="96" spans="3:6" x14ac:dyDescent="0.2">
      <c r="C96" s="5" t="s">
        <v>3148</v>
      </c>
      <c r="D96" s="6">
        <v>1</v>
      </c>
      <c r="E96" s="7"/>
      <c r="F96" s="7"/>
    </row>
    <row r="97" spans="3:6" x14ac:dyDescent="0.2">
      <c r="C97" s="5"/>
      <c r="D97" s="6"/>
      <c r="E97" s="8"/>
      <c r="F97" s="8"/>
    </row>
    <row r="98" spans="3:6" x14ac:dyDescent="0.2">
      <c r="C98" s="5"/>
      <c r="D98" s="6"/>
      <c r="E98" s="8"/>
      <c r="F98" s="8"/>
    </row>
    <row r="99" spans="3:6" x14ac:dyDescent="0.2">
      <c r="E99" s="9">
        <f>SUM(E84:E98)</f>
        <v>4400400</v>
      </c>
      <c r="F99" s="9">
        <f>SUM(F84:F98)</f>
        <v>1345000</v>
      </c>
    </row>
    <row r="103" spans="3:6" ht="24" x14ac:dyDescent="0.3">
      <c r="C103" s="399" t="s">
        <v>4</v>
      </c>
      <c r="D103" s="399"/>
      <c r="E103" s="399"/>
      <c r="F103" s="399"/>
    </row>
    <row r="104" spans="3:6" x14ac:dyDescent="0.2">
      <c r="C104" s="25" t="s">
        <v>82</v>
      </c>
      <c r="D104" s="11" t="s">
        <v>3097</v>
      </c>
      <c r="E104" s="12" t="s">
        <v>1</v>
      </c>
      <c r="F104" s="12" t="s">
        <v>3140</v>
      </c>
    </row>
    <row r="105" spans="3:6" x14ac:dyDescent="0.2">
      <c r="C105" s="5" t="s">
        <v>3127</v>
      </c>
      <c r="D105" s="6">
        <v>1</v>
      </c>
      <c r="E105" s="14">
        <v>2000000</v>
      </c>
      <c r="F105" s="8"/>
    </row>
    <row r="106" spans="3:6" x14ac:dyDescent="0.2">
      <c r="C106" s="5" t="s">
        <v>3102</v>
      </c>
      <c r="D106" s="6">
        <v>1</v>
      </c>
      <c r="E106" s="14">
        <v>500000</v>
      </c>
      <c r="F106" s="8"/>
    </row>
    <row r="107" spans="3:6" x14ac:dyDescent="0.2">
      <c r="C107" s="5" t="s">
        <v>3104</v>
      </c>
      <c r="D107" s="6">
        <v>1</v>
      </c>
      <c r="E107" s="14">
        <v>360000</v>
      </c>
      <c r="F107" s="8"/>
    </row>
    <row r="108" spans="3:6" x14ac:dyDescent="0.2">
      <c r="C108" s="5" t="s">
        <v>3106</v>
      </c>
      <c r="D108" s="6">
        <v>1</v>
      </c>
      <c r="E108" s="14">
        <v>250000</v>
      </c>
      <c r="F108" s="8"/>
    </row>
    <row r="109" spans="3:6" x14ac:dyDescent="0.2">
      <c r="C109" s="5" t="s">
        <v>3149</v>
      </c>
      <c r="D109" s="6">
        <v>1</v>
      </c>
      <c r="E109" s="14">
        <v>200000</v>
      </c>
      <c r="F109" s="8"/>
    </row>
    <row r="110" spans="3:6" x14ac:dyDescent="0.2">
      <c r="C110" s="5" t="s">
        <v>3150</v>
      </c>
      <c r="D110" s="6">
        <v>1</v>
      </c>
      <c r="E110" s="14">
        <v>300000</v>
      </c>
      <c r="F110" s="8"/>
    </row>
    <row r="111" spans="3:6" x14ac:dyDescent="0.2">
      <c r="C111" s="5" t="s">
        <v>3151</v>
      </c>
      <c r="D111" s="6"/>
      <c r="E111" s="7" t="s">
        <v>3152</v>
      </c>
      <c r="F111" s="8"/>
    </row>
    <row r="112" spans="3:6" x14ac:dyDescent="0.2">
      <c r="C112" s="5" t="s">
        <v>3144</v>
      </c>
      <c r="D112" s="6">
        <v>1</v>
      </c>
      <c r="E112" s="14">
        <v>205000</v>
      </c>
      <c r="F112" s="8"/>
    </row>
    <row r="113" spans="3:6" x14ac:dyDescent="0.2">
      <c r="C113" s="5" t="s">
        <v>3113</v>
      </c>
      <c r="D113" s="6">
        <v>1</v>
      </c>
      <c r="E113" s="14">
        <v>240000</v>
      </c>
      <c r="F113" s="8"/>
    </row>
    <row r="114" spans="3:6" x14ac:dyDescent="0.2">
      <c r="C114" s="5" t="s">
        <v>3114</v>
      </c>
      <c r="D114" s="6">
        <v>1</v>
      </c>
      <c r="E114" s="14">
        <v>105000</v>
      </c>
      <c r="F114" s="8"/>
    </row>
    <row r="115" spans="3:6" x14ac:dyDescent="0.2">
      <c r="C115" s="5" t="s">
        <v>3153</v>
      </c>
      <c r="D115" s="6">
        <v>1</v>
      </c>
      <c r="E115" s="14">
        <v>150000</v>
      </c>
      <c r="F115" s="7"/>
    </row>
    <row r="116" spans="3:6" x14ac:dyDescent="0.2">
      <c r="C116" s="5" t="s">
        <v>3128</v>
      </c>
      <c r="D116" s="6">
        <v>1</v>
      </c>
      <c r="E116" s="8"/>
      <c r="F116" s="23">
        <v>1120000</v>
      </c>
    </row>
    <row r="117" spans="3:6" x14ac:dyDescent="0.2">
      <c r="C117" s="5" t="s">
        <v>3154</v>
      </c>
      <c r="D117" s="6">
        <v>1</v>
      </c>
      <c r="E117" s="7"/>
      <c r="F117" s="23">
        <v>275000</v>
      </c>
    </row>
    <row r="118" spans="3:6" x14ac:dyDescent="0.2">
      <c r="C118" s="5" t="s">
        <v>3141</v>
      </c>
      <c r="D118" s="6">
        <v>1</v>
      </c>
      <c r="E118" s="8"/>
      <c r="F118" s="7">
        <v>500000</v>
      </c>
    </row>
    <row r="119" spans="3:6" x14ac:dyDescent="0.2">
      <c r="C119" s="5" t="s">
        <v>3155</v>
      </c>
      <c r="D119" s="6">
        <v>50</v>
      </c>
      <c r="E119" s="14">
        <v>100000</v>
      </c>
      <c r="F119" s="7"/>
    </row>
    <row r="120" spans="3:6" x14ac:dyDescent="0.2">
      <c r="C120" s="5" t="s">
        <v>3156</v>
      </c>
      <c r="D120" s="6">
        <v>2100</v>
      </c>
      <c r="E120" s="7"/>
      <c r="F120" s="7">
        <v>100000</v>
      </c>
    </row>
    <row r="121" spans="3:6" x14ac:dyDescent="0.2">
      <c r="C121" s="5" t="s">
        <v>3157</v>
      </c>
      <c r="D121" s="6"/>
      <c r="F121" s="14">
        <v>120000</v>
      </c>
    </row>
    <row r="122" spans="3:6" x14ac:dyDescent="0.2">
      <c r="C122" s="5" t="s">
        <v>724</v>
      </c>
      <c r="D122" s="6"/>
      <c r="E122" s="7"/>
      <c r="F122" s="8">
        <v>25000</v>
      </c>
    </row>
    <row r="123" spans="3:6" x14ac:dyDescent="0.2">
      <c r="C123" s="5"/>
      <c r="D123" s="6"/>
      <c r="E123" s="7"/>
      <c r="F123" s="7"/>
    </row>
    <row r="124" spans="3:6" x14ac:dyDescent="0.2">
      <c r="C124" s="5"/>
      <c r="D124" s="6"/>
      <c r="E124" s="7"/>
      <c r="F124" s="8"/>
    </row>
    <row r="125" spans="3:6" x14ac:dyDescent="0.2">
      <c r="C125" s="5"/>
      <c r="D125" s="6"/>
      <c r="E125" s="8"/>
      <c r="F125" s="8"/>
    </row>
    <row r="126" spans="3:6" x14ac:dyDescent="0.2">
      <c r="C126" s="5"/>
      <c r="D126" s="6"/>
      <c r="E126" s="8"/>
      <c r="F126" s="8"/>
    </row>
    <row r="127" spans="3:6" x14ac:dyDescent="0.2">
      <c r="E127" s="9">
        <f>SUM(E105:E126)</f>
        <v>4410000</v>
      </c>
      <c r="F127" s="9">
        <f>SUM(F105:F126)</f>
        <v>2140000</v>
      </c>
    </row>
    <row r="129" spans="3:12" ht="24" x14ac:dyDescent="0.3">
      <c r="C129" s="399" t="s">
        <v>5</v>
      </c>
      <c r="D129" s="399"/>
      <c r="E129" s="399"/>
      <c r="F129" s="399"/>
    </row>
    <row r="130" spans="3:12" x14ac:dyDescent="0.2">
      <c r="C130" s="25" t="s">
        <v>82</v>
      </c>
      <c r="D130" s="11" t="s">
        <v>3097</v>
      </c>
      <c r="E130" s="12" t="s">
        <v>1</v>
      </c>
      <c r="F130" s="12" t="s">
        <v>3140</v>
      </c>
    </row>
    <row r="131" spans="3:12" x14ac:dyDescent="0.2">
      <c r="C131" s="5" t="s">
        <v>3127</v>
      </c>
      <c r="D131" s="6">
        <v>1</v>
      </c>
      <c r="E131" s="7">
        <v>2000000</v>
      </c>
      <c r="F131" s="8"/>
    </row>
    <row r="132" spans="3:12" x14ac:dyDescent="0.2">
      <c r="C132" s="5" t="s">
        <v>3102</v>
      </c>
      <c r="D132" s="6">
        <v>1</v>
      </c>
      <c r="E132" s="7">
        <v>500000</v>
      </c>
      <c r="F132" s="8"/>
    </row>
    <row r="133" spans="3:12" x14ac:dyDescent="0.2">
      <c r="C133" s="5" t="s">
        <v>3104</v>
      </c>
      <c r="D133" s="6">
        <v>1</v>
      </c>
      <c r="E133" s="7">
        <v>360000</v>
      </c>
      <c r="F133" s="8"/>
    </row>
    <row r="134" spans="3:12" x14ac:dyDescent="0.2">
      <c r="C134" s="5" t="s">
        <v>3106</v>
      </c>
      <c r="D134" s="6">
        <v>1</v>
      </c>
      <c r="E134" s="7">
        <v>250000</v>
      </c>
      <c r="F134" s="8"/>
    </row>
    <row r="135" spans="3:12" x14ac:dyDescent="0.2">
      <c r="C135" s="5" t="s">
        <v>3149</v>
      </c>
      <c r="D135" s="6">
        <v>1</v>
      </c>
      <c r="E135" s="7">
        <v>200000</v>
      </c>
      <c r="F135" s="8"/>
    </row>
    <row r="136" spans="3:12" x14ac:dyDescent="0.2">
      <c r="C136" s="5" t="s">
        <v>3150</v>
      </c>
      <c r="D136" s="6">
        <v>1</v>
      </c>
      <c r="E136" s="7">
        <v>300000</v>
      </c>
      <c r="F136" s="8"/>
    </row>
    <row r="137" spans="3:12" x14ac:dyDescent="0.2">
      <c r="C137" s="5" t="s">
        <v>3151</v>
      </c>
      <c r="D137" s="6"/>
      <c r="E137" s="7"/>
      <c r="F137" s="8" t="s">
        <v>3152</v>
      </c>
    </row>
    <row r="138" spans="3:12" x14ac:dyDescent="0.2">
      <c r="C138" s="5" t="s">
        <v>3144</v>
      </c>
      <c r="D138" s="6">
        <v>1</v>
      </c>
      <c r="E138" s="7"/>
      <c r="F138" s="8">
        <v>205000</v>
      </c>
    </row>
    <row r="139" spans="3:12" x14ac:dyDescent="0.2">
      <c r="C139" s="5" t="s">
        <v>3113</v>
      </c>
      <c r="D139" s="6">
        <v>1</v>
      </c>
      <c r="E139" s="7"/>
      <c r="F139" s="8">
        <v>240000</v>
      </c>
      <c r="J139" s="5" t="s">
        <v>3158</v>
      </c>
      <c r="K139" s="8"/>
      <c r="L139" s="7">
        <v>20000</v>
      </c>
    </row>
    <row r="140" spans="3:12" x14ac:dyDescent="0.2">
      <c r="C140" s="5" t="s">
        <v>3114</v>
      </c>
      <c r="D140" s="6">
        <v>1</v>
      </c>
      <c r="E140" s="7"/>
      <c r="F140" s="8">
        <v>105000</v>
      </c>
      <c r="J140" s="5" t="s">
        <v>3159</v>
      </c>
      <c r="K140" s="8"/>
      <c r="L140" s="7">
        <v>30000</v>
      </c>
    </row>
    <row r="141" spans="3:12" x14ac:dyDescent="0.2">
      <c r="C141" s="5" t="s">
        <v>3128</v>
      </c>
      <c r="D141" s="6">
        <v>1</v>
      </c>
      <c r="E141" s="8"/>
      <c r="F141" s="7">
        <v>1120000</v>
      </c>
      <c r="J141" s="5" t="s">
        <v>3160</v>
      </c>
      <c r="K141" s="8"/>
      <c r="L141" s="7">
        <v>45000</v>
      </c>
    </row>
    <row r="142" spans="3:12" x14ac:dyDescent="0.2">
      <c r="C142" s="5" t="s">
        <v>3154</v>
      </c>
      <c r="D142" s="6">
        <v>1</v>
      </c>
      <c r="E142" s="7"/>
      <c r="F142" s="7">
        <v>275000</v>
      </c>
      <c r="J142" s="5" t="s">
        <v>3161</v>
      </c>
      <c r="K142" s="8"/>
      <c r="L142" s="7">
        <v>25000</v>
      </c>
    </row>
    <row r="143" spans="3:12" x14ac:dyDescent="0.2">
      <c r="C143" s="5" t="s">
        <v>3162</v>
      </c>
      <c r="D143" s="6"/>
      <c r="E143" s="7">
        <v>180000</v>
      </c>
      <c r="F143" s="3">
        <f>L147-E143</f>
        <v>69000</v>
      </c>
      <c r="J143" s="5" t="s">
        <v>3163</v>
      </c>
      <c r="K143" s="8"/>
      <c r="L143" s="7">
        <v>9000</v>
      </c>
    </row>
    <row r="144" spans="3:12" x14ac:dyDescent="0.2">
      <c r="C144" s="5" t="s">
        <v>3164</v>
      </c>
      <c r="D144" s="6"/>
      <c r="E144" s="8"/>
      <c r="F144" s="7"/>
      <c r="J144" s="5" t="s">
        <v>3165</v>
      </c>
      <c r="K144" s="8"/>
      <c r="L144" s="7">
        <v>50000</v>
      </c>
    </row>
    <row r="145" spans="3:12" x14ac:dyDescent="0.2">
      <c r="C145" s="5" t="s">
        <v>3166</v>
      </c>
      <c r="D145" s="6"/>
      <c r="E145" s="7">
        <v>625000</v>
      </c>
      <c r="F145" s="7">
        <v>0</v>
      </c>
      <c r="J145" s="5" t="s">
        <v>3167</v>
      </c>
      <c r="K145" s="8"/>
      <c r="L145" s="7">
        <v>40000</v>
      </c>
    </row>
    <row r="146" spans="3:12" x14ac:dyDescent="0.2">
      <c r="C146" s="5" t="s">
        <v>3168</v>
      </c>
      <c r="D146" s="6">
        <f>(42*2)+50</f>
        <v>134</v>
      </c>
      <c r="E146" s="8"/>
      <c r="F146" s="7">
        <f>D146*500</f>
        <v>67000</v>
      </c>
      <c r="J146" s="5" t="s">
        <v>3169</v>
      </c>
      <c r="K146" s="8"/>
      <c r="L146" s="7">
        <v>30000</v>
      </c>
    </row>
    <row r="147" spans="3:12" x14ac:dyDescent="0.2">
      <c r="C147" s="5" t="s">
        <v>3170</v>
      </c>
      <c r="D147" s="6"/>
      <c r="E147" s="8"/>
      <c r="F147" s="7"/>
      <c r="L147" s="9">
        <f>SUM(L139:L146)</f>
        <v>249000</v>
      </c>
    </row>
    <row r="148" spans="3:12" x14ac:dyDescent="0.2">
      <c r="C148" s="5"/>
      <c r="D148" s="6"/>
      <c r="E148" s="8"/>
      <c r="F148" s="7"/>
    </row>
    <row r="149" spans="3:12" x14ac:dyDescent="0.2">
      <c r="C149" s="5"/>
      <c r="D149" s="6"/>
      <c r="E149" s="8"/>
      <c r="F149" s="7"/>
    </row>
    <row r="150" spans="3:12" x14ac:dyDescent="0.2">
      <c r="C150" s="5"/>
      <c r="D150" s="6"/>
      <c r="E150" s="8"/>
      <c r="F150" s="8"/>
    </row>
    <row r="151" spans="3:12" x14ac:dyDescent="0.2">
      <c r="E151" s="9">
        <f>SUM(E131:E150)</f>
        <v>4415000</v>
      </c>
      <c r="F151" s="9">
        <f>SUM(F131:F150)</f>
        <v>2081000</v>
      </c>
    </row>
    <row r="156" spans="3:12" ht="24" x14ac:dyDescent="0.3">
      <c r="C156" s="399" t="s">
        <v>6</v>
      </c>
      <c r="D156" s="399"/>
      <c r="E156" s="399"/>
      <c r="F156" s="399"/>
    </row>
    <row r="157" spans="3:12" x14ac:dyDescent="0.2">
      <c r="C157" s="25" t="s">
        <v>82</v>
      </c>
      <c r="D157" s="11" t="s">
        <v>3097</v>
      </c>
      <c r="E157" s="12" t="s">
        <v>1</v>
      </c>
      <c r="F157" s="12" t="s">
        <v>3140</v>
      </c>
    </row>
    <row r="158" spans="3:12" x14ac:dyDescent="0.2">
      <c r="C158" s="5" t="s">
        <v>3127</v>
      </c>
      <c r="D158" s="6">
        <v>1</v>
      </c>
      <c r="E158" s="7">
        <v>2000000</v>
      </c>
      <c r="F158" s="8"/>
    </row>
    <row r="159" spans="3:12" x14ac:dyDescent="0.2">
      <c r="C159" s="5" t="s">
        <v>3102</v>
      </c>
      <c r="D159" s="6">
        <v>1</v>
      </c>
      <c r="E159" s="7">
        <v>500000</v>
      </c>
      <c r="F159" s="8"/>
    </row>
    <row r="160" spans="3:12" x14ac:dyDescent="0.2">
      <c r="C160" s="5" t="s">
        <v>3104</v>
      </c>
      <c r="D160" s="6">
        <v>1</v>
      </c>
      <c r="E160" s="7">
        <v>360000</v>
      </c>
      <c r="F160" s="8"/>
    </row>
    <row r="161" spans="3:6" x14ac:dyDescent="0.2">
      <c r="C161" s="5" t="s">
        <v>3106</v>
      </c>
      <c r="D161" s="6">
        <v>1</v>
      </c>
      <c r="E161" s="7">
        <v>180000</v>
      </c>
      <c r="F161" s="8"/>
    </row>
    <row r="162" spans="3:6" x14ac:dyDescent="0.2">
      <c r="C162" s="5" t="s">
        <v>3149</v>
      </c>
      <c r="D162" s="6">
        <v>1</v>
      </c>
      <c r="E162" s="7">
        <v>200000</v>
      </c>
      <c r="F162" s="8"/>
    </row>
    <row r="163" spans="3:6" x14ac:dyDescent="0.2">
      <c r="C163" s="5" t="s">
        <v>3150</v>
      </c>
      <c r="D163" s="6">
        <v>1</v>
      </c>
      <c r="E163" s="7">
        <v>300000</v>
      </c>
      <c r="F163" s="8"/>
    </row>
    <row r="164" spans="3:6" x14ac:dyDescent="0.2">
      <c r="C164" s="5" t="s">
        <v>3171</v>
      </c>
      <c r="D164" s="6">
        <v>1</v>
      </c>
      <c r="E164" s="7"/>
      <c r="F164" s="7">
        <v>0</v>
      </c>
    </row>
    <row r="165" spans="3:6" x14ac:dyDescent="0.2">
      <c r="C165" s="5" t="s">
        <v>3172</v>
      </c>
      <c r="D165" s="6">
        <v>1</v>
      </c>
      <c r="E165" s="7"/>
      <c r="F165" s="7">
        <v>240000</v>
      </c>
    </row>
    <row r="166" spans="3:6" x14ac:dyDescent="0.2">
      <c r="C166" s="5" t="s">
        <v>3173</v>
      </c>
      <c r="D166" s="6">
        <v>1</v>
      </c>
      <c r="E166" s="7"/>
      <c r="F166" s="7">
        <v>106000</v>
      </c>
    </row>
    <row r="167" spans="3:6" x14ac:dyDescent="0.2">
      <c r="C167" s="5" t="s">
        <v>3174</v>
      </c>
      <c r="D167" s="6">
        <v>1</v>
      </c>
      <c r="E167" s="7"/>
      <c r="F167" s="7">
        <v>1120000</v>
      </c>
    </row>
    <row r="168" spans="3:6" x14ac:dyDescent="0.2">
      <c r="C168" s="5" t="s">
        <v>3175</v>
      </c>
      <c r="D168" s="6">
        <v>1</v>
      </c>
      <c r="E168" s="7"/>
      <c r="F168" s="7">
        <v>275000</v>
      </c>
    </row>
    <row r="169" spans="3:6" x14ac:dyDescent="0.2">
      <c r="C169" s="5" t="s">
        <v>3164</v>
      </c>
      <c r="D169" s="6"/>
      <c r="E169" s="7"/>
      <c r="F169" s="7"/>
    </row>
    <row r="170" spans="3:6" x14ac:dyDescent="0.2">
      <c r="C170" s="5" t="s">
        <v>3170</v>
      </c>
      <c r="D170" s="6">
        <v>3500</v>
      </c>
      <c r="E170" s="7">
        <f>D170*50</f>
        <v>175000</v>
      </c>
      <c r="F170" s="7"/>
    </row>
    <row r="171" spans="3:6" x14ac:dyDescent="0.2">
      <c r="C171" s="5" t="s">
        <v>3176</v>
      </c>
      <c r="D171" s="6"/>
      <c r="E171" s="7">
        <v>600000</v>
      </c>
      <c r="F171" s="7"/>
    </row>
    <row r="172" spans="3:6" x14ac:dyDescent="0.2">
      <c r="C172" s="5" t="s">
        <v>3177</v>
      </c>
      <c r="D172" s="6">
        <v>1</v>
      </c>
      <c r="E172" s="7">
        <v>100000</v>
      </c>
      <c r="F172" s="7">
        <v>50000</v>
      </c>
    </row>
    <row r="173" spans="3:6" x14ac:dyDescent="0.2">
      <c r="C173" s="5" t="s">
        <v>3178</v>
      </c>
      <c r="D173" s="6">
        <v>1</v>
      </c>
      <c r="E173" s="7"/>
      <c r="F173" s="7">
        <v>50000</v>
      </c>
    </row>
    <row r="174" spans="3:6" x14ac:dyDescent="0.2">
      <c r="E174" s="9">
        <f>SUM(E158:E173)</f>
        <v>4415000</v>
      </c>
      <c r="F174" s="9">
        <f>SUM(F158:F173)</f>
        <v>1841000</v>
      </c>
    </row>
    <row r="178" spans="3:8" ht="24" x14ac:dyDescent="0.3">
      <c r="C178" s="399" t="s">
        <v>7</v>
      </c>
      <c r="D178" s="399"/>
      <c r="E178" s="399"/>
      <c r="F178" s="399"/>
    </row>
    <row r="179" spans="3:8" x14ac:dyDescent="0.2">
      <c r="C179" s="25" t="s">
        <v>82</v>
      </c>
      <c r="D179" s="11" t="s">
        <v>3097</v>
      </c>
      <c r="E179" s="12" t="s">
        <v>1</v>
      </c>
      <c r="F179" s="12" t="s">
        <v>3140</v>
      </c>
    </row>
    <row r="180" spans="3:8" x14ac:dyDescent="0.2">
      <c r="C180" s="5" t="s">
        <v>3127</v>
      </c>
      <c r="D180" s="6">
        <v>1</v>
      </c>
      <c r="E180" s="21">
        <v>2000000</v>
      </c>
      <c r="F180" s="8">
        <v>0</v>
      </c>
    </row>
    <row r="181" spans="3:8" x14ac:dyDescent="0.2">
      <c r="C181" s="5" t="s">
        <v>3102</v>
      </c>
      <c r="D181" s="6">
        <v>1</v>
      </c>
      <c r="E181" s="13">
        <v>500000</v>
      </c>
      <c r="F181" s="8">
        <v>0</v>
      </c>
    </row>
    <row r="182" spans="3:8" x14ac:dyDescent="0.2">
      <c r="C182" s="5" t="s">
        <v>3104</v>
      </c>
      <c r="D182" s="6">
        <v>1</v>
      </c>
      <c r="E182" s="21">
        <v>420000</v>
      </c>
      <c r="F182" s="8">
        <v>0</v>
      </c>
    </row>
    <row r="183" spans="3:8" x14ac:dyDescent="0.2">
      <c r="C183" s="5" t="s">
        <v>3149</v>
      </c>
      <c r="D183" s="6">
        <v>1</v>
      </c>
      <c r="E183" s="13">
        <v>200000</v>
      </c>
      <c r="F183" s="8">
        <v>0</v>
      </c>
    </row>
    <row r="184" spans="3:8" x14ac:dyDescent="0.2">
      <c r="C184" s="5" t="s">
        <v>3150</v>
      </c>
      <c r="D184" s="6">
        <v>1</v>
      </c>
      <c r="E184" s="13">
        <v>300000</v>
      </c>
      <c r="F184" s="8">
        <v>0</v>
      </c>
    </row>
    <row r="185" spans="3:8" x14ac:dyDescent="0.2">
      <c r="C185" s="5" t="s">
        <v>3172</v>
      </c>
      <c r="D185" s="6">
        <v>1</v>
      </c>
      <c r="E185" s="7">
        <v>0</v>
      </c>
      <c r="F185" s="7">
        <v>240000</v>
      </c>
    </row>
    <row r="186" spans="3:8" x14ac:dyDescent="0.2">
      <c r="C186" s="5" t="s">
        <v>3179</v>
      </c>
      <c r="D186" s="6">
        <v>1</v>
      </c>
      <c r="E186" s="21">
        <v>237000</v>
      </c>
      <c r="F186" s="7">
        <v>237000</v>
      </c>
    </row>
    <row r="187" spans="3:8" x14ac:dyDescent="0.2">
      <c r="C187" s="5" t="s">
        <v>3173</v>
      </c>
      <c r="D187" s="6">
        <v>1</v>
      </c>
      <c r="E187" s="7">
        <v>0</v>
      </c>
      <c r="F187" s="7">
        <v>106000</v>
      </c>
    </row>
    <row r="188" spans="3:8" x14ac:dyDescent="0.2">
      <c r="C188" s="5" t="s">
        <v>3174</v>
      </c>
      <c r="D188" s="6">
        <v>1</v>
      </c>
      <c r="E188" s="7">
        <v>0</v>
      </c>
      <c r="F188" s="7">
        <v>1120000</v>
      </c>
    </row>
    <row r="189" spans="3:8" x14ac:dyDescent="0.2">
      <c r="C189" s="5" t="s">
        <v>3175</v>
      </c>
      <c r="D189" s="6">
        <v>1</v>
      </c>
      <c r="E189" s="7">
        <v>0</v>
      </c>
      <c r="F189" s="7">
        <v>275000</v>
      </c>
    </row>
    <row r="190" spans="3:8" x14ac:dyDescent="0.2">
      <c r="C190" s="5" t="s">
        <v>3180</v>
      </c>
      <c r="D190" s="6">
        <v>327</v>
      </c>
      <c r="E190" s="21">
        <f>D190*250</f>
        <v>81750</v>
      </c>
      <c r="F190" s="7">
        <v>0</v>
      </c>
      <c r="H190" s="1">
        <v>23</v>
      </c>
    </row>
    <row r="191" spans="3:8" x14ac:dyDescent="0.2">
      <c r="C191" s="5" t="s">
        <v>3181</v>
      </c>
      <c r="D191" s="6">
        <v>900</v>
      </c>
      <c r="E191" s="1">
        <v>0</v>
      </c>
      <c r="F191" s="7">
        <f>D191*50</f>
        <v>45000</v>
      </c>
      <c r="H191" s="1">
        <v>50</v>
      </c>
    </row>
    <row r="192" spans="3:8" x14ac:dyDescent="0.2">
      <c r="C192" s="5" t="s">
        <v>3182</v>
      </c>
      <c r="D192" s="6">
        <v>2300</v>
      </c>
      <c r="E192" s="7">
        <v>15000</v>
      </c>
      <c r="F192" s="7">
        <v>100000</v>
      </c>
      <c r="H192" s="1">
        <f>H190*H191</f>
        <v>1150</v>
      </c>
    </row>
    <row r="193" spans="3:7" x14ac:dyDescent="0.2">
      <c r="C193" s="5" t="s">
        <v>3183</v>
      </c>
      <c r="D193" s="6">
        <v>3400</v>
      </c>
      <c r="E193" s="1">
        <v>0</v>
      </c>
      <c r="F193" s="7">
        <f>D193*40</f>
        <v>136000</v>
      </c>
    </row>
    <row r="194" spans="3:7" x14ac:dyDescent="0.2">
      <c r="C194" s="5" t="s">
        <v>3184</v>
      </c>
      <c r="D194" s="6">
        <v>7000</v>
      </c>
      <c r="E194" s="7">
        <f>D194*95</f>
        <v>665000</v>
      </c>
      <c r="F194" s="7">
        <v>0</v>
      </c>
    </row>
    <row r="195" spans="3:7" x14ac:dyDescent="0.2">
      <c r="C195" s="5" t="s">
        <v>3185</v>
      </c>
      <c r="D195" s="6">
        <v>1</v>
      </c>
      <c r="E195" s="7">
        <v>0</v>
      </c>
      <c r="F195" s="7">
        <v>20000</v>
      </c>
    </row>
    <row r="196" spans="3:7" x14ac:dyDescent="0.2">
      <c r="C196" s="5" t="s">
        <v>3186</v>
      </c>
      <c r="D196" s="6">
        <v>1500</v>
      </c>
      <c r="E196" s="7">
        <v>0</v>
      </c>
      <c r="F196" s="7">
        <f>D196*95</f>
        <v>142500</v>
      </c>
    </row>
    <row r="197" spans="3:7" x14ac:dyDescent="0.2">
      <c r="C197" s="5" t="s">
        <v>3187</v>
      </c>
      <c r="D197" s="6">
        <v>450</v>
      </c>
      <c r="E197" s="7">
        <v>0</v>
      </c>
      <c r="F197" s="7">
        <v>200000</v>
      </c>
    </row>
    <row r="198" spans="3:7" x14ac:dyDescent="0.2">
      <c r="C198" s="5"/>
      <c r="D198" s="6"/>
      <c r="E198" s="7"/>
      <c r="F198" s="7"/>
    </row>
    <row r="199" spans="3:7" x14ac:dyDescent="0.2">
      <c r="C199" s="5"/>
      <c r="D199" s="6"/>
      <c r="E199" s="7"/>
      <c r="F199" s="7"/>
    </row>
    <row r="200" spans="3:7" x14ac:dyDescent="0.2">
      <c r="C200" s="5"/>
      <c r="D200" s="6"/>
      <c r="E200" s="7"/>
      <c r="F200" s="7"/>
    </row>
    <row r="201" spans="3:7" x14ac:dyDescent="0.2">
      <c r="E201" s="9">
        <f>SUM(E180:E200)</f>
        <v>4418750</v>
      </c>
      <c r="F201" s="9">
        <f>SUM(F180:F200)</f>
        <v>2621500</v>
      </c>
      <c r="G201" s="3">
        <f>F201-G204</f>
        <v>1483000</v>
      </c>
    </row>
    <row r="203" spans="3:7" x14ac:dyDescent="0.2">
      <c r="F203" s="1" t="s">
        <v>3188</v>
      </c>
      <c r="G203" s="1">
        <f>2277000</f>
        <v>2277000</v>
      </c>
    </row>
    <row r="204" spans="3:7" x14ac:dyDescent="0.2">
      <c r="G204" s="1">
        <f>G203/2</f>
        <v>1138500</v>
      </c>
    </row>
    <row r="207" spans="3:7" ht="26" x14ac:dyDescent="0.3">
      <c r="C207" s="398" t="s">
        <v>8</v>
      </c>
      <c r="D207" s="398"/>
      <c r="E207" s="398"/>
      <c r="F207" s="398"/>
    </row>
    <row r="208" spans="3:7" x14ac:dyDescent="0.2">
      <c r="C208" s="25" t="s">
        <v>82</v>
      </c>
      <c r="D208" s="11" t="s">
        <v>3097</v>
      </c>
      <c r="E208" s="12" t="s">
        <v>1</v>
      </c>
      <c r="F208" s="12" t="s">
        <v>3140</v>
      </c>
    </row>
    <row r="209" spans="3:13" x14ac:dyDescent="0.2">
      <c r="C209" s="5" t="s">
        <v>3189</v>
      </c>
      <c r="D209" s="6">
        <v>1</v>
      </c>
      <c r="E209" s="21">
        <v>2000000</v>
      </c>
      <c r="F209" s="8">
        <v>0</v>
      </c>
    </row>
    <row r="210" spans="3:13" x14ac:dyDescent="0.2">
      <c r="C210" s="5" t="s">
        <v>3190</v>
      </c>
      <c r="D210" s="6">
        <v>1</v>
      </c>
      <c r="E210" s="21">
        <v>500000</v>
      </c>
      <c r="F210" s="8">
        <v>0</v>
      </c>
    </row>
    <row r="211" spans="3:13" x14ac:dyDescent="0.2">
      <c r="C211" s="5" t="s">
        <v>3104</v>
      </c>
      <c r="D211" s="6">
        <v>1</v>
      </c>
      <c r="E211" s="21">
        <v>468000</v>
      </c>
      <c r="F211" s="8">
        <v>0</v>
      </c>
    </row>
    <row r="212" spans="3:13" x14ac:dyDescent="0.2">
      <c r="C212" s="5" t="s">
        <v>3149</v>
      </c>
      <c r="D212" s="6">
        <v>1</v>
      </c>
      <c r="E212" s="21">
        <v>200000</v>
      </c>
      <c r="F212" s="8">
        <v>0</v>
      </c>
    </row>
    <row r="213" spans="3:13" x14ac:dyDescent="0.2">
      <c r="C213" s="5" t="s">
        <v>3150</v>
      </c>
      <c r="D213" s="6">
        <v>1</v>
      </c>
      <c r="E213" s="21">
        <v>300000</v>
      </c>
      <c r="F213" s="8">
        <v>0</v>
      </c>
    </row>
    <row r="214" spans="3:13" x14ac:dyDescent="0.2">
      <c r="C214" s="5" t="s">
        <v>3172</v>
      </c>
      <c r="D214" s="6">
        <v>1</v>
      </c>
      <c r="E214" s="7">
        <v>0</v>
      </c>
      <c r="F214" s="7">
        <v>240000</v>
      </c>
    </row>
    <row r="215" spans="3:13" x14ac:dyDescent="0.2">
      <c r="C215" s="5" t="s">
        <v>3179</v>
      </c>
      <c r="D215" s="6">
        <v>1</v>
      </c>
      <c r="E215" s="7">
        <v>0</v>
      </c>
      <c r="F215" s="7">
        <v>237000</v>
      </c>
    </row>
    <row r="216" spans="3:13" x14ac:dyDescent="0.2">
      <c r="C216" s="5" t="s">
        <v>3173</v>
      </c>
      <c r="D216" s="6">
        <v>1</v>
      </c>
      <c r="E216" s="7">
        <v>0</v>
      </c>
      <c r="F216" s="7">
        <v>106000</v>
      </c>
    </row>
    <row r="217" spans="3:13" x14ac:dyDescent="0.2">
      <c r="C217" s="5" t="s">
        <v>3174</v>
      </c>
      <c r="D217" s="6">
        <v>1</v>
      </c>
      <c r="E217" s="7">
        <v>0</v>
      </c>
      <c r="F217" s="7">
        <v>1120000</v>
      </c>
      <c r="J217" s="394" t="s">
        <v>3191</v>
      </c>
      <c r="K217" s="395"/>
      <c r="L217" s="395"/>
      <c r="M217" s="395"/>
    </row>
    <row r="218" spans="3:13" x14ac:dyDescent="0.2">
      <c r="C218" s="5" t="s">
        <v>3175</v>
      </c>
      <c r="D218" s="6">
        <v>1</v>
      </c>
      <c r="E218" s="7">
        <v>0</v>
      </c>
      <c r="F218" s="7">
        <v>275000</v>
      </c>
      <c r="J218" s="5" t="s">
        <v>3192</v>
      </c>
      <c r="K218" s="8">
        <v>2000</v>
      </c>
      <c r="L218" s="21">
        <f>K218*95</f>
        <v>190000</v>
      </c>
      <c r="M218" s="7" t="s">
        <v>3193</v>
      </c>
    </row>
    <row r="219" spans="3:13" x14ac:dyDescent="0.2">
      <c r="C219" s="5" t="s">
        <v>3194</v>
      </c>
      <c r="D219" s="6">
        <v>10</v>
      </c>
      <c r="E219" s="21">
        <v>171000</v>
      </c>
      <c r="F219" s="7">
        <v>0</v>
      </c>
      <c r="J219" s="5" t="s">
        <v>3195</v>
      </c>
      <c r="K219" s="8">
        <v>1000</v>
      </c>
      <c r="L219" s="21">
        <v>137000</v>
      </c>
      <c r="M219" s="7" t="s">
        <v>3193</v>
      </c>
    </row>
    <row r="220" spans="3:13" x14ac:dyDescent="0.2">
      <c r="C220" s="5" t="s">
        <v>3196</v>
      </c>
      <c r="D220" s="6">
        <v>2</v>
      </c>
      <c r="E220" s="21">
        <v>600000</v>
      </c>
      <c r="F220" s="7">
        <v>0</v>
      </c>
      <c r="J220" s="5" t="s">
        <v>3197</v>
      </c>
      <c r="K220" s="8"/>
      <c r="L220" s="5"/>
      <c r="M220" s="5"/>
    </row>
    <row r="221" spans="3:13" x14ac:dyDescent="0.2">
      <c r="C221" s="5" t="s">
        <v>3198</v>
      </c>
      <c r="D221" s="6">
        <v>1888</v>
      </c>
      <c r="E221" s="21">
        <f>D221*40</f>
        <v>75520</v>
      </c>
      <c r="F221" s="7">
        <v>0</v>
      </c>
      <c r="J221" s="5"/>
      <c r="K221" s="8"/>
      <c r="L221" s="5"/>
      <c r="M221" s="5"/>
    </row>
    <row r="222" spans="3:13" x14ac:dyDescent="0.2">
      <c r="C222" s="5" t="s">
        <v>3199</v>
      </c>
      <c r="D222" s="6">
        <v>1892</v>
      </c>
      <c r="E222" s="21">
        <f>D222*40</f>
        <v>75680</v>
      </c>
      <c r="F222" s="7">
        <v>0</v>
      </c>
      <c r="J222" s="5"/>
      <c r="K222" s="8"/>
      <c r="L222" s="5"/>
      <c r="M222" s="5"/>
    </row>
    <row r="223" spans="3:13" x14ac:dyDescent="0.2">
      <c r="C223" s="5" t="s">
        <v>3200</v>
      </c>
      <c r="D223" s="6">
        <v>611</v>
      </c>
      <c r="E223" s="7">
        <v>0</v>
      </c>
      <c r="F223" s="7">
        <v>24440</v>
      </c>
      <c r="L223" s="13">
        <f>SUM(L218:L222)</f>
        <v>327000</v>
      </c>
    </row>
    <row r="224" spans="3:13" x14ac:dyDescent="0.2">
      <c r="C224" s="5" t="s">
        <v>3201</v>
      </c>
      <c r="D224" s="6">
        <v>1892</v>
      </c>
      <c r="E224" s="7">
        <v>0</v>
      </c>
      <c r="F224" s="7">
        <v>75680</v>
      </c>
    </row>
    <row r="225" spans="3:7" x14ac:dyDescent="0.2">
      <c r="C225" s="5" t="s">
        <v>3202</v>
      </c>
      <c r="D225" s="6">
        <v>420</v>
      </c>
      <c r="E225" s="21">
        <f>D225*40</f>
        <v>16800</v>
      </c>
      <c r="F225" s="7">
        <v>0</v>
      </c>
    </row>
    <row r="226" spans="3:7" x14ac:dyDescent="0.2">
      <c r="C226" s="5" t="s">
        <v>3203</v>
      </c>
      <c r="D226" s="6">
        <v>5</v>
      </c>
      <c r="E226" s="7">
        <v>0</v>
      </c>
      <c r="F226" s="7">
        <v>200000</v>
      </c>
    </row>
    <row r="227" spans="3:7" x14ac:dyDescent="0.2">
      <c r="C227" s="5" t="s">
        <v>3204</v>
      </c>
      <c r="D227" s="6">
        <v>1</v>
      </c>
      <c r="E227" s="7">
        <v>0</v>
      </c>
      <c r="F227" s="7">
        <v>25000</v>
      </c>
    </row>
    <row r="228" spans="3:7" x14ac:dyDescent="0.2">
      <c r="C228" s="5" t="s">
        <v>3205</v>
      </c>
      <c r="D228" s="6">
        <v>1</v>
      </c>
      <c r="E228" s="21">
        <v>20000</v>
      </c>
      <c r="F228" s="7">
        <v>0</v>
      </c>
    </row>
    <row r="229" spans="3:7" x14ac:dyDescent="0.2">
      <c r="C229" s="5" t="s">
        <v>3206</v>
      </c>
      <c r="D229" s="6">
        <v>2000</v>
      </c>
      <c r="E229" s="1">
        <v>0</v>
      </c>
      <c r="F229" s="7">
        <f>D229*40</f>
        <v>80000</v>
      </c>
    </row>
    <row r="230" spans="3:7" x14ac:dyDescent="0.2">
      <c r="C230" s="5"/>
      <c r="D230" s="6"/>
      <c r="E230" s="7"/>
      <c r="F230" s="7"/>
    </row>
    <row r="231" spans="3:7" x14ac:dyDescent="0.2">
      <c r="E231" s="9">
        <f>SUM(E209:E230)</f>
        <v>4427000</v>
      </c>
      <c r="F231" s="9">
        <f>SUM(F209:F230)</f>
        <v>2383120</v>
      </c>
      <c r="G231" s="26" t="s">
        <v>3207</v>
      </c>
    </row>
    <row r="232" spans="3:7" x14ac:dyDescent="0.2">
      <c r="E232" s="3"/>
    </row>
    <row r="235" spans="3:7" ht="26" x14ac:dyDescent="0.3">
      <c r="C235" s="398" t="s">
        <v>9</v>
      </c>
      <c r="D235" s="398"/>
      <c r="E235" s="398"/>
      <c r="F235" s="398"/>
    </row>
    <row r="236" spans="3:7" x14ac:dyDescent="0.2">
      <c r="C236" s="25" t="s">
        <v>82</v>
      </c>
      <c r="D236" s="11" t="s">
        <v>3097</v>
      </c>
      <c r="E236" s="12" t="s">
        <v>1</v>
      </c>
      <c r="F236" s="12" t="s">
        <v>3140</v>
      </c>
    </row>
    <row r="237" spans="3:7" x14ac:dyDescent="0.2">
      <c r="C237" s="5" t="s">
        <v>3189</v>
      </c>
      <c r="D237" s="6">
        <v>1</v>
      </c>
      <c r="E237" s="21">
        <v>2000000</v>
      </c>
      <c r="F237" s="8">
        <v>0</v>
      </c>
    </row>
    <row r="238" spans="3:7" x14ac:dyDescent="0.2">
      <c r="C238" s="5" t="s">
        <v>3190</v>
      </c>
      <c r="D238" s="6">
        <v>1</v>
      </c>
      <c r="E238" s="21">
        <v>500000</v>
      </c>
      <c r="F238" s="8">
        <v>0</v>
      </c>
    </row>
    <row r="239" spans="3:7" x14ac:dyDescent="0.2">
      <c r="C239" s="5" t="s">
        <v>3104</v>
      </c>
      <c r="D239" s="6">
        <v>1</v>
      </c>
      <c r="E239" s="7">
        <v>468000</v>
      </c>
      <c r="F239" s="8">
        <v>0</v>
      </c>
    </row>
    <row r="240" spans="3:7" x14ac:dyDescent="0.2">
      <c r="C240" s="5" t="s">
        <v>3149</v>
      </c>
      <c r="D240" s="6">
        <v>1</v>
      </c>
      <c r="E240" s="7">
        <v>200000</v>
      </c>
      <c r="F240" s="8">
        <v>0</v>
      </c>
    </row>
    <row r="241" spans="3:6" x14ac:dyDescent="0.2">
      <c r="C241" s="5" t="s">
        <v>3150</v>
      </c>
      <c r="D241" s="6">
        <v>1</v>
      </c>
      <c r="E241" s="7">
        <v>300000</v>
      </c>
      <c r="F241" s="8">
        <v>0</v>
      </c>
    </row>
    <row r="242" spans="3:6" x14ac:dyDescent="0.2">
      <c r="C242" s="5" t="s">
        <v>3172</v>
      </c>
      <c r="D242" s="6">
        <v>1</v>
      </c>
      <c r="E242" s="7">
        <v>240000</v>
      </c>
      <c r="F242" s="7">
        <v>0</v>
      </c>
    </row>
    <row r="243" spans="3:6" x14ac:dyDescent="0.2">
      <c r="C243" s="5" t="s">
        <v>3179</v>
      </c>
      <c r="D243" s="6">
        <v>1</v>
      </c>
      <c r="E243" s="7">
        <v>237000</v>
      </c>
      <c r="F243" s="7">
        <v>0</v>
      </c>
    </row>
    <row r="244" spans="3:6" x14ac:dyDescent="0.2">
      <c r="C244" s="5" t="s">
        <v>3173</v>
      </c>
      <c r="D244" s="6">
        <v>1</v>
      </c>
      <c r="E244" s="7">
        <v>106000</v>
      </c>
      <c r="F244" s="7">
        <v>0</v>
      </c>
    </row>
    <row r="245" spans="3:6" x14ac:dyDescent="0.2">
      <c r="C245" s="5" t="s">
        <v>3174</v>
      </c>
      <c r="D245" s="6">
        <v>1</v>
      </c>
      <c r="E245" s="7">
        <v>0</v>
      </c>
      <c r="F245" s="7">
        <v>1120000</v>
      </c>
    </row>
    <row r="246" spans="3:6" x14ac:dyDescent="0.2">
      <c r="C246" s="5" t="s">
        <v>3175</v>
      </c>
      <c r="D246" s="6">
        <v>1</v>
      </c>
      <c r="E246" s="7">
        <v>275000</v>
      </c>
      <c r="F246" s="7">
        <v>0</v>
      </c>
    </row>
    <row r="247" spans="3:6" x14ac:dyDescent="0.2">
      <c r="C247" s="5"/>
      <c r="D247" s="6"/>
      <c r="E247" s="7"/>
      <c r="F247" s="7"/>
    </row>
    <row r="248" spans="3:6" x14ac:dyDescent="0.2">
      <c r="C248" s="5"/>
      <c r="D248" s="6"/>
      <c r="E248" s="7"/>
      <c r="F248" s="7"/>
    </row>
    <row r="249" spans="3:6" x14ac:dyDescent="0.2">
      <c r="C249" s="5"/>
      <c r="D249" s="6"/>
      <c r="E249" s="7"/>
      <c r="F249" s="7"/>
    </row>
    <row r="250" spans="3:6" x14ac:dyDescent="0.2">
      <c r="C250" s="5"/>
      <c r="D250" s="6"/>
      <c r="E250" s="7"/>
      <c r="F250" s="7"/>
    </row>
    <row r="251" spans="3:6" x14ac:dyDescent="0.2">
      <c r="C251" s="5"/>
      <c r="D251" s="6"/>
      <c r="E251" s="7"/>
      <c r="F251" s="7"/>
    </row>
    <row r="252" spans="3:6" x14ac:dyDescent="0.2">
      <c r="C252" s="5"/>
      <c r="D252" s="6"/>
      <c r="E252" s="7"/>
      <c r="F252" s="7"/>
    </row>
    <row r="253" spans="3:6" x14ac:dyDescent="0.2">
      <c r="C253" s="5"/>
      <c r="D253" s="6"/>
      <c r="E253" s="7"/>
      <c r="F253" s="7"/>
    </row>
    <row r="254" spans="3:6" x14ac:dyDescent="0.2">
      <c r="C254" s="5"/>
      <c r="D254" s="6"/>
      <c r="E254" s="7"/>
      <c r="F254" s="7"/>
    </row>
    <row r="255" spans="3:6" x14ac:dyDescent="0.2">
      <c r="C255" s="5"/>
      <c r="D255" s="6"/>
      <c r="E255" s="7"/>
      <c r="F255" s="7"/>
    </row>
    <row r="256" spans="3:6" x14ac:dyDescent="0.2">
      <c r="C256" s="5"/>
      <c r="D256" s="6"/>
      <c r="E256" s="7"/>
      <c r="F256" s="7"/>
    </row>
    <row r="257" spans="3:7" x14ac:dyDescent="0.2">
      <c r="C257" s="5"/>
      <c r="D257" s="6"/>
      <c r="E257" s="7"/>
      <c r="F257" s="7"/>
    </row>
    <row r="258" spans="3:7" x14ac:dyDescent="0.2">
      <c r="C258" s="5"/>
      <c r="D258" s="6"/>
      <c r="E258" s="7"/>
      <c r="F258" s="7"/>
    </row>
    <row r="259" spans="3:7" x14ac:dyDescent="0.2">
      <c r="E259" s="9">
        <f>SUM(E237:E258)</f>
        <v>4326000</v>
      </c>
      <c r="F259" s="9">
        <f>SUM(F237:F258)</f>
        <v>1120000</v>
      </c>
      <c r="G259" s="26" t="s">
        <v>3207</v>
      </c>
    </row>
    <row r="263" spans="3:7" ht="26" x14ac:dyDescent="0.3">
      <c r="C263" s="398" t="s">
        <v>10</v>
      </c>
      <c r="D263" s="398"/>
      <c r="E263" s="398"/>
      <c r="F263" s="398"/>
    </row>
    <row r="264" spans="3:7" x14ac:dyDescent="0.2">
      <c r="C264" s="25" t="s">
        <v>82</v>
      </c>
      <c r="D264" s="11" t="s">
        <v>3097</v>
      </c>
      <c r="E264" s="12" t="s">
        <v>1</v>
      </c>
      <c r="F264" s="12" t="s">
        <v>3140</v>
      </c>
    </row>
    <row r="265" spans="3:7" x14ac:dyDescent="0.2">
      <c r="C265" s="5" t="s">
        <v>3208</v>
      </c>
      <c r="D265" s="6">
        <v>1</v>
      </c>
      <c r="E265" s="21">
        <v>2000000</v>
      </c>
      <c r="F265" s="7">
        <v>0</v>
      </c>
    </row>
    <row r="266" spans="3:7" x14ac:dyDescent="0.2">
      <c r="C266" s="5" t="s">
        <v>3190</v>
      </c>
      <c r="D266" s="6">
        <v>1</v>
      </c>
      <c r="E266" s="21">
        <v>500000</v>
      </c>
      <c r="F266" s="7">
        <v>0</v>
      </c>
    </row>
    <row r="267" spans="3:7" x14ac:dyDescent="0.2">
      <c r="C267" s="5" t="s">
        <v>3104</v>
      </c>
      <c r="D267" s="6">
        <v>1</v>
      </c>
      <c r="E267" s="7">
        <v>729000</v>
      </c>
      <c r="F267" s="7">
        <v>0</v>
      </c>
    </row>
    <row r="268" spans="3:7" x14ac:dyDescent="0.2">
      <c r="C268" s="5" t="s">
        <v>3149</v>
      </c>
      <c r="D268" s="6">
        <v>1</v>
      </c>
      <c r="E268" s="7">
        <v>200000</v>
      </c>
      <c r="F268" s="7">
        <v>0</v>
      </c>
    </row>
    <row r="269" spans="3:7" x14ac:dyDescent="0.2">
      <c r="C269" s="5" t="s">
        <v>3150</v>
      </c>
      <c r="D269" s="6">
        <v>1</v>
      </c>
      <c r="E269" s="7">
        <v>300000</v>
      </c>
      <c r="F269" s="7">
        <v>0</v>
      </c>
    </row>
    <row r="270" spans="3:7" x14ac:dyDescent="0.2">
      <c r="C270" s="5" t="s">
        <v>3172</v>
      </c>
      <c r="D270" s="6">
        <v>1</v>
      </c>
      <c r="E270" s="7">
        <v>240000</v>
      </c>
      <c r="F270" s="7">
        <v>0</v>
      </c>
    </row>
    <row r="271" spans="3:7" x14ac:dyDescent="0.2">
      <c r="C271" s="5" t="s">
        <v>3179</v>
      </c>
      <c r="D271" s="6">
        <v>1</v>
      </c>
      <c r="E271" s="7">
        <v>237000</v>
      </c>
      <c r="F271" s="7">
        <v>0</v>
      </c>
    </row>
    <row r="272" spans="3:7" x14ac:dyDescent="0.2">
      <c r="C272" s="5" t="s">
        <v>3173</v>
      </c>
      <c r="D272" s="6">
        <v>1</v>
      </c>
      <c r="E272" s="7">
        <v>105000</v>
      </c>
      <c r="F272" s="7">
        <v>0</v>
      </c>
    </row>
    <row r="273" spans="3:7" x14ac:dyDescent="0.2">
      <c r="C273" s="5" t="s">
        <v>3174</v>
      </c>
      <c r="D273" s="6">
        <v>1</v>
      </c>
      <c r="E273" s="7">
        <v>0</v>
      </c>
      <c r="F273" s="7">
        <v>1120000</v>
      </c>
    </row>
    <row r="274" spans="3:7" x14ac:dyDescent="0.2">
      <c r="C274" s="5" t="s">
        <v>3175</v>
      </c>
      <c r="D274" s="6">
        <v>1</v>
      </c>
      <c r="E274" s="7">
        <v>0</v>
      </c>
      <c r="F274" s="7">
        <v>275000</v>
      </c>
    </row>
    <row r="275" spans="3:7" x14ac:dyDescent="0.2">
      <c r="C275" s="5" t="s">
        <v>3209</v>
      </c>
      <c r="D275" s="6">
        <v>1</v>
      </c>
      <c r="E275" s="7">
        <v>0</v>
      </c>
      <c r="F275" s="7">
        <v>538000</v>
      </c>
    </row>
    <row r="276" spans="3:7" x14ac:dyDescent="0.2">
      <c r="C276" s="5"/>
      <c r="D276" s="6"/>
      <c r="E276" s="7"/>
      <c r="F276" s="7"/>
    </row>
    <row r="277" spans="3:7" x14ac:dyDescent="0.2">
      <c r="C277" s="5"/>
      <c r="D277" s="6"/>
      <c r="E277" s="7"/>
      <c r="F277" s="7"/>
    </row>
    <row r="278" spans="3:7" x14ac:dyDescent="0.2">
      <c r="C278" s="5"/>
      <c r="D278" s="6"/>
      <c r="E278" s="7"/>
      <c r="F278" s="7"/>
    </row>
    <row r="279" spans="3:7" x14ac:dyDescent="0.2">
      <c r="C279" s="5"/>
      <c r="D279" s="6"/>
      <c r="E279" s="7"/>
      <c r="F279" s="7"/>
    </row>
    <row r="280" spans="3:7" x14ac:dyDescent="0.2">
      <c r="C280" s="5"/>
      <c r="D280" s="6"/>
      <c r="E280" s="7"/>
      <c r="F280" s="7"/>
    </row>
    <row r="281" spans="3:7" x14ac:dyDescent="0.2">
      <c r="C281" s="5"/>
      <c r="D281" s="6"/>
      <c r="E281" s="7"/>
      <c r="F281" s="7"/>
    </row>
    <row r="282" spans="3:7" x14ac:dyDescent="0.2">
      <c r="C282" s="5"/>
      <c r="D282" s="6"/>
      <c r="E282" s="7"/>
      <c r="F282" s="7"/>
    </row>
    <row r="283" spans="3:7" x14ac:dyDescent="0.2">
      <c r="C283" s="5"/>
      <c r="D283" s="6"/>
      <c r="E283" s="7"/>
      <c r="F283" s="7"/>
    </row>
    <row r="284" spans="3:7" x14ac:dyDescent="0.2">
      <c r="C284" s="5"/>
      <c r="D284" s="6"/>
      <c r="E284" s="7"/>
      <c r="F284" s="7"/>
    </row>
    <row r="285" spans="3:7" x14ac:dyDescent="0.2">
      <c r="C285" s="5"/>
      <c r="D285" s="6"/>
      <c r="E285" s="7"/>
      <c r="F285" s="7"/>
    </row>
    <row r="286" spans="3:7" x14ac:dyDescent="0.2">
      <c r="C286" s="5"/>
      <c r="D286" s="6"/>
      <c r="E286" s="7"/>
      <c r="F286" s="7"/>
    </row>
    <row r="287" spans="3:7" x14ac:dyDescent="0.2">
      <c r="E287" s="9">
        <f>SUM(E265:E286)</f>
        <v>4311000</v>
      </c>
      <c r="F287" s="9">
        <f>SUM(F265:F286)</f>
        <v>1933000</v>
      </c>
      <c r="G287" s="26" t="s">
        <v>3207</v>
      </c>
    </row>
    <row r="290" spans="3:6" ht="26" x14ac:dyDescent="0.3">
      <c r="C290" s="398" t="s">
        <v>11</v>
      </c>
      <c r="D290" s="398"/>
      <c r="E290" s="398"/>
      <c r="F290" s="398"/>
    </row>
    <row r="291" spans="3:6" x14ac:dyDescent="0.2">
      <c r="C291" s="25" t="s">
        <v>82</v>
      </c>
      <c r="D291" s="11" t="s">
        <v>3097</v>
      </c>
      <c r="E291" s="12" t="s">
        <v>1</v>
      </c>
      <c r="F291" s="12" t="s">
        <v>3140</v>
      </c>
    </row>
    <row r="292" spans="3:6" x14ac:dyDescent="0.2">
      <c r="C292" s="5" t="s">
        <v>3208</v>
      </c>
      <c r="D292" s="6">
        <v>1</v>
      </c>
      <c r="E292" s="21">
        <v>2000000</v>
      </c>
      <c r="F292" s="7">
        <v>0</v>
      </c>
    </row>
    <row r="293" spans="3:6" x14ac:dyDescent="0.2">
      <c r="C293" s="5" t="s">
        <v>3190</v>
      </c>
      <c r="D293" s="6">
        <v>1</v>
      </c>
      <c r="E293" s="21">
        <v>500000</v>
      </c>
      <c r="F293" s="7">
        <v>0</v>
      </c>
    </row>
    <row r="294" spans="3:6" x14ac:dyDescent="0.2">
      <c r="C294" s="5" t="s">
        <v>3104</v>
      </c>
      <c r="D294" s="6">
        <v>1</v>
      </c>
      <c r="E294" s="21">
        <v>1202000</v>
      </c>
      <c r="F294" s="7">
        <v>0</v>
      </c>
    </row>
    <row r="295" spans="3:6" x14ac:dyDescent="0.2">
      <c r="C295" s="5" t="s">
        <v>3149</v>
      </c>
      <c r="D295" s="6">
        <v>1</v>
      </c>
      <c r="E295" s="7">
        <v>200000</v>
      </c>
      <c r="F295" s="7">
        <v>0</v>
      </c>
    </row>
    <row r="296" spans="3:6" x14ac:dyDescent="0.2">
      <c r="C296" s="5" t="s">
        <v>3150</v>
      </c>
      <c r="D296" s="6">
        <v>1</v>
      </c>
      <c r="E296" s="7">
        <v>300000</v>
      </c>
      <c r="F296" s="7">
        <v>0</v>
      </c>
    </row>
    <row r="297" spans="3:6" x14ac:dyDescent="0.2">
      <c r="C297" s="5" t="s">
        <v>3172</v>
      </c>
      <c r="D297" s="6">
        <v>1</v>
      </c>
      <c r="E297" s="7">
        <v>0</v>
      </c>
      <c r="F297" s="7">
        <v>240000</v>
      </c>
    </row>
    <row r="298" spans="3:6" x14ac:dyDescent="0.2">
      <c r="C298" s="5" t="s">
        <v>3179</v>
      </c>
      <c r="D298" s="6">
        <v>1</v>
      </c>
      <c r="E298" s="7">
        <v>237000</v>
      </c>
      <c r="F298" s="7">
        <v>0</v>
      </c>
    </row>
    <row r="299" spans="3:6" x14ac:dyDescent="0.2">
      <c r="C299" s="5" t="s">
        <v>3173</v>
      </c>
      <c r="D299" s="6">
        <v>1</v>
      </c>
      <c r="E299" s="7">
        <v>0</v>
      </c>
      <c r="F299" s="7">
        <v>105000</v>
      </c>
    </row>
    <row r="300" spans="3:6" x14ac:dyDescent="0.2">
      <c r="C300" s="5" t="s">
        <v>3174</v>
      </c>
      <c r="D300" s="6">
        <v>1</v>
      </c>
      <c r="E300" s="7">
        <v>0</v>
      </c>
      <c r="F300" s="7">
        <v>1120000</v>
      </c>
    </row>
    <row r="301" spans="3:6" x14ac:dyDescent="0.2">
      <c r="C301" s="5" t="s">
        <v>3175</v>
      </c>
      <c r="D301" s="6">
        <v>1</v>
      </c>
      <c r="E301" s="7">
        <v>0</v>
      </c>
      <c r="F301" s="7">
        <v>275000</v>
      </c>
    </row>
    <row r="302" spans="3:6" x14ac:dyDescent="0.2">
      <c r="C302" s="5" t="s">
        <v>3210</v>
      </c>
      <c r="D302" s="6">
        <v>1</v>
      </c>
      <c r="E302" s="7">
        <v>0</v>
      </c>
      <c r="F302" s="7">
        <v>150000</v>
      </c>
    </row>
    <row r="303" spans="3:6" x14ac:dyDescent="0.2">
      <c r="C303" s="5" t="s">
        <v>3211</v>
      </c>
      <c r="D303" s="6">
        <v>1</v>
      </c>
      <c r="E303" s="7">
        <v>0</v>
      </c>
      <c r="F303" s="7">
        <v>178000</v>
      </c>
    </row>
    <row r="304" spans="3:6" x14ac:dyDescent="0.2">
      <c r="C304" s="5" t="s">
        <v>3212</v>
      </c>
      <c r="D304" s="6">
        <v>1</v>
      </c>
      <c r="E304" s="7">
        <v>0</v>
      </c>
      <c r="F304" s="7">
        <v>100000</v>
      </c>
    </row>
    <row r="305" spans="3:7" x14ac:dyDescent="0.2">
      <c r="E305" s="9">
        <f>SUM(E292:E304)</f>
        <v>4439000</v>
      </c>
      <c r="F305" s="9">
        <f>SUM(F292:F304)</f>
        <v>2168000</v>
      </c>
      <c r="G305" s="2" t="s">
        <v>3213</v>
      </c>
    </row>
    <row r="308" spans="3:7" ht="26" x14ac:dyDescent="0.3">
      <c r="C308" s="398" t="s">
        <v>12</v>
      </c>
      <c r="D308" s="398"/>
      <c r="E308" s="398"/>
      <c r="F308" s="398"/>
    </row>
    <row r="309" spans="3:7" x14ac:dyDescent="0.2">
      <c r="C309" s="25" t="s">
        <v>82</v>
      </c>
      <c r="D309" s="11" t="s">
        <v>3097</v>
      </c>
      <c r="E309" s="12" t="s">
        <v>1</v>
      </c>
      <c r="F309" s="12" t="s">
        <v>3140</v>
      </c>
      <c r="G309" s="12" t="s">
        <v>3100</v>
      </c>
    </row>
    <row r="310" spans="3:7" x14ac:dyDescent="0.2">
      <c r="C310" s="5" t="s">
        <v>3208</v>
      </c>
      <c r="D310" s="6">
        <v>1</v>
      </c>
      <c r="E310" s="7">
        <v>2000000</v>
      </c>
      <c r="F310" s="7">
        <v>0</v>
      </c>
      <c r="G310" s="7"/>
    </row>
    <row r="311" spans="3:7" x14ac:dyDescent="0.2">
      <c r="C311" s="5" t="s">
        <v>3190</v>
      </c>
      <c r="D311" s="6">
        <v>1</v>
      </c>
      <c r="E311" s="7">
        <v>500000</v>
      </c>
      <c r="F311" s="7">
        <v>0</v>
      </c>
      <c r="G311" s="7"/>
    </row>
    <row r="312" spans="3:7" x14ac:dyDescent="0.2">
      <c r="C312" s="5" t="s">
        <v>3104</v>
      </c>
      <c r="D312" s="6">
        <v>1</v>
      </c>
      <c r="E312" s="7">
        <v>1202000</v>
      </c>
      <c r="F312" s="7">
        <v>0</v>
      </c>
      <c r="G312" s="7"/>
    </row>
    <row r="313" spans="3:7" x14ac:dyDescent="0.2">
      <c r="C313" s="5" t="s">
        <v>3149</v>
      </c>
      <c r="D313" s="6">
        <v>1</v>
      </c>
      <c r="E313" s="7">
        <v>200000</v>
      </c>
      <c r="F313" s="7">
        <v>0</v>
      </c>
      <c r="G313" s="7"/>
    </row>
    <row r="314" spans="3:7" x14ac:dyDescent="0.2">
      <c r="C314" s="5" t="s">
        <v>3150</v>
      </c>
      <c r="D314" s="6">
        <v>1</v>
      </c>
      <c r="E314" s="7">
        <v>300000</v>
      </c>
      <c r="F314" s="7">
        <v>0</v>
      </c>
      <c r="G314" s="7"/>
    </row>
    <row r="315" spans="3:7" x14ac:dyDescent="0.2">
      <c r="C315" s="5" t="s">
        <v>3214</v>
      </c>
      <c r="D315" s="6">
        <v>1</v>
      </c>
      <c r="E315" s="7">
        <v>45000</v>
      </c>
      <c r="F315" s="7">
        <v>0</v>
      </c>
      <c r="G315" s="7"/>
    </row>
    <row r="316" spans="3:7" x14ac:dyDescent="0.2">
      <c r="C316" s="5" t="s">
        <v>3173</v>
      </c>
      <c r="D316" s="6">
        <v>1</v>
      </c>
      <c r="E316" s="7">
        <v>105000</v>
      </c>
      <c r="F316" s="7">
        <v>0</v>
      </c>
      <c r="G316" s="7"/>
    </row>
    <row r="317" spans="3:7" x14ac:dyDescent="0.2">
      <c r="C317" s="5" t="s">
        <v>3215</v>
      </c>
      <c r="D317" s="6">
        <v>1</v>
      </c>
      <c r="E317" s="7">
        <v>67500</v>
      </c>
      <c r="F317" s="7">
        <v>0</v>
      </c>
      <c r="G317" s="7"/>
    </row>
    <row r="318" spans="3:7" x14ac:dyDescent="0.2">
      <c r="C318" s="5" t="s">
        <v>3172</v>
      </c>
      <c r="D318" s="6">
        <v>1</v>
      </c>
      <c r="E318" s="7">
        <v>0</v>
      </c>
      <c r="F318" s="7">
        <v>0</v>
      </c>
      <c r="G318" s="7">
        <v>240000</v>
      </c>
    </row>
    <row r="319" spans="3:7" x14ac:dyDescent="0.2">
      <c r="C319" s="5" t="s">
        <v>3174</v>
      </c>
      <c r="D319" s="6">
        <v>1</v>
      </c>
      <c r="E319" s="7">
        <v>0</v>
      </c>
      <c r="F319" s="7">
        <v>1120000</v>
      </c>
      <c r="G319" s="7">
        <v>0</v>
      </c>
    </row>
    <row r="320" spans="3:7" x14ac:dyDescent="0.2">
      <c r="C320" s="5" t="s">
        <v>3175</v>
      </c>
      <c r="D320" s="6">
        <v>1</v>
      </c>
      <c r="E320" s="7">
        <v>0</v>
      </c>
      <c r="F320" s="7">
        <v>0</v>
      </c>
      <c r="G320" s="7">
        <v>275000</v>
      </c>
    </row>
    <row r="321" spans="3:14" x14ac:dyDescent="0.2">
      <c r="C321" s="5" t="s">
        <v>3216</v>
      </c>
      <c r="D321" s="6">
        <v>1</v>
      </c>
      <c r="E321" s="7">
        <v>0</v>
      </c>
      <c r="F321" s="7">
        <v>0</v>
      </c>
      <c r="G321" s="7">
        <v>195000</v>
      </c>
    </row>
    <row r="322" spans="3:14" x14ac:dyDescent="0.2">
      <c r="C322" s="5" t="s">
        <v>3217</v>
      </c>
      <c r="D322" s="6">
        <v>1</v>
      </c>
      <c r="E322" s="7">
        <v>0</v>
      </c>
      <c r="F322" s="7">
        <v>0</v>
      </c>
      <c r="G322" s="7">
        <v>120000</v>
      </c>
      <c r="J322" s="5" t="s">
        <v>3218</v>
      </c>
      <c r="K322" s="6">
        <v>1</v>
      </c>
      <c r="L322" s="7">
        <v>0</v>
      </c>
      <c r="M322" s="7">
        <v>0</v>
      </c>
      <c r="N322" s="7">
        <v>180000</v>
      </c>
    </row>
    <row r="323" spans="3:14" x14ac:dyDescent="0.2">
      <c r="C323" s="5" t="s">
        <v>3218</v>
      </c>
      <c r="D323" s="6">
        <v>1</v>
      </c>
      <c r="E323" s="7">
        <v>0</v>
      </c>
      <c r="F323" s="7">
        <v>0</v>
      </c>
      <c r="G323" s="7"/>
      <c r="J323" s="5" t="s">
        <v>3219</v>
      </c>
      <c r="K323" s="6">
        <v>1</v>
      </c>
      <c r="L323" s="7">
        <v>0</v>
      </c>
      <c r="M323" s="7">
        <v>0</v>
      </c>
      <c r="N323" s="7">
        <v>168500</v>
      </c>
    </row>
    <row r="324" spans="3:14" x14ac:dyDescent="0.2">
      <c r="C324" s="5" t="s">
        <v>3219</v>
      </c>
      <c r="D324" s="6">
        <v>1</v>
      </c>
      <c r="E324" s="7">
        <v>0</v>
      </c>
      <c r="F324" s="7">
        <v>0</v>
      </c>
      <c r="G324" s="7"/>
    </row>
    <row r="325" spans="3:14" x14ac:dyDescent="0.2">
      <c r="C325" s="5" t="s">
        <v>3220</v>
      </c>
      <c r="D325" s="6">
        <v>1</v>
      </c>
      <c r="E325" s="7">
        <v>0</v>
      </c>
      <c r="F325" s="1">
        <v>0</v>
      </c>
      <c r="G325" s="21">
        <v>1120000</v>
      </c>
    </row>
    <row r="326" spans="3:14" x14ac:dyDescent="0.2">
      <c r="C326" s="5" t="s">
        <v>3221</v>
      </c>
      <c r="D326" s="6">
        <v>1</v>
      </c>
      <c r="E326" s="7">
        <v>0</v>
      </c>
      <c r="F326" s="7">
        <v>0</v>
      </c>
      <c r="G326" s="7">
        <v>570000</v>
      </c>
    </row>
    <row r="327" spans="3:14" x14ac:dyDescent="0.2">
      <c r="C327" s="5"/>
      <c r="D327" s="6"/>
      <c r="E327" s="7"/>
      <c r="F327" s="7"/>
      <c r="G327" s="7"/>
    </row>
    <row r="328" spans="3:14" x14ac:dyDescent="0.2">
      <c r="C328" s="5"/>
      <c r="D328" s="6"/>
      <c r="E328" s="7"/>
      <c r="F328" s="7"/>
      <c r="G328" s="7"/>
    </row>
    <row r="329" spans="3:14" x14ac:dyDescent="0.2">
      <c r="C329" s="5"/>
      <c r="D329" s="6"/>
      <c r="E329" s="7"/>
      <c r="F329" s="7"/>
      <c r="G329" s="7"/>
    </row>
    <row r="330" spans="3:14" x14ac:dyDescent="0.2">
      <c r="C330" s="5"/>
      <c r="D330" s="6"/>
      <c r="E330" s="7"/>
      <c r="F330" s="7"/>
      <c r="G330" s="7"/>
    </row>
    <row r="331" spans="3:14" x14ac:dyDescent="0.2">
      <c r="C331" s="5"/>
      <c r="D331" s="6"/>
      <c r="E331" s="7"/>
      <c r="F331" s="7"/>
      <c r="G331" s="7"/>
    </row>
    <row r="332" spans="3:14" x14ac:dyDescent="0.2">
      <c r="C332" s="5"/>
      <c r="D332" s="6"/>
      <c r="E332" s="7"/>
      <c r="F332" s="7"/>
      <c r="G332" s="7"/>
    </row>
    <row r="333" spans="3:14" x14ac:dyDescent="0.2">
      <c r="E333" s="9">
        <f>SUM(E310:E332)</f>
        <v>4419500</v>
      </c>
      <c r="F333" s="9">
        <f>SUM(F310:F332)</f>
        <v>1120000</v>
      </c>
      <c r="G333" s="9">
        <f>SUM(G310:G332)</f>
        <v>2520000</v>
      </c>
    </row>
    <row r="334" spans="3:14" x14ac:dyDescent="0.2">
      <c r="E334" s="1">
        <v>4420000</v>
      </c>
      <c r="F334" s="1" t="s">
        <v>3222</v>
      </c>
      <c r="G334" s="1">
        <v>2550000</v>
      </c>
    </row>
    <row r="337" spans="3:7" ht="26" x14ac:dyDescent="0.3">
      <c r="C337" s="397" t="s">
        <v>13</v>
      </c>
      <c r="D337" s="396"/>
      <c r="E337" s="396"/>
      <c r="F337" s="396"/>
    </row>
    <row r="338" spans="3:7" x14ac:dyDescent="0.2">
      <c r="C338" s="29" t="s">
        <v>82</v>
      </c>
      <c r="D338" s="11" t="s">
        <v>3097</v>
      </c>
      <c r="E338" s="12" t="s">
        <v>1</v>
      </c>
      <c r="F338" s="12" t="s">
        <v>3140</v>
      </c>
    </row>
    <row r="339" spans="3:7" x14ac:dyDescent="0.2">
      <c r="C339" s="5" t="s">
        <v>3208</v>
      </c>
      <c r="D339" s="6">
        <v>1</v>
      </c>
      <c r="E339" s="21">
        <v>2000000</v>
      </c>
      <c r="F339" s="7">
        <v>0</v>
      </c>
    </row>
    <row r="340" spans="3:7" x14ac:dyDescent="0.2">
      <c r="C340" s="5" t="s">
        <v>3190</v>
      </c>
      <c r="D340" s="6">
        <v>1</v>
      </c>
      <c r="E340" s="7">
        <v>500000</v>
      </c>
      <c r="F340" s="7">
        <v>0</v>
      </c>
    </row>
    <row r="341" spans="3:7" x14ac:dyDescent="0.2">
      <c r="C341" s="5" t="s">
        <v>3104</v>
      </c>
      <c r="D341" s="6">
        <v>1</v>
      </c>
      <c r="E341" s="21">
        <v>1202000</v>
      </c>
      <c r="F341" s="7">
        <v>0</v>
      </c>
    </row>
    <row r="342" spans="3:7" x14ac:dyDescent="0.2">
      <c r="C342" s="5" t="s">
        <v>3149</v>
      </c>
      <c r="D342" s="6">
        <v>1</v>
      </c>
      <c r="E342" s="7">
        <v>200000</v>
      </c>
      <c r="F342" s="7">
        <v>0</v>
      </c>
    </row>
    <row r="343" spans="3:7" x14ac:dyDescent="0.2">
      <c r="C343" s="5" t="s">
        <v>3150</v>
      </c>
      <c r="D343" s="6">
        <v>1</v>
      </c>
      <c r="E343" s="7">
        <v>300000</v>
      </c>
      <c r="F343" s="7">
        <v>0</v>
      </c>
    </row>
    <row r="344" spans="3:7" x14ac:dyDescent="0.2">
      <c r="C344" s="5" t="s">
        <v>3214</v>
      </c>
      <c r="D344" s="6">
        <v>1</v>
      </c>
      <c r="E344" s="21">
        <v>72000</v>
      </c>
      <c r="F344" s="7">
        <v>0</v>
      </c>
    </row>
    <row r="345" spans="3:7" x14ac:dyDescent="0.2">
      <c r="C345" s="5" t="s">
        <v>3173</v>
      </c>
      <c r="D345" s="6">
        <v>1</v>
      </c>
      <c r="E345" s="21">
        <v>105000</v>
      </c>
      <c r="F345" s="7">
        <v>0</v>
      </c>
    </row>
    <row r="346" spans="3:7" x14ac:dyDescent="0.2">
      <c r="C346" s="5" t="s">
        <v>3215</v>
      </c>
      <c r="D346" s="6">
        <v>1</v>
      </c>
      <c r="E346" s="21">
        <v>67500</v>
      </c>
      <c r="F346" s="7">
        <v>0</v>
      </c>
    </row>
    <row r="347" spans="3:7" x14ac:dyDescent="0.2">
      <c r="C347" s="5" t="s">
        <v>3172</v>
      </c>
      <c r="D347" s="6">
        <v>1</v>
      </c>
      <c r="E347" s="7">
        <v>0</v>
      </c>
      <c r="F347" s="21">
        <v>240000</v>
      </c>
    </row>
    <row r="348" spans="3:7" x14ac:dyDescent="0.2">
      <c r="C348" s="5" t="s">
        <v>3175</v>
      </c>
      <c r="D348" s="6">
        <v>1</v>
      </c>
      <c r="E348" s="7">
        <v>0</v>
      </c>
      <c r="F348" s="21">
        <v>275000</v>
      </c>
    </row>
    <row r="349" spans="3:7" x14ac:dyDescent="0.2">
      <c r="C349" s="5" t="s">
        <v>3223</v>
      </c>
      <c r="D349" s="6">
        <v>1</v>
      </c>
      <c r="E349" s="7">
        <v>0</v>
      </c>
      <c r="F349" s="7">
        <f>F359/2</f>
        <v>1247750</v>
      </c>
      <c r="G349" s="3">
        <f>1121800-F349</f>
        <v>-125950</v>
      </c>
    </row>
    <row r="350" spans="3:7" x14ac:dyDescent="0.2">
      <c r="C350" s="5" t="s">
        <v>3224</v>
      </c>
      <c r="D350" s="6">
        <v>1</v>
      </c>
      <c r="E350" s="7">
        <v>0</v>
      </c>
      <c r="F350" s="7">
        <v>606800</v>
      </c>
    </row>
    <row r="351" spans="3:7" x14ac:dyDescent="0.2">
      <c r="C351" s="5"/>
      <c r="D351" s="6"/>
      <c r="E351" s="7"/>
      <c r="F351" s="7"/>
    </row>
    <row r="352" spans="3:7" x14ac:dyDescent="0.2">
      <c r="C352" s="5"/>
      <c r="D352" s="6"/>
      <c r="E352" s="7"/>
      <c r="F352" s="7"/>
    </row>
    <row r="353" spans="3:8" x14ac:dyDescent="0.2">
      <c r="C353" s="5"/>
      <c r="D353" s="6"/>
      <c r="E353" s="7"/>
      <c r="F353" s="8"/>
      <c r="H353" s="1" t="s">
        <v>3225</v>
      </c>
    </row>
    <row r="354" spans="3:8" x14ac:dyDescent="0.2">
      <c r="C354" s="5"/>
      <c r="D354" s="6"/>
      <c r="E354" s="7"/>
      <c r="F354" s="8"/>
    </row>
    <row r="355" spans="3:8" x14ac:dyDescent="0.2">
      <c r="C355" s="5"/>
      <c r="D355" s="6"/>
      <c r="E355" s="7"/>
      <c r="F355" s="8"/>
    </row>
    <row r="356" spans="3:8" x14ac:dyDescent="0.2">
      <c r="C356" s="5"/>
      <c r="D356" s="6"/>
      <c r="E356" s="7"/>
      <c r="F356" s="8"/>
    </row>
    <row r="357" spans="3:8" x14ac:dyDescent="0.2">
      <c r="C357" s="5"/>
      <c r="D357" s="6"/>
      <c r="E357" s="7"/>
      <c r="F357" s="8"/>
    </row>
    <row r="358" spans="3:8" x14ac:dyDescent="0.2">
      <c r="E358" s="9">
        <f>SUM(E339:E351)</f>
        <v>4446500</v>
      </c>
      <c r="F358" s="9">
        <f>SUM(F339:F351)</f>
        <v>2369550</v>
      </c>
    </row>
    <row r="359" spans="3:8" x14ac:dyDescent="0.2">
      <c r="E359" s="1">
        <v>6942000</v>
      </c>
      <c r="F359" s="3">
        <f>E359-E358</f>
        <v>2495500</v>
      </c>
    </row>
    <row r="360" spans="3:8" x14ac:dyDescent="0.2">
      <c r="F360" s="3">
        <f>F359-F358</f>
        <v>125950</v>
      </c>
    </row>
    <row r="363" spans="3:8" ht="26" x14ac:dyDescent="0.3">
      <c r="C363" s="392" t="s">
        <v>3226</v>
      </c>
      <c r="D363" s="396"/>
      <c r="E363" s="396"/>
      <c r="F363" s="396"/>
    </row>
    <row r="364" spans="3:8" x14ac:dyDescent="0.2">
      <c r="C364" s="29" t="s">
        <v>82</v>
      </c>
      <c r="D364" s="11" t="s">
        <v>3097</v>
      </c>
      <c r="E364" s="12" t="s">
        <v>1</v>
      </c>
      <c r="F364" s="12" t="s">
        <v>3140</v>
      </c>
    </row>
    <row r="365" spans="3:8" x14ac:dyDescent="0.2">
      <c r="C365" s="5" t="s">
        <v>3227</v>
      </c>
      <c r="D365" s="6">
        <v>1</v>
      </c>
      <c r="E365" s="21">
        <v>2500000</v>
      </c>
      <c r="F365" s="7">
        <v>0</v>
      </c>
    </row>
    <row r="366" spans="3:8" x14ac:dyDescent="0.2">
      <c r="C366" s="5" t="s">
        <v>3228</v>
      </c>
      <c r="D366" s="6">
        <v>1</v>
      </c>
      <c r="E366" s="21">
        <v>500000</v>
      </c>
      <c r="F366" s="7">
        <v>0</v>
      </c>
    </row>
    <row r="367" spans="3:8" x14ac:dyDescent="0.2">
      <c r="C367" s="5" t="s">
        <v>3229</v>
      </c>
      <c r="D367" s="6">
        <v>1</v>
      </c>
      <c r="E367" s="21">
        <v>990000</v>
      </c>
      <c r="F367" s="7">
        <v>0</v>
      </c>
    </row>
    <row r="368" spans="3:8" x14ac:dyDescent="0.2">
      <c r="C368" s="5" t="s">
        <v>3230</v>
      </c>
      <c r="D368" s="6">
        <v>1</v>
      </c>
      <c r="E368" s="21">
        <v>200000</v>
      </c>
      <c r="F368" s="7">
        <v>0</v>
      </c>
    </row>
    <row r="369" spans="3:11" x14ac:dyDescent="0.2">
      <c r="C369" s="5" t="s">
        <v>3231</v>
      </c>
      <c r="D369" s="6">
        <v>1</v>
      </c>
      <c r="E369" s="21">
        <v>300000</v>
      </c>
      <c r="F369" s="7">
        <v>0</v>
      </c>
      <c r="J369" s="5" t="s">
        <v>3232</v>
      </c>
      <c r="K369" s="7">
        <v>50000</v>
      </c>
    </row>
    <row r="370" spans="3:11" x14ac:dyDescent="0.2">
      <c r="C370" s="5" t="s">
        <v>3214</v>
      </c>
      <c r="D370" s="6">
        <v>1</v>
      </c>
      <c r="E370" s="21">
        <v>76200</v>
      </c>
      <c r="F370" s="7">
        <v>0</v>
      </c>
      <c r="J370" s="5"/>
      <c r="K370" s="8"/>
    </row>
    <row r="371" spans="3:11" x14ac:dyDescent="0.2">
      <c r="C371" s="5" t="s">
        <v>3173</v>
      </c>
      <c r="D371" s="6">
        <v>1</v>
      </c>
      <c r="E371" s="21">
        <v>111500</v>
      </c>
      <c r="F371" s="7">
        <v>0</v>
      </c>
      <c r="J371" s="5"/>
      <c r="K371" s="8"/>
    </row>
    <row r="372" spans="3:11" x14ac:dyDescent="0.2">
      <c r="C372" s="5" t="s">
        <v>3215</v>
      </c>
      <c r="D372" s="6">
        <v>1</v>
      </c>
      <c r="E372" s="21">
        <v>71500</v>
      </c>
      <c r="F372" s="7">
        <v>0</v>
      </c>
      <c r="J372" s="5"/>
      <c r="K372" s="8"/>
    </row>
    <row r="373" spans="3:11" x14ac:dyDescent="0.2">
      <c r="C373" s="5" t="s">
        <v>3172</v>
      </c>
      <c r="D373" s="6">
        <v>1</v>
      </c>
      <c r="E373" s="7">
        <v>0</v>
      </c>
      <c r="F373" s="21">
        <v>250000</v>
      </c>
      <c r="G373" s="1" t="s">
        <v>3233</v>
      </c>
      <c r="J373" s="5"/>
      <c r="K373" s="8"/>
    </row>
    <row r="374" spans="3:11" x14ac:dyDescent="0.2">
      <c r="C374" s="5" t="s">
        <v>3175</v>
      </c>
      <c r="D374" s="6">
        <v>1</v>
      </c>
      <c r="E374" s="7">
        <v>0</v>
      </c>
      <c r="F374" s="21">
        <v>289000</v>
      </c>
      <c r="G374" s="1" t="s">
        <v>3233</v>
      </c>
      <c r="J374" s="5"/>
      <c r="K374" s="8"/>
    </row>
    <row r="375" spans="3:11" x14ac:dyDescent="0.2">
      <c r="C375" s="5" t="s">
        <v>3234</v>
      </c>
      <c r="D375" s="6">
        <v>7500</v>
      </c>
      <c r="E375" s="7">
        <v>0</v>
      </c>
      <c r="F375" s="21">
        <f>D375*30</f>
        <v>225000</v>
      </c>
      <c r="G375" s="1" t="s">
        <v>3233</v>
      </c>
    </row>
    <row r="376" spans="3:11" x14ac:dyDescent="0.2">
      <c r="C376" s="5" t="s">
        <v>3235</v>
      </c>
      <c r="D376" s="6">
        <v>26</v>
      </c>
      <c r="E376" s="7">
        <v>0</v>
      </c>
      <c r="F376" s="21">
        <f>D376*2500</f>
        <v>65000</v>
      </c>
      <c r="G376" s="1" t="s">
        <v>3236</v>
      </c>
    </row>
    <row r="377" spans="3:11" x14ac:dyDescent="0.2">
      <c r="C377" s="5" t="s">
        <v>3237</v>
      </c>
      <c r="D377" s="6"/>
      <c r="E377" s="7"/>
      <c r="F377" s="21">
        <v>400000</v>
      </c>
      <c r="G377" s="37" t="s">
        <v>3238</v>
      </c>
    </row>
    <row r="378" spans="3:11" x14ac:dyDescent="0.2">
      <c r="C378" s="5" t="s">
        <v>3239</v>
      </c>
      <c r="D378" s="6"/>
      <c r="E378" s="7"/>
      <c r="F378" s="21">
        <v>285000</v>
      </c>
      <c r="G378" s="37"/>
    </row>
    <row r="379" spans="3:11" x14ac:dyDescent="0.2">
      <c r="C379" s="5" t="s">
        <v>3240</v>
      </c>
      <c r="D379" s="6"/>
      <c r="E379" s="7"/>
      <c r="F379" s="21">
        <v>10000</v>
      </c>
    </row>
    <row r="380" spans="3:11" x14ac:dyDescent="0.2">
      <c r="C380" s="5" t="s">
        <v>3241</v>
      </c>
      <c r="D380" s="6"/>
      <c r="E380" s="7"/>
      <c r="F380" s="21">
        <v>40000</v>
      </c>
    </row>
    <row r="381" spans="3:11" x14ac:dyDescent="0.2">
      <c r="C381" s="5" t="s">
        <v>3237</v>
      </c>
      <c r="D381" s="6"/>
      <c r="E381" s="7"/>
      <c r="F381" s="21">
        <v>200000</v>
      </c>
    </row>
    <row r="382" spans="3:11" x14ac:dyDescent="0.2">
      <c r="C382" s="5" t="s">
        <v>3242</v>
      </c>
      <c r="D382" s="6"/>
      <c r="E382" s="7"/>
      <c r="F382" s="21">
        <v>178500</v>
      </c>
    </row>
    <row r="383" spans="3:11" x14ac:dyDescent="0.2">
      <c r="C383" s="5" t="s">
        <v>3243</v>
      </c>
      <c r="D383" s="6"/>
      <c r="E383" s="7"/>
      <c r="F383" s="21">
        <v>868000</v>
      </c>
      <c r="G383" s="1" t="s">
        <v>3233</v>
      </c>
    </row>
    <row r="384" spans="3:11" x14ac:dyDescent="0.2">
      <c r="C384" s="5"/>
      <c r="D384" s="6"/>
      <c r="E384" s="7"/>
      <c r="F384" s="8"/>
    </row>
    <row r="385" spans="3:8" x14ac:dyDescent="0.2">
      <c r="E385" s="9">
        <f>SUM(E365:E377)</f>
        <v>4749200</v>
      </c>
      <c r="F385" s="9">
        <f>SUM(F365:F384)</f>
        <v>2810500</v>
      </c>
    </row>
    <row r="386" spans="3:8" x14ac:dyDescent="0.2">
      <c r="F386" s="3"/>
    </row>
    <row r="387" spans="3:8" x14ac:dyDescent="0.2">
      <c r="F387" s="3"/>
    </row>
    <row r="389" spans="3:8" ht="26" x14ac:dyDescent="0.3">
      <c r="C389" s="392" t="s">
        <v>3244</v>
      </c>
      <c r="D389" s="396"/>
      <c r="E389" s="396"/>
      <c r="F389" s="396"/>
    </row>
    <row r="390" spans="3:8" x14ac:dyDescent="0.2">
      <c r="C390" s="29" t="s">
        <v>82</v>
      </c>
      <c r="D390" s="11" t="s">
        <v>3097</v>
      </c>
      <c r="E390" s="12" t="s">
        <v>1</v>
      </c>
      <c r="F390" s="12" t="s">
        <v>3140</v>
      </c>
    </row>
    <row r="391" spans="3:8" x14ac:dyDescent="0.2">
      <c r="C391" s="5" t="s">
        <v>3227</v>
      </c>
      <c r="D391" s="6">
        <v>1</v>
      </c>
      <c r="E391" s="13">
        <v>2500000</v>
      </c>
      <c r="F391" s="7">
        <v>0</v>
      </c>
    </row>
    <row r="392" spans="3:8" x14ac:dyDescent="0.2">
      <c r="C392" s="5" t="s">
        <v>3228</v>
      </c>
      <c r="D392" s="6">
        <v>1</v>
      </c>
      <c r="E392" s="13">
        <v>500000</v>
      </c>
      <c r="F392" s="7">
        <v>0</v>
      </c>
    </row>
    <row r="393" spans="3:8" x14ac:dyDescent="0.2">
      <c r="C393" s="5" t="s">
        <v>3229</v>
      </c>
      <c r="D393" s="6">
        <v>1</v>
      </c>
      <c r="E393" s="13">
        <v>990000</v>
      </c>
      <c r="F393" s="7">
        <v>0</v>
      </c>
    </row>
    <row r="394" spans="3:8" x14ac:dyDescent="0.2">
      <c r="C394" s="5" t="s">
        <v>3230</v>
      </c>
      <c r="D394" s="6">
        <v>1</v>
      </c>
      <c r="E394" s="13">
        <v>200000</v>
      </c>
      <c r="F394" s="7">
        <v>0</v>
      </c>
    </row>
    <row r="395" spans="3:8" x14ac:dyDescent="0.2">
      <c r="C395" s="5" t="s">
        <v>3231</v>
      </c>
      <c r="D395" s="6">
        <v>1</v>
      </c>
      <c r="E395" s="13">
        <v>300000</v>
      </c>
      <c r="F395" s="7">
        <v>0</v>
      </c>
      <c r="H395" s="1">
        <v>4875000</v>
      </c>
    </row>
    <row r="396" spans="3:8" x14ac:dyDescent="0.2">
      <c r="C396" s="5" t="s">
        <v>3214</v>
      </c>
      <c r="D396" s="6">
        <v>1</v>
      </c>
      <c r="E396" s="13">
        <v>76200</v>
      </c>
      <c r="F396" s="7">
        <v>0</v>
      </c>
    </row>
    <row r="397" spans="3:8" x14ac:dyDescent="0.2">
      <c r="C397" s="5" t="s">
        <v>3173</v>
      </c>
      <c r="D397" s="6">
        <v>1</v>
      </c>
      <c r="E397" s="13">
        <v>111500</v>
      </c>
      <c r="F397" s="7">
        <v>0</v>
      </c>
    </row>
    <row r="398" spans="3:8" x14ac:dyDescent="0.2">
      <c r="C398" s="5" t="s">
        <v>3215</v>
      </c>
      <c r="D398" s="6">
        <v>1</v>
      </c>
      <c r="E398" s="13">
        <v>71500</v>
      </c>
      <c r="F398" s="7">
        <v>0</v>
      </c>
    </row>
    <row r="399" spans="3:8" x14ac:dyDescent="0.2">
      <c r="C399" s="5" t="s">
        <v>3172</v>
      </c>
      <c r="D399" s="6">
        <v>1</v>
      </c>
      <c r="E399" s="7">
        <v>0</v>
      </c>
      <c r="F399" s="21">
        <v>250000</v>
      </c>
    </row>
    <row r="400" spans="3:8" x14ac:dyDescent="0.2">
      <c r="C400" s="5" t="s">
        <v>3175</v>
      </c>
      <c r="D400" s="6">
        <v>1</v>
      </c>
      <c r="E400" s="7">
        <v>0</v>
      </c>
      <c r="F400" s="21">
        <v>289000</v>
      </c>
    </row>
    <row r="401" spans="3:10" x14ac:dyDescent="0.2">
      <c r="C401" s="5" t="s">
        <v>3245</v>
      </c>
      <c r="D401" s="6">
        <v>4000</v>
      </c>
      <c r="E401" s="7">
        <v>0</v>
      </c>
      <c r="F401" s="21">
        <f>D401*30</f>
        <v>120000</v>
      </c>
    </row>
    <row r="402" spans="3:10" x14ac:dyDescent="0.2">
      <c r="C402" s="5" t="s">
        <v>3246</v>
      </c>
      <c r="D402" s="6">
        <v>1</v>
      </c>
      <c r="E402" s="7">
        <v>0</v>
      </c>
      <c r="F402" s="21">
        <v>75000</v>
      </c>
    </row>
    <row r="403" spans="3:10" x14ac:dyDescent="0.2">
      <c r="C403" s="5" t="s">
        <v>3247</v>
      </c>
      <c r="D403" s="6">
        <v>1</v>
      </c>
      <c r="E403" s="7">
        <v>0</v>
      </c>
      <c r="F403" s="21">
        <v>40000</v>
      </c>
    </row>
    <row r="404" spans="3:10" x14ac:dyDescent="0.2">
      <c r="C404" s="5"/>
      <c r="D404" s="6"/>
      <c r="E404" s="7"/>
      <c r="F404" s="8"/>
    </row>
    <row r="405" spans="3:10" x14ac:dyDescent="0.2">
      <c r="C405" s="5"/>
      <c r="D405" s="6"/>
      <c r="E405" s="7"/>
      <c r="F405" s="8"/>
    </row>
    <row r="406" spans="3:10" x14ac:dyDescent="0.2">
      <c r="E406" s="9">
        <f>SUM(E391:E403)</f>
        <v>4749200</v>
      </c>
      <c r="F406" s="9">
        <f>SUM(F391:F405)</f>
        <v>774000</v>
      </c>
      <c r="G406" s="38">
        <v>43895</v>
      </c>
    </row>
    <row r="414" spans="3:10" ht="26" x14ac:dyDescent="0.3">
      <c r="C414" s="392" t="s">
        <v>3248</v>
      </c>
      <c r="D414" s="396"/>
      <c r="E414" s="396"/>
      <c r="F414" s="396"/>
    </row>
    <row r="415" spans="3:10" x14ac:dyDescent="0.2">
      <c r="C415" s="29" t="s">
        <v>82</v>
      </c>
      <c r="D415" s="11" t="s">
        <v>3097</v>
      </c>
      <c r="E415" s="12" t="s">
        <v>1</v>
      </c>
      <c r="F415" s="12" t="s">
        <v>3140</v>
      </c>
      <c r="G415" s="12" t="s">
        <v>3249</v>
      </c>
    </row>
    <row r="416" spans="3:10" x14ac:dyDescent="0.2">
      <c r="C416" s="5" t="s">
        <v>3227</v>
      </c>
      <c r="D416" s="6">
        <v>1</v>
      </c>
      <c r="E416" s="21">
        <v>2500000</v>
      </c>
      <c r="F416" s="7">
        <v>0</v>
      </c>
      <c r="G416" s="8"/>
      <c r="I416" s="7">
        <v>500000</v>
      </c>
      <c r="J416" s="1" t="s">
        <v>3250</v>
      </c>
    </row>
    <row r="417" spans="3:10" x14ac:dyDescent="0.2">
      <c r="C417" s="5" t="s">
        <v>3228</v>
      </c>
      <c r="D417" s="6">
        <v>1</v>
      </c>
      <c r="E417" s="21">
        <v>500000</v>
      </c>
      <c r="F417" s="7">
        <v>0</v>
      </c>
      <c r="G417" s="8"/>
      <c r="I417" s="7">
        <v>500000</v>
      </c>
      <c r="J417" s="1" t="s">
        <v>3251</v>
      </c>
    </row>
    <row r="418" spans="3:10" x14ac:dyDescent="0.2">
      <c r="C418" s="5" t="s">
        <v>3229</v>
      </c>
      <c r="D418" s="6">
        <v>1</v>
      </c>
      <c r="E418" s="21">
        <v>976000</v>
      </c>
      <c r="F418" s="7">
        <v>0</v>
      </c>
      <c r="G418" s="8"/>
      <c r="I418" s="7">
        <v>1000000</v>
      </c>
      <c r="J418" s="1"/>
    </row>
    <row r="419" spans="3:10" x14ac:dyDescent="0.2">
      <c r="C419" s="5" t="s">
        <v>3230</v>
      </c>
      <c r="D419" s="6">
        <v>1</v>
      </c>
      <c r="E419" s="21">
        <v>200000</v>
      </c>
      <c r="F419" s="7">
        <v>0</v>
      </c>
      <c r="G419" s="8"/>
    </row>
    <row r="420" spans="3:10" x14ac:dyDescent="0.2">
      <c r="C420" s="5" t="s">
        <v>3231</v>
      </c>
      <c r="D420" s="6">
        <v>1</v>
      </c>
      <c r="E420" s="21">
        <v>300000</v>
      </c>
      <c r="F420" s="7">
        <v>0</v>
      </c>
      <c r="G420" s="8"/>
    </row>
    <row r="421" spans="3:10" x14ac:dyDescent="0.2">
      <c r="C421" s="5" t="s">
        <v>3173</v>
      </c>
      <c r="D421" s="6">
        <v>1</v>
      </c>
      <c r="E421" s="21">
        <v>111500</v>
      </c>
      <c r="F421" s="7">
        <v>0</v>
      </c>
      <c r="G421" s="8"/>
    </row>
    <row r="422" spans="3:10" x14ac:dyDescent="0.2">
      <c r="C422" s="5" t="s">
        <v>3252</v>
      </c>
      <c r="D422" s="6">
        <v>1</v>
      </c>
      <c r="E422" s="21">
        <v>53000</v>
      </c>
      <c r="F422" s="7">
        <v>0</v>
      </c>
      <c r="G422" s="8"/>
    </row>
    <row r="423" spans="3:10" ht="16" x14ac:dyDescent="0.2">
      <c r="C423" s="273" t="s">
        <v>3253</v>
      </c>
      <c r="D423" s="6">
        <v>1</v>
      </c>
      <c r="E423" s="7">
        <v>0</v>
      </c>
      <c r="F423" s="7">
        <v>0</v>
      </c>
      <c r="G423" s="21">
        <v>212200</v>
      </c>
    </row>
    <row r="424" spans="3:10" ht="16" x14ac:dyDescent="0.2">
      <c r="C424" s="273" t="s">
        <v>3254</v>
      </c>
      <c r="D424" s="6">
        <v>1</v>
      </c>
      <c r="E424" s="7">
        <v>0</v>
      </c>
      <c r="F424" s="7">
        <v>0</v>
      </c>
      <c r="G424" s="21">
        <v>212200</v>
      </c>
    </row>
    <row r="425" spans="3:10" x14ac:dyDescent="0.2">
      <c r="C425" s="5" t="s">
        <v>3172</v>
      </c>
      <c r="D425" s="6">
        <v>1</v>
      </c>
      <c r="E425" s="7">
        <v>0</v>
      </c>
      <c r="F425" s="7">
        <v>0</v>
      </c>
      <c r="G425" s="21">
        <v>250000</v>
      </c>
    </row>
    <row r="426" spans="3:10" x14ac:dyDescent="0.2">
      <c r="C426" s="5" t="s">
        <v>3175</v>
      </c>
      <c r="D426" s="6">
        <v>1</v>
      </c>
      <c r="E426" s="7">
        <v>0</v>
      </c>
      <c r="F426" s="7">
        <v>0</v>
      </c>
      <c r="G426" s="21">
        <v>289000</v>
      </c>
    </row>
    <row r="427" spans="3:10" x14ac:dyDescent="0.2">
      <c r="C427" s="5"/>
      <c r="D427" s="6"/>
      <c r="E427" s="7"/>
      <c r="F427" s="7"/>
      <c r="G427" s="8"/>
    </row>
    <row r="428" spans="3:10" x14ac:dyDescent="0.2">
      <c r="C428" s="5"/>
      <c r="D428" s="6"/>
      <c r="E428" s="7"/>
      <c r="F428" s="7"/>
      <c r="G428" s="8"/>
    </row>
    <row r="429" spans="3:10" x14ac:dyDescent="0.2">
      <c r="C429" s="5"/>
      <c r="D429" s="6"/>
      <c r="E429" s="7"/>
      <c r="F429" s="8"/>
      <c r="G429" s="8"/>
    </row>
    <row r="430" spans="3:10" x14ac:dyDescent="0.2">
      <c r="E430" s="9">
        <f>SUM(E416:E429)</f>
        <v>4640500</v>
      </c>
      <c r="F430" s="9">
        <f>SUM(F416:F429)</f>
        <v>0</v>
      </c>
      <c r="G430" s="9">
        <f>SUM(G416:G429)</f>
        <v>963400</v>
      </c>
      <c r="H430" s="75">
        <v>44007</v>
      </c>
    </row>
    <row r="434" spans="3:7" ht="26" x14ac:dyDescent="0.3">
      <c r="C434" s="392" t="s">
        <v>3255</v>
      </c>
      <c r="D434" s="396"/>
      <c r="E434" s="396"/>
      <c r="F434" s="396"/>
    </row>
    <row r="435" spans="3:7" x14ac:dyDescent="0.2">
      <c r="C435" s="29" t="s">
        <v>82</v>
      </c>
      <c r="D435" s="11" t="s">
        <v>3097</v>
      </c>
      <c r="E435" s="12" t="s">
        <v>1</v>
      </c>
      <c r="F435" s="12" t="s">
        <v>3140</v>
      </c>
      <c r="G435" s="12" t="s">
        <v>3249</v>
      </c>
    </row>
    <row r="436" spans="3:7" x14ac:dyDescent="0.2">
      <c r="C436" s="5" t="s">
        <v>3227</v>
      </c>
      <c r="D436" s="6">
        <v>1</v>
      </c>
      <c r="E436" s="1">
        <v>0</v>
      </c>
      <c r="F436" s="7">
        <v>0</v>
      </c>
      <c r="G436" s="7">
        <v>2000000</v>
      </c>
    </row>
    <row r="437" spans="3:7" x14ac:dyDescent="0.2">
      <c r="C437" s="5" t="s">
        <v>3256</v>
      </c>
      <c r="D437" s="6"/>
      <c r="E437" s="21">
        <v>400000</v>
      </c>
      <c r="F437" s="21">
        <v>100000</v>
      </c>
      <c r="G437" s="7">
        <v>0</v>
      </c>
    </row>
    <row r="438" spans="3:7" x14ac:dyDescent="0.2">
      <c r="C438" s="5" t="s">
        <v>3228</v>
      </c>
      <c r="D438" s="6">
        <v>1</v>
      </c>
      <c r="E438" s="21">
        <v>500000</v>
      </c>
      <c r="F438" s="7">
        <v>0</v>
      </c>
      <c r="G438" s="7"/>
    </row>
    <row r="439" spans="3:7" x14ac:dyDescent="0.2">
      <c r="C439" s="5" t="s">
        <v>3229</v>
      </c>
      <c r="D439" s="6">
        <v>1</v>
      </c>
      <c r="E439" s="21">
        <v>976000</v>
      </c>
      <c r="F439" s="7">
        <v>0</v>
      </c>
      <c r="G439" s="7"/>
    </row>
    <row r="440" spans="3:7" x14ac:dyDescent="0.2">
      <c r="C440" s="5" t="s">
        <v>3230</v>
      </c>
      <c r="D440" s="6">
        <v>1</v>
      </c>
      <c r="E440" s="21">
        <v>200000</v>
      </c>
      <c r="F440" s="7">
        <v>0</v>
      </c>
      <c r="G440" s="7"/>
    </row>
    <row r="441" spans="3:7" x14ac:dyDescent="0.2">
      <c r="C441" s="5" t="s">
        <v>3231</v>
      </c>
      <c r="D441" s="6">
        <v>1</v>
      </c>
      <c r="E441" s="21">
        <v>300000</v>
      </c>
      <c r="F441" s="7">
        <v>0</v>
      </c>
      <c r="G441" s="7"/>
    </row>
    <row r="442" spans="3:7" x14ac:dyDescent="0.2">
      <c r="C442" s="5" t="s">
        <v>3173</v>
      </c>
      <c r="D442" s="6">
        <v>1</v>
      </c>
      <c r="E442" s="21">
        <v>111500</v>
      </c>
      <c r="F442" s="7">
        <v>0</v>
      </c>
      <c r="G442" s="7"/>
    </row>
    <row r="443" spans="3:7" x14ac:dyDescent="0.2">
      <c r="C443" s="5" t="s">
        <v>3252</v>
      </c>
      <c r="D443" s="6">
        <v>1</v>
      </c>
      <c r="E443" s="21">
        <v>53000</v>
      </c>
      <c r="F443" s="7">
        <v>0</v>
      </c>
      <c r="G443" s="7"/>
    </row>
    <row r="444" spans="3:7" ht="16" x14ac:dyDescent="0.2">
      <c r="C444" s="273" t="s">
        <v>3253</v>
      </c>
      <c r="D444" s="6">
        <v>1</v>
      </c>
      <c r="E444" s="21">
        <v>98000</v>
      </c>
      <c r="F444" s="7">
        <v>0</v>
      </c>
      <c r="G444" s="7"/>
    </row>
    <row r="445" spans="3:7" ht="16" x14ac:dyDescent="0.2">
      <c r="C445" s="273" t="s">
        <v>3254</v>
      </c>
      <c r="D445" s="6">
        <v>1</v>
      </c>
      <c r="E445" s="21">
        <v>0</v>
      </c>
      <c r="F445" s="7">
        <v>0</v>
      </c>
      <c r="G445" s="7"/>
    </row>
    <row r="446" spans="3:7" x14ac:dyDescent="0.2">
      <c r="C446" s="5" t="s">
        <v>3172</v>
      </c>
      <c r="D446" s="6">
        <v>1</v>
      </c>
      <c r="E446" s="21">
        <v>131800</v>
      </c>
      <c r="F446" s="7">
        <v>0</v>
      </c>
      <c r="G446" s="7"/>
    </row>
    <row r="447" spans="3:7" x14ac:dyDescent="0.2">
      <c r="C447" s="5" t="s">
        <v>3175</v>
      </c>
      <c r="D447" s="6">
        <v>1</v>
      </c>
      <c r="E447" s="21">
        <v>173000</v>
      </c>
      <c r="F447" s="7">
        <v>0</v>
      </c>
      <c r="G447" s="7"/>
    </row>
    <row r="448" spans="3:7" x14ac:dyDescent="0.2">
      <c r="C448" s="5" t="s">
        <v>213</v>
      </c>
      <c r="D448" s="6">
        <v>1</v>
      </c>
      <c r="E448" s="21">
        <v>160000</v>
      </c>
      <c r="F448" s="7">
        <v>0</v>
      </c>
      <c r="G448" s="7"/>
    </row>
    <row r="449" spans="3:7" x14ac:dyDescent="0.2">
      <c r="C449" s="5" t="s">
        <v>214</v>
      </c>
      <c r="D449" s="6">
        <v>1</v>
      </c>
      <c r="E449" s="21">
        <v>580000</v>
      </c>
      <c r="F449" s="7">
        <v>0</v>
      </c>
      <c r="G449" s="7"/>
    </row>
    <row r="450" spans="3:7" x14ac:dyDescent="0.2">
      <c r="C450" s="5" t="s">
        <v>215</v>
      </c>
      <c r="D450" s="6">
        <v>1</v>
      </c>
      <c r="E450" s="21">
        <v>120000</v>
      </c>
      <c r="F450" s="7">
        <v>0</v>
      </c>
      <c r="G450" s="7"/>
    </row>
    <row r="451" spans="3:7" x14ac:dyDescent="0.2">
      <c r="C451" s="5" t="s">
        <v>216</v>
      </c>
      <c r="D451" s="6">
        <v>1</v>
      </c>
      <c r="E451" s="21">
        <v>20000</v>
      </c>
      <c r="F451" s="7">
        <v>0</v>
      </c>
      <c r="G451" s="7"/>
    </row>
    <row r="452" spans="3:7" x14ac:dyDescent="0.2">
      <c r="C452" s="5" t="s">
        <v>3257</v>
      </c>
      <c r="D452" s="6">
        <v>1</v>
      </c>
      <c r="E452" s="21">
        <v>80000</v>
      </c>
      <c r="F452" s="7">
        <v>0</v>
      </c>
      <c r="G452" s="7"/>
    </row>
    <row r="453" spans="3:7" x14ac:dyDescent="0.2">
      <c r="C453" s="5" t="s">
        <v>3258</v>
      </c>
      <c r="D453" s="6">
        <v>1</v>
      </c>
      <c r="E453" s="21">
        <v>60000</v>
      </c>
      <c r="F453" s="7">
        <v>0</v>
      </c>
      <c r="G453" s="7"/>
    </row>
    <row r="454" spans="3:7" x14ac:dyDescent="0.2">
      <c r="C454" s="5" t="s">
        <v>174</v>
      </c>
      <c r="D454" s="6">
        <v>2</v>
      </c>
      <c r="E454" s="21">
        <v>15000</v>
      </c>
      <c r="F454" s="7">
        <v>0</v>
      </c>
      <c r="G454" s="7"/>
    </row>
    <row r="455" spans="3:7" x14ac:dyDescent="0.2">
      <c r="C455" s="5" t="s">
        <v>3259</v>
      </c>
      <c r="D455" s="6">
        <v>1</v>
      </c>
      <c r="E455" s="21">
        <v>30000</v>
      </c>
      <c r="F455" s="7">
        <v>0</v>
      </c>
      <c r="G455" s="7"/>
    </row>
    <row r="456" spans="3:7" x14ac:dyDescent="0.2">
      <c r="C456" s="5" t="s">
        <v>219</v>
      </c>
      <c r="D456" s="6">
        <v>1</v>
      </c>
      <c r="E456" s="21">
        <v>35000</v>
      </c>
      <c r="F456" s="7">
        <v>0</v>
      </c>
      <c r="G456" s="7"/>
    </row>
    <row r="457" spans="3:7" x14ac:dyDescent="0.2">
      <c r="C457" s="5" t="s">
        <v>220</v>
      </c>
      <c r="D457" s="6">
        <v>1</v>
      </c>
      <c r="E457" s="21">
        <v>50000</v>
      </c>
      <c r="F457" s="7">
        <v>0</v>
      </c>
      <c r="G457" s="7"/>
    </row>
    <row r="458" spans="3:7" x14ac:dyDescent="0.2">
      <c r="C458" s="5" t="s">
        <v>221</v>
      </c>
      <c r="D458" s="6">
        <v>3</v>
      </c>
      <c r="E458" s="21">
        <v>100000</v>
      </c>
      <c r="F458" s="7">
        <v>0</v>
      </c>
      <c r="G458" s="7"/>
    </row>
    <row r="459" spans="3:7" x14ac:dyDescent="0.2">
      <c r="C459" s="5" t="s">
        <v>3260</v>
      </c>
      <c r="D459" s="6">
        <v>1</v>
      </c>
      <c r="E459" s="21">
        <v>305000</v>
      </c>
      <c r="F459" s="7">
        <v>0</v>
      </c>
      <c r="G459" s="7"/>
    </row>
    <row r="460" spans="3:7" x14ac:dyDescent="0.2">
      <c r="C460" s="5" t="s">
        <v>3261</v>
      </c>
      <c r="D460" s="6">
        <v>2</v>
      </c>
      <c r="E460" s="21">
        <v>150000</v>
      </c>
      <c r="F460" s="7">
        <v>0</v>
      </c>
      <c r="G460" s="7"/>
    </row>
    <row r="461" spans="3:7" x14ac:dyDescent="0.2">
      <c r="C461" s="5"/>
      <c r="D461" s="6"/>
      <c r="E461" s="7"/>
      <c r="F461" s="7"/>
      <c r="G461" s="7"/>
    </row>
    <row r="462" spans="3:7" x14ac:dyDescent="0.2">
      <c r="C462" s="5"/>
      <c r="D462" s="6"/>
      <c r="E462" s="7"/>
      <c r="F462" s="7"/>
      <c r="G462" s="7"/>
    </row>
    <row r="463" spans="3:7" x14ac:dyDescent="0.2">
      <c r="C463" s="5"/>
      <c r="D463" s="6"/>
      <c r="E463" s="7"/>
      <c r="F463" s="8"/>
      <c r="G463" s="7"/>
    </row>
    <row r="464" spans="3:7" x14ac:dyDescent="0.2">
      <c r="E464" s="9">
        <f>SUM(E436:E463)</f>
        <v>4648300</v>
      </c>
      <c r="F464" s="9">
        <f>SUM(F436:F463)</f>
        <v>100000</v>
      </c>
      <c r="G464" s="9">
        <f>SUM(G436:G463)</f>
        <v>2000000</v>
      </c>
    </row>
    <row r="471" spans="3:14" ht="26" x14ac:dyDescent="0.3">
      <c r="C471" s="392" t="s">
        <v>3262</v>
      </c>
      <c r="D471" s="393"/>
      <c r="E471" s="393"/>
      <c r="F471" s="393"/>
      <c r="G471" s="393"/>
    </row>
    <row r="472" spans="3:14" x14ac:dyDescent="0.2">
      <c r="C472" s="29" t="s">
        <v>82</v>
      </c>
      <c r="D472" s="11" t="s">
        <v>3097</v>
      </c>
      <c r="E472" s="12" t="s">
        <v>1</v>
      </c>
      <c r="F472" s="12" t="s">
        <v>3140</v>
      </c>
      <c r="G472" s="12" t="s">
        <v>3249</v>
      </c>
    </row>
    <row r="473" spans="3:14" x14ac:dyDescent="0.2">
      <c r="C473" s="5" t="s">
        <v>3227</v>
      </c>
      <c r="D473" s="6">
        <v>1</v>
      </c>
      <c r="E473" s="21">
        <v>1500000</v>
      </c>
      <c r="F473" s="7">
        <v>0</v>
      </c>
      <c r="G473" s="7"/>
    </row>
    <row r="474" spans="3:14" x14ac:dyDescent="0.2">
      <c r="C474" s="5" t="s">
        <v>3256</v>
      </c>
      <c r="D474" s="6">
        <v>1</v>
      </c>
      <c r="E474" s="21">
        <v>500000</v>
      </c>
      <c r="F474" s="7">
        <v>0</v>
      </c>
      <c r="G474" s="8"/>
    </row>
    <row r="475" spans="3:14" x14ac:dyDescent="0.2">
      <c r="C475" s="5" t="s">
        <v>3228</v>
      </c>
      <c r="D475" s="6">
        <v>1</v>
      </c>
      <c r="E475" s="21">
        <v>500000</v>
      </c>
      <c r="F475" s="7">
        <v>0</v>
      </c>
      <c r="G475" s="8"/>
    </row>
    <row r="476" spans="3:14" x14ac:dyDescent="0.2">
      <c r="C476" s="5" t="s">
        <v>3229</v>
      </c>
      <c r="D476" s="6">
        <v>1</v>
      </c>
      <c r="E476" s="21">
        <v>1028386.7999999999</v>
      </c>
      <c r="F476" s="7">
        <v>0</v>
      </c>
      <c r="G476" s="8"/>
    </row>
    <row r="477" spans="3:14" x14ac:dyDescent="0.2">
      <c r="C477" s="5" t="s">
        <v>3230</v>
      </c>
      <c r="D477" s="6">
        <v>1</v>
      </c>
      <c r="E477" s="21">
        <v>200000</v>
      </c>
      <c r="F477" s="7">
        <v>0</v>
      </c>
      <c r="G477" s="8"/>
    </row>
    <row r="478" spans="3:14" x14ac:dyDescent="0.2">
      <c r="C478" s="5" t="s">
        <v>3231</v>
      </c>
      <c r="D478" s="6">
        <v>1</v>
      </c>
      <c r="E478" s="7">
        <v>0</v>
      </c>
      <c r="F478" s="7">
        <v>0</v>
      </c>
      <c r="G478" s="8"/>
      <c r="L478" s="1"/>
      <c r="M478" s="32"/>
    </row>
    <row r="479" spans="3:14" x14ac:dyDescent="0.2">
      <c r="C479" s="5" t="s">
        <v>3173</v>
      </c>
      <c r="D479" s="6">
        <v>1</v>
      </c>
      <c r="E479" s="21">
        <v>111500</v>
      </c>
      <c r="F479" s="7">
        <v>0</v>
      </c>
      <c r="G479" s="8"/>
      <c r="K479" s="45" t="s">
        <v>3263</v>
      </c>
      <c r="L479" s="45">
        <v>3800000</v>
      </c>
      <c r="M479" s="31">
        <v>900000</v>
      </c>
      <c r="N479" s="5" t="s">
        <v>3264</v>
      </c>
    </row>
    <row r="480" spans="3:14" x14ac:dyDescent="0.2">
      <c r="C480" s="5" t="s">
        <v>3252</v>
      </c>
      <c r="D480" s="6">
        <v>1</v>
      </c>
      <c r="E480" s="21">
        <v>53000</v>
      </c>
      <c r="F480" s="7">
        <v>0</v>
      </c>
      <c r="G480" s="8"/>
      <c r="K480" s="7" t="s">
        <v>3263</v>
      </c>
      <c r="L480" s="7">
        <v>3800000</v>
      </c>
      <c r="M480" s="31">
        <v>1760000</v>
      </c>
      <c r="N480" s="5" t="s">
        <v>3264</v>
      </c>
    </row>
    <row r="481" spans="3:14" ht="16" x14ac:dyDescent="0.2">
      <c r="C481" s="273" t="s">
        <v>3253</v>
      </c>
      <c r="D481" s="6">
        <v>1</v>
      </c>
      <c r="E481" s="21">
        <v>98000</v>
      </c>
      <c r="F481" s="7">
        <v>0</v>
      </c>
      <c r="G481" s="7"/>
      <c r="K481" s="1" t="s">
        <v>3265</v>
      </c>
      <c r="L481" s="8">
        <v>140000</v>
      </c>
      <c r="M481" s="31">
        <v>1371000</v>
      </c>
      <c r="N481" s="5" t="s">
        <v>3266</v>
      </c>
    </row>
    <row r="482" spans="3:14" ht="16" x14ac:dyDescent="0.2">
      <c r="C482" s="273" t="s">
        <v>3254</v>
      </c>
      <c r="D482" s="6">
        <v>1</v>
      </c>
      <c r="E482" s="7">
        <v>0</v>
      </c>
      <c r="F482" s="7">
        <v>0</v>
      </c>
      <c r="G482" s="7"/>
      <c r="L482" s="31"/>
      <c r="M482" s="31">
        <v>492500</v>
      </c>
      <c r="N482" s="5" t="s">
        <v>3267</v>
      </c>
    </row>
    <row r="483" spans="3:14" x14ac:dyDescent="0.2">
      <c r="C483" s="5" t="s">
        <v>3172</v>
      </c>
      <c r="D483" s="6">
        <v>1</v>
      </c>
      <c r="E483" s="21">
        <v>131800</v>
      </c>
      <c r="F483" s="7">
        <v>0</v>
      </c>
      <c r="G483" s="7"/>
      <c r="L483" s="31"/>
      <c r="M483" s="31">
        <v>795500</v>
      </c>
      <c r="N483" s="5" t="s">
        <v>3268</v>
      </c>
    </row>
    <row r="484" spans="3:14" x14ac:dyDescent="0.2">
      <c r="C484" s="5" t="s">
        <v>3175</v>
      </c>
      <c r="D484" s="6">
        <v>1</v>
      </c>
      <c r="E484" s="21">
        <v>173000</v>
      </c>
      <c r="F484" s="7">
        <v>0</v>
      </c>
      <c r="G484" s="7"/>
      <c r="L484" s="31"/>
      <c r="M484" s="31">
        <v>100000</v>
      </c>
      <c r="N484" s="5" t="s">
        <v>3269</v>
      </c>
    </row>
    <row r="485" spans="3:14" x14ac:dyDescent="0.2">
      <c r="C485" s="5" t="s">
        <v>3270</v>
      </c>
      <c r="D485" s="6">
        <v>1</v>
      </c>
      <c r="E485" s="21">
        <v>33500</v>
      </c>
      <c r="F485" s="7">
        <v>0</v>
      </c>
      <c r="G485" s="8"/>
      <c r="L485" s="1"/>
      <c r="M485" s="1"/>
    </row>
    <row r="486" spans="3:14" x14ac:dyDescent="0.2">
      <c r="C486" s="5" t="s">
        <v>3270</v>
      </c>
      <c r="D486" s="6">
        <v>1</v>
      </c>
      <c r="E486" s="21">
        <v>40000</v>
      </c>
      <c r="F486" s="7">
        <v>0</v>
      </c>
      <c r="G486" s="8"/>
      <c r="L486" s="33">
        <f>SUM(L479:L484)</f>
        <v>7740000</v>
      </c>
      <c r="M486" s="33">
        <f>SUM(M478:M484)</f>
        <v>5419000</v>
      </c>
    </row>
    <row r="487" spans="3:14" x14ac:dyDescent="0.2">
      <c r="C487" s="5" t="s">
        <v>3270</v>
      </c>
      <c r="D487" s="6">
        <v>1</v>
      </c>
      <c r="E487" s="21">
        <v>17000</v>
      </c>
      <c r="F487" s="7">
        <v>0</v>
      </c>
      <c r="G487" s="8"/>
      <c r="L487" s="44"/>
      <c r="M487" s="44"/>
    </row>
    <row r="488" spans="3:14" x14ac:dyDescent="0.2">
      <c r="C488" s="5" t="s">
        <v>3270</v>
      </c>
      <c r="D488" s="6">
        <v>1</v>
      </c>
      <c r="E488" s="21">
        <v>6000</v>
      </c>
      <c r="F488" s="7">
        <v>0</v>
      </c>
      <c r="G488" s="8"/>
      <c r="L488" s="44"/>
      <c r="M488" s="33">
        <f>L486-M486</f>
        <v>2321000</v>
      </c>
      <c r="N488" t="s">
        <v>3271</v>
      </c>
    </row>
    <row r="489" spans="3:14" x14ac:dyDescent="0.2">
      <c r="C489" s="5" t="s">
        <v>3272</v>
      </c>
      <c r="D489" s="6"/>
      <c r="E489" s="21">
        <v>200000</v>
      </c>
      <c r="F489" s="7">
        <v>0</v>
      </c>
      <c r="G489" s="8"/>
      <c r="L489" s="43"/>
      <c r="M489" s="43"/>
    </row>
    <row r="490" spans="3:14" x14ac:dyDescent="0.2">
      <c r="C490" s="5" t="s">
        <v>3273</v>
      </c>
      <c r="D490" s="6"/>
      <c r="E490" s="21">
        <v>104000</v>
      </c>
      <c r="F490" s="7">
        <v>0</v>
      </c>
      <c r="G490" s="7">
        <v>390000</v>
      </c>
    </row>
    <row r="491" spans="3:14" x14ac:dyDescent="0.2">
      <c r="C491" s="5"/>
      <c r="D491" s="6"/>
      <c r="E491" s="7"/>
      <c r="F491" s="8"/>
      <c r="G491" s="7"/>
    </row>
    <row r="492" spans="3:14" x14ac:dyDescent="0.2">
      <c r="E492" s="9">
        <f>SUM(E473:E491)</f>
        <v>4696186.8</v>
      </c>
      <c r="F492" s="9">
        <f>SUM(F473:F491)</f>
        <v>0</v>
      </c>
      <c r="G492" s="9">
        <f>SUM(G473:G491)</f>
        <v>390000</v>
      </c>
    </row>
    <row r="498" spans="3:7" ht="26" x14ac:dyDescent="0.3">
      <c r="C498" s="392" t="s">
        <v>3274</v>
      </c>
      <c r="D498" s="393"/>
      <c r="E498" s="393"/>
      <c r="F498" s="393"/>
      <c r="G498" s="393"/>
    </row>
    <row r="499" spans="3:7" x14ac:dyDescent="0.2">
      <c r="C499" s="29" t="s">
        <v>82</v>
      </c>
      <c r="D499" s="11" t="s">
        <v>3097</v>
      </c>
      <c r="E499" s="12" t="s">
        <v>1</v>
      </c>
      <c r="F499" s="12" t="s">
        <v>3140</v>
      </c>
      <c r="G499" s="12" t="s">
        <v>3249</v>
      </c>
    </row>
    <row r="500" spans="3:7" x14ac:dyDescent="0.2">
      <c r="C500" s="5" t="s">
        <v>3227</v>
      </c>
      <c r="D500" s="6">
        <v>1</v>
      </c>
      <c r="E500" s="21">
        <v>1500000</v>
      </c>
      <c r="F500" s="7">
        <v>0</v>
      </c>
      <c r="G500" s="7"/>
    </row>
    <row r="501" spans="3:7" x14ac:dyDescent="0.2">
      <c r="C501" s="5" t="s">
        <v>3256</v>
      </c>
      <c r="D501" s="6">
        <v>1</v>
      </c>
      <c r="E501" s="21">
        <v>500000</v>
      </c>
      <c r="F501" s="7">
        <v>0</v>
      </c>
      <c r="G501" s="8"/>
    </row>
    <row r="502" spans="3:7" x14ac:dyDescent="0.2">
      <c r="C502" s="5" t="s">
        <v>3228</v>
      </c>
      <c r="D502" s="6">
        <v>1</v>
      </c>
      <c r="E502" s="21">
        <v>500000</v>
      </c>
      <c r="F502" s="7">
        <v>0</v>
      </c>
      <c r="G502" s="8"/>
    </row>
    <row r="503" spans="3:7" x14ac:dyDescent="0.2">
      <c r="C503" s="5" t="s">
        <v>3229</v>
      </c>
      <c r="D503" s="6">
        <v>1</v>
      </c>
      <c r="E503" s="21">
        <v>1028386.7999999999</v>
      </c>
      <c r="F503" s="7">
        <v>0</v>
      </c>
      <c r="G503" s="8"/>
    </row>
    <row r="504" spans="3:7" x14ac:dyDescent="0.2">
      <c r="C504" s="5" t="s">
        <v>3230</v>
      </c>
      <c r="D504" s="6">
        <v>1</v>
      </c>
      <c r="E504" s="21">
        <v>200000</v>
      </c>
      <c r="F504" s="7">
        <v>0</v>
      </c>
      <c r="G504" s="8"/>
    </row>
    <row r="505" spans="3:7" x14ac:dyDescent="0.2">
      <c r="C505" s="5" t="s">
        <v>3231</v>
      </c>
      <c r="D505" s="6">
        <v>1</v>
      </c>
      <c r="E505" s="7">
        <v>0</v>
      </c>
      <c r="F505" s="7">
        <v>0</v>
      </c>
      <c r="G505" s="8"/>
    </row>
    <row r="506" spans="3:7" x14ac:dyDescent="0.2">
      <c r="C506" s="5" t="s">
        <v>3173</v>
      </c>
      <c r="D506" s="6">
        <v>1</v>
      </c>
      <c r="E506" s="21">
        <v>111500</v>
      </c>
      <c r="F506" s="7">
        <v>0</v>
      </c>
      <c r="G506" s="8"/>
    </row>
    <row r="507" spans="3:7" ht="16" x14ac:dyDescent="0.2">
      <c r="C507" s="273" t="s">
        <v>3253</v>
      </c>
      <c r="D507" s="6">
        <v>1</v>
      </c>
      <c r="E507" s="21">
        <v>212200</v>
      </c>
      <c r="F507" s="7">
        <v>0</v>
      </c>
      <c r="G507" s="7"/>
    </row>
    <row r="508" spans="3:7" ht="16" x14ac:dyDescent="0.2">
      <c r="C508" s="273" t="s">
        <v>3254</v>
      </c>
      <c r="D508" s="6">
        <v>1</v>
      </c>
      <c r="E508" s="7">
        <v>0</v>
      </c>
      <c r="F508" s="7">
        <v>0</v>
      </c>
      <c r="G508" s="7"/>
    </row>
    <row r="509" spans="3:7" x14ac:dyDescent="0.2">
      <c r="C509" s="5" t="s">
        <v>3172</v>
      </c>
      <c r="D509" s="6">
        <v>1</v>
      </c>
      <c r="E509" s="21">
        <v>245000</v>
      </c>
      <c r="F509" s="7">
        <v>0</v>
      </c>
      <c r="G509" s="7"/>
    </row>
    <row r="510" spans="3:7" x14ac:dyDescent="0.2">
      <c r="C510" s="5" t="s">
        <v>3275</v>
      </c>
      <c r="D510" s="6">
        <v>1</v>
      </c>
      <c r="E510" s="21">
        <v>33500</v>
      </c>
      <c r="F510" s="7">
        <v>0</v>
      </c>
      <c r="G510" s="8"/>
    </row>
    <row r="511" spans="3:7" x14ac:dyDescent="0.2">
      <c r="C511" s="5" t="s">
        <v>3276</v>
      </c>
      <c r="D511" s="6">
        <v>1</v>
      </c>
      <c r="E511" s="21">
        <v>115000</v>
      </c>
      <c r="F511" s="7">
        <v>0</v>
      </c>
      <c r="G511" s="8"/>
    </row>
    <row r="512" spans="3:7" x14ac:dyDescent="0.2">
      <c r="C512" s="5" t="s">
        <v>3277</v>
      </c>
      <c r="D512" s="6">
        <v>1</v>
      </c>
      <c r="E512" s="21">
        <v>250000</v>
      </c>
      <c r="F512" s="1">
        <v>0</v>
      </c>
      <c r="G512" s="8"/>
    </row>
    <row r="513" spans="3:7" x14ac:dyDescent="0.2">
      <c r="E513" s="9">
        <f>SUM(E500:E512)</f>
        <v>4695586.8</v>
      </c>
      <c r="F513" s="9">
        <f>SUM(F500:F512)</f>
        <v>0</v>
      </c>
      <c r="G513" s="9">
        <f>SUM(G500:G512)</f>
        <v>0</v>
      </c>
    </row>
    <row r="515" spans="3:7" ht="26" x14ac:dyDescent="0.3">
      <c r="C515" s="392" t="s">
        <v>3278</v>
      </c>
      <c r="D515" s="393"/>
      <c r="E515" s="393"/>
      <c r="F515" s="393"/>
      <c r="G515" s="393"/>
    </row>
    <row r="516" spans="3:7" x14ac:dyDescent="0.2">
      <c r="C516" s="29" t="s">
        <v>82</v>
      </c>
      <c r="D516" s="11" t="s">
        <v>3097</v>
      </c>
      <c r="E516" s="12" t="s">
        <v>1</v>
      </c>
      <c r="F516" s="12" t="s">
        <v>3140</v>
      </c>
      <c r="G516" s="12" t="s">
        <v>3249</v>
      </c>
    </row>
    <row r="517" spans="3:7" x14ac:dyDescent="0.2">
      <c r="C517" s="54" t="s">
        <v>3279</v>
      </c>
      <c r="D517" s="62"/>
      <c r="E517" s="21">
        <f>2700000/2</f>
        <v>1350000</v>
      </c>
      <c r="F517" s="61"/>
      <c r="G517" s="61"/>
    </row>
    <row r="518" spans="3:7" x14ac:dyDescent="0.2">
      <c r="C518" s="5" t="s">
        <v>3280</v>
      </c>
      <c r="D518" s="6">
        <v>1</v>
      </c>
      <c r="E518" s="21">
        <v>53000</v>
      </c>
      <c r="F518" s="8"/>
      <c r="G518" s="8"/>
    </row>
    <row r="519" spans="3:7" x14ac:dyDescent="0.2">
      <c r="C519" s="5" t="s">
        <v>3175</v>
      </c>
      <c r="D519" s="6">
        <v>1</v>
      </c>
      <c r="E519" s="21">
        <v>288000</v>
      </c>
      <c r="F519" s="8"/>
      <c r="G519" s="7"/>
    </row>
    <row r="520" spans="3:7" x14ac:dyDescent="0.2">
      <c r="C520" s="5" t="s">
        <v>3281</v>
      </c>
      <c r="D520" s="6">
        <v>1</v>
      </c>
      <c r="E520" s="21">
        <v>250000</v>
      </c>
      <c r="F520" s="8"/>
      <c r="G520" s="8"/>
    </row>
    <row r="521" spans="3:7" x14ac:dyDescent="0.2">
      <c r="C521" s="5" t="s">
        <v>3282</v>
      </c>
      <c r="D521" s="6">
        <v>1</v>
      </c>
      <c r="E521" s="21">
        <v>33500</v>
      </c>
      <c r="F521" s="8"/>
      <c r="G521" s="8"/>
    </row>
    <row r="522" spans="3:7" x14ac:dyDescent="0.2">
      <c r="C522" s="5" t="s">
        <v>3275</v>
      </c>
      <c r="D522" s="6">
        <v>1</v>
      </c>
      <c r="E522" s="21">
        <v>5100</v>
      </c>
      <c r="F522" s="8"/>
      <c r="G522" s="8"/>
    </row>
    <row r="523" spans="3:7" x14ac:dyDescent="0.2">
      <c r="C523" s="5" t="s">
        <v>3283</v>
      </c>
      <c r="D523" s="6">
        <v>1</v>
      </c>
      <c r="E523" s="21">
        <v>287000</v>
      </c>
      <c r="F523" s="8"/>
      <c r="G523" s="8"/>
    </row>
    <row r="524" spans="3:7" x14ac:dyDescent="0.2">
      <c r="C524" s="5" t="s">
        <v>3284</v>
      </c>
      <c r="D524" s="6">
        <v>1</v>
      </c>
      <c r="E524" s="21">
        <v>229000</v>
      </c>
      <c r="F524" s="8"/>
      <c r="G524" s="8"/>
    </row>
    <row r="525" spans="3:7" x14ac:dyDescent="0.2">
      <c r="C525" s="5" t="s">
        <v>3285</v>
      </c>
      <c r="D525" s="6">
        <v>2</v>
      </c>
      <c r="E525" s="21">
        <v>170000</v>
      </c>
      <c r="F525" s="8"/>
      <c r="G525" s="8"/>
    </row>
    <row r="526" spans="3:7" x14ac:dyDescent="0.2">
      <c r="C526" s="5"/>
      <c r="D526" s="6"/>
      <c r="E526" s="21">
        <v>35000</v>
      </c>
      <c r="F526" s="8"/>
      <c r="G526" s="8"/>
    </row>
    <row r="527" spans="3:7" x14ac:dyDescent="0.2">
      <c r="E527" s="9">
        <f>SUM(E517:E526)</f>
        <v>2700600</v>
      </c>
      <c r="F527" s="9">
        <f>SUM(F517:F524)</f>
        <v>0</v>
      </c>
      <c r="G527" s="9">
        <f>SUM(G517:G524)</f>
        <v>0</v>
      </c>
    </row>
    <row r="530" spans="3:7" ht="26" x14ac:dyDescent="0.3">
      <c r="C530" s="392" t="s">
        <v>3286</v>
      </c>
      <c r="D530" s="393"/>
      <c r="E530" s="393"/>
      <c r="F530" s="393"/>
      <c r="G530" s="393"/>
    </row>
    <row r="531" spans="3:7" x14ac:dyDescent="0.2">
      <c r="C531" s="29" t="s">
        <v>82</v>
      </c>
      <c r="D531" s="11" t="s">
        <v>3097</v>
      </c>
      <c r="E531" s="12" t="s">
        <v>1</v>
      </c>
      <c r="F531" s="12" t="s">
        <v>3140</v>
      </c>
      <c r="G531" s="12" t="s">
        <v>3249</v>
      </c>
    </row>
    <row r="532" spans="3:7" x14ac:dyDescent="0.2">
      <c r="C532" s="5" t="s">
        <v>3227</v>
      </c>
      <c r="D532" s="6">
        <v>1</v>
      </c>
      <c r="E532" s="21">
        <v>1500000</v>
      </c>
      <c r="F532" s="7">
        <v>0</v>
      </c>
      <c r="G532" s="7"/>
    </row>
    <row r="533" spans="3:7" x14ac:dyDescent="0.2">
      <c r="C533" s="5" t="s">
        <v>3256</v>
      </c>
      <c r="D533" s="6">
        <v>1</v>
      </c>
      <c r="E533" s="21">
        <v>500000</v>
      </c>
      <c r="F533" s="7">
        <v>0</v>
      </c>
      <c r="G533" s="8"/>
    </row>
    <row r="534" spans="3:7" x14ac:dyDescent="0.2">
      <c r="C534" s="5" t="s">
        <v>3228</v>
      </c>
      <c r="D534" s="6">
        <v>1</v>
      </c>
      <c r="E534" s="21">
        <v>500000</v>
      </c>
      <c r="F534" s="7">
        <v>0</v>
      </c>
      <c r="G534" s="8"/>
    </row>
    <row r="535" spans="3:7" x14ac:dyDescent="0.2">
      <c r="C535" s="5" t="s">
        <v>3229</v>
      </c>
      <c r="D535" s="6">
        <v>1</v>
      </c>
      <c r="E535" s="21">
        <v>1028386.7999999999</v>
      </c>
      <c r="F535" s="7">
        <v>0</v>
      </c>
      <c r="G535" s="8"/>
    </row>
    <row r="536" spans="3:7" x14ac:dyDescent="0.2">
      <c r="C536" s="5" t="s">
        <v>3230</v>
      </c>
      <c r="D536" s="6">
        <v>1</v>
      </c>
      <c r="E536" s="21">
        <v>200000</v>
      </c>
      <c r="F536" s="7">
        <v>0</v>
      </c>
      <c r="G536" s="8"/>
    </row>
    <row r="537" spans="3:7" x14ac:dyDescent="0.2">
      <c r="C537" s="5" t="s">
        <v>3231</v>
      </c>
      <c r="D537" s="6">
        <v>1</v>
      </c>
      <c r="E537" s="7">
        <v>0</v>
      </c>
      <c r="F537" s="7">
        <v>0</v>
      </c>
      <c r="G537" s="8"/>
    </row>
    <row r="538" spans="3:7" x14ac:dyDescent="0.2">
      <c r="C538" s="5" t="s">
        <v>3173</v>
      </c>
      <c r="D538" s="6">
        <v>1</v>
      </c>
      <c r="E538" s="21">
        <v>111500</v>
      </c>
      <c r="F538" s="7">
        <v>0</v>
      </c>
      <c r="G538" s="8"/>
    </row>
    <row r="539" spans="3:7" ht="16" x14ac:dyDescent="0.2">
      <c r="C539" s="273" t="s">
        <v>3253</v>
      </c>
      <c r="D539" s="6">
        <v>1</v>
      </c>
      <c r="E539" s="21">
        <v>212200</v>
      </c>
      <c r="F539" s="7">
        <v>0</v>
      </c>
      <c r="G539" s="7"/>
    </row>
    <row r="540" spans="3:7" ht="16" x14ac:dyDescent="0.2">
      <c r="C540" s="273" t="s">
        <v>1546</v>
      </c>
      <c r="D540" s="6">
        <v>1</v>
      </c>
      <c r="E540" s="21">
        <v>448900</v>
      </c>
      <c r="F540" s="7">
        <v>0</v>
      </c>
      <c r="G540" s="7"/>
    </row>
    <row r="541" spans="3:7" x14ac:dyDescent="0.2">
      <c r="C541" s="5" t="s">
        <v>3172</v>
      </c>
      <c r="D541" s="6">
        <v>1</v>
      </c>
      <c r="E541" s="21">
        <v>245000</v>
      </c>
      <c r="F541" s="7">
        <v>0</v>
      </c>
      <c r="G541" s="7"/>
    </row>
    <row r="542" spans="3:7" x14ac:dyDescent="0.2">
      <c r="C542" s="5" t="s">
        <v>3287</v>
      </c>
      <c r="D542" s="6"/>
      <c r="E542" s="21">
        <v>300000</v>
      </c>
      <c r="F542" s="7">
        <v>0</v>
      </c>
      <c r="G542" s="8"/>
    </row>
    <row r="543" spans="3:7" x14ac:dyDescent="0.2">
      <c r="C543" s="5" t="s">
        <v>3288</v>
      </c>
      <c r="D543" s="6"/>
      <c r="E543" s="21">
        <v>71500</v>
      </c>
      <c r="F543" s="7">
        <v>0</v>
      </c>
      <c r="G543" s="8"/>
    </row>
    <row r="544" spans="3:7" x14ac:dyDescent="0.2">
      <c r="C544" s="5" t="s">
        <v>174</v>
      </c>
      <c r="D544" s="6"/>
      <c r="E544" s="21">
        <v>33700</v>
      </c>
      <c r="F544" s="1">
        <v>0</v>
      </c>
      <c r="G544" s="8"/>
    </row>
    <row r="545" spans="3:7" x14ac:dyDescent="0.2">
      <c r="C545" s="5" t="s">
        <v>3289</v>
      </c>
      <c r="D545" s="6"/>
      <c r="E545" s="7">
        <v>0</v>
      </c>
      <c r="F545" s="21">
        <v>950000</v>
      </c>
      <c r="G545" s="8"/>
    </row>
    <row r="546" spans="3:7" x14ac:dyDescent="0.2">
      <c r="C546" s="5" t="s">
        <v>3290</v>
      </c>
      <c r="D546" s="6"/>
      <c r="E546" s="7">
        <v>0</v>
      </c>
      <c r="F546" s="21">
        <v>1650000</v>
      </c>
      <c r="G546" s="8"/>
    </row>
    <row r="547" spans="3:7" x14ac:dyDescent="0.2">
      <c r="C547" s="5" t="s">
        <v>3291</v>
      </c>
      <c r="D547" s="6"/>
      <c r="E547" s="21">
        <v>448813.20000000019</v>
      </c>
      <c r="F547" s="21">
        <v>420186.79999999981</v>
      </c>
      <c r="G547" s="8"/>
    </row>
    <row r="548" spans="3:7" x14ac:dyDescent="0.2">
      <c r="C548" s="5" t="s">
        <v>3292</v>
      </c>
      <c r="D548" s="6"/>
      <c r="E548" s="7">
        <v>0</v>
      </c>
      <c r="F548" s="21">
        <v>869000</v>
      </c>
      <c r="G548" s="8"/>
    </row>
    <row r="549" spans="3:7" x14ac:dyDescent="0.2">
      <c r="C549" s="5" t="s">
        <v>3293</v>
      </c>
      <c r="D549" s="6"/>
      <c r="E549" s="7">
        <v>0</v>
      </c>
      <c r="F549" s="21">
        <v>30000</v>
      </c>
      <c r="G549" s="8"/>
    </row>
    <row r="550" spans="3:7" x14ac:dyDescent="0.2">
      <c r="C550" s="5" t="s">
        <v>3294</v>
      </c>
      <c r="D550" s="6"/>
      <c r="E550" s="7">
        <v>0</v>
      </c>
      <c r="F550" s="21">
        <v>10200</v>
      </c>
      <c r="G550" s="8"/>
    </row>
    <row r="551" spans="3:7" x14ac:dyDescent="0.2">
      <c r="C551" s="5" t="s">
        <v>3295</v>
      </c>
      <c r="D551" s="6">
        <v>1</v>
      </c>
      <c r="E551" s="7">
        <v>0</v>
      </c>
      <c r="F551" s="21">
        <v>229000</v>
      </c>
      <c r="G551" s="8"/>
    </row>
    <row r="552" spans="3:7" x14ac:dyDescent="0.2">
      <c r="E552" s="9">
        <f>SUM(E532:E551)</f>
        <v>5600000</v>
      </c>
      <c r="F552" s="9">
        <f>SUM(F532:F551)</f>
        <v>4158386.8</v>
      </c>
      <c r="G552" s="9">
        <f>SUM(G532:G551)</f>
        <v>0</v>
      </c>
    </row>
    <row r="553" spans="3:7" x14ac:dyDescent="0.2">
      <c r="E553" s="3"/>
      <c r="F553" s="3"/>
    </row>
    <row r="554" spans="3:7" x14ac:dyDescent="0.2">
      <c r="E554" s="3"/>
    </row>
    <row r="555" spans="3:7" ht="26" x14ac:dyDescent="0.3">
      <c r="C555" s="392" t="s">
        <v>3296</v>
      </c>
      <c r="D555" s="393"/>
      <c r="E555" s="393"/>
      <c r="F555" s="393"/>
      <c r="G555" s="393"/>
    </row>
    <row r="556" spans="3:7" x14ac:dyDescent="0.2">
      <c r="C556" s="29" t="s">
        <v>82</v>
      </c>
      <c r="D556" s="11" t="s">
        <v>3097</v>
      </c>
      <c r="E556" s="12" t="s">
        <v>1</v>
      </c>
      <c r="F556" s="12" t="s">
        <v>3140</v>
      </c>
      <c r="G556" s="12" t="s">
        <v>3249</v>
      </c>
    </row>
    <row r="557" spans="3:7" x14ac:dyDescent="0.2">
      <c r="C557" s="5" t="s">
        <v>3227</v>
      </c>
      <c r="D557" s="6">
        <v>1</v>
      </c>
      <c r="E557" s="21">
        <v>1500000</v>
      </c>
      <c r="F557" s="7">
        <v>0</v>
      </c>
      <c r="G557" s="7"/>
    </row>
    <row r="558" spans="3:7" x14ac:dyDescent="0.2">
      <c r="C558" s="5" t="s">
        <v>3256</v>
      </c>
      <c r="D558" s="6">
        <v>1</v>
      </c>
      <c r="E558" s="21">
        <v>500000</v>
      </c>
      <c r="F558" s="7">
        <v>0</v>
      </c>
      <c r="G558" s="8"/>
    </row>
    <row r="559" spans="3:7" x14ac:dyDescent="0.2">
      <c r="C559" s="5" t="s">
        <v>3228</v>
      </c>
      <c r="D559" s="6">
        <v>1</v>
      </c>
      <c r="E559" s="21">
        <v>500000</v>
      </c>
      <c r="F559" s="7">
        <v>0</v>
      </c>
      <c r="G559" s="8"/>
    </row>
    <row r="560" spans="3:7" x14ac:dyDescent="0.2">
      <c r="C560" s="5" t="s">
        <v>3229</v>
      </c>
      <c r="D560" s="6">
        <v>1</v>
      </c>
      <c r="E560" s="21">
        <v>1028386.7999999999</v>
      </c>
      <c r="F560" s="7">
        <v>0</v>
      </c>
      <c r="G560" s="8"/>
    </row>
    <row r="561" spans="3:7" x14ac:dyDescent="0.2">
      <c r="C561" s="5" t="s">
        <v>3230</v>
      </c>
      <c r="D561" s="6">
        <v>1</v>
      </c>
      <c r="E561" s="21">
        <v>200000</v>
      </c>
      <c r="F561" s="7">
        <v>0</v>
      </c>
      <c r="G561" s="8"/>
    </row>
    <row r="562" spans="3:7" x14ac:dyDescent="0.2">
      <c r="C562" s="5" t="s">
        <v>3297</v>
      </c>
      <c r="D562" s="6">
        <v>1</v>
      </c>
      <c r="E562" s="21">
        <v>106000</v>
      </c>
      <c r="F562" s="7"/>
      <c r="G562" s="8" t="s">
        <v>3298</v>
      </c>
    </row>
    <row r="563" spans="3:7" x14ac:dyDescent="0.2">
      <c r="C563" s="5" t="s">
        <v>3231</v>
      </c>
      <c r="D563" s="6">
        <v>1</v>
      </c>
      <c r="E563" s="7">
        <v>0</v>
      </c>
      <c r="F563" s="7">
        <v>0</v>
      </c>
      <c r="G563" s="8"/>
    </row>
    <row r="564" spans="3:7" x14ac:dyDescent="0.2">
      <c r="C564" s="5" t="s">
        <v>3173</v>
      </c>
      <c r="D564" s="6">
        <v>1</v>
      </c>
      <c r="E564" s="21">
        <v>111500</v>
      </c>
      <c r="F564" s="7">
        <v>0</v>
      </c>
      <c r="G564" s="8"/>
    </row>
    <row r="565" spans="3:7" ht="16" x14ac:dyDescent="0.2">
      <c r="C565" s="273" t="s">
        <v>3253</v>
      </c>
      <c r="D565" s="6">
        <v>1</v>
      </c>
      <c r="E565" s="21">
        <v>212200</v>
      </c>
      <c r="F565" s="7">
        <v>0</v>
      </c>
      <c r="G565" s="7"/>
    </row>
    <row r="566" spans="3:7" x14ac:dyDescent="0.2">
      <c r="C566" s="5" t="s">
        <v>3172</v>
      </c>
      <c r="D566" s="6">
        <v>1</v>
      </c>
      <c r="E566" s="21">
        <v>245800</v>
      </c>
      <c r="F566" s="7">
        <v>0</v>
      </c>
      <c r="G566" s="7"/>
    </row>
    <row r="567" spans="3:7" x14ac:dyDescent="0.2">
      <c r="C567" s="73" t="s">
        <v>3299</v>
      </c>
      <c r="D567" s="6">
        <v>1</v>
      </c>
      <c r="E567" s="21">
        <v>230000</v>
      </c>
      <c r="F567" s="8">
        <v>0</v>
      </c>
      <c r="G567" s="8"/>
    </row>
    <row r="568" spans="3:7" x14ac:dyDescent="0.2">
      <c r="C568" s="5" t="s">
        <v>3300</v>
      </c>
      <c r="D568" s="6">
        <v>1</v>
      </c>
      <c r="E568" s="21">
        <v>67000</v>
      </c>
      <c r="F568" s="21">
        <f>290000-E568</f>
        <v>223000</v>
      </c>
      <c r="G568" s="8"/>
    </row>
    <row r="569" spans="3:7" x14ac:dyDescent="0.2">
      <c r="C569" s="5" t="s">
        <v>3301</v>
      </c>
      <c r="D569" s="6">
        <v>1</v>
      </c>
      <c r="E569" s="7">
        <v>0</v>
      </c>
      <c r="F569" s="74">
        <v>500000</v>
      </c>
      <c r="G569" s="8" t="s">
        <v>3302</v>
      </c>
    </row>
    <row r="570" spans="3:7" x14ac:dyDescent="0.2">
      <c r="C570" s="5" t="s">
        <v>3303</v>
      </c>
      <c r="D570" s="6">
        <v>1</v>
      </c>
      <c r="E570" s="7">
        <v>0</v>
      </c>
      <c r="F570" s="21">
        <v>869000</v>
      </c>
      <c r="G570" s="8"/>
    </row>
    <row r="571" spans="3:7" x14ac:dyDescent="0.2">
      <c r="C571" s="69" t="s">
        <v>3304</v>
      </c>
      <c r="D571" s="70">
        <v>1</v>
      </c>
      <c r="E571" s="14">
        <v>0</v>
      </c>
      <c r="F571" s="21">
        <v>390000</v>
      </c>
      <c r="G571" s="58"/>
    </row>
    <row r="572" spans="3:7" x14ac:dyDescent="0.2">
      <c r="C572" s="5" t="s">
        <v>3305</v>
      </c>
      <c r="D572" s="6">
        <v>1</v>
      </c>
      <c r="E572" s="7">
        <v>0</v>
      </c>
      <c r="F572" s="21">
        <v>20000</v>
      </c>
      <c r="G572" s="8"/>
    </row>
    <row r="573" spans="3:7" x14ac:dyDescent="0.2">
      <c r="C573" s="5" t="s">
        <v>3306</v>
      </c>
      <c r="D573" s="6">
        <v>1</v>
      </c>
      <c r="E573" s="7">
        <v>0</v>
      </c>
      <c r="F573" s="21">
        <v>350000</v>
      </c>
      <c r="G573" s="8"/>
    </row>
    <row r="574" spans="3:7" x14ac:dyDescent="0.2">
      <c r="C574" s="5" t="s">
        <v>3307</v>
      </c>
      <c r="D574" s="6">
        <v>1</v>
      </c>
      <c r="E574" s="7">
        <v>0</v>
      </c>
      <c r="F574" s="21">
        <v>20000</v>
      </c>
      <c r="G574" s="8"/>
    </row>
    <row r="575" spans="3:7" x14ac:dyDescent="0.2">
      <c r="C575" s="5" t="s">
        <v>3308</v>
      </c>
      <c r="D575" s="6">
        <v>1</v>
      </c>
      <c r="E575" s="7">
        <v>0</v>
      </c>
      <c r="F575" s="21">
        <v>288000</v>
      </c>
      <c r="G575" s="8"/>
    </row>
    <row r="576" spans="3:7" x14ac:dyDescent="0.2">
      <c r="E576" s="9">
        <f>SUM(E557:E575)</f>
        <v>4700886.8</v>
      </c>
      <c r="F576" s="9">
        <f>SUM(F557:F575)</f>
        <v>2660000</v>
      </c>
      <c r="G576" s="9">
        <f>SUM(G557:G573)</f>
        <v>0</v>
      </c>
    </row>
    <row r="579" spans="3:7" x14ac:dyDescent="0.2">
      <c r="F579" s="3"/>
    </row>
    <row r="582" spans="3:7" ht="26" x14ac:dyDescent="0.3">
      <c r="C582" s="392" t="s">
        <v>3309</v>
      </c>
      <c r="D582" s="393"/>
      <c r="E582" s="393"/>
      <c r="F582" s="393"/>
      <c r="G582" s="393"/>
    </row>
    <row r="583" spans="3:7" x14ac:dyDescent="0.2">
      <c r="C583" s="29" t="s">
        <v>82</v>
      </c>
      <c r="D583" s="11" t="s">
        <v>3097</v>
      </c>
      <c r="E583" s="12" t="s">
        <v>1</v>
      </c>
      <c r="F583" s="12" t="s">
        <v>3140</v>
      </c>
      <c r="G583" s="12" t="s">
        <v>3249</v>
      </c>
    </row>
    <row r="584" spans="3:7" x14ac:dyDescent="0.2">
      <c r="C584" s="5" t="s">
        <v>3227</v>
      </c>
      <c r="D584" s="6">
        <v>1</v>
      </c>
      <c r="E584" s="21">
        <v>1500000</v>
      </c>
      <c r="F584" s="7">
        <v>0</v>
      </c>
      <c r="G584" s="7"/>
    </row>
    <row r="585" spans="3:7" x14ac:dyDescent="0.2">
      <c r="C585" s="5" t="s">
        <v>3256</v>
      </c>
      <c r="D585" s="6">
        <v>1</v>
      </c>
      <c r="E585" s="21">
        <v>500000</v>
      </c>
      <c r="F585" s="7">
        <v>0</v>
      </c>
      <c r="G585" s="8"/>
    </row>
    <row r="586" spans="3:7" x14ac:dyDescent="0.2">
      <c r="C586" s="5" t="s">
        <v>3228</v>
      </c>
      <c r="D586" s="6">
        <v>1</v>
      </c>
      <c r="E586" s="21">
        <v>500000</v>
      </c>
      <c r="F586" s="7">
        <v>0</v>
      </c>
      <c r="G586" s="8"/>
    </row>
    <row r="587" spans="3:7" x14ac:dyDescent="0.2">
      <c r="C587" s="5" t="s">
        <v>3229</v>
      </c>
      <c r="D587" s="6">
        <v>1</v>
      </c>
      <c r="E587" s="21">
        <v>1028386.7999999999</v>
      </c>
      <c r="F587" s="7">
        <v>0</v>
      </c>
      <c r="G587" s="8"/>
    </row>
    <row r="588" spans="3:7" x14ac:dyDescent="0.2">
      <c r="C588" s="5" t="s">
        <v>3230</v>
      </c>
      <c r="D588" s="6">
        <v>1</v>
      </c>
      <c r="E588" s="21">
        <v>200000</v>
      </c>
      <c r="F588" s="7">
        <v>0</v>
      </c>
      <c r="G588" s="8"/>
    </row>
    <row r="589" spans="3:7" x14ac:dyDescent="0.2">
      <c r="C589" s="5" t="s">
        <v>3297</v>
      </c>
      <c r="D589" s="6">
        <v>1</v>
      </c>
      <c r="E589" s="21">
        <v>53000</v>
      </c>
      <c r="F589" s="7">
        <v>0</v>
      </c>
      <c r="G589" s="8"/>
    </row>
    <row r="590" spans="3:7" x14ac:dyDescent="0.2">
      <c r="C590" s="5" t="s">
        <v>3231</v>
      </c>
      <c r="D590" s="6">
        <v>1</v>
      </c>
      <c r="E590" s="21">
        <v>0</v>
      </c>
      <c r="F590" s="7">
        <v>0</v>
      </c>
      <c r="G590" s="8"/>
    </row>
    <row r="591" spans="3:7" x14ac:dyDescent="0.2">
      <c r="C591" s="5" t="s">
        <v>3173</v>
      </c>
      <c r="D591" s="6">
        <v>1</v>
      </c>
      <c r="E591" s="21">
        <v>111500</v>
      </c>
      <c r="F591" s="7">
        <v>0</v>
      </c>
      <c r="G591" s="8"/>
    </row>
    <row r="592" spans="3:7" ht="16" x14ac:dyDescent="0.2">
      <c r="C592" s="273" t="s">
        <v>3253</v>
      </c>
      <c r="D592" s="6">
        <v>1</v>
      </c>
      <c r="E592" s="21">
        <v>212200</v>
      </c>
      <c r="F592" s="7">
        <v>0</v>
      </c>
      <c r="G592" s="7"/>
    </row>
    <row r="593" spans="3:7" x14ac:dyDescent="0.2">
      <c r="C593" s="5" t="s">
        <v>3172</v>
      </c>
      <c r="D593" s="6">
        <v>1</v>
      </c>
      <c r="E593" s="21">
        <v>245800</v>
      </c>
      <c r="F593" s="7">
        <v>0</v>
      </c>
      <c r="G593" s="7"/>
    </row>
    <row r="594" spans="3:7" x14ac:dyDescent="0.2">
      <c r="C594" s="5" t="s">
        <v>3310</v>
      </c>
      <c r="D594" s="6">
        <v>1</v>
      </c>
      <c r="E594" s="21">
        <v>230000</v>
      </c>
      <c r="F594" s="8">
        <v>0</v>
      </c>
      <c r="G594" s="8"/>
    </row>
    <row r="595" spans="3:7" x14ac:dyDescent="0.2">
      <c r="C595" s="5" t="s">
        <v>287</v>
      </c>
      <c r="D595" s="6">
        <v>1</v>
      </c>
      <c r="E595" s="21">
        <v>120000</v>
      </c>
      <c r="F595" s="8"/>
      <c r="G595" s="8"/>
    </row>
    <row r="596" spans="3:7" x14ac:dyDescent="0.2">
      <c r="C596" s="5" t="s">
        <v>3301</v>
      </c>
      <c r="D596" s="6">
        <v>1</v>
      </c>
      <c r="E596" s="7">
        <v>0</v>
      </c>
      <c r="F596" s="21">
        <v>1500000</v>
      </c>
      <c r="G596" s="8"/>
    </row>
    <row r="597" spans="3:7" x14ac:dyDescent="0.2">
      <c r="C597" s="5" t="s">
        <v>3311</v>
      </c>
      <c r="D597" s="6">
        <v>1</v>
      </c>
      <c r="E597" s="7">
        <v>0</v>
      </c>
      <c r="F597" s="21">
        <v>288000</v>
      </c>
      <c r="G597" s="8"/>
    </row>
    <row r="598" spans="3:7" x14ac:dyDescent="0.2">
      <c r="C598" s="5" t="s">
        <v>3312</v>
      </c>
      <c r="D598" s="6">
        <v>1</v>
      </c>
      <c r="E598" s="7">
        <v>0</v>
      </c>
      <c r="F598" s="21">
        <v>580000</v>
      </c>
      <c r="G598" s="8"/>
    </row>
    <row r="599" spans="3:7" x14ac:dyDescent="0.2">
      <c r="C599" s="5" t="s">
        <v>3313</v>
      </c>
      <c r="D599" s="6">
        <v>1</v>
      </c>
      <c r="E599" s="7">
        <v>0</v>
      </c>
      <c r="F599" s="21">
        <v>290000</v>
      </c>
      <c r="G599" s="8"/>
    </row>
    <row r="600" spans="3:7" x14ac:dyDescent="0.2">
      <c r="C600" s="5" t="s">
        <v>3314</v>
      </c>
      <c r="D600" s="6">
        <v>1</v>
      </c>
      <c r="E600" s="7">
        <v>0</v>
      </c>
      <c r="F600" s="21">
        <v>869000</v>
      </c>
      <c r="G600" s="8"/>
    </row>
    <row r="601" spans="3:7" x14ac:dyDescent="0.2">
      <c r="E601" s="9">
        <f>SUM(E584:E600)</f>
        <v>4700886.8</v>
      </c>
      <c r="F601" s="9">
        <f>SUM(F584:F600)</f>
        <v>3527000</v>
      </c>
      <c r="G601" s="9">
        <f>SUM(G584:G600)</f>
        <v>0</v>
      </c>
    </row>
    <row r="604" spans="3:7" ht="26" x14ac:dyDescent="0.3">
      <c r="C604" s="392" t="s">
        <v>3315</v>
      </c>
      <c r="D604" s="393"/>
      <c r="E604" s="393"/>
      <c r="F604" s="393"/>
      <c r="G604" s="393"/>
    </row>
    <row r="605" spans="3:7" x14ac:dyDescent="0.2">
      <c r="C605" s="29" t="s">
        <v>82</v>
      </c>
      <c r="D605" s="11" t="s">
        <v>3097</v>
      </c>
      <c r="E605" s="12" t="s">
        <v>1</v>
      </c>
      <c r="F605" s="12" t="s">
        <v>3140</v>
      </c>
      <c r="G605" s="12" t="s">
        <v>3249</v>
      </c>
    </row>
    <row r="606" spans="3:7" x14ac:dyDescent="0.2">
      <c r="C606" s="5" t="s">
        <v>3227</v>
      </c>
      <c r="D606" s="6">
        <v>1</v>
      </c>
      <c r="E606" s="21">
        <v>1500000</v>
      </c>
      <c r="F606" s="7">
        <v>0</v>
      </c>
      <c r="G606" s="7"/>
    </row>
    <row r="607" spans="3:7" x14ac:dyDescent="0.2">
      <c r="C607" s="5" t="s">
        <v>3256</v>
      </c>
      <c r="D607" s="6">
        <v>1</v>
      </c>
      <c r="E607" s="21">
        <v>500000</v>
      </c>
      <c r="F607" s="7">
        <v>0</v>
      </c>
      <c r="G607" s="8"/>
    </row>
    <row r="608" spans="3:7" x14ac:dyDescent="0.2">
      <c r="C608" s="5" t="s">
        <v>3228</v>
      </c>
      <c r="D608" s="6">
        <v>1</v>
      </c>
      <c r="E608" s="21">
        <v>500000</v>
      </c>
      <c r="F608" s="7">
        <v>0</v>
      </c>
      <c r="G608" s="8"/>
    </row>
    <row r="609" spans="3:7" x14ac:dyDescent="0.2">
      <c r="C609" s="5" t="s">
        <v>3230</v>
      </c>
      <c r="D609" s="6">
        <v>1</v>
      </c>
      <c r="E609" s="21">
        <v>200000</v>
      </c>
      <c r="F609" s="7">
        <v>0</v>
      </c>
      <c r="G609" s="8"/>
    </row>
    <row r="610" spans="3:7" x14ac:dyDescent="0.2">
      <c r="C610" s="5" t="s">
        <v>3316</v>
      </c>
      <c r="D610" s="6">
        <v>1</v>
      </c>
      <c r="E610" s="21">
        <v>250000</v>
      </c>
      <c r="F610" s="7">
        <v>0</v>
      </c>
      <c r="G610" s="8"/>
    </row>
    <row r="611" spans="3:7" x14ac:dyDescent="0.2">
      <c r="C611" s="5" t="s">
        <v>3297</v>
      </c>
      <c r="D611" s="6">
        <v>1</v>
      </c>
      <c r="E611" s="21">
        <v>53000</v>
      </c>
      <c r="F611" s="7">
        <v>0</v>
      </c>
      <c r="G611" s="8"/>
    </row>
    <row r="612" spans="3:7" x14ac:dyDescent="0.2">
      <c r="C612" s="5" t="s">
        <v>3173</v>
      </c>
      <c r="D612" s="6">
        <v>1</v>
      </c>
      <c r="E612" s="21">
        <v>111500</v>
      </c>
      <c r="F612" s="7">
        <v>0</v>
      </c>
      <c r="G612" s="8"/>
    </row>
    <row r="613" spans="3:7" ht="16" x14ac:dyDescent="0.2">
      <c r="C613" s="273" t="s">
        <v>3253</v>
      </c>
      <c r="D613" s="6">
        <v>1</v>
      </c>
      <c r="E613" s="21">
        <v>212200</v>
      </c>
      <c r="F613" s="7">
        <v>0</v>
      </c>
      <c r="G613" s="7"/>
    </row>
    <row r="614" spans="3:7" x14ac:dyDescent="0.2">
      <c r="C614" s="5" t="s">
        <v>3172</v>
      </c>
      <c r="D614" s="6">
        <v>1</v>
      </c>
      <c r="E614" s="21">
        <v>245800</v>
      </c>
      <c r="F614" s="7">
        <v>0</v>
      </c>
      <c r="G614" s="7"/>
    </row>
    <row r="615" spans="3:7" x14ac:dyDescent="0.2">
      <c r="C615" s="5" t="s">
        <v>3310</v>
      </c>
      <c r="D615" s="6">
        <v>1</v>
      </c>
      <c r="E615" s="21">
        <v>230000</v>
      </c>
      <c r="F615" s="7">
        <v>0</v>
      </c>
      <c r="G615" s="8"/>
    </row>
    <row r="616" spans="3:7" x14ac:dyDescent="0.2">
      <c r="C616" s="5" t="s">
        <v>2020</v>
      </c>
      <c r="D616" s="6"/>
      <c r="E616" s="21">
        <v>107000</v>
      </c>
      <c r="F616" s="7">
        <v>0</v>
      </c>
      <c r="G616" s="8"/>
    </row>
    <row r="617" spans="3:7" x14ac:dyDescent="0.2">
      <c r="C617" s="5"/>
      <c r="D617" s="6"/>
      <c r="E617" s="7"/>
      <c r="F617" s="7">
        <v>0</v>
      </c>
      <c r="G617" s="8"/>
    </row>
    <row r="618" spans="3:7" x14ac:dyDescent="0.2">
      <c r="C618" s="5"/>
      <c r="D618" s="6"/>
      <c r="E618" s="7"/>
      <c r="F618" s="7">
        <v>0</v>
      </c>
      <c r="G618" s="8"/>
    </row>
    <row r="619" spans="3:7" x14ac:dyDescent="0.2">
      <c r="C619" s="5"/>
      <c r="D619" s="6"/>
      <c r="E619" s="7"/>
      <c r="F619" s="7">
        <v>0</v>
      </c>
      <c r="G619" s="8"/>
    </row>
    <row r="620" spans="3:7" x14ac:dyDescent="0.2">
      <c r="C620" s="5"/>
      <c r="D620" s="6"/>
      <c r="E620" s="7"/>
      <c r="F620" s="7">
        <v>0</v>
      </c>
      <c r="G620" s="8"/>
    </row>
    <row r="621" spans="3:7" x14ac:dyDescent="0.2">
      <c r="C621" s="25" t="s">
        <v>3317</v>
      </c>
      <c r="D621" s="68">
        <v>1</v>
      </c>
      <c r="E621" s="13">
        <v>0</v>
      </c>
      <c r="F621" s="37"/>
      <c r="G621" s="29"/>
    </row>
    <row r="622" spans="3:7" x14ac:dyDescent="0.2">
      <c r="C622" s="29"/>
      <c r="D622" s="68"/>
      <c r="E622" s="13"/>
      <c r="F622" s="13"/>
      <c r="G622" s="29"/>
    </row>
    <row r="623" spans="3:7" x14ac:dyDescent="0.2">
      <c r="E623" s="9">
        <f>SUM(E606:E622)</f>
        <v>3909500</v>
      </c>
      <c r="F623" s="9">
        <f>SUM(F606:F622)</f>
        <v>0</v>
      </c>
      <c r="G623" s="9">
        <f>SUM(G606:G621)</f>
        <v>0</v>
      </c>
    </row>
    <row r="627" spans="3:14" ht="26" x14ac:dyDescent="0.3">
      <c r="C627" s="392" t="s">
        <v>3318</v>
      </c>
      <c r="D627" s="393"/>
      <c r="E627" s="393"/>
      <c r="F627" s="393"/>
      <c r="G627" s="393"/>
    </row>
    <row r="628" spans="3:14" x14ac:dyDescent="0.2">
      <c r="C628" s="29" t="s">
        <v>82</v>
      </c>
      <c r="D628" s="11" t="s">
        <v>3097</v>
      </c>
      <c r="E628" s="12" t="s">
        <v>1</v>
      </c>
      <c r="F628" s="12" t="s">
        <v>3140</v>
      </c>
      <c r="G628" s="12" t="s">
        <v>3249</v>
      </c>
    </row>
    <row r="629" spans="3:14" x14ac:dyDescent="0.2">
      <c r="C629" s="5" t="s">
        <v>3227</v>
      </c>
      <c r="D629" s="6">
        <v>1</v>
      </c>
      <c r="E629" s="46">
        <v>1500000</v>
      </c>
      <c r="F629" s="7">
        <v>0</v>
      </c>
      <c r="G629" s="7"/>
      <c r="M629">
        <v>3013204999</v>
      </c>
      <c r="N629" t="s">
        <v>3319</v>
      </c>
    </row>
    <row r="630" spans="3:14" x14ac:dyDescent="0.2">
      <c r="C630" s="5" t="s">
        <v>3256</v>
      </c>
      <c r="D630" s="6">
        <v>1</v>
      </c>
      <c r="E630" s="46">
        <v>500000</v>
      </c>
      <c r="F630" s="7">
        <v>0</v>
      </c>
      <c r="G630" s="8"/>
      <c r="M630">
        <v>3148191425</v>
      </c>
      <c r="N630" t="s">
        <v>3319</v>
      </c>
    </row>
    <row r="631" spans="3:14" x14ac:dyDescent="0.2">
      <c r="C631" s="5" t="s">
        <v>3228</v>
      </c>
      <c r="D631" s="6">
        <v>1</v>
      </c>
      <c r="E631" s="46">
        <v>500000</v>
      </c>
      <c r="F631" s="7">
        <v>0</v>
      </c>
      <c r="G631" s="8"/>
    </row>
    <row r="632" spans="3:14" x14ac:dyDescent="0.2">
      <c r="C632" s="5" t="s">
        <v>3230</v>
      </c>
      <c r="D632" s="6">
        <v>1</v>
      </c>
      <c r="E632" s="46">
        <v>200000</v>
      </c>
      <c r="F632" s="7">
        <v>0</v>
      </c>
      <c r="G632" s="8"/>
    </row>
    <row r="633" spans="3:14" x14ac:dyDescent="0.2">
      <c r="C633" s="5" t="s">
        <v>3316</v>
      </c>
      <c r="D633" s="6">
        <v>1</v>
      </c>
      <c r="E633" s="21">
        <v>250000</v>
      </c>
      <c r="F633" s="7">
        <v>0</v>
      </c>
      <c r="G633" s="8"/>
    </row>
    <row r="634" spans="3:14" x14ac:dyDescent="0.2">
      <c r="C634" s="5" t="s">
        <v>3297</v>
      </c>
      <c r="D634" s="6">
        <v>1</v>
      </c>
      <c r="E634" s="21">
        <v>53000</v>
      </c>
      <c r="F634" s="7">
        <v>0</v>
      </c>
      <c r="G634" s="8"/>
    </row>
    <row r="635" spans="3:14" x14ac:dyDescent="0.2">
      <c r="C635" s="5" t="s">
        <v>3173</v>
      </c>
      <c r="D635" s="6">
        <v>1</v>
      </c>
      <c r="E635" s="7">
        <v>111500</v>
      </c>
      <c r="F635" s="7">
        <v>0</v>
      </c>
      <c r="G635" s="8"/>
    </row>
    <row r="636" spans="3:14" ht="16" x14ac:dyDescent="0.2">
      <c r="C636" s="273" t="s">
        <v>3253</v>
      </c>
      <c r="D636" s="6">
        <v>1</v>
      </c>
      <c r="E636" s="7">
        <v>0</v>
      </c>
      <c r="F636" s="7">
        <v>0</v>
      </c>
      <c r="G636" s="7"/>
    </row>
    <row r="637" spans="3:14" x14ac:dyDescent="0.2">
      <c r="C637" s="5" t="s">
        <v>3172</v>
      </c>
      <c r="D637" s="6">
        <v>1</v>
      </c>
      <c r="E637" s="7">
        <v>245800</v>
      </c>
      <c r="F637" s="7">
        <v>0</v>
      </c>
      <c r="G637" s="7"/>
    </row>
    <row r="638" spans="3:14" x14ac:dyDescent="0.2">
      <c r="C638" s="5" t="s">
        <v>3310</v>
      </c>
      <c r="D638" s="6">
        <v>1</v>
      </c>
      <c r="E638" s="7">
        <v>230000</v>
      </c>
      <c r="F638" s="7">
        <v>0</v>
      </c>
      <c r="G638" s="8"/>
    </row>
    <row r="639" spans="3:14" x14ac:dyDescent="0.2">
      <c r="C639" s="5" t="s">
        <v>2020</v>
      </c>
      <c r="D639" s="6">
        <v>1</v>
      </c>
      <c r="E639" s="7">
        <v>107000</v>
      </c>
      <c r="F639" s="7">
        <v>0</v>
      </c>
      <c r="G639" s="8"/>
    </row>
    <row r="640" spans="3:14" x14ac:dyDescent="0.2">
      <c r="C640" s="5" t="s">
        <v>3320</v>
      </c>
      <c r="D640" s="6">
        <v>1</v>
      </c>
      <c r="E640" s="21">
        <v>868000</v>
      </c>
      <c r="F640" s="7">
        <v>0</v>
      </c>
      <c r="G640" s="8"/>
    </row>
    <row r="641" spans="3:8" x14ac:dyDescent="0.2">
      <c r="C641" s="5" t="s">
        <v>3321</v>
      </c>
      <c r="D641" s="6">
        <v>1</v>
      </c>
      <c r="E641" s="21">
        <v>115000</v>
      </c>
      <c r="F641" s="7">
        <v>0</v>
      </c>
      <c r="G641" s="8"/>
    </row>
    <row r="642" spans="3:8" x14ac:dyDescent="0.2">
      <c r="C642" s="5" t="s">
        <v>3322</v>
      </c>
      <c r="D642" s="6">
        <v>1</v>
      </c>
      <c r="E642" s="59">
        <v>20000</v>
      </c>
      <c r="F642" s="8">
        <v>0</v>
      </c>
      <c r="G642" s="8"/>
    </row>
    <row r="643" spans="3:8" x14ac:dyDescent="0.2">
      <c r="C643" s="5"/>
      <c r="D643" s="6">
        <v>1</v>
      </c>
      <c r="E643" s="8"/>
      <c r="F643" s="8"/>
      <c r="G643" s="8"/>
    </row>
    <row r="644" spans="3:8" x14ac:dyDescent="0.2">
      <c r="C644" s="5"/>
      <c r="D644" s="6">
        <v>1</v>
      </c>
      <c r="E644" s="8"/>
      <c r="F644" s="8"/>
      <c r="G644" s="8"/>
    </row>
    <row r="645" spans="3:8" x14ac:dyDescent="0.2">
      <c r="C645" s="5"/>
      <c r="D645" s="6">
        <v>1</v>
      </c>
      <c r="E645" s="8"/>
      <c r="F645" s="8"/>
      <c r="G645" s="8"/>
    </row>
    <row r="646" spans="3:8" x14ac:dyDescent="0.2">
      <c r="C646" s="25" t="s">
        <v>3317</v>
      </c>
      <c r="D646" s="68">
        <v>1</v>
      </c>
      <c r="E646" s="13">
        <v>0</v>
      </c>
      <c r="F646" s="37"/>
      <c r="G646" s="29"/>
      <c r="H646" s="13">
        <v>1780000</v>
      </c>
    </row>
    <row r="647" spans="3:8" x14ac:dyDescent="0.2">
      <c r="C647" s="29"/>
      <c r="D647" s="68"/>
      <c r="E647" s="13"/>
      <c r="F647" s="13"/>
      <c r="G647" s="29"/>
      <c r="H647" s="13">
        <v>50000</v>
      </c>
    </row>
    <row r="648" spans="3:8" x14ac:dyDescent="0.2">
      <c r="E648" s="9">
        <f>SUM(E629:E647)</f>
        <v>4700300</v>
      </c>
      <c r="F648" s="9">
        <f>SUM(F629:F647)</f>
        <v>0</v>
      </c>
      <c r="G648" s="9">
        <f>SUM(G629:G646)</f>
        <v>0</v>
      </c>
    </row>
    <row r="649" spans="3:8" x14ac:dyDescent="0.2">
      <c r="E649" s="1">
        <v>4700000</v>
      </c>
    </row>
    <row r="652" spans="3:8" ht="26" x14ac:dyDescent="0.3">
      <c r="C652" s="392" t="s">
        <v>3323</v>
      </c>
      <c r="D652" s="393"/>
      <c r="E652" s="393"/>
      <c r="F652" s="393"/>
      <c r="G652" s="393"/>
    </row>
    <row r="653" spans="3:8" x14ac:dyDescent="0.2">
      <c r="C653" s="29" t="s">
        <v>82</v>
      </c>
      <c r="D653" s="11" t="s">
        <v>3097</v>
      </c>
      <c r="E653" s="12" t="s">
        <v>1</v>
      </c>
      <c r="F653" s="12" t="s">
        <v>3140</v>
      </c>
      <c r="G653" s="12" t="s">
        <v>3249</v>
      </c>
    </row>
    <row r="654" spans="3:8" x14ac:dyDescent="0.2">
      <c r="C654" s="29" t="s">
        <v>3324</v>
      </c>
      <c r="D654" s="11"/>
      <c r="E654" s="45">
        <f>E664/2</f>
        <v>2836500</v>
      </c>
      <c r="F654" s="12"/>
      <c r="G654" s="12"/>
    </row>
    <row r="655" spans="3:8" x14ac:dyDescent="0.2">
      <c r="C655" s="5" t="s">
        <v>3325</v>
      </c>
      <c r="D655" s="6">
        <v>1</v>
      </c>
      <c r="E655" s="59">
        <v>80000</v>
      </c>
      <c r="F655" s="7">
        <v>0</v>
      </c>
      <c r="G655" s="8"/>
    </row>
    <row r="656" spans="3:8" x14ac:dyDescent="0.2">
      <c r="C656" s="5" t="s">
        <v>3326</v>
      </c>
      <c r="D656" s="6">
        <v>1</v>
      </c>
      <c r="E656" s="21">
        <v>200000</v>
      </c>
      <c r="F656" s="7">
        <v>0</v>
      </c>
      <c r="G656" s="8"/>
    </row>
    <row r="657" spans="3:7" x14ac:dyDescent="0.2">
      <c r="C657" s="5" t="s">
        <v>3327</v>
      </c>
      <c r="D657" s="6">
        <v>1</v>
      </c>
      <c r="E657" s="21">
        <v>300000</v>
      </c>
      <c r="F657" s="7">
        <v>0</v>
      </c>
      <c r="G657" s="8"/>
    </row>
    <row r="658" spans="3:7" x14ac:dyDescent="0.2">
      <c r="C658" s="5" t="s">
        <v>3328</v>
      </c>
      <c r="D658" s="6">
        <v>4</v>
      </c>
      <c r="E658" s="21">
        <f>4*38000</f>
        <v>152000</v>
      </c>
      <c r="F658" s="8">
        <v>0</v>
      </c>
      <c r="G658" s="8"/>
    </row>
    <row r="659" spans="3:7" x14ac:dyDescent="0.2">
      <c r="C659" s="5" t="s">
        <v>3329</v>
      </c>
      <c r="D659" s="6">
        <v>1</v>
      </c>
      <c r="E659" s="21">
        <v>2104000</v>
      </c>
      <c r="F659" s="8">
        <v>0</v>
      </c>
      <c r="G659" s="8"/>
    </row>
    <row r="660" spans="3:7" x14ac:dyDescent="0.2">
      <c r="C660" s="5"/>
      <c r="D660" s="6">
        <v>1</v>
      </c>
      <c r="E660" s="8"/>
      <c r="F660" s="8"/>
      <c r="G660" s="8"/>
    </row>
    <row r="661" spans="3:7" x14ac:dyDescent="0.2">
      <c r="C661" s="25" t="s">
        <v>3317</v>
      </c>
      <c r="D661" s="68">
        <v>1</v>
      </c>
      <c r="E661" s="13">
        <v>0</v>
      </c>
      <c r="F661" s="37"/>
      <c r="G661" s="29"/>
    </row>
    <row r="662" spans="3:7" x14ac:dyDescent="0.2">
      <c r="C662" s="29"/>
      <c r="D662" s="68"/>
      <c r="E662" s="13"/>
      <c r="F662" s="13"/>
      <c r="G662" s="29"/>
    </row>
    <row r="663" spans="3:7" x14ac:dyDescent="0.2">
      <c r="E663" s="9">
        <f>SUM(E654:E662)</f>
        <v>5672500</v>
      </c>
      <c r="F663" s="9">
        <f>SUM(F655:F662)</f>
        <v>0</v>
      </c>
      <c r="G663" s="9">
        <f>SUM(G655:G661)</f>
        <v>0</v>
      </c>
    </row>
    <row r="664" spans="3:7" x14ac:dyDescent="0.2">
      <c r="E664" s="1">
        <v>5673000</v>
      </c>
    </row>
    <row r="666" spans="3:7" x14ac:dyDescent="0.2">
      <c r="E666" s="3">
        <f>E664-E663</f>
        <v>500</v>
      </c>
    </row>
    <row r="668" spans="3:7" ht="26" x14ac:dyDescent="0.3">
      <c r="C668" s="392" t="s">
        <v>3330</v>
      </c>
      <c r="D668" s="393"/>
      <c r="E668" s="393"/>
      <c r="F668" s="393"/>
      <c r="G668" s="393"/>
    </row>
    <row r="669" spans="3:7" x14ac:dyDescent="0.2">
      <c r="C669" s="29" t="s">
        <v>82</v>
      </c>
      <c r="D669" s="11" t="s">
        <v>3097</v>
      </c>
      <c r="E669" s="12" t="s">
        <v>1</v>
      </c>
      <c r="F669" s="12" t="s">
        <v>3140</v>
      </c>
      <c r="G669" s="12" t="s">
        <v>3249</v>
      </c>
    </row>
    <row r="670" spans="3:7" x14ac:dyDescent="0.2">
      <c r="C670" s="5" t="s">
        <v>3227</v>
      </c>
      <c r="D670" s="6">
        <v>1</v>
      </c>
      <c r="E670" s="46">
        <v>1500000</v>
      </c>
      <c r="F670" s="7">
        <v>0</v>
      </c>
      <c r="G670" s="7"/>
    </row>
    <row r="671" spans="3:7" x14ac:dyDescent="0.2">
      <c r="C671" s="5" t="s">
        <v>3256</v>
      </c>
      <c r="D671" s="6">
        <v>1</v>
      </c>
      <c r="E671" s="46">
        <v>500000</v>
      </c>
      <c r="F671" s="7">
        <v>0</v>
      </c>
      <c r="G671" s="8"/>
    </row>
    <row r="672" spans="3:7" x14ac:dyDescent="0.2">
      <c r="C672" s="5" t="s">
        <v>3228</v>
      </c>
      <c r="D672" s="6">
        <v>1</v>
      </c>
      <c r="E672" s="46">
        <v>500000</v>
      </c>
      <c r="F672" s="7">
        <v>0</v>
      </c>
      <c r="G672" s="8"/>
    </row>
    <row r="673" spans="3:10" x14ac:dyDescent="0.2">
      <c r="C673" s="5" t="s">
        <v>3230</v>
      </c>
      <c r="D673" s="6">
        <v>1</v>
      </c>
      <c r="E673" s="46">
        <v>200000</v>
      </c>
      <c r="F673" s="7">
        <v>0</v>
      </c>
      <c r="G673" s="8"/>
      <c r="J673">
        <f>3000000*1.5%</f>
        <v>45000</v>
      </c>
    </row>
    <row r="674" spans="3:10" x14ac:dyDescent="0.2">
      <c r="C674" s="5" t="s">
        <v>3316</v>
      </c>
      <c r="D674" s="6">
        <v>1</v>
      </c>
      <c r="E674" s="21">
        <v>250000</v>
      </c>
      <c r="F674" s="7">
        <v>0</v>
      </c>
      <c r="G674" s="8"/>
    </row>
    <row r="675" spans="3:10" x14ac:dyDescent="0.2">
      <c r="C675" s="5" t="s">
        <v>3297</v>
      </c>
      <c r="D675" s="6">
        <v>1</v>
      </c>
      <c r="E675" s="21">
        <v>45000</v>
      </c>
      <c r="F675" s="7">
        <v>0</v>
      </c>
      <c r="G675" s="8"/>
    </row>
    <row r="676" spans="3:10" x14ac:dyDescent="0.2">
      <c r="C676" s="5" t="s">
        <v>3173</v>
      </c>
      <c r="D676" s="6">
        <v>1</v>
      </c>
      <c r="E676" s="21">
        <v>111500</v>
      </c>
      <c r="F676" s="7">
        <v>0</v>
      </c>
      <c r="G676" s="8"/>
    </row>
    <row r="677" spans="3:10" x14ac:dyDescent="0.2">
      <c r="C677" s="5" t="s">
        <v>3172</v>
      </c>
      <c r="D677" s="6">
        <v>1</v>
      </c>
      <c r="E677" s="21">
        <v>245800</v>
      </c>
      <c r="F677" s="7">
        <v>0</v>
      </c>
      <c r="G677" s="7"/>
    </row>
    <row r="678" spans="3:10" x14ac:dyDescent="0.2">
      <c r="C678" s="5" t="s">
        <v>3331</v>
      </c>
      <c r="D678" s="6">
        <v>1</v>
      </c>
      <c r="E678" s="21">
        <v>107000</v>
      </c>
      <c r="F678" s="7">
        <v>0</v>
      </c>
      <c r="G678" s="8"/>
    </row>
    <row r="679" spans="3:10" x14ac:dyDescent="0.2">
      <c r="C679" s="5" t="s">
        <v>3332</v>
      </c>
      <c r="D679" s="6">
        <v>1</v>
      </c>
      <c r="E679" s="21">
        <v>107000</v>
      </c>
      <c r="F679" s="7">
        <v>0</v>
      </c>
      <c r="G679" s="8"/>
    </row>
    <row r="680" spans="3:10" x14ac:dyDescent="0.2">
      <c r="C680" s="5" t="s">
        <v>3333</v>
      </c>
      <c r="D680" s="6">
        <v>1</v>
      </c>
      <c r="E680" s="21">
        <v>281000</v>
      </c>
      <c r="F680" s="7">
        <v>0</v>
      </c>
      <c r="G680" s="8"/>
    </row>
    <row r="681" spans="3:10" x14ac:dyDescent="0.2">
      <c r="C681" s="5" t="s">
        <v>3334</v>
      </c>
      <c r="D681" s="6">
        <v>1</v>
      </c>
      <c r="E681" s="21">
        <v>206000</v>
      </c>
      <c r="F681" s="7">
        <v>0</v>
      </c>
      <c r="G681" s="8"/>
    </row>
    <row r="682" spans="3:10" x14ac:dyDescent="0.2">
      <c r="C682" s="5" t="s">
        <v>3335</v>
      </c>
      <c r="D682" s="6">
        <v>1</v>
      </c>
      <c r="E682" s="21">
        <v>600000</v>
      </c>
      <c r="F682" s="7">
        <v>0</v>
      </c>
      <c r="G682" s="8"/>
    </row>
    <row r="683" spans="3:10" x14ac:dyDescent="0.2">
      <c r="C683" s="5"/>
      <c r="D683" s="6"/>
      <c r="E683" s="8"/>
      <c r="F683" s="8"/>
      <c r="G683" s="8"/>
    </row>
    <row r="684" spans="3:10" x14ac:dyDescent="0.2">
      <c r="C684" s="25" t="s">
        <v>3317</v>
      </c>
      <c r="D684" s="68">
        <v>1</v>
      </c>
      <c r="E684" s="13">
        <v>0</v>
      </c>
      <c r="F684" s="37"/>
      <c r="G684" s="29"/>
      <c r="H684" s="13">
        <v>1780000</v>
      </c>
    </row>
    <row r="685" spans="3:10" x14ac:dyDescent="0.2">
      <c r="C685" s="29"/>
      <c r="D685" s="68"/>
      <c r="E685" s="13"/>
      <c r="F685" s="13"/>
      <c r="G685" s="29"/>
      <c r="H685" s="13">
        <v>50000</v>
      </c>
    </row>
    <row r="686" spans="3:10" x14ac:dyDescent="0.2">
      <c r="E686" s="9">
        <f>SUM(E670:E685)</f>
        <v>4653300</v>
      </c>
      <c r="F686" s="9">
        <f>SUM(F670:F685)</f>
        <v>0</v>
      </c>
      <c r="G686" s="9">
        <f>SUM(G670:G684)</f>
        <v>0</v>
      </c>
    </row>
    <row r="687" spans="3:10" x14ac:dyDescent="0.2">
      <c r="E687" s="1">
        <v>4700000</v>
      </c>
    </row>
    <row r="688" spans="3:10" x14ac:dyDescent="0.2">
      <c r="E688" s="92">
        <f>E687-E686</f>
        <v>46700</v>
      </c>
    </row>
    <row r="690" spans="3:7" ht="26" x14ac:dyDescent="0.3">
      <c r="C690" s="391" t="s">
        <v>3336</v>
      </c>
      <c r="D690" s="391"/>
      <c r="E690" s="391"/>
      <c r="F690" s="391"/>
      <c r="G690" s="391"/>
    </row>
    <row r="691" spans="3:7" x14ac:dyDescent="0.2">
      <c r="C691" s="29" t="s">
        <v>82</v>
      </c>
      <c r="D691" s="11" t="s">
        <v>3097</v>
      </c>
      <c r="E691" s="12" t="s">
        <v>1</v>
      </c>
      <c r="F691" s="12" t="s">
        <v>3140</v>
      </c>
      <c r="G691" s="12" t="s">
        <v>3249</v>
      </c>
    </row>
    <row r="692" spans="3:7" x14ac:dyDescent="0.2">
      <c r="C692" s="5" t="s">
        <v>3337</v>
      </c>
      <c r="D692" s="6">
        <v>1</v>
      </c>
      <c r="E692" s="21">
        <f>4932000/2</f>
        <v>2466000</v>
      </c>
      <c r="F692" s="7">
        <v>0</v>
      </c>
      <c r="G692" s="7"/>
    </row>
    <row r="693" spans="3:7" x14ac:dyDescent="0.2">
      <c r="C693" s="5" t="s">
        <v>3338</v>
      </c>
      <c r="D693" s="6">
        <v>1</v>
      </c>
      <c r="E693" s="21">
        <v>2000000</v>
      </c>
      <c r="F693" s="7">
        <v>0</v>
      </c>
      <c r="G693" s="8"/>
    </row>
    <row r="694" spans="3:7" x14ac:dyDescent="0.2">
      <c r="C694" s="5" t="s">
        <v>3339</v>
      </c>
      <c r="D694" s="6">
        <v>1</v>
      </c>
      <c r="E694" s="21">
        <v>72000</v>
      </c>
      <c r="F694" s="7">
        <v>0</v>
      </c>
      <c r="G694" s="8"/>
    </row>
    <row r="695" spans="3:7" x14ac:dyDescent="0.2">
      <c r="C695" s="5" t="s">
        <v>3340</v>
      </c>
      <c r="D695" s="6">
        <v>1</v>
      </c>
      <c r="E695" s="21">
        <v>287000</v>
      </c>
      <c r="F695" s="7">
        <v>0</v>
      </c>
      <c r="G695" s="8"/>
    </row>
    <row r="696" spans="3:7" x14ac:dyDescent="0.2">
      <c r="C696" s="5" t="s">
        <v>2020</v>
      </c>
      <c r="D696" s="6">
        <v>1</v>
      </c>
      <c r="E696" s="21">
        <v>107000</v>
      </c>
      <c r="F696" s="7">
        <v>0</v>
      </c>
      <c r="G696" s="8"/>
    </row>
    <row r="697" spans="3:7" x14ac:dyDescent="0.2">
      <c r="C697" s="5"/>
      <c r="D697" s="6"/>
      <c r="E697" s="7"/>
      <c r="F697" s="7"/>
      <c r="G697" s="8"/>
    </row>
    <row r="698" spans="3:7" x14ac:dyDescent="0.2">
      <c r="C698" s="5"/>
      <c r="D698" s="6"/>
      <c r="E698" s="7"/>
      <c r="F698" s="7"/>
      <c r="G698" s="8"/>
    </row>
    <row r="699" spans="3:7" x14ac:dyDescent="0.2">
      <c r="C699" s="5"/>
      <c r="D699" s="6"/>
      <c r="E699" s="7"/>
      <c r="F699" s="7"/>
      <c r="G699" s="8"/>
    </row>
    <row r="700" spans="3:7" x14ac:dyDescent="0.2">
      <c r="E700" s="9">
        <f>SUM(E692:E699)</f>
        <v>4932000</v>
      </c>
      <c r="F700" s="9">
        <f>SUM(F692:F699)</f>
        <v>0</v>
      </c>
      <c r="G700" s="9">
        <f>SUM(G692:G699)</f>
        <v>0</v>
      </c>
    </row>
    <row r="701" spans="3:7" x14ac:dyDescent="0.2">
      <c r="E701" s="1">
        <v>4932000</v>
      </c>
    </row>
    <row r="702" spans="3:7" x14ac:dyDescent="0.2">
      <c r="E702" s="92">
        <f>E701-E700</f>
        <v>0</v>
      </c>
    </row>
    <row r="704" spans="3:7" ht="26" x14ac:dyDescent="0.3">
      <c r="C704" s="392" t="s">
        <v>3341</v>
      </c>
      <c r="D704" s="393"/>
      <c r="E704" s="393"/>
      <c r="F704" s="393"/>
      <c r="G704" s="393"/>
    </row>
    <row r="705" spans="3:7" x14ac:dyDescent="0.2">
      <c r="C705" s="29" t="s">
        <v>82</v>
      </c>
      <c r="D705" s="11" t="s">
        <v>3097</v>
      </c>
      <c r="E705" s="12" t="s">
        <v>1</v>
      </c>
      <c r="F705" s="12" t="s">
        <v>3140</v>
      </c>
      <c r="G705" s="12" t="s">
        <v>3249</v>
      </c>
    </row>
    <row r="706" spans="3:7" x14ac:dyDescent="0.2">
      <c r="C706" s="5" t="s">
        <v>3227</v>
      </c>
      <c r="D706" s="6">
        <v>1</v>
      </c>
      <c r="E706" s="46">
        <v>1500000</v>
      </c>
      <c r="F706" s="7">
        <v>0</v>
      </c>
      <c r="G706" s="7"/>
    </row>
    <row r="707" spans="3:7" x14ac:dyDescent="0.2">
      <c r="C707" s="5" t="s">
        <v>3256</v>
      </c>
      <c r="D707" s="6">
        <v>1</v>
      </c>
      <c r="E707" s="46">
        <v>500000</v>
      </c>
      <c r="F707" s="7">
        <v>0</v>
      </c>
      <c r="G707" s="8"/>
    </row>
    <row r="708" spans="3:7" x14ac:dyDescent="0.2">
      <c r="C708" s="5" t="s">
        <v>3228</v>
      </c>
      <c r="D708" s="6">
        <v>1</v>
      </c>
      <c r="E708" s="46">
        <v>500000</v>
      </c>
      <c r="F708" s="7">
        <v>0</v>
      </c>
      <c r="G708" s="8"/>
    </row>
    <row r="709" spans="3:7" x14ac:dyDescent="0.2">
      <c r="C709" s="5" t="s">
        <v>3230</v>
      </c>
      <c r="D709" s="6">
        <v>1</v>
      </c>
      <c r="E709" s="46">
        <v>150000</v>
      </c>
      <c r="F709" s="7">
        <v>50000</v>
      </c>
      <c r="G709" s="8"/>
    </row>
    <row r="710" spans="3:7" x14ac:dyDescent="0.2">
      <c r="C710" s="5" t="s">
        <v>3316</v>
      </c>
      <c r="D710" s="6">
        <v>1</v>
      </c>
      <c r="E710" s="7">
        <v>0</v>
      </c>
      <c r="F710" s="21">
        <v>250000</v>
      </c>
      <c r="G710" s="8"/>
    </row>
    <row r="711" spans="3:7" x14ac:dyDescent="0.2">
      <c r="C711" s="5" t="s">
        <v>3173</v>
      </c>
      <c r="D711" s="6">
        <v>1</v>
      </c>
      <c r="E711" s="7">
        <v>0</v>
      </c>
      <c r="F711" s="21">
        <v>115000</v>
      </c>
      <c r="G711" s="8"/>
    </row>
    <row r="712" spans="3:7" x14ac:dyDescent="0.2">
      <c r="C712" s="5" t="s">
        <v>3172</v>
      </c>
      <c r="D712" s="6">
        <v>1</v>
      </c>
      <c r="E712" s="7">
        <v>0</v>
      </c>
      <c r="F712" s="21">
        <v>255000</v>
      </c>
      <c r="G712" s="7"/>
    </row>
    <row r="713" spans="3:7" x14ac:dyDescent="0.2">
      <c r="C713" s="5" t="s">
        <v>3342</v>
      </c>
      <c r="D713" s="6">
        <v>1</v>
      </c>
      <c r="E713" s="7">
        <v>0</v>
      </c>
      <c r="F713" s="21">
        <v>291000</v>
      </c>
      <c r="G713" s="7"/>
    </row>
    <row r="714" spans="3:7" x14ac:dyDescent="0.2">
      <c r="C714" s="5" t="s">
        <v>3343</v>
      </c>
      <c r="D714" s="6">
        <v>1</v>
      </c>
      <c r="E714" s="7">
        <v>0</v>
      </c>
      <c r="F714" s="21">
        <v>110000</v>
      </c>
      <c r="G714" s="8"/>
    </row>
    <row r="715" spans="3:7" x14ac:dyDescent="0.2">
      <c r="C715" s="5" t="s">
        <v>3344</v>
      </c>
      <c r="D715" s="6">
        <v>1</v>
      </c>
      <c r="E715" s="7">
        <v>0</v>
      </c>
      <c r="F715" s="59">
        <v>400000</v>
      </c>
      <c r="G715" s="7"/>
    </row>
    <row r="716" spans="3:7" x14ac:dyDescent="0.2">
      <c r="C716" s="5" t="s">
        <v>3297</v>
      </c>
      <c r="D716" s="6">
        <v>1</v>
      </c>
      <c r="E716" s="7">
        <v>0</v>
      </c>
      <c r="F716" s="21">
        <v>45000</v>
      </c>
      <c r="G716" s="8"/>
    </row>
    <row r="717" spans="3:7" x14ac:dyDescent="0.2">
      <c r="C717" s="5" t="s">
        <v>3345</v>
      </c>
      <c r="D717" s="6">
        <v>1</v>
      </c>
      <c r="E717" s="7">
        <v>0</v>
      </c>
      <c r="F717" s="21">
        <v>107000</v>
      </c>
      <c r="G717" s="7"/>
    </row>
    <row r="718" spans="3:7" x14ac:dyDescent="0.2">
      <c r="C718" s="5" t="s">
        <v>3346</v>
      </c>
      <c r="D718" s="6">
        <v>1</v>
      </c>
      <c r="E718" s="7">
        <v>0</v>
      </c>
      <c r="F718" s="21">
        <v>73800</v>
      </c>
      <c r="G718" s="8"/>
    </row>
    <row r="719" spans="3:7" x14ac:dyDescent="0.2">
      <c r="C719" s="5" t="s">
        <v>3347</v>
      </c>
      <c r="D719" s="6">
        <v>1</v>
      </c>
      <c r="E719" s="7">
        <v>0</v>
      </c>
      <c r="F719" s="59">
        <v>375500</v>
      </c>
      <c r="G719" s="7"/>
    </row>
    <row r="720" spans="3:7" x14ac:dyDescent="0.2">
      <c r="C720" s="5" t="s">
        <v>3348</v>
      </c>
      <c r="D720" s="6">
        <v>1</v>
      </c>
      <c r="E720" s="7">
        <v>0</v>
      </c>
      <c r="F720" s="59">
        <v>296500</v>
      </c>
      <c r="G720" s="7"/>
    </row>
    <row r="721" spans="3:7" x14ac:dyDescent="0.2">
      <c r="C721" s="5" t="s">
        <v>3349</v>
      </c>
      <c r="D721" s="6">
        <v>1</v>
      </c>
      <c r="E721" s="7">
        <v>0</v>
      </c>
      <c r="F721" s="59">
        <v>296500</v>
      </c>
      <c r="G721" s="7"/>
    </row>
    <row r="722" spans="3:7" x14ac:dyDescent="0.2">
      <c r="C722" s="5" t="s">
        <v>3350</v>
      </c>
      <c r="D722" s="6">
        <v>1</v>
      </c>
      <c r="E722" s="7">
        <v>0</v>
      </c>
      <c r="F722" s="21">
        <v>671000</v>
      </c>
      <c r="G722" s="8"/>
    </row>
    <row r="723" spans="3:7" x14ac:dyDescent="0.2">
      <c r="C723" s="5"/>
      <c r="D723" s="6"/>
      <c r="E723" s="8"/>
      <c r="F723" s="8"/>
      <c r="G723" s="8"/>
    </row>
    <row r="724" spans="3:7" x14ac:dyDescent="0.2">
      <c r="C724" s="25" t="s">
        <v>3317</v>
      </c>
      <c r="D724" s="68">
        <v>1</v>
      </c>
      <c r="E724" s="13">
        <v>0</v>
      </c>
      <c r="F724" s="37"/>
      <c r="G724" s="29"/>
    </row>
    <row r="725" spans="3:7" x14ac:dyDescent="0.2">
      <c r="C725" s="29"/>
      <c r="D725" s="68"/>
      <c r="E725" s="13"/>
      <c r="F725" s="13"/>
      <c r="G725" s="29"/>
    </row>
    <row r="726" spans="3:7" x14ac:dyDescent="0.2">
      <c r="E726" s="9">
        <f>SUM(E706:E725)</f>
        <v>2650000</v>
      </c>
      <c r="F726" s="9">
        <f>SUM(F706:F725)</f>
        <v>3336300</v>
      </c>
      <c r="G726" s="9">
        <f>SUM(G706:G724)</f>
        <v>0</v>
      </c>
    </row>
    <row r="729" spans="3:7" ht="26" x14ac:dyDescent="0.3">
      <c r="C729" s="392" t="s">
        <v>3351</v>
      </c>
      <c r="D729" s="393"/>
      <c r="E729" s="393"/>
      <c r="F729" s="393"/>
      <c r="G729" s="393"/>
    </row>
    <row r="730" spans="3:7" x14ac:dyDescent="0.2">
      <c r="C730" s="29" t="s">
        <v>82</v>
      </c>
      <c r="D730" s="11" t="s">
        <v>3097</v>
      </c>
      <c r="E730" s="12" t="s">
        <v>1</v>
      </c>
      <c r="F730" s="12" t="s">
        <v>3140</v>
      </c>
      <c r="G730" s="12" t="s">
        <v>3249</v>
      </c>
    </row>
    <row r="731" spans="3:7" x14ac:dyDescent="0.2">
      <c r="C731" s="5" t="s">
        <v>3227</v>
      </c>
      <c r="D731" s="6">
        <v>1</v>
      </c>
      <c r="E731" s="46">
        <v>1500000</v>
      </c>
      <c r="F731" s="7">
        <v>0</v>
      </c>
      <c r="G731" s="7"/>
    </row>
    <row r="732" spans="3:7" x14ac:dyDescent="0.2">
      <c r="C732" s="5" t="s">
        <v>3256</v>
      </c>
      <c r="D732" s="6">
        <v>1</v>
      </c>
      <c r="E732" s="46">
        <v>500000</v>
      </c>
      <c r="F732" s="7">
        <v>0</v>
      </c>
      <c r="G732" s="8"/>
    </row>
    <row r="733" spans="3:7" x14ac:dyDescent="0.2">
      <c r="C733" s="5" t="s">
        <v>3228</v>
      </c>
      <c r="D733" s="6">
        <v>1</v>
      </c>
      <c r="E733" s="46">
        <v>500000</v>
      </c>
      <c r="F733" s="7">
        <v>0</v>
      </c>
      <c r="G733" s="8"/>
    </row>
    <row r="734" spans="3:7" x14ac:dyDescent="0.2">
      <c r="C734" s="5" t="s">
        <v>3230</v>
      </c>
      <c r="D734" s="6">
        <v>1</v>
      </c>
      <c r="E734" s="46">
        <v>200000</v>
      </c>
      <c r="F734" s="7">
        <v>0</v>
      </c>
      <c r="G734" s="8"/>
    </row>
    <row r="735" spans="3:7" x14ac:dyDescent="0.2">
      <c r="C735" s="5" t="s">
        <v>3316</v>
      </c>
      <c r="D735" s="6">
        <v>1</v>
      </c>
      <c r="E735" s="13">
        <v>250000</v>
      </c>
      <c r="F735" s="7">
        <v>0</v>
      </c>
      <c r="G735" s="8"/>
    </row>
    <row r="736" spans="3:7" x14ac:dyDescent="0.2">
      <c r="C736" s="5" t="s">
        <v>3173</v>
      </c>
      <c r="D736" s="6">
        <v>1</v>
      </c>
      <c r="E736" s="17">
        <v>115000</v>
      </c>
      <c r="F736" s="7">
        <v>0</v>
      </c>
      <c r="G736" s="8"/>
    </row>
    <row r="737" spans="3:7" x14ac:dyDescent="0.2">
      <c r="C737" s="5" t="s">
        <v>3172</v>
      </c>
      <c r="D737" s="6">
        <v>1</v>
      </c>
      <c r="E737" s="17">
        <v>255000</v>
      </c>
      <c r="F737" s="7">
        <v>0</v>
      </c>
      <c r="G737" s="7"/>
    </row>
    <row r="738" spans="3:7" x14ac:dyDescent="0.2">
      <c r="C738" s="5" t="s">
        <v>3342</v>
      </c>
      <c r="D738" s="6">
        <v>1</v>
      </c>
      <c r="E738" s="17">
        <v>291000</v>
      </c>
      <c r="F738" s="7">
        <v>0</v>
      </c>
      <c r="G738" s="7"/>
    </row>
    <row r="739" spans="3:7" x14ac:dyDescent="0.2">
      <c r="C739" s="5" t="s">
        <v>3343</v>
      </c>
      <c r="D739" s="6">
        <v>1</v>
      </c>
      <c r="E739" s="17">
        <v>110000</v>
      </c>
      <c r="F739" s="7">
        <f>E739-110000</f>
        <v>0</v>
      </c>
      <c r="G739" s="8"/>
    </row>
    <row r="740" spans="3:7" x14ac:dyDescent="0.2">
      <c r="C740" s="5" t="s">
        <v>3297</v>
      </c>
      <c r="D740" s="6">
        <v>1</v>
      </c>
      <c r="E740" s="13">
        <v>45000</v>
      </c>
      <c r="F740" s="7">
        <v>0</v>
      </c>
      <c r="G740" s="8"/>
    </row>
    <row r="741" spans="3:7" x14ac:dyDescent="0.2">
      <c r="C741" s="5" t="s">
        <v>3345</v>
      </c>
      <c r="D741" s="6">
        <v>1</v>
      </c>
      <c r="E741" s="17">
        <v>107000</v>
      </c>
      <c r="F741" s="7">
        <v>0</v>
      </c>
      <c r="G741" s="7"/>
    </row>
    <row r="742" spans="3:7" x14ac:dyDescent="0.2">
      <c r="C742" s="5" t="s">
        <v>3346</v>
      </c>
      <c r="D742" s="6">
        <v>1</v>
      </c>
      <c r="E742" s="17">
        <v>73800</v>
      </c>
      <c r="F742" s="7">
        <v>0</v>
      </c>
      <c r="G742" s="8"/>
    </row>
    <row r="743" spans="3:7" x14ac:dyDescent="0.2">
      <c r="C743" s="5" t="s">
        <v>3352</v>
      </c>
      <c r="D743" s="6">
        <v>1</v>
      </c>
      <c r="E743" s="13">
        <v>200000</v>
      </c>
      <c r="F743" s="7">
        <v>0</v>
      </c>
      <c r="G743" s="8"/>
    </row>
    <row r="744" spans="3:7" x14ac:dyDescent="0.2">
      <c r="C744" s="19" t="s">
        <v>3353</v>
      </c>
      <c r="D744" s="20"/>
      <c r="E744" s="21">
        <v>145500</v>
      </c>
      <c r="F744" s="7">
        <v>0</v>
      </c>
      <c r="G744" s="8"/>
    </row>
    <row r="745" spans="3:7" x14ac:dyDescent="0.2">
      <c r="C745" s="19" t="s">
        <v>3354</v>
      </c>
      <c r="D745" s="20"/>
      <c r="E745" s="21">
        <v>296000</v>
      </c>
      <c r="F745" s="7">
        <v>0</v>
      </c>
      <c r="G745" s="8"/>
    </row>
    <row r="746" spans="3:7" x14ac:dyDescent="0.2">
      <c r="C746" s="19" t="s">
        <v>3355</v>
      </c>
      <c r="D746" s="20"/>
      <c r="E746" s="21">
        <f>392000-F746</f>
        <v>211700</v>
      </c>
      <c r="F746" s="21">
        <v>180300</v>
      </c>
      <c r="G746" s="8"/>
    </row>
    <row r="747" spans="3:7" x14ac:dyDescent="0.2">
      <c r="C747" s="5" t="s">
        <v>174</v>
      </c>
      <c r="D747" s="6"/>
      <c r="E747" s="21">
        <v>0</v>
      </c>
      <c r="F747" s="21">
        <v>50000</v>
      </c>
      <c r="G747" s="8"/>
    </row>
    <row r="748" spans="3:7" x14ac:dyDescent="0.2">
      <c r="C748" s="5" t="s">
        <v>3356</v>
      </c>
      <c r="D748" s="6"/>
      <c r="E748" s="21">
        <v>0</v>
      </c>
      <c r="F748" s="21">
        <v>25000</v>
      </c>
      <c r="G748" s="8"/>
    </row>
    <row r="749" spans="3:7" x14ac:dyDescent="0.2">
      <c r="C749" s="5" t="s">
        <v>3357</v>
      </c>
      <c r="D749" s="6"/>
      <c r="E749" s="21">
        <v>0</v>
      </c>
      <c r="F749" s="21">
        <v>70000</v>
      </c>
      <c r="G749" s="8"/>
    </row>
    <row r="750" spans="3:7" x14ac:dyDescent="0.2">
      <c r="C750" s="5" t="s">
        <v>3358</v>
      </c>
      <c r="D750" s="6"/>
      <c r="E750" s="21">
        <v>0</v>
      </c>
      <c r="F750" s="21">
        <v>25000</v>
      </c>
      <c r="G750" s="8"/>
    </row>
    <row r="751" spans="3:7" x14ac:dyDescent="0.2">
      <c r="C751" s="5" t="s">
        <v>3359</v>
      </c>
      <c r="D751" s="6"/>
      <c r="E751" s="21">
        <v>0</v>
      </c>
      <c r="F751" s="21">
        <v>398500</v>
      </c>
      <c r="G751" s="8"/>
    </row>
    <row r="752" spans="3:7" x14ac:dyDescent="0.2">
      <c r="C752" s="5"/>
      <c r="D752" s="6"/>
      <c r="E752" s="7"/>
      <c r="F752" s="7"/>
      <c r="G752" s="8"/>
    </row>
    <row r="753" spans="3:7" x14ac:dyDescent="0.2">
      <c r="C753" s="25" t="s">
        <v>3317</v>
      </c>
      <c r="D753" s="68">
        <v>1</v>
      </c>
      <c r="E753" s="13">
        <v>0</v>
      </c>
      <c r="F753" s="37"/>
      <c r="G753" s="29"/>
    </row>
    <row r="754" spans="3:7" x14ac:dyDescent="0.2">
      <c r="C754" s="29"/>
      <c r="D754" s="68"/>
      <c r="E754" s="13"/>
      <c r="F754" s="13"/>
      <c r="G754" s="29"/>
    </row>
    <row r="755" spans="3:7" x14ac:dyDescent="0.2">
      <c r="E755" s="9">
        <f>SUM(E731:E754)</f>
        <v>4800000</v>
      </c>
      <c r="F755" s="9">
        <f>SUM(F731:F754)</f>
        <v>748800</v>
      </c>
      <c r="G755" s="9">
        <f>SUM(G731:G753)</f>
        <v>0</v>
      </c>
    </row>
    <row r="756" spans="3:7" x14ac:dyDescent="0.2">
      <c r="E756" s="1">
        <v>4800000</v>
      </c>
    </row>
    <row r="757" spans="3:7" x14ac:dyDescent="0.2">
      <c r="E757" s="3">
        <f>E756-E755</f>
        <v>0</v>
      </c>
    </row>
    <row r="759" spans="3:7" ht="26" x14ac:dyDescent="0.3">
      <c r="C759" s="392" t="s">
        <v>3360</v>
      </c>
      <c r="D759" s="393"/>
      <c r="E759" s="393"/>
      <c r="F759" s="393"/>
      <c r="G759" s="393"/>
    </row>
    <row r="760" spans="3:7" x14ac:dyDescent="0.2">
      <c r="C760" s="29" t="s">
        <v>82</v>
      </c>
      <c r="D760" s="11" t="s">
        <v>3097</v>
      </c>
      <c r="E760" s="12" t="s">
        <v>1</v>
      </c>
      <c r="F760" s="12" t="s">
        <v>3140</v>
      </c>
      <c r="G760" s="12" t="s">
        <v>3249</v>
      </c>
    </row>
    <row r="761" spans="3:7" x14ac:dyDescent="0.2">
      <c r="C761" s="5" t="s">
        <v>3227</v>
      </c>
      <c r="D761" s="6">
        <v>1</v>
      </c>
      <c r="E761" s="46">
        <v>1500000</v>
      </c>
      <c r="F761" s="7">
        <v>0</v>
      </c>
      <c r="G761" s="7"/>
    </row>
    <row r="762" spans="3:7" x14ac:dyDescent="0.2">
      <c r="C762" s="5" t="s">
        <v>3256</v>
      </c>
      <c r="D762" s="6">
        <v>1</v>
      </c>
      <c r="E762" s="46">
        <v>500000</v>
      </c>
      <c r="F762" s="7">
        <v>0</v>
      </c>
      <c r="G762" s="8"/>
    </row>
    <row r="763" spans="3:7" x14ac:dyDescent="0.2">
      <c r="C763" s="5" t="s">
        <v>3228</v>
      </c>
      <c r="D763" s="6">
        <v>1</v>
      </c>
      <c r="E763" s="46">
        <v>500000</v>
      </c>
      <c r="F763" s="7">
        <v>0</v>
      </c>
      <c r="G763" s="8"/>
    </row>
    <row r="764" spans="3:7" x14ac:dyDescent="0.2">
      <c r="C764" s="5" t="s">
        <v>3230</v>
      </c>
      <c r="D764" s="6">
        <v>1</v>
      </c>
      <c r="E764" s="46">
        <v>200000</v>
      </c>
      <c r="F764" s="7">
        <v>0</v>
      </c>
      <c r="G764" s="8"/>
    </row>
    <row r="765" spans="3:7" x14ac:dyDescent="0.2">
      <c r="C765" s="5" t="s">
        <v>3316</v>
      </c>
      <c r="D765" s="6">
        <v>1</v>
      </c>
      <c r="E765" s="13">
        <v>250000</v>
      </c>
      <c r="F765" s="7">
        <v>0</v>
      </c>
      <c r="G765" s="8"/>
    </row>
    <row r="766" spans="3:7" x14ac:dyDescent="0.2">
      <c r="C766" s="5" t="s">
        <v>3297</v>
      </c>
      <c r="D766" s="6">
        <v>1</v>
      </c>
      <c r="E766" s="13">
        <v>45000</v>
      </c>
      <c r="F766" s="7">
        <v>0</v>
      </c>
      <c r="G766" s="8"/>
    </row>
    <row r="767" spans="3:7" x14ac:dyDescent="0.2">
      <c r="C767" s="5" t="s">
        <v>3173</v>
      </c>
      <c r="D767" s="6">
        <v>1</v>
      </c>
      <c r="E767" s="13">
        <v>115000</v>
      </c>
      <c r="F767" s="7">
        <v>0</v>
      </c>
      <c r="G767" s="8"/>
    </row>
    <row r="768" spans="3:7" x14ac:dyDescent="0.2">
      <c r="C768" s="5" t="s">
        <v>3361</v>
      </c>
      <c r="D768" s="6">
        <v>1</v>
      </c>
      <c r="E768" s="13">
        <v>255000</v>
      </c>
      <c r="F768" s="7">
        <v>0</v>
      </c>
      <c r="G768" s="7"/>
    </row>
    <row r="769" spans="3:7" x14ac:dyDescent="0.2">
      <c r="C769" s="5" t="s">
        <v>3362</v>
      </c>
      <c r="D769" s="6">
        <v>1</v>
      </c>
      <c r="E769" s="13">
        <v>291000</v>
      </c>
      <c r="F769" s="7">
        <v>0</v>
      </c>
      <c r="G769" s="7"/>
    </row>
    <row r="770" spans="3:7" x14ac:dyDescent="0.2">
      <c r="C770" s="5" t="s">
        <v>3363</v>
      </c>
      <c r="D770" s="6">
        <v>1</v>
      </c>
      <c r="E770" s="13">
        <v>255500</v>
      </c>
      <c r="F770" s="7">
        <v>0</v>
      </c>
      <c r="G770" s="8"/>
    </row>
    <row r="771" spans="3:7" x14ac:dyDescent="0.2">
      <c r="C771" s="5" t="s">
        <v>3364</v>
      </c>
      <c r="D771" s="6">
        <v>1</v>
      </c>
      <c r="E771" s="13">
        <v>73800</v>
      </c>
      <c r="F771" s="7">
        <v>0</v>
      </c>
      <c r="G771" s="8"/>
    </row>
    <row r="772" spans="3:7" x14ac:dyDescent="0.2">
      <c r="C772" s="5" t="s">
        <v>3365</v>
      </c>
      <c r="D772" s="6">
        <v>1</v>
      </c>
      <c r="E772" s="13">
        <v>115000</v>
      </c>
      <c r="F772" s="7">
        <v>0</v>
      </c>
      <c r="G772" s="7"/>
    </row>
    <row r="773" spans="3:7" x14ac:dyDescent="0.2">
      <c r="C773" s="5" t="s">
        <v>3366</v>
      </c>
      <c r="D773" s="6">
        <v>1</v>
      </c>
      <c r="E773" s="13">
        <v>449500</v>
      </c>
      <c r="F773" s="21">
        <f>671000-E773</f>
        <v>221500</v>
      </c>
      <c r="G773" s="8"/>
    </row>
    <row r="774" spans="3:7" x14ac:dyDescent="0.2">
      <c r="C774" s="5" t="s">
        <v>3367</v>
      </c>
      <c r="D774" s="6">
        <v>1</v>
      </c>
      <c r="E774" s="13">
        <v>250000</v>
      </c>
      <c r="F774" s="21">
        <v>0</v>
      </c>
      <c r="G774" s="8"/>
    </row>
    <row r="775" spans="3:7" x14ac:dyDescent="0.2">
      <c r="C775" s="5" t="s">
        <v>3368</v>
      </c>
      <c r="D775" s="6">
        <v>1</v>
      </c>
      <c r="E775" s="13">
        <v>0</v>
      </c>
      <c r="F775" s="21">
        <v>120000</v>
      </c>
      <c r="G775" s="8"/>
    </row>
    <row r="776" spans="3:7" x14ac:dyDescent="0.2">
      <c r="C776" s="5" t="s">
        <v>3369</v>
      </c>
      <c r="D776" s="6">
        <v>1</v>
      </c>
      <c r="E776" s="13">
        <v>0</v>
      </c>
      <c r="F776" s="21">
        <v>412000</v>
      </c>
      <c r="G776" s="8"/>
    </row>
    <row r="777" spans="3:7" x14ac:dyDescent="0.2">
      <c r="C777" s="5" t="s">
        <v>3369</v>
      </c>
      <c r="D777" s="6">
        <v>1</v>
      </c>
      <c r="E777" s="13">
        <v>0</v>
      </c>
      <c r="F777" s="21">
        <v>128000</v>
      </c>
      <c r="G777" s="8"/>
    </row>
    <row r="778" spans="3:7" x14ac:dyDescent="0.2">
      <c r="C778" s="5" t="s">
        <v>3370</v>
      </c>
      <c r="D778" s="6">
        <v>1</v>
      </c>
      <c r="E778" s="13">
        <v>0</v>
      </c>
      <c r="F778" s="21">
        <v>100000</v>
      </c>
      <c r="G778" s="8"/>
    </row>
    <row r="779" spans="3:7" x14ac:dyDescent="0.2">
      <c r="C779" s="5" t="s">
        <v>3371</v>
      </c>
      <c r="D779" s="6">
        <v>1</v>
      </c>
      <c r="E779" s="13">
        <v>0</v>
      </c>
      <c r="F779" s="21">
        <v>32500</v>
      </c>
      <c r="G779" s="8"/>
    </row>
    <row r="780" spans="3:7" x14ac:dyDescent="0.2">
      <c r="C780" s="5" t="s">
        <v>707</v>
      </c>
      <c r="D780" s="6">
        <v>1</v>
      </c>
      <c r="E780" s="13">
        <v>0</v>
      </c>
      <c r="F780" s="21">
        <v>300000</v>
      </c>
      <c r="G780" s="8"/>
    </row>
    <row r="781" spans="3:7" x14ac:dyDescent="0.2">
      <c r="C781" s="5" t="s">
        <v>708</v>
      </c>
      <c r="D781" s="6">
        <v>1</v>
      </c>
      <c r="E781" s="13">
        <v>0</v>
      </c>
      <c r="F781" s="21">
        <v>140000</v>
      </c>
      <c r="G781" s="8"/>
    </row>
    <row r="782" spans="3:7" x14ac:dyDescent="0.2">
      <c r="C782" s="5" t="s">
        <v>709</v>
      </c>
      <c r="D782" s="6">
        <v>1</v>
      </c>
      <c r="E782" s="13">
        <v>0</v>
      </c>
      <c r="F782" s="21">
        <v>60000</v>
      </c>
      <c r="G782" s="8"/>
    </row>
    <row r="783" spans="3:7" x14ac:dyDescent="0.2">
      <c r="C783" s="5" t="s">
        <v>3372</v>
      </c>
      <c r="D783" s="6">
        <v>1</v>
      </c>
      <c r="E783" s="13">
        <v>0</v>
      </c>
      <c r="F783" s="21">
        <v>60000</v>
      </c>
      <c r="G783" s="8"/>
    </row>
    <row r="784" spans="3:7" x14ac:dyDescent="0.2">
      <c r="C784" s="5" t="s">
        <v>713</v>
      </c>
      <c r="D784" s="6">
        <v>1</v>
      </c>
      <c r="E784" s="13">
        <v>0</v>
      </c>
      <c r="F784" s="21">
        <v>28000</v>
      </c>
      <c r="G784" s="8"/>
    </row>
    <row r="785" spans="3:10" x14ac:dyDescent="0.2">
      <c r="C785" s="5" t="s">
        <v>714</v>
      </c>
      <c r="D785" s="6">
        <v>1</v>
      </c>
      <c r="E785" s="13">
        <v>0</v>
      </c>
      <c r="F785" s="21">
        <v>190000</v>
      </c>
      <c r="G785" s="8"/>
    </row>
    <row r="786" spans="3:10" x14ac:dyDescent="0.2">
      <c r="C786" s="5" t="s">
        <v>715</v>
      </c>
      <c r="D786" s="6">
        <v>1</v>
      </c>
      <c r="E786" s="13">
        <v>0</v>
      </c>
      <c r="F786" s="21">
        <v>25000</v>
      </c>
      <c r="G786" s="8"/>
    </row>
    <row r="787" spans="3:10" x14ac:dyDescent="0.2">
      <c r="C787" s="5" t="s">
        <v>3373</v>
      </c>
      <c r="D787" s="6">
        <v>1</v>
      </c>
      <c r="E787" s="13">
        <v>0</v>
      </c>
      <c r="F787" s="21">
        <v>180000</v>
      </c>
      <c r="G787" s="8"/>
    </row>
    <row r="788" spans="3:10" x14ac:dyDescent="0.2">
      <c r="C788" s="5" t="s">
        <v>174</v>
      </c>
      <c r="D788" s="6">
        <v>1</v>
      </c>
      <c r="E788" s="13">
        <v>0</v>
      </c>
      <c r="F788" s="17">
        <v>50000</v>
      </c>
      <c r="G788" s="8"/>
    </row>
    <row r="789" spans="3:10" x14ac:dyDescent="0.2">
      <c r="C789" s="5" t="s">
        <v>3374</v>
      </c>
      <c r="D789" s="6">
        <v>1</v>
      </c>
      <c r="E789" s="13">
        <v>0</v>
      </c>
      <c r="F789" s="17">
        <v>670800</v>
      </c>
      <c r="G789" s="8"/>
    </row>
    <row r="790" spans="3:10" x14ac:dyDescent="0.2">
      <c r="C790" s="5" t="s">
        <v>3375</v>
      </c>
      <c r="D790" s="6">
        <v>1</v>
      </c>
      <c r="E790" s="13">
        <v>0</v>
      </c>
      <c r="F790" s="17">
        <v>296500</v>
      </c>
      <c r="G790" s="8"/>
    </row>
    <row r="791" spans="3:10" x14ac:dyDescent="0.2">
      <c r="C791" s="5" t="s">
        <v>3376</v>
      </c>
      <c r="D791" s="6">
        <v>1</v>
      </c>
      <c r="E791" s="13">
        <v>0</v>
      </c>
      <c r="F791" s="17">
        <v>25000</v>
      </c>
      <c r="G791" s="8"/>
    </row>
    <row r="792" spans="3:10" x14ac:dyDescent="0.2">
      <c r="C792" s="5"/>
      <c r="D792" s="6"/>
      <c r="E792" s="13"/>
      <c r="F792" s="7"/>
      <c r="G792" s="8"/>
    </row>
    <row r="793" spans="3:10" x14ac:dyDescent="0.2">
      <c r="C793" s="25" t="s">
        <v>3317</v>
      </c>
      <c r="D793" s="68">
        <v>1</v>
      </c>
      <c r="E793" s="13">
        <v>0</v>
      </c>
      <c r="F793" s="13">
        <v>0</v>
      </c>
      <c r="G793" s="29"/>
    </row>
    <row r="794" spans="3:10" x14ac:dyDescent="0.2">
      <c r="C794" s="29"/>
      <c r="D794" s="68"/>
      <c r="E794" s="13"/>
      <c r="F794" s="13"/>
      <c r="G794" s="29"/>
    </row>
    <row r="795" spans="3:10" x14ac:dyDescent="0.2">
      <c r="E795" s="9">
        <f>SUM(E761:E794)</f>
        <v>4799800</v>
      </c>
      <c r="F795" s="9">
        <f>SUM(F761:F794)</f>
        <v>3039300</v>
      </c>
      <c r="G795" s="9">
        <f>SUM(G761:G793)</f>
        <v>0</v>
      </c>
    </row>
    <row r="796" spans="3:10" x14ac:dyDescent="0.2">
      <c r="E796" s="1">
        <v>4800000</v>
      </c>
    </row>
    <row r="797" spans="3:10" x14ac:dyDescent="0.2">
      <c r="E797" s="3">
        <f>E796-E795</f>
        <v>200</v>
      </c>
    </row>
    <row r="800" spans="3:10" x14ac:dyDescent="0.2">
      <c r="J800" t="s">
        <v>3377</v>
      </c>
    </row>
    <row r="802" spans="3:10" ht="26" x14ac:dyDescent="0.3">
      <c r="C802" s="391" t="s">
        <v>3378</v>
      </c>
      <c r="D802" s="391"/>
      <c r="E802" s="391"/>
      <c r="F802" s="391"/>
      <c r="G802" s="391"/>
      <c r="I802" t="s">
        <v>3379</v>
      </c>
      <c r="J802">
        <v>400</v>
      </c>
    </row>
    <row r="803" spans="3:10" x14ac:dyDescent="0.2">
      <c r="C803" s="29" t="s">
        <v>82</v>
      </c>
      <c r="D803" s="11" t="s">
        <v>3097</v>
      </c>
      <c r="E803" s="12" t="s">
        <v>1</v>
      </c>
      <c r="F803" s="12" t="s">
        <v>3140</v>
      </c>
      <c r="G803" s="12" t="s">
        <v>3249</v>
      </c>
      <c r="I803" t="s">
        <v>3380</v>
      </c>
      <c r="J803">
        <v>0</v>
      </c>
    </row>
    <row r="804" spans="3:10" x14ac:dyDescent="0.2">
      <c r="C804" s="5" t="s">
        <v>3227</v>
      </c>
      <c r="D804" s="6">
        <v>1</v>
      </c>
      <c r="E804" s="46">
        <v>1500000</v>
      </c>
      <c r="F804" s="7">
        <v>0</v>
      </c>
      <c r="G804" s="7"/>
      <c r="I804" t="s">
        <v>3381</v>
      </c>
      <c r="J804">
        <v>400</v>
      </c>
    </row>
    <row r="805" spans="3:10" x14ac:dyDescent="0.2">
      <c r="C805" s="5" t="s">
        <v>3256</v>
      </c>
      <c r="D805" s="6">
        <v>1</v>
      </c>
      <c r="E805" s="46">
        <v>500000</v>
      </c>
      <c r="F805" s="7">
        <v>0</v>
      </c>
      <c r="G805" s="8"/>
      <c r="I805" t="s">
        <v>3382</v>
      </c>
      <c r="J805">
        <v>400</v>
      </c>
    </row>
    <row r="806" spans="3:10" x14ac:dyDescent="0.2">
      <c r="C806" s="5" t="s">
        <v>3228</v>
      </c>
      <c r="D806" s="6">
        <v>1</v>
      </c>
      <c r="E806" s="46">
        <v>500000</v>
      </c>
      <c r="F806" s="7">
        <v>0</v>
      </c>
      <c r="G806" s="8"/>
      <c r="I806" t="s">
        <v>3383</v>
      </c>
      <c r="J806">
        <v>367</v>
      </c>
    </row>
    <row r="807" spans="3:10" x14ac:dyDescent="0.2">
      <c r="C807" s="5" t="s">
        <v>3230</v>
      </c>
      <c r="D807" s="6">
        <v>1</v>
      </c>
      <c r="E807" s="46">
        <v>200000</v>
      </c>
      <c r="F807" s="7">
        <v>0</v>
      </c>
      <c r="G807" s="8"/>
    </row>
    <row r="808" spans="3:10" x14ac:dyDescent="0.2">
      <c r="C808" s="5" t="s">
        <v>3316</v>
      </c>
      <c r="D808" s="6">
        <v>1</v>
      </c>
      <c r="E808" s="13">
        <v>250000</v>
      </c>
      <c r="F808" s="7">
        <v>0</v>
      </c>
      <c r="G808" s="8"/>
      <c r="J808">
        <f>SUM(J802:J807)</f>
        <v>1567</v>
      </c>
    </row>
    <row r="809" spans="3:10" x14ac:dyDescent="0.2">
      <c r="C809" s="5" t="s">
        <v>3297</v>
      </c>
      <c r="D809" s="6">
        <v>1</v>
      </c>
      <c r="E809" s="13">
        <v>45000</v>
      </c>
      <c r="F809" s="7">
        <v>0</v>
      </c>
      <c r="G809" s="8"/>
    </row>
    <row r="810" spans="3:10" x14ac:dyDescent="0.2">
      <c r="C810" s="5" t="s">
        <v>3173</v>
      </c>
      <c r="D810" s="6">
        <v>1</v>
      </c>
      <c r="E810" s="13">
        <v>115000</v>
      </c>
      <c r="F810" s="7">
        <v>0</v>
      </c>
      <c r="G810" s="8"/>
    </row>
    <row r="811" spans="3:10" x14ac:dyDescent="0.2">
      <c r="C811" s="5" t="s">
        <v>3361</v>
      </c>
      <c r="D811" s="6">
        <v>1</v>
      </c>
      <c r="E811" s="13">
        <v>255000</v>
      </c>
      <c r="F811" s="7">
        <v>0</v>
      </c>
      <c r="G811" s="7"/>
    </row>
    <row r="812" spans="3:10" x14ac:dyDescent="0.2">
      <c r="C812" s="5" t="s">
        <v>3364</v>
      </c>
      <c r="D812" s="6">
        <v>1</v>
      </c>
      <c r="E812" s="13">
        <v>73800</v>
      </c>
      <c r="F812" s="7">
        <v>0</v>
      </c>
      <c r="G812" s="8"/>
    </row>
    <row r="813" spans="3:10" x14ac:dyDescent="0.2">
      <c r="C813" s="5" t="s">
        <v>3362</v>
      </c>
      <c r="D813" s="6">
        <v>1</v>
      </c>
      <c r="E813" s="13">
        <v>150000</v>
      </c>
      <c r="F813" s="7">
        <v>0</v>
      </c>
      <c r="G813" s="7"/>
    </row>
    <row r="814" spans="3:10" x14ac:dyDescent="0.2">
      <c r="C814" s="5" t="s">
        <v>3384</v>
      </c>
      <c r="D814" s="6">
        <v>1</v>
      </c>
      <c r="E814" s="13">
        <v>398500</v>
      </c>
      <c r="F814" s="7">
        <v>0</v>
      </c>
      <c r="G814" s="8"/>
    </row>
    <row r="815" spans="3:10" x14ac:dyDescent="0.2">
      <c r="C815" s="5" t="s">
        <v>3385</v>
      </c>
      <c r="D815" s="6">
        <v>1</v>
      </c>
      <c r="E815" s="13">
        <v>815250</v>
      </c>
      <c r="F815" s="7">
        <v>0</v>
      </c>
      <c r="G815" s="7"/>
      <c r="J815">
        <v>3000</v>
      </c>
    </row>
    <row r="816" spans="3:10" x14ac:dyDescent="0.2">
      <c r="C816" s="5" t="s">
        <v>3386</v>
      </c>
      <c r="D816" s="6">
        <v>1</v>
      </c>
      <c r="E816" s="13">
        <v>0</v>
      </c>
      <c r="F816" s="21">
        <v>296500</v>
      </c>
      <c r="G816" s="8"/>
      <c r="J816">
        <v>338</v>
      </c>
    </row>
    <row r="817" spans="3:7" x14ac:dyDescent="0.2">
      <c r="C817" s="5" t="s">
        <v>3387</v>
      </c>
      <c r="D817" s="6">
        <v>1</v>
      </c>
      <c r="E817" s="13">
        <v>0</v>
      </c>
      <c r="F817" s="21">
        <v>670000</v>
      </c>
      <c r="G817" s="8"/>
    </row>
    <row r="818" spans="3:7" x14ac:dyDescent="0.2">
      <c r="C818" s="5"/>
      <c r="D818" s="6"/>
      <c r="E818" s="13"/>
      <c r="F818" s="7"/>
      <c r="G818" s="8"/>
    </row>
    <row r="819" spans="3:7" x14ac:dyDescent="0.2">
      <c r="C819" s="25" t="s">
        <v>3317</v>
      </c>
      <c r="D819" s="68">
        <v>1</v>
      </c>
      <c r="E819" s="13">
        <v>0</v>
      </c>
      <c r="F819" s="13">
        <v>0</v>
      </c>
      <c r="G819" s="29"/>
    </row>
    <row r="820" spans="3:7" x14ac:dyDescent="0.2">
      <c r="C820" s="29"/>
      <c r="D820" s="68"/>
      <c r="E820" s="13"/>
      <c r="F820" s="13"/>
      <c r="G820" s="29"/>
    </row>
    <row r="821" spans="3:7" x14ac:dyDescent="0.2">
      <c r="E821" s="9">
        <f>SUM(E804:E820)</f>
        <v>4802550</v>
      </c>
      <c r="F821" s="9">
        <f>SUM(F804:F820)</f>
        <v>966500</v>
      </c>
      <c r="G821" s="9">
        <f>SUM(G804:G819)</f>
        <v>0</v>
      </c>
    </row>
    <row r="822" spans="3:7" x14ac:dyDescent="0.2">
      <c r="E822" s="1">
        <v>4800000</v>
      </c>
    </row>
    <row r="823" spans="3:7" x14ac:dyDescent="0.2">
      <c r="E823" s="3">
        <f>E822-E821</f>
        <v>-2550</v>
      </c>
      <c r="F823" s="3">
        <f>F821-E823</f>
        <v>969050</v>
      </c>
      <c r="G823" s="3"/>
    </row>
    <row r="825" spans="3:7" ht="26" x14ac:dyDescent="0.3">
      <c r="C825" s="391" t="s">
        <v>3388</v>
      </c>
      <c r="D825" s="391"/>
      <c r="E825" s="391"/>
      <c r="F825" s="391"/>
      <c r="G825" s="391"/>
    </row>
    <row r="826" spans="3:7" x14ac:dyDescent="0.2">
      <c r="C826" s="29" t="s">
        <v>82</v>
      </c>
      <c r="D826" s="11" t="s">
        <v>3097</v>
      </c>
      <c r="E826" s="12" t="s">
        <v>1</v>
      </c>
      <c r="F826" s="12" t="s">
        <v>3140</v>
      </c>
      <c r="G826" s="12" t="s">
        <v>3249</v>
      </c>
    </row>
    <row r="827" spans="3:7" x14ac:dyDescent="0.2">
      <c r="C827" s="5" t="s">
        <v>3227</v>
      </c>
      <c r="D827" s="6">
        <v>1</v>
      </c>
      <c r="E827" s="46">
        <v>1500000</v>
      </c>
      <c r="F827" s="7">
        <v>0</v>
      </c>
      <c r="G827" s="7"/>
    </row>
    <row r="828" spans="3:7" x14ac:dyDescent="0.2">
      <c r="C828" s="5" t="s">
        <v>3256</v>
      </c>
      <c r="D828" s="6">
        <v>1</v>
      </c>
      <c r="E828" s="46">
        <v>500000</v>
      </c>
      <c r="F828" s="7">
        <v>0</v>
      </c>
      <c r="G828" s="8"/>
    </row>
    <row r="829" spans="3:7" x14ac:dyDescent="0.2">
      <c r="C829" s="5" t="s">
        <v>3228</v>
      </c>
      <c r="D829" s="6">
        <v>1</v>
      </c>
      <c r="E829" s="46">
        <v>500000</v>
      </c>
      <c r="F829" s="7">
        <v>0</v>
      </c>
      <c r="G829" s="8"/>
    </row>
    <row r="830" spans="3:7" x14ac:dyDescent="0.2">
      <c r="C830" s="5" t="s">
        <v>3230</v>
      </c>
      <c r="D830" s="6">
        <v>1</v>
      </c>
      <c r="E830" s="46">
        <v>200000</v>
      </c>
      <c r="F830" s="7">
        <v>0</v>
      </c>
      <c r="G830" s="8"/>
    </row>
    <row r="831" spans="3:7" x14ac:dyDescent="0.2">
      <c r="C831" s="5" t="s">
        <v>3316</v>
      </c>
      <c r="D831" s="6">
        <v>1</v>
      </c>
      <c r="E831" s="21">
        <v>250000</v>
      </c>
      <c r="F831" s="7">
        <v>0</v>
      </c>
      <c r="G831" s="8"/>
    </row>
    <row r="832" spans="3:7" x14ac:dyDescent="0.2">
      <c r="C832" s="5" t="s">
        <v>3297</v>
      </c>
      <c r="D832" s="6">
        <v>1</v>
      </c>
      <c r="E832" s="21">
        <v>45000</v>
      </c>
      <c r="F832" s="7">
        <v>0</v>
      </c>
      <c r="G832" s="8"/>
    </row>
    <row r="833" spans="3:8" x14ac:dyDescent="0.2">
      <c r="C833" s="5" t="s">
        <v>3173</v>
      </c>
      <c r="D833" s="6">
        <v>1</v>
      </c>
      <c r="E833" s="21">
        <v>115000</v>
      </c>
      <c r="F833" s="7">
        <v>0</v>
      </c>
      <c r="G833" s="8"/>
    </row>
    <row r="834" spans="3:8" x14ac:dyDescent="0.2">
      <c r="C834" s="5" t="s">
        <v>3361</v>
      </c>
      <c r="D834" s="6">
        <v>1</v>
      </c>
      <c r="E834" s="21">
        <v>255000</v>
      </c>
      <c r="F834" s="7">
        <v>0</v>
      </c>
      <c r="G834" s="7"/>
    </row>
    <row r="835" spans="3:8" x14ac:dyDescent="0.2">
      <c r="C835" s="5" t="s">
        <v>3364</v>
      </c>
      <c r="D835" s="6">
        <v>1</v>
      </c>
      <c r="E835" s="21">
        <v>73800</v>
      </c>
      <c r="F835" s="7">
        <v>0</v>
      </c>
      <c r="G835" s="8"/>
    </row>
    <row r="836" spans="3:8" x14ac:dyDescent="0.2">
      <c r="C836" s="5" t="s">
        <v>3389</v>
      </c>
      <c r="D836" s="6">
        <v>1</v>
      </c>
      <c r="E836" s="21">
        <v>450000</v>
      </c>
      <c r="F836" s="7">
        <v>0</v>
      </c>
      <c r="G836" s="7"/>
    </row>
    <row r="837" spans="3:8" x14ac:dyDescent="0.2">
      <c r="C837" s="5" t="s">
        <v>3390</v>
      </c>
      <c r="D837" s="6">
        <v>1</v>
      </c>
      <c r="E837" s="21">
        <v>350000</v>
      </c>
      <c r="F837" s="7">
        <v>0</v>
      </c>
      <c r="G837" s="8"/>
    </row>
    <row r="838" spans="3:8" x14ac:dyDescent="0.2">
      <c r="C838" s="5" t="s">
        <v>3391</v>
      </c>
      <c r="D838" s="6">
        <v>1</v>
      </c>
      <c r="E838" s="21">
        <v>326000</v>
      </c>
      <c r="F838" s="7">
        <v>0</v>
      </c>
      <c r="G838" s="7"/>
    </row>
    <row r="839" spans="3:8" x14ac:dyDescent="0.2">
      <c r="C839" s="5" t="s">
        <v>3392</v>
      </c>
      <c r="D839" s="6">
        <v>1</v>
      </c>
      <c r="E839" s="21">
        <v>50000</v>
      </c>
      <c r="F839" s="7">
        <v>0</v>
      </c>
      <c r="G839" s="8"/>
    </row>
    <row r="840" spans="3:8" x14ac:dyDescent="0.2">
      <c r="C840" s="5" t="s">
        <v>3393</v>
      </c>
      <c r="D840" s="6">
        <v>1</v>
      </c>
      <c r="E840" s="21">
        <v>185200</v>
      </c>
      <c r="F840" s="21">
        <v>111100</v>
      </c>
      <c r="G840" s="8"/>
      <c r="H840" s="3"/>
    </row>
    <row r="841" spans="3:8" x14ac:dyDescent="0.2">
      <c r="C841" s="5"/>
      <c r="D841" s="6"/>
      <c r="E841" s="7"/>
      <c r="F841" s="7"/>
      <c r="G841" s="8"/>
    </row>
    <row r="842" spans="3:8" x14ac:dyDescent="0.2">
      <c r="C842" s="25" t="s">
        <v>3317</v>
      </c>
      <c r="D842" s="68">
        <v>1</v>
      </c>
      <c r="E842" s="13">
        <v>0</v>
      </c>
      <c r="F842" s="13">
        <v>0</v>
      </c>
      <c r="G842" s="29"/>
    </row>
    <row r="843" spans="3:8" x14ac:dyDescent="0.2">
      <c r="C843" s="29"/>
      <c r="D843" s="68"/>
      <c r="E843" s="13"/>
      <c r="F843" s="13"/>
      <c r="G843" s="29"/>
    </row>
    <row r="844" spans="3:8" x14ac:dyDescent="0.2">
      <c r="E844" s="9">
        <f>SUM(E827:E843)</f>
        <v>4800000</v>
      </c>
      <c r="F844" s="9">
        <f>SUM(F827:F843)</f>
        <v>111100</v>
      </c>
      <c r="G844" s="9">
        <f>SUM(G827:G842)</f>
        <v>0</v>
      </c>
    </row>
    <row r="845" spans="3:8" x14ac:dyDescent="0.2">
      <c r="E845" s="1">
        <v>4800000</v>
      </c>
    </row>
    <row r="846" spans="3:8" x14ac:dyDescent="0.2">
      <c r="E846" s="3">
        <f>E845-E844</f>
        <v>0</v>
      </c>
      <c r="F846" s="3"/>
      <c r="G846" s="3"/>
    </row>
    <row r="849" spans="3:7" ht="26" x14ac:dyDescent="0.3">
      <c r="C849" s="391" t="s">
        <v>3394</v>
      </c>
      <c r="D849" s="391"/>
      <c r="E849" s="391"/>
      <c r="F849" s="391"/>
      <c r="G849" s="391"/>
    </row>
    <row r="850" spans="3:7" x14ac:dyDescent="0.2">
      <c r="C850" s="29" t="s">
        <v>82</v>
      </c>
      <c r="D850" s="11" t="s">
        <v>3097</v>
      </c>
      <c r="E850" s="12" t="s">
        <v>1</v>
      </c>
      <c r="F850" s="12" t="s">
        <v>3140</v>
      </c>
      <c r="G850" s="12" t="s">
        <v>3249</v>
      </c>
    </row>
    <row r="851" spans="3:7" x14ac:dyDescent="0.2">
      <c r="C851" s="5" t="s">
        <v>3227</v>
      </c>
      <c r="D851" s="6">
        <v>1</v>
      </c>
      <c r="E851" s="46">
        <v>1500000</v>
      </c>
      <c r="F851" s="7">
        <v>0</v>
      </c>
      <c r="G851" s="7"/>
    </row>
    <row r="852" spans="3:7" x14ac:dyDescent="0.2">
      <c r="C852" s="5" t="s">
        <v>3256</v>
      </c>
      <c r="D852" s="6">
        <v>1</v>
      </c>
      <c r="E852" s="46">
        <v>500000</v>
      </c>
      <c r="F852" s="7">
        <v>0</v>
      </c>
      <c r="G852" s="8"/>
    </row>
    <row r="853" spans="3:7" x14ac:dyDescent="0.2">
      <c r="C853" s="5" t="s">
        <v>3228</v>
      </c>
      <c r="D853" s="6">
        <v>1</v>
      </c>
      <c r="E853" s="46">
        <v>500000</v>
      </c>
      <c r="F853" s="7">
        <v>0</v>
      </c>
      <c r="G853" s="8"/>
    </row>
    <row r="854" spans="3:7" x14ac:dyDescent="0.2">
      <c r="C854" s="5" t="s">
        <v>3230</v>
      </c>
      <c r="D854" s="6">
        <v>1</v>
      </c>
      <c r="E854" s="46">
        <v>200000</v>
      </c>
      <c r="F854" s="7">
        <v>0</v>
      </c>
      <c r="G854" s="8"/>
    </row>
    <row r="855" spans="3:7" x14ac:dyDescent="0.2">
      <c r="C855" s="5" t="s">
        <v>3316</v>
      </c>
      <c r="D855" s="6">
        <v>1</v>
      </c>
      <c r="E855" s="21">
        <v>250000</v>
      </c>
      <c r="F855" s="7">
        <v>0</v>
      </c>
      <c r="G855" s="8"/>
    </row>
    <row r="856" spans="3:7" x14ac:dyDescent="0.2">
      <c r="C856" s="5" t="s">
        <v>3297</v>
      </c>
      <c r="D856" s="6">
        <v>1</v>
      </c>
      <c r="E856" s="21">
        <v>45000</v>
      </c>
      <c r="F856" s="7">
        <v>0</v>
      </c>
      <c r="G856" s="8"/>
    </row>
    <row r="857" spans="3:7" x14ac:dyDescent="0.2">
      <c r="C857" s="5" t="s">
        <v>3173</v>
      </c>
      <c r="D857" s="6">
        <v>1</v>
      </c>
      <c r="E857" s="21">
        <v>115000</v>
      </c>
      <c r="F857" s="7">
        <v>0</v>
      </c>
      <c r="G857" s="8"/>
    </row>
    <row r="858" spans="3:7" x14ac:dyDescent="0.2">
      <c r="C858" s="5" t="s">
        <v>3361</v>
      </c>
      <c r="D858" s="6">
        <v>1</v>
      </c>
      <c r="E858" s="21">
        <v>255000</v>
      </c>
      <c r="F858" s="7">
        <v>0</v>
      </c>
      <c r="G858" s="7"/>
    </row>
    <row r="859" spans="3:7" x14ac:dyDescent="0.2">
      <c r="C859" s="5" t="s">
        <v>3364</v>
      </c>
      <c r="D859" s="6">
        <v>1</v>
      </c>
      <c r="E859" s="21">
        <v>73800</v>
      </c>
      <c r="F859" s="7">
        <v>0</v>
      </c>
      <c r="G859" s="8"/>
    </row>
    <row r="860" spans="3:7" x14ac:dyDescent="0.2">
      <c r="C860" s="5" t="s">
        <v>3395</v>
      </c>
      <c r="D860" s="6">
        <v>1</v>
      </c>
      <c r="E860" s="7">
        <v>0</v>
      </c>
      <c r="F860" s="21">
        <v>399000</v>
      </c>
      <c r="G860" s="7"/>
    </row>
    <row r="861" spans="3:7" x14ac:dyDescent="0.2">
      <c r="C861" s="5" t="s">
        <v>3396</v>
      </c>
      <c r="D861" s="6">
        <v>1</v>
      </c>
      <c r="E861" s="7">
        <v>0</v>
      </c>
      <c r="F861" s="21">
        <v>670000</v>
      </c>
      <c r="G861" s="8"/>
    </row>
    <row r="862" spans="3:7" x14ac:dyDescent="0.2">
      <c r="C862" s="5" t="s">
        <v>3397</v>
      </c>
      <c r="D862" s="6">
        <v>1</v>
      </c>
      <c r="E862" s="7">
        <v>0</v>
      </c>
      <c r="F862" s="21">
        <v>450000</v>
      </c>
      <c r="G862" s="7"/>
    </row>
    <row r="863" spans="3:7" x14ac:dyDescent="0.2">
      <c r="C863" s="5" t="s">
        <v>3398</v>
      </c>
      <c r="D863" s="6">
        <v>1</v>
      </c>
      <c r="E863" s="21">
        <v>80000</v>
      </c>
      <c r="F863" s="7">
        <v>0</v>
      </c>
      <c r="G863" s="8"/>
    </row>
    <row r="864" spans="3:7" x14ac:dyDescent="0.2">
      <c r="C864" s="5" t="s">
        <v>3399</v>
      </c>
      <c r="D864" s="6">
        <v>1</v>
      </c>
      <c r="E864" s="21">
        <v>450000</v>
      </c>
      <c r="F864" s="7">
        <v>0</v>
      </c>
      <c r="G864" s="8"/>
    </row>
    <row r="865" spans="3:7" x14ac:dyDescent="0.2">
      <c r="C865" s="5" t="s">
        <v>3400</v>
      </c>
      <c r="D865" s="6">
        <v>1</v>
      </c>
      <c r="E865" s="21">
        <v>500000</v>
      </c>
      <c r="F865" s="7">
        <v>0</v>
      </c>
      <c r="G865" s="8"/>
    </row>
    <row r="866" spans="3:7" x14ac:dyDescent="0.2">
      <c r="C866" s="5" t="s">
        <v>3399</v>
      </c>
      <c r="D866" s="6">
        <v>1</v>
      </c>
      <c r="E866" s="21">
        <v>50000</v>
      </c>
      <c r="F866" s="7">
        <v>0</v>
      </c>
      <c r="G866" s="8"/>
    </row>
    <row r="867" spans="3:7" x14ac:dyDescent="0.2">
      <c r="C867" s="5" t="s">
        <v>3401</v>
      </c>
      <c r="D867" s="6">
        <v>1</v>
      </c>
      <c r="E867" s="21">
        <v>70000</v>
      </c>
      <c r="F867" s="7">
        <v>0</v>
      </c>
      <c r="G867" s="8"/>
    </row>
    <row r="868" spans="3:7" x14ac:dyDescent="0.2">
      <c r="C868" s="5" t="s">
        <v>3402</v>
      </c>
      <c r="D868" s="6">
        <v>1</v>
      </c>
      <c r="E868" s="21">
        <v>211000</v>
      </c>
      <c r="F868" s="7">
        <v>0</v>
      </c>
      <c r="G868" s="8" t="s">
        <v>3403</v>
      </c>
    </row>
    <row r="869" spans="3:7" x14ac:dyDescent="0.2">
      <c r="C869" s="25" t="s">
        <v>3317</v>
      </c>
      <c r="D869" s="68">
        <v>1</v>
      </c>
      <c r="E869" s="13">
        <v>0</v>
      </c>
      <c r="F869" s="13">
        <v>0</v>
      </c>
      <c r="G869" s="29"/>
    </row>
    <row r="870" spans="3:7" x14ac:dyDescent="0.2">
      <c r="C870" s="29"/>
      <c r="D870" s="68"/>
      <c r="E870" s="13"/>
      <c r="F870" s="13"/>
      <c r="G870" s="29"/>
    </row>
    <row r="871" spans="3:7" x14ac:dyDescent="0.2">
      <c r="E871" s="9">
        <f>SUM(E851:E870)</f>
        <v>4799800</v>
      </c>
      <c r="F871" s="9">
        <f>SUM(F863:F870)</f>
        <v>0</v>
      </c>
      <c r="G871" s="9">
        <f>SUM(G851:G869)</f>
        <v>0</v>
      </c>
    </row>
    <row r="872" spans="3:7" x14ac:dyDescent="0.2">
      <c r="E872" s="1">
        <v>4800000</v>
      </c>
    </row>
    <row r="873" spans="3:7" x14ac:dyDescent="0.2">
      <c r="E873" s="3">
        <f>E872-E871</f>
        <v>200</v>
      </c>
      <c r="F873" s="3"/>
      <c r="G873" s="3"/>
    </row>
    <row r="876" spans="3:7" ht="26" x14ac:dyDescent="0.3">
      <c r="C876" s="391" t="s">
        <v>3404</v>
      </c>
      <c r="D876" s="391"/>
      <c r="E876" s="391"/>
      <c r="F876" s="391"/>
      <c r="G876" s="391"/>
    </row>
    <row r="877" spans="3:7" x14ac:dyDescent="0.2">
      <c r="C877" s="29" t="s">
        <v>82</v>
      </c>
      <c r="D877" s="11" t="s">
        <v>3097</v>
      </c>
      <c r="E877" s="12" t="s">
        <v>1</v>
      </c>
      <c r="F877" s="12" t="s">
        <v>3140</v>
      </c>
      <c r="G877" s="12" t="s">
        <v>3249</v>
      </c>
    </row>
    <row r="878" spans="3:7" x14ac:dyDescent="0.2">
      <c r="C878" s="5" t="s">
        <v>3405</v>
      </c>
      <c r="D878" s="6">
        <v>1</v>
      </c>
      <c r="E878" s="7">
        <v>2000000</v>
      </c>
      <c r="F878" s="7"/>
      <c r="G878" s="8"/>
    </row>
    <row r="879" spans="3:7" x14ac:dyDescent="0.2">
      <c r="C879" s="5" t="s">
        <v>3406</v>
      </c>
      <c r="D879" s="6">
        <v>1</v>
      </c>
      <c r="E879" s="7">
        <f>9000000*4/1000</f>
        <v>36000</v>
      </c>
      <c r="F879" s="7"/>
      <c r="G879" s="8"/>
    </row>
    <row r="880" spans="3:7" x14ac:dyDescent="0.2">
      <c r="C880" s="5" t="s">
        <v>3407</v>
      </c>
      <c r="D880" s="6">
        <v>1</v>
      </c>
      <c r="E880" s="7">
        <v>2000000</v>
      </c>
      <c r="F880" s="7"/>
      <c r="G880" s="8"/>
    </row>
    <row r="881" spans="3:7" x14ac:dyDescent="0.2">
      <c r="C881" s="5" t="s">
        <v>3408</v>
      </c>
      <c r="D881" s="6">
        <v>1</v>
      </c>
      <c r="E881" s="7">
        <v>1200000</v>
      </c>
      <c r="F881" s="7"/>
      <c r="G881" s="8"/>
    </row>
    <row r="882" spans="3:7" x14ac:dyDescent="0.2">
      <c r="C882" s="5" t="s">
        <v>3409</v>
      </c>
      <c r="D882" s="6">
        <v>1</v>
      </c>
      <c r="E882" s="7">
        <v>3760000</v>
      </c>
      <c r="F882" s="7"/>
      <c r="G882" s="8"/>
    </row>
    <row r="883" spans="3:7" x14ac:dyDescent="0.2">
      <c r="C883" s="5"/>
      <c r="D883" s="6">
        <v>1</v>
      </c>
      <c r="E883" s="7"/>
      <c r="F883" s="7"/>
      <c r="G883" s="8"/>
    </row>
    <row r="884" spans="3:7" x14ac:dyDescent="0.2">
      <c r="C884" s="25" t="s">
        <v>3317</v>
      </c>
      <c r="D884" s="68">
        <v>1</v>
      </c>
      <c r="E884" s="13">
        <v>0</v>
      </c>
      <c r="F884" s="13">
        <v>0</v>
      </c>
      <c r="G884" s="29"/>
    </row>
    <row r="885" spans="3:7" x14ac:dyDescent="0.2">
      <c r="C885" s="29"/>
      <c r="D885" s="68"/>
      <c r="E885" s="13"/>
      <c r="F885" s="13"/>
      <c r="G885" s="29"/>
    </row>
    <row r="886" spans="3:7" x14ac:dyDescent="0.2">
      <c r="E886" s="9">
        <f>SUM(E878:E885)</f>
        <v>8996000</v>
      </c>
      <c r="F886" s="9">
        <f>SUM(F878:F885)</f>
        <v>0</v>
      </c>
      <c r="G886" s="9">
        <f>SUM(G878:G884)</f>
        <v>0</v>
      </c>
    </row>
    <row r="887" spans="3:7" x14ac:dyDescent="0.2">
      <c r="E887" s="1">
        <v>9000000</v>
      </c>
    </row>
    <row r="888" spans="3:7" x14ac:dyDescent="0.2">
      <c r="E888" s="3">
        <f>E887-E886</f>
        <v>4000</v>
      </c>
      <c r="F888" s="3"/>
      <c r="G888" s="3"/>
    </row>
    <row r="889" spans="3:7" x14ac:dyDescent="0.2">
      <c r="E889" s="3"/>
      <c r="F889" s="3"/>
      <c r="G889" s="3"/>
    </row>
    <row r="890" spans="3:7" ht="26" x14ac:dyDescent="0.3">
      <c r="C890" s="391" t="s">
        <v>3410</v>
      </c>
      <c r="D890" s="391"/>
      <c r="E890" s="391"/>
      <c r="F890" s="391"/>
      <c r="G890" s="391"/>
    </row>
    <row r="891" spans="3:7" x14ac:dyDescent="0.2">
      <c r="C891" s="29" t="s">
        <v>82</v>
      </c>
      <c r="D891" s="11" t="s">
        <v>3097</v>
      </c>
      <c r="E891" s="12" t="s">
        <v>1</v>
      </c>
      <c r="F891" s="12" t="s">
        <v>3140</v>
      </c>
      <c r="G891" s="12" t="s">
        <v>3249</v>
      </c>
    </row>
    <row r="892" spans="3:7" x14ac:dyDescent="0.2">
      <c r="C892" s="5" t="s">
        <v>3402</v>
      </c>
      <c r="D892" s="6">
        <v>1</v>
      </c>
      <c r="E892" s="7">
        <v>188000</v>
      </c>
      <c r="F892" s="7"/>
      <c r="G892" s="8"/>
    </row>
    <row r="893" spans="3:7" x14ac:dyDescent="0.2">
      <c r="C893" s="5" t="s">
        <v>3411</v>
      </c>
      <c r="D893" s="6">
        <v>1</v>
      </c>
      <c r="E893" s="7">
        <v>299000</v>
      </c>
      <c r="F893" s="7"/>
      <c r="G893" s="8"/>
    </row>
    <row r="894" spans="3:7" x14ac:dyDescent="0.2">
      <c r="C894" s="5" t="s">
        <v>3412</v>
      </c>
      <c r="D894" s="6">
        <v>1</v>
      </c>
      <c r="E894" s="7">
        <v>670000</v>
      </c>
      <c r="F894" s="7"/>
      <c r="G894" s="8"/>
    </row>
    <row r="895" spans="3:7" x14ac:dyDescent="0.2">
      <c r="C895" s="5" t="s">
        <v>3413</v>
      </c>
      <c r="D895" s="6">
        <v>1</v>
      </c>
      <c r="E895" s="7">
        <v>100000</v>
      </c>
      <c r="F895" s="7"/>
      <c r="G895" s="8"/>
    </row>
    <row r="896" spans="3:7" x14ac:dyDescent="0.2">
      <c r="C896" s="5" t="s">
        <v>3414</v>
      </c>
      <c r="D896" s="6">
        <v>1</v>
      </c>
      <c r="E896" s="7">
        <v>50000</v>
      </c>
      <c r="F896" s="7"/>
      <c r="G896" s="8"/>
    </row>
    <row r="897" spans="3:7" x14ac:dyDescent="0.2">
      <c r="C897" s="5" t="s">
        <v>3415</v>
      </c>
      <c r="D897" s="6">
        <v>1</v>
      </c>
      <c r="E897" s="7">
        <f>9000000*4/1000</f>
        <v>36000</v>
      </c>
      <c r="F897" s="7"/>
      <c r="G897" s="8"/>
    </row>
    <row r="898" spans="3:7" x14ac:dyDescent="0.2">
      <c r="C898" s="5"/>
      <c r="D898" s="6"/>
      <c r="E898" s="7"/>
      <c r="F898" s="7"/>
      <c r="G898" s="8"/>
    </row>
    <row r="899" spans="3:7" x14ac:dyDescent="0.2">
      <c r="C899" s="5"/>
      <c r="D899" s="6"/>
      <c r="E899" s="7"/>
      <c r="F899" s="7"/>
      <c r="G899" s="8"/>
    </row>
    <row r="900" spans="3:7" x14ac:dyDescent="0.2">
      <c r="C900" s="25" t="s">
        <v>3317</v>
      </c>
      <c r="D900" s="68">
        <v>1</v>
      </c>
      <c r="E900" s="13">
        <v>0</v>
      </c>
      <c r="F900" s="13">
        <v>0</v>
      </c>
      <c r="G900" s="29"/>
    </row>
    <row r="901" spans="3:7" x14ac:dyDescent="0.2">
      <c r="C901" s="29"/>
      <c r="D901" s="68"/>
      <c r="E901" s="13"/>
      <c r="F901" s="13"/>
      <c r="G901" s="29"/>
    </row>
    <row r="902" spans="3:7" x14ac:dyDescent="0.2">
      <c r="E902" s="9">
        <f>SUM(E892:E901)</f>
        <v>1343000</v>
      </c>
      <c r="F902" s="9">
        <f>SUM(F892:F901)</f>
        <v>0</v>
      </c>
      <c r="G902" s="9">
        <f>SUM(G892:G900)</f>
        <v>0</v>
      </c>
    </row>
    <row r="903" spans="3:7" x14ac:dyDescent="0.2">
      <c r="E903" s="1">
        <v>1350000</v>
      </c>
    </row>
    <row r="904" spans="3:7" x14ac:dyDescent="0.2">
      <c r="E904" s="3">
        <f>E903-E902</f>
        <v>7000</v>
      </c>
      <c r="F904" s="3"/>
      <c r="G904" s="3"/>
    </row>
    <row r="906" spans="3:7" ht="26" x14ac:dyDescent="0.3">
      <c r="C906" s="391" t="s">
        <v>3416</v>
      </c>
      <c r="D906" s="391"/>
      <c r="E906" s="391"/>
      <c r="F906" s="391"/>
      <c r="G906" s="391"/>
    </row>
    <row r="907" spans="3:7" x14ac:dyDescent="0.2">
      <c r="C907" s="29" t="s">
        <v>82</v>
      </c>
      <c r="D907" s="11" t="s">
        <v>3097</v>
      </c>
      <c r="E907" s="12" t="s">
        <v>1</v>
      </c>
      <c r="F907" s="12" t="s">
        <v>3140</v>
      </c>
      <c r="G907" s="12" t="s">
        <v>3249</v>
      </c>
    </row>
    <row r="908" spans="3:7" x14ac:dyDescent="0.2">
      <c r="C908" s="5" t="s">
        <v>3417</v>
      </c>
      <c r="D908" s="6">
        <v>1</v>
      </c>
      <c r="E908" s="7">
        <v>3000000</v>
      </c>
      <c r="F908" s="7"/>
      <c r="G908" s="8"/>
    </row>
    <row r="909" spans="3:7" x14ac:dyDescent="0.2">
      <c r="C909" s="5" t="s">
        <v>3418</v>
      </c>
      <c r="D909" s="6">
        <v>1</v>
      </c>
      <c r="E909" s="7">
        <v>6000000</v>
      </c>
      <c r="F909" s="7"/>
      <c r="G909" s="8"/>
    </row>
    <row r="910" spans="3:7" x14ac:dyDescent="0.2">
      <c r="C910" s="5"/>
      <c r="D910" s="6">
        <v>1</v>
      </c>
      <c r="E910" s="7"/>
      <c r="F910" s="7"/>
      <c r="G910" s="8"/>
    </row>
    <row r="911" spans="3:7" x14ac:dyDescent="0.2">
      <c r="C911" s="5"/>
      <c r="D911" s="6">
        <v>1</v>
      </c>
      <c r="E911" s="7"/>
      <c r="F911" s="7"/>
      <c r="G911" s="8"/>
    </row>
    <row r="912" spans="3:7" x14ac:dyDescent="0.2">
      <c r="C912" s="5"/>
      <c r="D912" s="6">
        <v>1</v>
      </c>
      <c r="E912" s="7"/>
      <c r="F912" s="7"/>
      <c r="G912" s="8"/>
    </row>
    <row r="913" spans="3:7" x14ac:dyDescent="0.2">
      <c r="C913" s="5"/>
      <c r="D913" s="6">
        <v>1</v>
      </c>
      <c r="E913" s="7"/>
      <c r="F913" s="7"/>
      <c r="G913" s="8"/>
    </row>
    <row r="914" spans="3:7" x14ac:dyDescent="0.2">
      <c r="C914" s="25" t="s">
        <v>3317</v>
      </c>
      <c r="D914" s="68">
        <v>1</v>
      </c>
      <c r="E914" s="13">
        <v>0</v>
      </c>
      <c r="F914" s="13">
        <v>0</v>
      </c>
      <c r="G914" s="29"/>
    </row>
    <row r="915" spans="3:7" x14ac:dyDescent="0.2">
      <c r="C915" s="29"/>
      <c r="D915" s="68"/>
      <c r="E915" s="13"/>
      <c r="F915" s="13"/>
      <c r="G915" s="29"/>
    </row>
    <row r="916" spans="3:7" x14ac:dyDescent="0.2">
      <c r="E916" s="9">
        <f>SUM(E908:E915)</f>
        <v>9000000</v>
      </c>
      <c r="F916" s="9">
        <f>SUM(F908:F915)</f>
        <v>0</v>
      </c>
      <c r="G916" s="9">
        <f>SUM(G908:G914)</f>
        <v>0</v>
      </c>
    </row>
    <row r="917" spans="3:7" x14ac:dyDescent="0.2">
      <c r="E917" s="1">
        <v>9000000</v>
      </c>
    </row>
    <row r="918" spans="3:7" x14ac:dyDescent="0.2">
      <c r="E918" s="3">
        <f>E917-E916</f>
        <v>0</v>
      </c>
      <c r="F918" s="3"/>
      <c r="G918" s="3"/>
    </row>
    <row r="920" spans="3:7" ht="26" x14ac:dyDescent="0.3">
      <c r="C920" s="391" t="s">
        <v>3419</v>
      </c>
      <c r="D920" s="391"/>
      <c r="E920" s="391"/>
      <c r="F920" s="391"/>
      <c r="G920" s="391"/>
    </row>
    <row r="921" spans="3:7" x14ac:dyDescent="0.2">
      <c r="C921" s="29" t="s">
        <v>82</v>
      </c>
      <c r="D921" s="11" t="s">
        <v>3097</v>
      </c>
      <c r="E921" s="12" t="s">
        <v>1</v>
      </c>
      <c r="F921" s="12" t="s">
        <v>3140</v>
      </c>
      <c r="G921" s="12" t="s">
        <v>3249</v>
      </c>
    </row>
    <row r="922" spans="3:7" x14ac:dyDescent="0.2">
      <c r="C922" s="5" t="s">
        <v>3227</v>
      </c>
      <c r="D922" s="6">
        <v>1</v>
      </c>
      <c r="E922" s="46">
        <v>1500000</v>
      </c>
      <c r="F922" s="7">
        <v>0</v>
      </c>
      <c r="G922" s="7"/>
    </row>
    <row r="923" spans="3:7" x14ac:dyDescent="0.2">
      <c r="C923" s="5" t="s">
        <v>3256</v>
      </c>
      <c r="D923" s="6">
        <v>1</v>
      </c>
      <c r="E923" s="46">
        <v>500000</v>
      </c>
      <c r="F923" s="7">
        <v>0</v>
      </c>
      <c r="G923" s="8"/>
    </row>
    <row r="924" spans="3:7" x14ac:dyDescent="0.2">
      <c r="C924" s="5" t="s">
        <v>3228</v>
      </c>
      <c r="D924" s="6">
        <v>1</v>
      </c>
      <c r="E924" s="46">
        <v>500000</v>
      </c>
      <c r="F924" s="7">
        <v>0</v>
      </c>
      <c r="G924" s="8"/>
    </row>
    <row r="925" spans="3:7" x14ac:dyDescent="0.2">
      <c r="C925" s="5" t="s">
        <v>3230</v>
      </c>
      <c r="D925" s="6">
        <v>1</v>
      </c>
      <c r="E925" s="46">
        <v>200000</v>
      </c>
      <c r="F925" s="7">
        <v>0</v>
      </c>
      <c r="G925" s="8"/>
    </row>
    <row r="926" spans="3:7" x14ac:dyDescent="0.2">
      <c r="C926" s="5" t="s">
        <v>3316</v>
      </c>
      <c r="D926" s="6">
        <v>1</v>
      </c>
      <c r="E926" s="21">
        <v>250000</v>
      </c>
      <c r="F926" s="7">
        <v>0</v>
      </c>
      <c r="G926" s="8"/>
    </row>
    <row r="927" spans="3:7" x14ac:dyDescent="0.2">
      <c r="C927" s="5" t="s">
        <v>3297</v>
      </c>
      <c r="D927" s="6">
        <v>1</v>
      </c>
      <c r="E927" s="21">
        <v>45000</v>
      </c>
      <c r="F927" s="7">
        <v>0</v>
      </c>
      <c r="G927" s="8"/>
    </row>
    <row r="928" spans="3:7" x14ac:dyDescent="0.2">
      <c r="C928" s="5" t="s">
        <v>3173</v>
      </c>
      <c r="D928" s="6">
        <v>1</v>
      </c>
      <c r="E928" s="21">
        <v>115000</v>
      </c>
      <c r="F928" s="7">
        <v>0</v>
      </c>
      <c r="G928" s="8"/>
    </row>
    <row r="929" spans="3:7" x14ac:dyDescent="0.2">
      <c r="C929" s="5" t="s">
        <v>3361</v>
      </c>
      <c r="D929" s="6">
        <v>1</v>
      </c>
      <c r="E929" s="21">
        <v>255000</v>
      </c>
      <c r="F929" s="7">
        <v>0</v>
      </c>
      <c r="G929" s="7"/>
    </row>
    <row r="930" spans="3:7" x14ac:dyDescent="0.2">
      <c r="C930" s="5" t="s">
        <v>3364</v>
      </c>
      <c r="D930" s="6">
        <v>1</v>
      </c>
      <c r="E930" s="21">
        <v>73800</v>
      </c>
      <c r="F930" s="7">
        <v>0</v>
      </c>
      <c r="G930" s="8"/>
    </row>
    <row r="931" spans="3:7" x14ac:dyDescent="0.2">
      <c r="C931" s="5" t="s">
        <v>3420</v>
      </c>
      <c r="D931" s="6">
        <v>1</v>
      </c>
      <c r="E931" s="74">
        <v>0</v>
      </c>
      <c r="F931" s="7">
        <v>0</v>
      </c>
      <c r="G931" s="7"/>
    </row>
    <row r="932" spans="3:7" x14ac:dyDescent="0.2">
      <c r="C932" s="5" t="s">
        <v>3421</v>
      </c>
      <c r="D932" s="6">
        <v>1</v>
      </c>
      <c r="E932" s="21">
        <v>75000</v>
      </c>
      <c r="F932" s="7">
        <v>0</v>
      </c>
      <c r="G932" s="8"/>
    </row>
    <row r="933" spans="3:7" x14ac:dyDescent="0.2">
      <c r="C933" s="5" t="s">
        <v>3422</v>
      </c>
      <c r="D933" s="6">
        <v>1</v>
      </c>
      <c r="E933" s="21">
        <v>500000</v>
      </c>
      <c r="F933" s="7">
        <v>0</v>
      </c>
      <c r="G933" s="7"/>
    </row>
    <row r="934" spans="3:7" x14ac:dyDescent="0.2">
      <c r="C934" s="5" t="s">
        <v>490</v>
      </c>
      <c r="D934" s="6">
        <v>1</v>
      </c>
      <c r="E934" s="21">
        <v>865000</v>
      </c>
      <c r="F934" s="7">
        <v>0</v>
      </c>
      <c r="G934" s="8"/>
    </row>
    <row r="935" spans="3:7" x14ac:dyDescent="0.2">
      <c r="C935" s="5" t="s">
        <v>891</v>
      </c>
      <c r="D935" s="6">
        <v>1</v>
      </c>
      <c r="E935" s="21">
        <v>50000</v>
      </c>
      <c r="F935" s="7">
        <v>0</v>
      </c>
      <c r="G935" s="7">
        <v>0</v>
      </c>
    </row>
    <row r="936" spans="3:7" x14ac:dyDescent="0.2">
      <c r="C936" s="5" t="s">
        <v>892</v>
      </c>
      <c r="D936" s="6">
        <v>1</v>
      </c>
      <c r="E936" s="21">
        <v>25000</v>
      </c>
      <c r="F936" s="7">
        <v>0</v>
      </c>
      <c r="G936" s="7">
        <v>0</v>
      </c>
    </row>
    <row r="937" spans="3:7" x14ac:dyDescent="0.2">
      <c r="C937" s="5" t="s">
        <v>3423</v>
      </c>
      <c r="D937" s="6">
        <v>1</v>
      </c>
      <c r="E937" s="7">
        <v>0</v>
      </c>
      <c r="F937" s="7">
        <v>0</v>
      </c>
      <c r="G937" s="7">
        <v>950000</v>
      </c>
    </row>
    <row r="938" spans="3:7" x14ac:dyDescent="0.2">
      <c r="C938" s="5" t="s">
        <v>893</v>
      </c>
      <c r="D938" s="6">
        <v>1</v>
      </c>
      <c r="E938" s="21">
        <v>230000</v>
      </c>
      <c r="F938" s="7">
        <v>0</v>
      </c>
      <c r="G938" s="7">
        <v>0</v>
      </c>
    </row>
    <row r="939" spans="3:7" x14ac:dyDescent="0.2">
      <c r="C939" s="5" t="s">
        <v>3424</v>
      </c>
      <c r="D939" s="6">
        <v>1</v>
      </c>
      <c r="E939" s="21">
        <v>750000</v>
      </c>
      <c r="F939" s="7">
        <v>0</v>
      </c>
      <c r="G939" s="8">
        <v>0</v>
      </c>
    </row>
    <row r="940" spans="3:7" x14ac:dyDescent="0.2">
      <c r="C940" s="5" t="s">
        <v>3425</v>
      </c>
      <c r="D940" s="6">
        <v>1</v>
      </c>
      <c r="E940" s="21">
        <v>299000</v>
      </c>
      <c r="F940" s="7">
        <v>0</v>
      </c>
      <c r="G940" s="8"/>
    </row>
    <row r="941" spans="3:7" x14ac:dyDescent="0.2">
      <c r="C941" s="5" t="s">
        <v>3426</v>
      </c>
      <c r="D941" s="6"/>
      <c r="E941" s="21">
        <v>297000</v>
      </c>
      <c r="F941" s="7"/>
      <c r="G941" s="8"/>
    </row>
    <row r="942" spans="3:7" x14ac:dyDescent="0.2">
      <c r="C942" s="5"/>
      <c r="D942" s="6"/>
      <c r="E942" s="7"/>
      <c r="F942" s="7"/>
      <c r="G942" s="8"/>
    </row>
    <row r="943" spans="3:7" x14ac:dyDescent="0.2">
      <c r="C943" s="5"/>
      <c r="D943" s="6"/>
      <c r="E943" s="7"/>
      <c r="F943" s="7"/>
      <c r="G943" s="8"/>
    </row>
    <row r="944" spans="3:7" x14ac:dyDescent="0.2">
      <c r="C944" s="25" t="s">
        <v>3317</v>
      </c>
      <c r="D944" s="68">
        <v>1</v>
      </c>
      <c r="E944" s="13">
        <v>0</v>
      </c>
      <c r="F944" s="13">
        <v>0</v>
      </c>
      <c r="G944" s="29"/>
    </row>
    <row r="945" spans="3:7" x14ac:dyDescent="0.2">
      <c r="C945" s="29"/>
      <c r="D945" s="68"/>
      <c r="E945" s="13"/>
      <c r="F945" s="13"/>
      <c r="G945" s="29"/>
    </row>
    <row r="946" spans="3:7" x14ac:dyDescent="0.2">
      <c r="E946" s="9">
        <f>SUM(E922:E945)</f>
        <v>6529800</v>
      </c>
      <c r="F946" s="9">
        <f>SUM(F922:F945)</f>
        <v>0</v>
      </c>
      <c r="G946" s="9">
        <f>SUM(G922:G944)</f>
        <v>950000</v>
      </c>
    </row>
    <row r="947" spans="3:7" x14ac:dyDescent="0.2">
      <c r="C947" s="1">
        <f>E947-4800000</f>
        <v>1730000</v>
      </c>
      <c r="E947" s="1">
        <v>6530000</v>
      </c>
    </row>
    <row r="948" spans="3:7" x14ac:dyDescent="0.2">
      <c r="C948">
        <f>C947/2</f>
        <v>865000</v>
      </c>
      <c r="E948" s="3">
        <f>E947-E946</f>
        <v>200</v>
      </c>
      <c r="F948" s="3"/>
      <c r="G948" s="3"/>
    </row>
    <row r="949" spans="3:7" x14ac:dyDescent="0.2">
      <c r="C949">
        <v>4800000</v>
      </c>
    </row>
    <row r="952" spans="3:7" ht="26" x14ac:dyDescent="0.3">
      <c r="C952" s="391" t="s">
        <v>3427</v>
      </c>
      <c r="D952" s="391"/>
      <c r="E952" s="391"/>
      <c r="F952" s="391"/>
      <c r="G952" s="391"/>
    </row>
    <row r="953" spans="3:7" x14ac:dyDescent="0.2">
      <c r="C953" s="29" t="s">
        <v>82</v>
      </c>
      <c r="D953" s="11" t="s">
        <v>3097</v>
      </c>
      <c r="E953" s="12" t="s">
        <v>1</v>
      </c>
      <c r="F953" s="12" t="s">
        <v>3140</v>
      </c>
      <c r="G953" s="12" t="s">
        <v>3249</v>
      </c>
    </row>
    <row r="954" spans="3:7" x14ac:dyDescent="0.2">
      <c r="C954" s="5" t="s">
        <v>3227</v>
      </c>
      <c r="D954" s="6">
        <v>1</v>
      </c>
      <c r="E954" s="46">
        <v>1500000</v>
      </c>
      <c r="F954" s="7">
        <v>0</v>
      </c>
      <c r="G954" s="7"/>
    </row>
    <row r="955" spans="3:7" x14ac:dyDescent="0.2">
      <c r="C955" s="5" t="s">
        <v>3256</v>
      </c>
      <c r="D955" s="6">
        <v>1</v>
      </c>
      <c r="E955" s="46">
        <v>500000</v>
      </c>
      <c r="F955" s="7">
        <v>0</v>
      </c>
      <c r="G955" s="8"/>
    </row>
    <row r="956" spans="3:7" x14ac:dyDescent="0.2">
      <c r="C956" s="5" t="s">
        <v>3228</v>
      </c>
      <c r="D956" s="6">
        <v>1</v>
      </c>
      <c r="E956" s="46">
        <v>500000</v>
      </c>
      <c r="F956" s="7">
        <v>0</v>
      </c>
      <c r="G956" s="8"/>
    </row>
    <row r="957" spans="3:7" x14ac:dyDescent="0.2">
      <c r="C957" s="5" t="s">
        <v>3230</v>
      </c>
      <c r="D957" s="6">
        <v>1</v>
      </c>
      <c r="E957" s="46">
        <v>200000</v>
      </c>
      <c r="F957" s="7">
        <v>0</v>
      </c>
      <c r="G957" s="8"/>
    </row>
    <row r="958" spans="3:7" x14ac:dyDescent="0.2">
      <c r="C958" s="5" t="s">
        <v>3316</v>
      </c>
      <c r="D958" s="6">
        <v>1</v>
      </c>
      <c r="E958" s="21">
        <v>250000</v>
      </c>
      <c r="F958" s="7">
        <v>0</v>
      </c>
      <c r="G958" s="8"/>
    </row>
    <row r="959" spans="3:7" x14ac:dyDescent="0.2">
      <c r="C959" s="5" t="s">
        <v>3297</v>
      </c>
      <c r="D959" s="6">
        <v>1</v>
      </c>
      <c r="E959" s="21">
        <v>45000</v>
      </c>
      <c r="F959" s="7">
        <v>0</v>
      </c>
      <c r="G959" s="8"/>
    </row>
    <row r="960" spans="3:7" x14ac:dyDescent="0.2">
      <c r="C960" s="5" t="s">
        <v>3173</v>
      </c>
      <c r="D960" s="6">
        <v>1</v>
      </c>
      <c r="E960" s="21">
        <v>115000</v>
      </c>
      <c r="F960" s="7">
        <v>0</v>
      </c>
      <c r="G960" s="8"/>
    </row>
    <row r="961" spans="3:7" x14ac:dyDescent="0.2">
      <c r="C961" s="5" t="s">
        <v>3361</v>
      </c>
      <c r="D961" s="6">
        <v>1</v>
      </c>
      <c r="E961" s="21">
        <v>255000</v>
      </c>
      <c r="F961" s="7">
        <v>0</v>
      </c>
      <c r="G961" s="7"/>
    </row>
    <row r="962" spans="3:7" x14ac:dyDescent="0.2">
      <c r="C962" s="5" t="s">
        <v>3364</v>
      </c>
      <c r="D962" s="6">
        <v>1</v>
      </c>
      <c r="E962" s="21">
        <v>73800</v>
      </c>
      <c r="F962" s="7">
        <v>0</v>
      </c>
      <c r="G962" s="8"/>
    </row>
    <row r="963" spans="3:7" x14ac:dyDescent="0.2">
      <c r="C963" s="5" t="s">
        <v>3423</v>
      </c>
      <c r="D963" s="6">
        <v>1</v>
      </c>
      <c r="E963" s="21">
        <v>950000</v>
      </c>
      <c r="F963" s="7">
        <v>0</v>
      </c>
      <c r="G963" s="7"/>
    </row>
    <row r="964" spans="3:7" x14ac:dyDescent="0.2">
      <c r="C964" s="5" t="s">
        <v>3428</v>
      </c>
      <c r="D964" s="6">
        <v>1</v>
      </c>
      <c r="E964" s="21">
        <v>87000</v>
      </c>
      <c r="F964" s="7">
        <v>0</v>
      </c>
      <c r="G964" s="8"/>
    </row>
    <row r="965" spans="3:7" x14ac:dyDescent="0.2">
      <c r="C965" s="5" t="s">
        <v>3429</v>
      </c>
      <c r="D965" s="6">
        <v>1</v>
      </c>
      <c r="E965" s="21">
        <v>105000</v>
      </c>
      <c r="F965" s="7">
        <v>0</v>
      </c>
      <c r="G965" s="7"/>
    </row>
    <row r="966" spans="3:7" x14ac:dyDescent="0.2">
      <c r="C966" s="5" t="s">
        <v>3430</v>
      </c>
      <c r="D966" s="6">
        <v>1</v>
      </c>
      <c r="E966" s="21">
        <v>30000</v>
      </c>
      <c r="F966" s="7">
        <v>0</v>
      </c>
      <c r="G966" s="8"/>
    </row>
    <row r="967" spans="3:7" x14ac:dyDescent="0.2">
      <c r="C967" s="5" t="s">
        <v>3431</v>
      </c>
      <c r="D967" s="6">
        <v>1</v>
      </c>
      <c r="E967" s="21">
        <v>100000</v>
      </c>
      <c r="F967" s="7">
        <v>0</v>
      </c>
      <c r="G967" s="7"/>
    </row>
    <row r="968" spans="3:7" x14ac:dyDescent="0.2">
      <c r="C968" s="5" t="s">
        <v>3432</v>
      </c>
      <c r="D968" s="6">
        <v>1</v>
      </c>
      <c r="E968" s="21">
        <v>70000</v>
      </c>
      <c r="F968" s="7">
        <v>0</v>
      </c>
      <c r="G968" s="7"/>
    </row>
    <row r="969" spans="3:7" x14ac:dyDescent="0.2">
      <c r="C969" s="5" t="s">
        <v>3433</v>
      </c>
      <c r="D969" s="6">
        <v>1</v>
      </c>
      <c r="E969" s="21">
        <v>48000</v>
      </c>
      <c r="F969" s="7">
        <v>0</v>
      </c>
      <c r="G969" s="7"/>
    </row>
    <row r="970" spans="3:7" x14ac:dyDescent="0.2">
      <c r="C970" s="25" t="s">
        <v>3317</v>
      </c>
      <c r="D970" s="68">
        <v>1</v>
      </c>
      <c r="E970" s="13">
        <v>0</v>
      </c>
      <c r="F970" s="13">
        <v>0</v>
      </c>
      <c r="G970" s="29"/>
    </row>
    <row r="971" spans="3:7" x14ac:dyDescent="0.2">
      <c r="C971" s="29"/>
      <c r="D971" s="68"/>
      <c r="E971" s="13"/>
      <c r="F971" s="13"/>
      <c r="G971" s="29"/>
    </row>
    <row r="972" spans="3:7" x14ac:dyDescent="0.2">
      <c r="E972" s="9">
        <f>SUM(E954:E971)</f>
        <v>4828800</v>
      </c>
      <c r="F972" s="9">
        <f>SUM(F954:F971)</f>
        <v>0</v>
      </c>
      <c r="G972" s="9">
        <f>SUM(G954:G970)</f>
        <v>0</v>
      </c>
    </row>
    <row r="973" spans="3:7" x14ac:dyDescent="0.2">
      <c r="C973" s="1"/>
      <c r="E973" s="1">
        <v>4800000</v>
      </c>
    </row>
    <row r="974" spans="3:7" x14ac:dyDescent="0.2">
      <c r="E974" s="3">
        <f>E973-E972</f>
        <v>-28800</v>
      </c>
      <c r="F974" s="3"/>
      <c r="G974" s="3"/>
    </row>
    <row r="977" spans="3:7" ht="26" x14ac:dyDescent="0.3">
      <c r="C977" s="391" t="s">
        <v>3434</v>
      </c>
      <c r="D977" s="391"/>
      <c r="E977" s="391"/>
      <c r="F977" s="391"/>
      <c r="G977" s="391"/>
    </row>
    <row r="978" spans="3:7" x14ac:dyDescent="0.2">
      <c r="C978" s="29" t="s">
        <v>82</v>
      </c>
      <c r="D978" s="11" t="s">
        <v>3097</v>
      </c>
      <c r="E978" s="12" t="s">
        <v>1</v>
      </c>
      <c r="F978" s="12" t="s">
        <v>3140</v>
      </c>
      <c r="G978" s="12" t="s">
        <v>3249</v>
      </c>
    </row>
    <row r="979" spans="3:7" x14ac:dyDescent="0.2">
      <c r="C979" s="5" t="s">
        <v>3227</v>
      </c>
      <c r="D979" s="6">
        <v>1</v>
      </c>
      <c r="E979" s="46">
        <v>1500000</v>
      </c>
      <c r="F979" s="7">
        <v>0</v>
      </c>
      <c r="G979" s="7"/>
    </row>
    <row r="980" spans="3:7" x14ac:dyDescent="0.2">
      <c r="C980" s="5" t="s">
        <v>3256</v>
      </c>
      <c r="D980" s="6">
        <v>1</v>
      </c>
      <c r="E980" s="46">
        <v>500000</v>
      </c>
      <c r="F980" s="7">
        <v>0</v>
      </c>
      <c r="G980" s="8"/>
    </row>
    <row r="981" spans="3:7" x14ac:dyDescent="0.2">
      <c r="C981" s="5" t="s">
        <v>3228</v>
      </c>
      <c r="D981" s="6">
        <v>1</v>
      </c>
      <c r="E981" s="46">
        <v>500000</v>
      </c>
      <c r="F981" s="7">
        <v>0</v>
      </c>
      <c r="G981" s="8"/>
    </row>
    <row r="982" spans="3:7" x14ac:dyDescent="0.2">
      <c r="C982" s="5" t="s">
        <v>3230</v>
      </c>
      <c r="D982" s="6">
        <v>1</v>
      </c>
      <c r="E982" s="46">
        <v>200000</v>
      </c>
      <c r="F982" s="7">
        <v>0</v>
      </c>
      <c r="G982" s="8"/>
    </row>
    <row r="983" spans="3:7" x14ac:dyDescent="0.2">
      <c r="C983" s="5" t="s">
        <v>3316</v>
      </c>
      <c r="D983" s="6">
        <v>1</v>
      </c>
      <c r="E983" s="21">
        <v>250000</v>
      </c>
      <c r="F983" s="7">
        <v>0</v>
      </c>
      <c r="G983" s="8"/>
    </row>
    <row r="984" spans="3:7" x14ac:dyDescent="0.2">
      <c r="C984" s="5" t="s">
        <v>3297</v>
      </c>
      <c r="D984" s="6">
        <v>1</v>
      </c>
      <c r="E984" s="21">
        <v>45000</v>
      </c>
      <c r="F984" s="7">
        <v>0</v>
      </c>
      <c r="G984" s="8"/>
    </row>
    <row r="985" spans="3:7" x14ac:dyDescent="0.2">
      <c r="C985" s="5" t="s">
        <v>3173</v>
      </c>
      <c r="D985" s="6">
        <v>1</v>
      </c>
      <c r="E985" s="21">
        <v>115000</v>
      </c>
      <c r="F985" s="7">
        <v>0</v>
      </c>
      <c r="G985" s="8"/>
    </row>
    <row r="986" spans="3:7" x14ac:dyDescent="0.2">
      <c r="C986" s="5" t="s">
        <v>3361</v>
      </c>
      <c r="D986" s="6">
        <v>1</v>
      </c>
      <c r="E986" s="21">
        <v>255000</v>
      </c>
      <c r="F986" s="7">
        <v>0</v>
      </c>
      <c r="G986" s="7"/>
    </row>
    <row r="987" spans="3:7" x14ac:dyDescent="0.2">
      <c r="C987" s="5" t="s">
        <v>3364</v>
      </c>
      <c r="D987" s="6">
        <v>1</v>
      </c>
      <c r="E987" s="21">
        <v>73800</v>
      </c>
      <c r="F987" s="7">
        <v>0</v>
      </c>
      <c r="G987" s="8"/>
    </row>
    <row r="988" spans="3:7" x14ac:dyDescent="0.2">
      <c r="C988" s="5" t="s">
        <v>3435</v>
      </c>
      <c r="D988" s="6">
        <v>1</v>
      </c>
      <c r="E988" s="21">
        <v>296500</v>
      </c>
      <c r="F988" s="7">
        <v>0</v>
      </c>
      <c r="G988" s="7"/>
    </row>
    <row r="989" spans="3:7" x14ac:dyDescent="0.2">
      <c r="C989" s="5" t="s">
        <v>3436</v>
      </c>
      <c r="D989" s="6">
        <v>1</v>
      </c>
      <c r="E989" s="21">
        <v>296000</v>
      </c>
      <c r="F989" s="7">
        <v>0</v>
      </c>
      <c r="G989" s="7"/>
    </row>
    <row r="990" spans="3:7" x14ac:dyDescent="0.2">
      <c r="C990" s="5" t="s">
        <v>3437</v>
      </c>
      <c r="D990" s="6">
        <v>1</v>
      </c>
      <c r="E990" s="21">
        <v>400000</v>
      </c>
      <c r="F990" s="7">
        <v>0</v>
      </c>
      <c r="G990" s="7"/>
    </row>
    <row r="991" spans="3:7" x14ac:dyDescent="0.2">
      <c r="C991" s="5" t="s">
        <v>3438</v>
      </c>
      <c r="D991" s="6">
        <v>1</v>
      </c>
      <c r="E991" s="21">
        <v>250000</v>
      </c>
      <c r="F991" s="7">
        <v>0</v>
      </c>
      <c r="G991" s="7"/>
    </row>
    <row r="992" spans="3:7" x14ac:dyDescent="0.2">
      <c r="C992" s="5" t="s">
        <v>3439</v>
      </c>
      <c r="D992" s="6">
        <v>3</v>
      </c>
      <c r="E992" s="21">
        <v>118000</v>
      </c>
      <c r="F992" s="7">
        <v>108000</v>
      </c>
      <c r="G992" s="7"/>
    </row>
    <row r="993" spans="3:11" x14ac:dyDescent="0.2">
      <c r="C993" s="25" t="s">
        <v>3317</v>
      </c>
      <c r="D993" s="68">
        <v>1</v>
      </c>
      <c r="E993" s="13">
        <v>0</v>
      </c>
      <c r="F993" s="13">
        <v>0</v>
      </c>
      <c r="G993" s="29"/>
    </row>
    <row r="994" spans="3:11" x14ac:dyDescent="0.2">
      <c r="C994" s="29"/>
      <c r="D994" s="68"/>
      <c r="E994" s="13"/>
      <c r="F994" s="13"/>
      <c r="G994" s="29"/>
    </row>
    <row r="995" spans="3:11" x14ac:dyDescent="0.2">
      <c r="E995" s="9">
        <f>SUM(E979:E994)</f>
        <v>4799300</v>
      </c>
      <c r="F995" s="9">
        <f>SUM(F979:F994)</f>
        <v>108000</v>
      </c>
      <c r="G995" s="9">
        <f>SUM(G979:G993)</f>
        <v>0</v>
      </c>
    </row>
    <row r="996" spans="3:11" x14ac:dyDescent="0.2">
      <c r="C996" s="1"/>
      <c r="E996" s="1">
        <v>4800000</v>
      </c>
    </row>
    <row r="997" spans="3:11" x14ac:dyDescent="0.2">
      <c r="E997" s="3">
        <f>E996-E995</f>
        <v>700</v>
      </c>
      <c r="F997" s="3"/>
      <c r="G997" s="3"/>
    </row>
    <row r="1001" spans="3:11" ht="26" x14ac:dyDescent="0.3">
      <c r="C1001" s="391" t="s">
        <v>3440</v>
      </c>
      <c r="D1001" s="391"/>
      <c r="E1001" s="391"/>
      <c r="F1001" s="391"/>
      <c r="G1001" s="391"/>
    </row>
    <row r="1002" spans="3:11" x14ac:dyDescent="0.2">
      <c r="C1002" s="29" t="s">
        <v>82</v>
      </c>
      <c r="D1002" s="11" t="s">
        <v>3097</v>
      </c>
      <c r="E1002" s="12" t="s">
        <v>1</v>
      </c>
      <c r="F1002" s="12" t="s">
        <v>3140</v>
      </c>
      <c r="G1002" s="12" t="s">
        <v>3249</v>
      </c>
    </row>
    <row r="1003" spans="3:11" x14ac:dyDescent="0.2">
      <c r="C1003" s="5" t="s">
        <v>3227</v>
      </c>
      <c r="D1003" s="6">
        <v>1</v>
      </c>
      <c r="E1003" s="46">
        <v>1500000</v>
      </c>
      <c r="F1003" s="7">
        <v>0</v>
      </c>
      <c r="G1003" s="7"/>
    </row>
    <row r="1004" spans="3:11" x14ac:dyDescent="0.2">
      <c r="C1004" s="5" t="s">
        <v>3256</v>
      </c>
      <c r="D1004" s="6">
        <v>1</v>
      </c>
      <c r="E1004" s="46">
        <v>500000</v>
      </c>
      <c r="F1004" s="7">
        <v>0</v>
      </c>
      <c r="G1004" s="8"/>
    </row>
    <row r="1005" spans="3:11" x14ac:dyDescent="0.2">
      <c r="C1005" s="5" t="s">
        <v>3228</v>
      </c>
      <c r="D1005" s="6">
        <v>1</v>
      </c>
      <c r="E1005" s="46">
        <v>500000</v>
      </c>
      <c r="F1005" s="7">
        <v>0</v>
      </c>
      <c r="G1005" s="8"/>
    </row>
    <row r="1006" spans="3:11" x14ac:dyDescent="0.2">
      <c r="C1006" s="5" t="s">
        <v>3230</v>
      </c>
      <c r="D1006" s="6">
        <v>1</v>
      </c>
      <c r="E1006" s="46">
        <v>200000</v>
      </c>
      <c r="F1006" s="7">
        <v>0</v>
      </c>
      <c r="G1006" s="8"/>
    </row>
    <row r="1007" spans="3:11" x14ac:dyDescent="0.2">
      <c r="C1007" s="5" t="s">
        <v>3316</v>
      </c>
      <c r="D1007" s="6">
        <v>1</v>
      </c>
      <c r="E1007" s="21">
        <v>250000</v>
      </c>
      <c r="F1007" s="7">
        <v>0</v>
      </c>
      <c r="G1007" s="8"/>
      <c r="I1007" t="s">
        <v>3441</v>
      </c>
      <c r="J1007" s="5" t="s">
        <v>3442</v>
      </c>
      <c r="K1007" s="7">
        <v>450000</v>
      </c>
    </row>
    <row r="1008" spans="3:11" x14ac:dyDescent="0.2">
      <c r="C1008" s="5" t="s">
        <v>3297</v>
      </c>
      <c r="D1008" s="6">
        <v>1</v>
      </c>
      <c r="E1008" s="21">
        <v>45000</v>
      </c>
      <c r="F1008" s="7">
        <v>0</v>
      </c>
      <c r="G1008" s="8"/>
      <c r="I1008" t="s">
        <v>3441</v>
      </c>
      <c r="J1008" s="5" t="s">
        <v>3443</v>
      </c>
      <c r="K1008" s="7">
        <v>185000</v>
      </c>
    </row>
    <row r="1009" spans="3:11" x14ac:dyDescent="0.2">
      <c r="C1009" s="5" t="s">
        <v>3173</v>
      </c>
      <c r="D1009" s="6">
        <v>1</v>
      </c>
      <c r="E1009" s="21">
        <v>115000</v>
      </c>
      <c r="F1009" s="7">
        <v>0</v>
      </c>
      <c r="G1009" s="8"/>
      <c r="J1009" s="5"/>
      <c r="K1009" s="7"/>
    </row>
    <row r="1010" spans="3:11" x14ac:dyDescent="0.2">
      <c r="C1010" s="5" t="s">
        <v>3361</v>
      </c>
      <c r="D1010" s="6">
        <v>1</v>
      </c>
      <c r="E1010" s="21">
        <v>255000</v>
      </c>
      <c r="F1010" s="7">
        <v>0</v>
      </c>
      <c r="G1010" s="7"/>
      <c r="I1010" t="s">
        <v>3444</v>
      </c>
      <c r="J1010" s="73" t="s">
        <v>3445</v>
      </c>
      <c r="K1010" s="7">
        <v>100000</v>
      </c>
    </row>
    <row r="1011" spans="3:11" x14ac:dyDescent="0.2">
      <c r="C1011" s="5" t="s">
        <v>3364</v>
      </c>
      <c r="D1011" s="6">
        <v>1</v>
      </c>
      <c r="E1011" s="21">
        <v>73800</v>
      </c>
      <c r="F1011" s="7">
        <v>0</v>
      </c>
      <c r="G1011" s="8"/>
      <c r="I1011" t="s">
        <v>3446</v>
      </c>
      <c r="J1011" s="52" t="s">
        <v>3447</v>
      </c>
      <c r="K1011" s="7">
        <v>200000</v>
      </c>
    </row>
    <row r="1012" spans="3:11" x14ac:dyDescent="0.2">
      <c r="C1012" s="5" t="s">
        <v>3448</v>
      </c>
      <c r="D1012" s="6">
        <v>2</v>
      </c>
      <c r="E1012" s="21">
        <f>399000*2</f>
        <v>798000</v>
      </c>
      <c r="F1012" s="7">
        <v>0</v>
      </c>
      <c r="G1012" s="7"/>
      <c r="J1012" s="5"/>
      <c r="K1012" s="7"/>
    </row>
    <row r="1013" spans="3:11" x14ac:dyDescent="0.2">
      <c r="C1013" s="5" t="s">
        <v>3449</v>
      </c>
      <c r="D1013" s="6">
        <v>1</v>
      </c>
      <c r="E1013" s="21">
        <v>297000</v>
      </c>
      <c r="F1013" s="7">
        <v>0</v>
      </c>
      <c r="G1013" s="8"/>
      <c r="I1013" t="s">
        <v>3450</v>
      </c>
      <c r="J1013" s="5" t="s">
        <v>3451</v>
      </c>
      <c r="K1013" s="7">
        <v>260000</v>
      </c>
    </row>
    <row r="1014" spans="3:11" x14ac:dyDescent="0.2">
      <c r="C1014" s="5" t="s">
        <v>3452</v>
      </c>
      <c r="D1014" s="6">
        <v>1</v>
      </c>
      <c r="E1014" s="21">
        <v>70000</v>
      </c>
      <c r="F1014" s="7">
        <v>0</v>
      </c>
      <c r="G1014" s="8"/>
      <c r="I1014" t="s">
        <v>3450</v>
      </c>
      <c r="J1014" s="5" t="s">
        <v>3453</v>
      </c>
      <c r="K1014" s="7">
        <v>3000000</v>
      </c>
    </row>
    <row r="1015" spans="3:11" x14ac:dyDescent="0.2">
      <c r="C1015" s="5" t="s">
        <v>3439</v>
      </c>
      <c r="D1015" s="6">
        <v>3</v>
      </c>
      <c r="E1015" s="21">
        <v>108000</v>
      </c>
      <c r="F1015" s="7">
        <v>0</v>
      </c>
      <c r="G1015" s="7"/>
      <c r="J1015" s="5"/>
      <c r="K1015" s="7"/>
    </row>
    <row r="1016" spans="3:11" x14ac:dyDescent="0.2">
      <c r="C1016" s="54" t="s">
        <v>3454</v>
      </c>
      <c r="D1016" s="8">
        <v>1</v>
      </c>
      <c r="E1016" s="7">
        <v>0</v>
      </c>
      <c r="F1016" s="7"/>
      <c r="G1016" s="8"/>
      <c r="J1016" s="5"/>
      <c r="K1016" s="7"/>
    </row>
    <row r="1017" spans="3:11" x14ac:dyDescent="0.2">
      <c r="C1017" s="80" t="s">
        <v>3455</v>
      </c>
      <c r="D1017" s="8">
        <v>1</v>
      </c>
      <c r="E1017" s="7">
        <v>0</v>
      </c>
      <c r="F1017" s="7"/>
      <c r="G1017" s="7"/>
      <c r="I1017" t="s">
        <v>3456</v>
      </c>
      <c r="J1017" s="5" t="s">
        <v>3457</v>
      </c>
      <c r="K1017" s="7">
        <v>75000</v>
      </c>
    </row>
    <row r="1018" spans="3:11" x14ac:dyDescent="0.2">
      <c r="C1018" s="80" t="s">
        <v>3458</v>
      </c>
      <c r="D1018" s="8">
        <v>1</v>
      </c>
      <c r="E1018" s="7">
        <v>0</v>
      </c>
      <c r="F1018" s="7"/>
      <c r="G1018" s="7"/>
      <c r="I1018" t="s">
        <v>3456</v>
      </c>
      <c r="J1018" s="5" t="s">
        <v>3459</v>
      </c>
      <c r="K1018" s="7">
        <v>50000</v>
      </c>
    </row>
    <row r="1019" spans="3:11" x14ac:dyDescent="0.2">
      <c r="C1019" s="54" t="s">
        <v>3460</v>
      </c>
      <c r="D1019" s="8">
        <v>1</v>
      </c>
      <c r="E1019" s="7">
        <v>0</v>
      </c>
      <c r="F1019" s="7"/>
      <c r="G1019" s="8"/>
    </row>
    <row r="1020" spans="3:11" x14ac:dyDescent="0.2">
      <c r="C1020" s="54" t="s">
        <v>3461</v>
      </c>
      <c r="D1020" s="8">
        <v>1</v>
      </c>
      <c r="E1020" s="7">
        <v>0</v>
      </c>
      <c r="F1020" s="7"/>
      <c r="G1020" s="8"/>
    </row>
    <row r="1021" spans="3:11" x14ac:dyDescent="0.2">
      <c r="C1021" s="54" t="s">
        <v>3264</v>
      </c>
      <c r="D1021" s="8">
        <v>1</v>
      </c>
      <c r="E1021" s="7">
        <v>0</v>
      </c>
      <c r="F1021" s="7"/>
      <c r="G1021" s="8"/>
      <c r="K1021" s="9">
        <f>SUM(K1007:K1018)</f>
        <v>4320000</v>
      </c>
    </row>
    <row r="1022" spans="3:11" x14ac:dyDescent="0.2">
      <c r="C1022" s="54" t="s">
        <v>3462</v>
      </c>
      <c r="D1022" s="8">
        <v>1</v>
      </c>
      <c r="E1022" s="7">
        <v>0</v>
      </c>
      <c r="F1022" s="7"/>
      <c r="G1022" s="8"/>
      <c r="K1022" s="9"/>
    </row>
    <row r="1023" spans="3:11" x14ac:dyDescent="0.2">
      <c r="C1023" s="54" t="s">
        <v>3463</v>
      </c>
      <c r="D1023" s="8">
        <v>1</v>
      </c>
      <c r="E1023" s="7">
        <v>0</v>
      </c>
      <c r="F1023" s="7"/>
      <c r="G1023" s="8"/>
      <c r="K1023" s="9"/>
    </row>
    <row r="1024" spans="3:11" x14ac:dyDescent="0.2">
      <c r="C1024" s="54" t="s">
        <v>3464</v>
      </c>
      <c r="D1024" s="8">
        <v>1</v>
      </c>
      <c r="E1024" s="7">
        <v>0</v>
      </c>
      <c r="F1024" s="7"/>
      <c r="G1024" s="8"/>
      <c r="K1024" s="9"/>
    </row>
    <row r="1025" spans="3:11" x14ac:dyDescent="0.2">
      <c r="C1025" s="54" t="s">
        <v>3465</v>
      </c>
      <c r="D1025" s="8">
        <v>1</v>
      </c>
      <c r="E1025" s="7">
        <v>0</v>
      </c>
      <c r="F1025" s="7"/>
      <c r="G1025" s="8"/>
      <c r="K1025" s="9"/>
    </row>
    <row r="1026" spans="3:11" x14ac:dyDescent="0.2">
      <c r="C1026" s="54" t="s">
        <v>3466</v>
      </c>
      <c r="D1026" s="8">
        <v>1</v>
      </c>
      <c r="E1026" s="7">
        <v>0</v>
      </c>
      <c r="F1026" s="7"/>
      <c r="G1026" s="8"/>
      <c r="K1026" s="9"/>
    </row>
    <row r="1027" spans="3:11" x14ac:dyDescent="0.2">
      <c r="C1027" s="54" t="s">
        <v>3467</v>
      </c>
      <c r="D1027" s="8">
        <v>1</v>
      </c>
      <c r="E1027" s="7">
        <v>0</v>
      </c>
      <c r="F1027" s="7"/>
      <c r="G1027" s="8"/>
      <c r="K1027" s="9"/>
    </row>
    <row r="1028" spans="3:11" x14ac:dyDescent="0.2">
      <c r="C1028" s="54"/>
      <c r="D1028" s="8"/>
      <c r="E1028" s="7"/>
      <c r="F1028" s="7"/>
      <c r="G1028" s="8"/>
      <c r="K1028" s="9"/>
    </row>
    <row r="1029" spans="3:11" x14ac:dyDescent="0.2">
      <c r="C1029" s="8"/>
      <c r="D1029" s="8"/>
      <c r="E1029" s="7"/>
      <c r="F1029" s="7"/>
      <c r="G1029" s="8"/>
      <c r="K1029" s="9"/>
    </row>
    <row r="1030" spans="3:11" x14ac:dyDescent="0.2">
      <c r="C1030" s="25" t="s">
        <v>3317</v>
      </c>
      <c r="D1030" s="68">
        <v>1</v>
      </c>
      <c r="E1030" s="13">
        <v>0</v>
      </c>
      <c r="F1030" s="13">
        <v>0</v>
      </c>
      <c r="G1030" s="29"/>
    </row>
    <row r="1031" spans="3:11" x14ac:dyDescent="0.2">
      <c r="C1031" s="29"/>
      <c r="D1031" s="68"/>
      <c r="E1031" s="13"/>
      <c r="F1031" s="13"/>
      <c r="G1031" s="29"/>
    </row>
    <row r="1032" spans="3:11" x14ac:dyDescent="0.2">
      <c r="E1032" s="9">
        <f>SUM(E1003:E1031)</f>
        <v>4711800</v>
      </c>
      <c r="F1032" s="9">
        <f>SUM(F1003:F1031)</f>
        <v>0</v>
      </c>
      <c r="G1032" s="9">
        <f>SUM(G1003:G1030)</f>
        <v>0</v>
      </c>
    </row>
    <row r="1033" spans="3:11" x14ac:dyDescent="0.2">
      <c r="C1033" s="1"/>
      <c r="E1033" s="1">
        <v>4800000</v>
      </c>
    </row>
    <row r="1034" spans="3:11" x14ac:dyDescent="0.2">
      <c r="E1034" s="3">
        <f>E1033-E1032</f>
        <v>88200</v>
      </c>
      <c r="F1034" s="3"/>
      <c r="G1034" s="3"/>
    </row>
    <row r="1038" spans="3:11" ht="26" x14ac:dyDescent="0.3">
      <c r="C1038" s="391" t="s">
        <v>3468</v>
      </c>
      <c r="D1038" s="391"/>
      <c r="E1038" s="391"/>
      <c r="F1038" s="391"/>
      <c r="G1038" s="391"/>
    </row>
    <row r="1039" spans="3:11" x14ac:dyDescent="0.2">
      <c r="C1039" s="29" t="s">
        <v>82</v>
      </c>
      <c r="D1039" s="11" t="s">
        <v>3097</v>
      </c>
      <c r="E1039" s="12" t="s">
        <v>1</v>
      </c>
      <c r="F1039" s="12" t="s">
        <v>3140</v>
      </c>
      <c r="G1039" s="12" t="s">
        <v>3249</v>
      </c>
    </row>
    <row r="1040" spans="3:11" x14ac:dyDescent="0.2">
      <c r="C1040" s="5" t="s">
        <v>3227</v>
      </c>
      <c r="D1040" s="6">
        <v>1</v>
      </c>
      <c r="E1040" s="46">
        <v>1500000</v>
      </c>
      <c r="F1040" s="7">
        <v>0</v>
      </c>
      <c r="G1040" s="7"/>
    </row>
    <row r="1041" spans="3:7" x14ac:dyDescent="0.2">
      <c r="C1041" s="5" t="s">
        <v>3256</v>
      </c>
      <c r="D1041" s="6">
        <v>1</v>
      </c>
      <c r="E1041" s="46">
        <v>500000</v>
      </c>
      <c r="F1041" s="7">
        <v>0</v>
      </c>
      <c r="G1041" s="8"/>
    </row>
    <row r="1042" spans="3:7" x14ac:dyDescent="0.2">
      <c r="C1042" s="5" t="s">
        <v>3228</v>
      </c>
      <c r="D1042" s="6">
        <v>1</v>
      </c>
      <c r="E1042" s="46">
        <v>500000</v>
      </c>
      <c r="F1042" s="7">
        <v>0</v>
      </c>
      <c r="G1042" s="8"/>
    </row>
    <row r="1043" spans="3:7" x14ac:dyDescent="0.2">
      <c r="C1043" s="5" t="s">
        <v>3230</v>
      </c>
      <c r="D1043" s="6">
        <v>1</v>
      </c>
      <c r="E1043" s="46">
        <v>200000</v>
      </c>
      <c r="F1043" s="7">
        <v>0</v>
      </c>
      <c r="G1043" s="8"/>
    </row>
    <row r="1044" spans="3:7" x14ac:dyDescent="0.2">
      <c r="C1044" s="5" t="s">
        <v>3316</v>
      </c>
      <c r="D1044" s="6">
        <v>1</v>
      </c>
      <c r="E1044" s="21">
        <v>250000</v>
      </c>
      <c r="F1044" s="7">
        <v>0</v>
      </c>
      <c r="G1044" s="8"/>
    </row>
    <row r="1045" spans="3:7" x14ac:dyDescent="0.2">
      <c r="C1045" s="5" t="s">
        <v>3297</v>
      </c>
      <c r="D1045" s="6">
        <v>1</v>
      </c>
      <c r="E1045" s="21">
        <v>45000</v>
      </c>
      <c r="F1045" s="7">
        <v>0</v>
      </c>
      <c r="G1045" s="8"/>
    </row>
    <row r="1046" spans="3:7" x14ac:dyDescent="0.2">
      <c r="C1046" s="5" t="s">
        <v>3173</v>
      </c>
      <c r="D1046" s="6">
        <v>1</v>
      </c>
      <c r="E1046" s="21">
        <v>115000</v>
      </c>
      <c r="F1046" s="7">
        <v>0</v>
      </c>
      <c r="G1046" s="8"/>
    </row>
    <row r="1047" spans="3:7" x14ac:dyDescent="0.2">
      <c r="C1047" s="5" t="s">
        <v>3361</v>
      </c>
      <c r="D1047" s="6">
        <v>1</v>
      </c>
      <c r="E1047" s="21">
        <v>255000</v>
      </c>
      <c r="F1047" s="7">
        <v>0</v>
      </c>
      <c r="G1047" s="7"/>
    </row>
    <row r="1048" spans="3:7" x14ac:dyDescent="0.2">
      <c r="C1048" s="5" t="s">
        <v>3364</v>
      </c>
      <c r="D1048" s="6">
        <v>1</v>
      </c>
      <c r="E1048" s="21">
        <v>73800</v>
      </c>
      <c r="F1048" s="7">
        <v>0</v>
      </c>
      <c r="G1048" s="8"/>
    </row>
    <row r="1049" spans="3:7" x14ac:dyDescent="0.2">
      <c r="C1049" s="54" t="s">
        <v>3469</v>
      </c>
      <c r="D1049" s="6">
        <v>1</v>
      </c>
      <c r="E1049" s="21">
        <v>487000</v>
      </c>
      <c r="F1049" s="7"/>
      <c r="G1049" s="7"/>
    </row>
    <row r="1050" spans="3:7" x14ac:dyDescent="0.2">
      <c r="C1050" s="5" t="s">
        <v>3470</v>
      </c>
      <c r="D1050" s="6">
        <v>1</v>
      </c>
      <c r="E1050" s="21">
        <v>237000</v>
      </c>
      <c r="F1050" s="7"/>
      <c r="G1050" s="8"/>
    </row>
    <row r="1051" spans="3:7" x14ac:dyDescent="0.2">
      <c r="C1051" s="5"/>
      <c r="D1051" s="6"/>
      <c r="E1051" s="21"/>
      <c r="F1051" s="7"/>
      <c r="G1051" s="8"/>
    </row>
    <row r="1052" spans="3:7" x14ac:dyDescent="0.2">
      <c r="C1052" s="5"/>
      <c r="D1052" s="6"/>
      <c r="E1052" s="21"/>
      <c r="F1052" s="7"/>
      <c r="G1052" s="7"/>
    </row>
    <row r="1053" spans="3:7" x14ac:dyDescent="0.2">
      <c r="C1053" s="54" t="s">
        <v>3454</v>
      </c>
      <c r="D1053" s="8">
        <v>1</v>
      </c>
      <c r="E1053" s="13">
        <v>671000</v>
      </c>
      <c r="F1053" s="7">
        <v>0</v>
      </c>
      <c r="G1053" s="13">
        <v>0</v>
      </c>
    </row>
    <row r="1054" spans="3:7" x14ac:dyDescent="0.2">
      <c r="C1054" s="80" t="s">
        <v>3455</v>
      </c>
      <c r="D1054" s="8">
        <v>1</v>
      </c>
      <c r="E1054" s="7">
        <v>0</v>
      </c>
      <c r="F1054" s="13">
        <v>500000</v>
      </c>
      <c r="G1054" s="7">
        <v>0</v>
      </c>
    </row>
    <row r="1055" spans="3:7" x14ac:dyDescent="0.2">
      <c r="C1055" s="80" t="s">
        <v>3458</v>
      </c>
      <c r="D1055" s="8">
        <v>1</v>
      </c>
      <c r="E1055" s="7">
        <v>0</v>
      </c>
      <c r="F1055" s="7">
        <v>0</v>
      </c>
      <c r="G1055" s="13"/>
    </row>
    <row r="1056" spans="3:7" x14ac:dyDescent="0.2">
      <c r="C1056" s="54" t="s">
        <v>3460</v>
      </c>
      <c r="D1056" s="8">
        <v>1</v>
      </c>
      <c r="E1056" s="7">
        <v>0</v>
      </c>
      <c r="F1056" s="7">
        <v>0</v>
      </c>
      <c r="G1056" s="13">
        <v>487000</v>
      </c>
    </row>
    <row r="1057" spans="3:7" x14ac:dyDescent="0.2">
      <c r="C1057" s="54" t="s">
        <v>3461</v>
      </c>
      <c r="D1057" s="8">
        <v>1</v>
      </c>
      <c r="E1057" s="7">
        <v>0</v>
      </c>
      <c r="F1057" s="7">
        <v>0</v>
      </c>
      <c r="G1057" s="13">
        <v>237000</v>
      </c>
    </row>
    <row r="1058" spans="3:7" x14ac:dyDescent="0.2">
      <c r="C1058" s="54" t="s">
        <v>3264</v>
      </c>
      <c r="D1058" s="8">
        <v>1</v>
      </c>
      <c r="E1058" s="7">
        <v>0</v>
      </c>
      <c r="F1058" s="7">
        <v>0</v>
      </c>
      <c r="G1058" s="13">
        <v>165000</v>
      </c>
    </row>
    <row r="1059" spans="3:7" x14ac:dyDescent="0.2">
      <c r="C1059" s="54" t="s">
        <v>3462</v>
      </c>
      <c r="D1059" s="8">
        <v>1</v>
      </c>
      <c r="E1059" s="7">
        <v>0</v>
      </c>
      <c r="F1059" s="7">
        <v>0</v>
      </c>
      <c r="G1059" s="13">
        <v>399000</v>
      </c>
    </row>
    <row r="1060" spans="3:7" x14ac:dyDescent="0.2">
      <c r="C1060" s="54" t="s">
        <v>3463</v>
      </c>
      <c r="D1060" s="8">
        <v>1</v>
      </c>
      <c r="E1060" s="7">
        <v>0</v>
      </c>
      <c r="F1060" s="7">
        <v>0</v>
      </c>
      <c r="G1060" s="13">
        <v>296000</v>
      </c>
    </row>
    <row r="1061" spans="3:7" x14ac:dyDescent="0.2">
      <c r="C1061" s="54" t="s">
        <v>3464</v>
      </c>
      <c r="D1061" s="8">
        <v>1</v>
      </c>
      <c r="E1061" s="7">
        <v>0</v>
      </c>
      <c r="F1061" s="13">
        <v>1430000</v>
      </c>
      <c r="G1061" s="7">
        <v>0</v>
      </c>
    </row>
    <row r="1062" spans="3:7" x14ac:dyDescent="0.2">
      <c r="C1062" s="54"/>
      <c r="D1062" s="8"/>
      <c r="E1062" s="7"/>
      <c r="F1062" s="7"/>
      <c r="G1062" s="8"/>
    </row>
    <row r="1063" spans="3:7" x14ac:dyDescent="0.2">
      <c r="C1063" s="54" t="s">
        <v>3466</v>
      </c>
      <c r="D1063" s="8">
        <v>1</v>
      </c>
      <c r="E1063" s="7">
        <v>0</v>
      </c>
      <c r="F1063" s="7">
        <v>0</v>
      </c>
      <c r="G1063" s="13">
        <v>671000</v>
      </c>
    </row>
    <row r="1064" spans="3:7" x14ac:dyDescent="0.2">
      <c r="C1064" s="54" t="s">
        <v>3467</v>
      </c>
      <c r="D1064" s="8">
        <v>1</v>
      </c>
      <c r="E1064" s="7">
        <v>0</v>
      </c>
      <c r="F1064" s="7">
        <v>0</v>
      </c>
      <c r="G1064" s="13">
        <v>399000</v>
      </c>
    </row>
    <row r="1065" spans="3:7" x14ac:dyDescent="0.2">
      <c r="C1065" s="54"/>
      <c r="D1065" s="8"/>
      <c r="E1065" s="7"/>
      <c r="F1065" s="7"/>
      <c r="G1065" s="8"/>
    </row>
    <row r="1066" spans="3:7" x14ac:dyDescent="0.2">
      <c r="C1066" s="8"/>
      <c r="D1066" s="8"/>
      <c r="E1066" s="7"/>
      <c r="F1066" s="7"/>
      <c r="G1066" s="8"/>
    </row>
    <row r="1067" spans="3:7" x14ac:dyDescent="0.2">
      <c r="C1067" s="25" t="s">
        <v>3317</v>
      </c>
      <c r="D1067" s="68">
        <v>1</v>
      </c>
      <c r="E1067" s="13">
        <v>0</v>
      </c>
      <c r="F1067" s="13">
        <v>0</v>
      </c>
      <c r="G1067" s="29"/>
    </row>
    <row r="1068" spans="3:7" x14ac:dyDescent="0.2">
      <c r="C1068" s="29"/>
      <c r="D1068" s="68"/>
      <c r="E1068" s="13"/>
      <c r="F1068" s="13"/>
      <c r="G1068" s="29"/>
    </row>
    <row r="1069" spans="3:7" x14ac:dyDescent="0.2">
      <c r="E1069" s="9">
        <f>SUM(E1040:E1068)</f>
        <v>4833800</v>
      </c>
      <c r="F1069" s="9">
        <f>SUM(F1040:F1068)</f>
        <v>1930000</v>
      </c>
      <c r="G1069" s="9">
        <f>SUM(G1040:G1067)</f>
        <v>2654000</v>
      </c>
    </row>
    <row r="1070" spans="3:7" x14ac:dyDescent="0.2">
      <c r="C1070" s="1"/>
      <c r="E1070" s="1">
        <v>4800000</v>
      </c>
      <c r="F1070" s="1">
        <v>2000000</v>
      </c>
      <c r="G1070" s="1">
        <v>2364000</v>
      </c>
    </row>
    <row r="1071" spans="3:7" x14ac:dyDescent="0.2">
      <c r="E1071" s="3">
        <f>E1070-E1069</f>
        <v>-33800</v>
      </c>
      <c r="F1071" s="3">
        <f>F1070-F1069</f>
        <v>70000</v>
      </c>
      <c r="G1071" s="3">
        <f>G1069-G1070</f>
        <v>290000</v>
      </c>
    </row>
    <row r="1072" spans="3:7" x14ac:dyDescent="0.2">
      <c r="G1072" s="3"/>
    </row>
    <row r="1075" spans="3:7" ht="26" x14ac:dyDescent="0.3">
      <c r="C1075" s="391" t="s">
        <v>3471</v>
      </c>
      <c r="D1075" s="391"/>
      <c r="E1075" s="391"/>
      <c r="F1075" s="391"/>
      <c r="G1075" s="391"/>
    </row>
    <row r="1076" spans="3:7" x14ac:dyDescent="0.2">
      <c r="C1076" s="29" t="s">
        <v>82</v>
      </c>
      <c r="D1076" s="11" t="s">
        <v>3097</v>
      </c>
      <c r="E1076" s="12" t="s">
        <v>1</v>
      </c>
      <c r="F1076" s="12" t="s">
        <v>3140</v>
      </c>
      <c r="G1076" s="12" t="s">
        <v>3249</v>
      </c>
    </row>
    <row r="1077" spans="3:7" x14ac:dyDescent="0.2">
      <c r="C1077" s="5" t="s">
        <v>3227</v>
      </c>
      <c r="D1077" s="6">
        <v>1</v>
      </c>
      <c r="E1077" s="46">
        <v>1500000</v>
      </c>
      <c r="F1077" s="7">
        <v>0</v>
      </c>
      <c r="G1077" s="7"/>
    </row>
    <row r="1078" spans="3:7" x14ac:dyDescent="0.2">
      <c r="C1078" s="5" t="s">
        <v>3256</v>
      </c>
      <c r="D1078" s="6">
        <v>1</v>
      </c>
      <c r="E1078" s="46">
        <v>500000</v>
      </c>
      <c r="F1078" s="7">
        <v>0</v>
      </c>
      <c r="G1078" s="8"/>
    </row>
    <row r="1079" spans="3:7" x14ac:dyDescent="0.2">
      <c r="C1079" s="5" t="s">
        <v>3228</v>
      </c>
      <c r="D1079" s="6">
        <v>1</v>
      </c>
      <c r="E1079" s="46">
        <v>500000</v>
      </c>
      <c r="F1079" s="7">
        <v>0</v>
      </c>
      <c r="G1079" s="8"/>
    </row>
    <row r="1080" spans="3:7" x14ac:dyDescent="0.2">
      <c r="C1080" s="5" t="s">
        <v>3230</v>
      </c>
      <c r="D1080" s="6">
        <v>1</v>
      </c>
      <c r="E1080" s="46">
        <v>200000</v>
      </c>
      <c r="F1080" s="7">
        <v>0</v>
      </c>
      <c r="G1080" s="8"/>
    </row>
    <row r="1081" spans="3:7" x14ac:dyDescent="0.2">
      <c r="C1081" s="5" t="s">
        <v>3316</v>
      </c>
      <c r="D1081" s="6">
        <v>1</v>
      </c>
      <c r="E1081" s="21">
        <v>250000</v>
      </c>
      <c r="F1081" s="7">
        <v>0</v>
      </c>
      <c r="G1081" s="8"/>
    </row>
    <row r="1082" spans="3:7" x14ac:dyDescent="0.2">
      <c r="C1082" s="5" t="s">
        <v>3297</v>
      </c>
      <c r="D1082" s="6">
        <v>1</v>
      </c>
      <c r="E1082" s="21">
        <v>45000</v>
      </c>
      <c r="F1082" s="7">
        <v>0</v>
      </c>
      <c r="G1082" s="8"/>
    </row>
    <row r="1083" spans="3:7" x14ac:dyDescent="0.2">
      <c r="C1083" s="5" t="s">
        <v>3472</v>
      </c>
      <c r="D1083" s="6">
        <v>1</v>
      </c>
      <c r="E1083" s="21">
        <v>115000</v>
      </c>
      <c r="F1083" s="7">
        <v>0</v>
      </c>
      <c r="G1083" s="8"/>
    </row>
    <row r="1084" spans="3:7" x14ac:dyDescent="0.2">
      <c r="C1084" s="5" t="s">
        <v>3473</v>
      </c>
      <c r="D1084" s="6">
        <v>1</v>
      </c>
      <c r="E1084" s="21">
        <v>255000</v>
      </c>
      <c r="F1084" s="7">
        <v>0</v>
      </c>
      <c r="G1084" s="7"/>
    </row>
    <row r="1085" spans="3:7" x14ac:dyDescent="0.2">
      <c r="C1085" s="5" t="s">
        <v>3474</v>
      </c>
      <c r="D1085" s="6">
        <v>1</v>
      </c>
      <c r="E1085" s="21">
        <v>73800</v>
      </c>
      <c r="F1085" s="7">
        <v>0</v>
      </c>
      <c r="G1085" s="8"/>
    </row>
    <row r="1086" spans="3:7" x14ac:dyDescent="0.2">
      <c r="C1086" s="54" t="s">
        <v>3475</v>
      </c>
      <c r="D1086" s="6">
        <v>1</v>
      </c>
      <c r="E1086" s="21">
        <v>487000</v>
      </c>
      <c r="F1086" s="7">
        <v>0</v>
      </c>
      <c r="G1086" s="7"/>
    </row>
    <row r="1087" spans="3:7" x14ac:dyDescent="0.2">
      <c r="C1087" s="5" t="s">
        <v>3476</v>
      </c>
      <c r="D1087" s="6">
        <v>1</v>
      </c>
      <c r="E1087" s="21">
        <v>237000</v>
      </c>
      <c r="F1087" s="7">
        <v>0</v>
      </c>
      <c r="G1087" s="8"/>
    </row>
    <row r="1088" spans="3:7" x14ac:dyDescent="0.2">
      <c r="C1088" s="5" t="s">
        <v>3477</v>
      </c>
      <c r="D1088" s="6">
        <v>1</v>
      </c>
      <c r="E1088" s="21">
        <v>224000</v>
      </c>
      <c r="F1088" s="7">
        <v>0</v>
      </c>
      <c r="G1088" s="8"/>
    </row>
    <row r="1089" spans="3:7" x14ac:dyDescent="0.2">
      <c r="C1089" s="5" t="s">
        <v>3478</v>
      </c>
      <c r="D1089" s="6">
        <v>1</v>
      </c>
      <c r="E1089" s="21">
        <v>2884000</v>
      </c>
      <c r="F1089" s="7">
        <v>0</v>
      </c>
      <c r="G1089" s="8"/>
    </row>
    <row r="1090" spans="3:7" x14ac:dyDescent="0.2">
      <c r="C1090" s="5" t="s">
        <v>3479</v>
      </c>
      <c r="D1090" s="6">
        <v>1</v>
      </c>
      <c r="E1090" s="21">
        <v>2000000</v>
      </c>
      <c r="F1090" s="7">
        <v>0</v>
      </c>
      <c r="G1090" s="8"/>
    </row>
    <row r="1091" spans="3:7" x14ac:dyDescent="0.2">
      <c r="C1091" s="5" t="s">
        <v>3480</v>
      </c>
      <c r="D1091" s="6">
        <v>1</v>
      </c>
      <c r="E1091" s="21">
        <f>4380*29</f>
        <v>127020</v>
      </c>
      <c r="F1091" s="7">
        <v>0</v>
      </c>
      <c r="G1091" s="8"/>
    </row>
    <row r="1092" spans="3:7" x14ac:dyDescent="0.2">
      <c r="C1092" s="5" t="s">
        <v>3481</v>
      </c>
      <c r="D1092" s="6">
        <v>1</v>
      </c>
      <c r="E1092" s="21">
        <v>1170000</v>
      </c>
      <c r="F1092" s="7">
        <v>0</v>
      </c>
      <c r="G1092" s="8"/>
    </row>
    <row r="1093" spans="3:7" x14ac:dyDescent="0.2">
      <c r="C1093" s="5"/>
      <c r="D1093" s="6"/>
      <c r="E1093" s="7"/>
      <c r="F1093" s="7"/>
      <c r="G1093" s="8"/>
    </row>
    <row r="1094" spans="3:7" x14ac:dyDescent="0.2">
      <c r="C1094" s="5"/>
      <c r="D1094" s="6"/>
      <c r="E1094" s="7"/>
      <c r="F1094" s="7"/>
      <c r="G1094" s="8"/>
    </row>
    <row r="1095" spans="3:7" x14ac:dyDescent="0.2">
      <c r="C1095" s="5"/>
      <c r="D1095" s="6"/>
      <c r="E1095" s="7"/>
      <c r="F1095" s="7"/>
      <c r="G1095" s="8"/>
    </row>
    <row r="1096" spans="3:7" x14ac:dyDescent="0.2">
      <c r="C1096" s="5"/>
      <c r="D1096" s="6"/>
      <c r="E1096" s="7"/>
      <c r="F1096" s="7"/>
      <c r="G1096" s="8"/>
    </row>
    <row r="1097" spans="3:7" x14ac:dyDescent="0.2">
      <c r="C1097" s="5"/>
      <c r="D1097" s="6"/>
      <c r="E1097" s="7"/>
      <c r="F1097" s="7"/>
      <c r="G1097" s="8"/>
    </row>
    <row r="1098" spans="3:7" x14ac:dyDescent="0.2">
      <c r="C1098" s="5"/>
      <c r="D1098" s="6"/>
      <c r="E1098" s="7"/>
      <c r="F1098" s="7"/>
      <c r="G1098" s="8"/>
    </row>
    <row r="1099" spans="3:7" x14ac:dyDescent="0.2">
      <c r="C1099" s="5"/>
      <c r="D1099" s="6"/>
      <c r="E1099" s="7"/>
      <c r="F1099" s="7"/>
      <c r="G1099" s="8"/>
    </row>
    <row r="1100" spans="3:7" x14ac:dyDescent="0.2">
      <c r="C1100" s="25" t="s">
        <v>3317</v>
      </c>
      <c r="D1100" s="68">
        <v>1</v>
      </c>
      <c r="E1100" s="13">
        <v>0</v>
      </c>
      <c r="F1100" s="13">
        <v>0</v>
      </c>
      <c r="G1100" s="29"/>
    </row>
    <row r="1101" spans="3:7" x14ac:dyDescent="0.2">
      <c r="C1101" s="29"/>
      <c r="D1101" s="68"/>
      <c r="E1101" s="13"/>
      <c r="F1101" s="13"/>
      <c r="G1101" s="29"/>
    </row>
    <row r="1102" spans="3:7" x14ac:dyDescent="0.2">
      <c r="E1102" s="9">
        <f>SUM(E1077:E1101)</f>
        <v>10567820</v>
      </c>
      <c r="F1102" s="9">
        <f>SUM(F1077:F1101)</f>
        <v>0</v>
      </c>
      <c r="G1102" s="9">
        <f>SUM(G1077:G1101)</f>
        <v>0</v>
      </c>
    </row>
    <row r="1103" spans="3:7" x14ac:dyDescent="0.2">
      <c r="C1103" s="1">
        <f>E1103-4800000</f>
        <v>5768000</v>
      </c>
      <c r="E1103" s="1">
        <v>10568000</v>
      </c>
    </row>
    <row r="1104" spans="3:7" x14ac:dyDescent="0.2">
      <c r="C1104" s="1">
        <f>C1103/2</f>
        <v>2884000</v>
      </c>
      <c r="E1104" s="3">
        <f>E1103-E1102</f>
        <v>180</v>
      </c>
      <c r="F1104" s="3"/>
      <c r="G1104" s="3"/>
    </row>
    <row r="1106" spans="3:7" ht="26" x14ac:dyDescent="0.3">
      <c r="C1106" s="391" t="s">
        <v>3482</v>
      </c>
      <c r="D1106" s="391"/>
      <c r="E1106" s="391"/>
      <c r="F1106" s="391"/>
      <c r="G1106" s="391"/>
    </row>
    <row r="1107" spans="3:7" x14ac:dyDescent="0.2">
      <c r="C1107" s="29" t="s">
        <v>82</v>
      </c>
      <c r="D1107" s="11" t="s">
        <v>3097</v>
      </c>
      <c r="E1107" s="12" t="s">
        <v>1</v>
      </c>
      <c r="F1107" s="12" t="s">
        <v>3140</v>
      </c>
      <c r="G1107" s="12" t="s">
        <v>3249</v>
      </c>
    </row>
    <row r="1108" spans="3:7" x14ac:dyDescent="0.2">
      <c r="C1108" s="5" t="s">
        <v>3227</v>
      </c>
      <c r="D1108" s="6">
        <v>1</v>
      </c>
      <c r="E1108" s="46">
        <v>1500000</v>
      </c>
      <c r="F1108" s="7">
        <v>0</v>
      </c>
      <c r="G1108" s="7"/>
    </row>
    <row r="1109" spans="3:7" x14ac:dyDescent="0.2">
      <c r="C1109" s="5" t="s">
        <v>3256</v>
      </c>
      <c r="D1109" s="6">
        <v>1</v>
      </c>
      <c r="E1109" s="46">
        <v>500000</v>
      </c>
      <c r="F1109" s="7">
        <v>0</v>
      </c>
      <c r="G1109" s="8"/>
    </row>
    <row r="1110" spans="3:7" x14ac:dyDescent="0.2">
      <c r="C1110" s="5" t="s">
        <v>3228</v>
      </c>
      <c r="D1110" s="6">
        <v>1</v>
      </c>
      <c r="E1110" s="46">
        <v>500000</v>
      </c>
      <c r="F1110" s="7">
        <v>0</v>
      </c>
      <c r="G1110" s="8"/>
    </row>
    <row r="1111" spans="3:7" x14ac:dyDescent="0.2">
      <c r="C1111" s="5" t="s">
        <v>3230</v>
      </c>
      <c r="D1111" s="6">
        <v>1</v>
      </c>
      <c r="E1111" s="46">
        <v>200000</v>
      </c>
      <c r="F1111" s="7">
        <v>0</v>
      </c>
      <c r="G1111" s="8"/>
    </row>
    <row r="1112" spans="3:7" x14ac:dyDescent="0.2">
      <c r="C1112" s="5" t="s">
        <v>3316</v>
      </c>
      <c r="D1112" s="6">
        <v>1</v>
      </c>
      <c r="E1112" s="21">
        <v>250000</v>
      </c>
      <c r="F1112" s="7">
        <v>0</v>
      </c>
      <c r="G1112" s="8"/>
    </row>
    <row r="1113" spans="3:7" x14ac:dyDescent="0.2">
      <c r="C1113" s="5" t="s">
        <v>3297</v>
      </c>
      <c r="D1113" s="6">
        <v>1</v>
      </c>
      <c r="E1113" s="21">
        <v>45000</v>
      </c>
      <c r="F1113" s="7">
        <v>0</v>
      </c>
      <c r="G1113" s="8"/>
    </row>
    <row r="1114" spans="3:7" x14ac:dyDescent="0.2">
      <c r="C1114" s="5" t="s">
        <v>3472</v>
      </c>
      <c r="D1114" s="6">
        <v>1</v>
      </c>
      <c r="E1114" s="7">
        <v>0</v>
      </c>
      <c r="F1114" s="46">
        <v>115000</v>
      </c>
      <c r="G1114" s="8"/>
    </row>
    <row r="1115" spans="3:7" x14ac:dyDescent="0.2">
      <c r="C1115" s="5" t="s">
        <v>3473</v>
      </c>
      <c r="D1115" s="6">
        <v>1</v>
      </c>
      <c r="E1115" s="7">
        <v>0</v>
      </c>
      <c r="F1115" s="46">
        <v>255000</v>
      </c>
      <c r="G1115" s="7"/>
    </row>
    <row r="1116" spans="3:7" x14ac:dyDescent="0.2">
      <c r="C1116" s="5" t="s">
        <v>3474</v>
      </c>
      <c r="D1116" s="6">
        <v>1</v>
      </c>
      <c r="E1116" s="7">
        <v>0</v>
      </c>
      <c r="F1116" s="46">
        <v>73800</v>
      </c>
      <c r="G1116" s="8"/>
    </row>
    <row r="1117" spans="3:7" x14ac:dyDescent="0.2">
      <c r="C1117" s="54" t="s">
        <v>3475</v>
      </c>
      <c r="D1117" s="6">
        <v>1</v>
      </c>
      <c r="E1117" s="7">
        <v>0</v>
      </c>
      <c r="F1117" s="46">
        <v>487000</v>
      </c>
      <c r="G1117" s="7"/>
    </row>
    <row r="1118" spans="3:7" x14ac:dyDescent="0.2">
      <c r="C1118" s="5" t="s">
        <v>3476</v>
      </c>
      <c r="D1118" s="6">
        <v>1</v>
      </c>
      <c r="E1118" s="7">
        <v>0</v>
      </c>
      <c r="F1118" s="46">
        <v>237000</v>
      </c>
      <c r="G1118" s="8"/>
    </row>
    <row r="1119" spans="3:7" x14ac:dyDescent="0.2">
      <c r="C1119" s="5" t="s">
        <v>3477</v>
      </c>
      <c r="D1119" s="6">
        <v>1</v>
      </c>
      <c r="E1119" s="7">
        <v>0</v>
      </c>
      <c r="F1119" s="46">
        <v>224000</v>
      </c>
      <c r="G1119" s="8"/>
    </row>
    <row r="1120" spans="3:7" x14ac:dyDescent="0.2">
      <c r="C1120" s="5"/>
      <c r="D1120" s="6"/>
      <c r="E1120" s="7"/>
      <c r="F1120" s="7"/>
      <c r="G1120" s="8"/>
    </row>
    <row r="1121" spans="3:7" x14ac:dyDescent="0.2">
      <c r="C1121" s="5"/>
      <c r="D1121" s="6"/>
      <c r="E1121" s="7"/>
      <c r="F1121" s="7"/>
      <c r="G1121" s="7"/>
    </row>
    <row r="1122" spans="3:7" x14ac:dyDescent="0.2">
      <c r="C1122" s="5"/>
      <c r="D1122" s="6"/>
      <c r="E1122" s="7"/>
      <c r="F1122" s="7"/>
      <c r="G1122" s="7"/>
    </row>
    <row r="1123" spans="3:7" x14ac:dyDescent="0.2">
      <c r="C1123" s="5"/>
      <c r="D1123" s="6"/>
      <c r="E1123" s="7"/>
      <c r="F1123" s="7"/>
      <c r="G1123" s="8"/>
    </row>
    <row r="1124" spans="3:7" x14ac:dyDescent="0.2">
      <c r="C1124" s="25" t="s">
        <v>3317</v>
      </c>
      <c r="D1124" s="68">
        <v>1</v>
      </c>
      <c r="E1124" s="13">
        <v>0</v>
      </c>
      <c r="F1124" s="13">
        <v>0</v>
      </c>
      <c r="G1124" s="29"/>
    </row>
    <row r="1125" spans="3:7" x14ac:dyDescent="0.2">
      <c r="C1125" s="29"/>
      <c r="D1125" s="68"/>
      <c r="E1125" s="13"/>
      <c r="F1125" s="13"/>
      <c r="G1125" s="29"/>
    </row>
    <row r="1126" spans="3:7" x14ac:dyDescent="0.2">
      <c r="E1126" s="9">
        <f>SUM(E1108:E1125)</f>
        <v>2995000</v>
      </c>
      <c r="F1126" s="9">
        <f>SUM(F1108:F1125)</f>
        <v>1391800</v>
      </c>
      <c r="G1126" s="9">
        <f>SUM(G1108:G1125)</f>
        <v>0</v>
      </c>
    </row>
    <row r="1127" spans="3:7" x14ac:dyDescent="0.2">
      <c r="C1127" s="1"/>
      <c r="E1127" s="1">
        <v>3000000</v>
      </c>
    </row>
    <row r="1128" spans="3:7" x14ac:dyDescent="0.2">
      <c r="C1128" s="1"/>
      <c r="E1128" s="3">
        <f>E1127-E1126</f>
        <v>5000</v>
      </c>
      <c r="F1128" s="3"/>
      <c r="G1128" s="3"/>
    </row>
    <row r="1132" spans="3:7" ht="26" x14ac:dyDescent="0.3">
      <c r="C1132" s="391" t="s">
        <v>3483</v>
      </c>
      <c r="D1132" s="391"/>
      <c r="E1132" s="391"/>
      <c r="F1132" s="391"/>
      <c r="G1132" s="391"/>
    </row>
    <row r="1133" spans="3:7" x14ac:dyDescent="0.2">
      <c r="C1133" s="29" t="s">
        <v>82</v>
      </c>
      <c r="D1133" s="11" t="s">
        <v>3097</v>
      </c>
      <c r="E1133" s="12" t="s">
        <v>1</v>
      </c>
      <c r="F1133" s="12" t="s">
        <v>3140</v>
      </c>
      <c r="G1133" s="12" t="s">
        <v>3484</v>
      </c>
    </row>
    <row r="1134" spans="3:7" x14ac:dyDescent="0.2">
      <c r="C1134" s="5" t="s">
        <v>3227</v>
      </c>
      <c r="D1134" s="6">
        <v>1</v>
      </c>
      <c r="E1134" s="46">
        <v>1500000</v>
      </c>
      <c r="F1134" s="7">
        <v>0</v>
      </c>
      <c r="G1134" s="7"/>
    </row>
    <row r="1135" spans="3:7" x14ac:dyDescent="0.2">
      <c r="C1135" s="5" t="s">
        <v>3256</v>
      </c>
      <c r="D1135" s="6">
        <v>1</v>
      </c>
      <c r="E1135" s="46">
        <v>500000</v>
      </c>
      <c r="F1135" s="7">
        <v>0</v>
      </c>
      <c r="G1135" s="8"/>
    </row>
    <row r="1136" spans="3:7" x14ac:dyDescent="0.2">
      <c r="C1136" s="5" t="s">
        <v>3228</v>
      </c>
      <c r="D1136" s="6">
        <v>1</v>
      </c>
      <c r="E1136" s="46">
        <v>500000</v>
      </c>
      <c r="F1136" s="7">
        <v>0</v>
      </c>
      <c r="G1136" s="8"/>
    </row>
    <row r="1137" spans="3:7" x14ac:dyDescent="0.2">
      <c r="C1137" s="5" t="s">
        <v>3230</v>
      </c>
      <c r="D1137" s="6">
        <v>1</v>
      </c>
      <c r="E1137" s="46">
        <v>200000</v>
      </c>
      <c r="F1137" s="7">
        <v>0</v>
      </c>
      <c r="G1137" s="8"/>
    </row>
    <row r="1138" spans="3:7" x14ac:dyDescent="0.2">
      <c r="C1138" s="5" t="s">
        <v>3316</v>
      </c>
      <c r="D1138" s="6">
        <v>1</v>
      </c>
      <c r="E1138" s="21">
        <v>250000</v>
      </c>
      <c r="F1138" s="7">
        <v>0</v>
      </c>
      <c r="G1138" s="8"/>
    </row>
    <row r="1139" spans="3:7" x14ac:dyDescent="0.2">
      <c r="C1139" s="5" t="s">
        <v>3297</v>
      </c>
      <c r="D1139" s="6">
        <v>1</v>
      </c>
      <c r="E1139" s="21">
        <v>45000</v>
      </c>
      <c r="F1139" s="7">
        <v>0</v>
      </c>
      <c r="G1139" s="8"/>
    </row>
    <row r="1140" spans="3:7" x14ac:dyDescent="0.2">
      <c r="C1140" s="5" t="s">
        <v>3472</v>
      </c>
      <c r="D1140" s="6">
        <v>1</v>
      </c>
      <c r="E1140" s="21">
        <v>115000</v>
      </c>
      <c r="F1140" s="7">
        <v>0</v>
      </c>
      <c r="G1140" s="8"/>
    </row>
    <row r="1141" spans="3:7" x14ac:dyDescent="0.2">
      <c r="C1141" s="5" t="s">
        <v>3473</v>
      </c>
      <c r="D1141" s="6">
        <v>1</v>
      </c>
      <c r="E1141" s="21">
        <v>255000</v>
      </c>
      <c r="F1141" s="7">
        <v>0</v>
      </c>
      <c r="G1141" s="7"/>
    </row>
    <row r="1142" spans="3:7" x14ac:dyDescent="0.2">
      <c r="C1142" s="5" t="s">
        <v>3474</v>
      </c>
      <c r="D1142" s="6">
        <v>1</v>
      </c>
      <c r="E1142" s="21">
        <v>73800</v>
      </c>
      <c r="F1142" s="7">
        <v>0</v>
      </c>
      <c r="G1142" s="8"/>
    </row>
    <row r="1143" spans="3:7" x14ac:dyDescent="0.2">
      <c r="C1143" s="54" t="s">
        <v>3475</v>
      </c>
      <c r="D1143" s="6">
        <v>1</v>
      </c>
      <c r="E1143" s="21">
        <v>487000</v>
      </c>
      <c r="F1143" s="7">
        <v>0</v>
      </c>
      <c r="G1143" s="7"/>
    </row>
    <row r="1144" spans="3:7" x14ac:dyDescent="0.2">
      <c r="C1144" s="5" t="s">
        <v>3476</v>
      </c>
      <c r="D1144" s="6">
        <v>1</v>
      </c>
      <c r="E1144" s="21">
        <v>237000</v>
      </c>
      <c r="F1144" s="7">
        <v>0</v>
      </c>
      <c r="G1144" s="8"/>
    </row>
    <row r="1145" spans="3:7" x14ac:dyDescent="0.2">
      <c r="C1145" s="5" t="s">
        <v>3477</v>
      </c>
      <c r="D1145" s="6">
        <v>1</v>
      </c>
      <c r="E1145" s="21">
        <v>224000</v>
      </c>
      <c r="F1145" s="7">
        <v>0</v>
      </c>
      <c r="G1145" s="8"/>
    </row>
    <row r="1146" spans="3:7" x14ac:dyDescent="0.2">
      <c r="C1146" s="5"/>
      <c r="D1146" s="6"/>
      <c r="E1146" s="7"/>
      <c r="F1146" s="7">
        <v>0</v>
      </c>
      <c r="G1146" s="8"/>
    </row>
    <row r="1147" spans="3:7" x14ac:dyDescent="0.2">
      <c r="C1147" s="5" t="s">
        <v>3485</v>
      </c>
      <c r="D1147" s="6"/>
      <c r="E1147" s="21">
        <v>913200</v>
      </c>
      <c r="F1147" s="7">
        <v>0</v>
      </c>
      <c r="G1147" s="21">
        <v>254600</v>
      </c>
    </row>
    <row r="1148" spans="3:7" x14ac:dyDescent="0.2">
      <c r="C1148" s="5" t="s">
        <v>3486</v>
      </c>
      <c r="D1148" s="6">
        <v>1</v>
      </c>
      <c r="E1148" s="7">
        <v>0</v>
      </c>
      <c r="F1148" s="7">
        <v>0</v>
      </c>
      <c r="G1148" s="21">
        <v>100000</v>
      </c>
    </row>
    <row r="1149" spans="3:7" x14ac:dyDescent="0.2">
      <c r="C1149" s="5" t="s">
        <v>3487</v>
      </c>
      <c r="D1149" s="6">
        <v>1</v>
      </c>
      <c r="E1149" s="7">
        <v>0</v>
      </c>
      <c r="F1149" s="7">
        <v>0</v>
      </c>
      <c r="G1149" s="21">
        <v>296000</v>
      </c>
    </row>
    <row r="1150" spans="3:7" x14ac:dyDescent="0.2">
      <c r="C1150" s="5" t="s">
        <v>3488</v>
      </c>
      <c r="D1150" s="6">
        <v>1</v>
      </c>
      <c r="E1150" s="7">
        <v>0</v>
      </c>
      <c r="F1150" s="7">
        <v>0</v>
      </c>
      <c r="G1150" s="21">
        <v>320000</v>
      </c>
    </row>
    <row r="1151" spans="3:7" x14ac:dyDescent="0.2">
      <c r="C1151" s="5" t="s">
        <v>3489</v>
      </c>
      <c r="D1151" s="6">
        <v>1</v>
      </c>
      <c r="E1151" s="7">
        <v>0</v>
      </c>
      <c r="F1151" s="7">
        <v>0</v>
      </c>
      <c r="G1151" s="21">
        <v>150000</v>
      </c>
    </row>
    <row r="1152" spans="3:7" x14ac:dyDescent="0.2">
      <c r="C1152" s="5" t="s">
        <v>3490</v>
      </c>
      <c r="D1152" s="6">
        <v>1</v>
      </c>
      <c r="E1152" s="7">
        <v>0</v>
      </c>
      <c r="F1152" s="7">
        <v>0</v>
      </c>
      <c r="G1152" s="21">
        <v>399000</v>
      </c>
    </row>
    <row r="1153" spans="3:7" x14ac:dyDescent="0.2">
      <c r="C1153" s="5" t="s">
        <v>3491</v>
      </c>
      <c r="D1153" s="6">
        <v>1</v>
      </c>
      <c r="E1153" s="7">
        <v>0</v>
      </c>
      <c r="F1153" s="7">
        <v>0</v>
      </c>
      <c r="G1153" s="21">
        <v>399000</v>
      </c>
    </row>
    <row r="1154" spans="3:7" x14ac:dyDescent="0.2">
      <c r="C1154" s="5" t="s">
        <v>3492</v>
      </c>
      <c r="D1154" s="6">
        <v>1</v>
      </c>
      <c r="E1154" s="7">
        <v>0</v>
      </c>
      <c r="F1154" s="7">
        <v>0</v>
      </c>
      <c r="G1154" s="21">
        <v>785600</v>
      </c>
    </row>
    <row r="1155" spans="3:7" x14ac:dyDescent="0.2">
      <c r="C1155" s="5" t="s">
        <v>3493</v>
      </c>
      <c r="D1155" s="6">
        <v>1</v>
      </c>
      <c r="E1155" s="7">
        <v>0</v>
      </c>
      <c r="F1155" s="7">
        <v>0</v>
      </c>
      <c r="G1155" s="21">
        <v>672000</v>
      </c>
    </row>
    <row r="1156" spans="3:7" x14ac:dyDescent="0.2">
      <c r="C1156" s="5" t="s">
        <v>3494</v>
      </c>
      <c r="D1156" s="6">
        <v>1</v>
      </c>
      <c r="E1156" s="7">
        <v>0</v>
      </c>
      <c r="F1156" s="7">
        <v>0</v>
      </c>
      <c r="G1156" s="21">
        <v>672000</v>
      </c>
    </row>
    <row r="1157" spans="3:7" x14ac:dyDescent="0.2">
      <c r="C1157" s="5" t="s">
        <v>3495</v>
      </c>
      <c r="D1157" s="6">
        <v>1</v>
      </c>
      <c r="E1157" s="7">
        <v>0</v>
      </c>
      <c r="F1157" s="7">
        <v>0</v>
      </c>
      <c r="G1157" s="21">
        <v>1370500</v>
      </c>
    </row>
    <row r="1158" spans="3:7" x14ac:dyDescent="0.2">
      <c r="C1158" s="5" t="s">
        <v>3496</v>
      </c>
      <c r="D1158" s="6">
        <v>1</v>
      </c>
      <c r="E1158" s="7">
        <v>0</v>
      </c>
      <c r="F1158" s="7">
        <v>0</v>
      </c>
      <c r="G1158" s="21">
        <v>1267500</v>
      </c>
    </row>
    <row r="1159" spans="3:7" x14ac:dyDescent="0.2">
      <c r="C1159" s="5" t="s">
        <v>3497</v>
      </c>
      <c r="D1159" s="6">
        <v>1</v>
      </c>
      <c r="E1159" s="7">
        <v>0</v>
      </c>
      <c r="F1159" s="7">
        <v>0</v>
      </c>
      <c r="G1159" s="21">
        <v>1000000</v>
      </c>
    </row>
    <row r="1160" spans="3:7" x14ac:dyDescent="0.2">
      <c r="C1160" s="5" t="s">
        <v>3498</v>
      </c>
      <c r="D1160" s="6">
        <v>1</v>
      </c>
      <c r="E1160" s="7">
        <v>0</v>
      </c>
      <c r="F1160" s="7">
        <v>0</v>
      </c>
      <c r="G1160" s="21">
        <v>1650000</v>
      </c>
    </row>
    <row r="1161" spans="3:7" x14ac:dyDescent="0.2">
      <c r="C1161" s="5" t="s">
        <v>3499</v>
      </c>
      <c r="D1161" s="6">
        <v>1</v>
      </c>
      <c r="E1161" s="7">
        <v>0</v>
      </c>
      <c r="F1161" s="7">
        <v>0</v>
      </c>
      <c r="G1161" s="21">
        <v>250000</v>
      </c>
    </row>
    <row r="1162" spans="3:7" x14ac:dyDescent="0.2">
      <c r="C1162" s="5" t="s">
        <v>3500</v>
      </c>
      <c r="D1162" s="6">
        <v>1</v>
      </c>
      <c r="E1162" s="7">
        <v>0</v>
      </c>
      <c r="F1162" s="7">
        <v>0</v>
      </c>
      <c r="G1162" s="21">
        <v>600000</v>
      </c>
    </row>
    <row r="1163" spans="3:7" x14ac:dyDescent="0.2">
      <c r="C1163" s="5"/>
      <c r="D1163" s="6"/>
      <c r="E1163" s="7"/>
      <c r="F1163" s="7"/>
      <c r="G1163" s="7"/>
    </row>
    <row r="1164" spans="3:7" x14ac:dyDescent="0.2">
      <c r="C1164" s="5"/>
      <c r="D1164" s="6"/>
      <c r="E1164" s="7"/>
      <c r="F1164" s="7"/>
      <c r="G1164" s="8"/>
    </row>
    <row r="1165" spans="3:7" x14ac:dyDescent="0.2">
      <c r="C1165" s="25" t="s">
        <v>3317</v>
      </c>
      <c r="D1165" s="68">
        <v>1</v>
      </c>
      <c r="E1165" s="13">
        <v>0</v>
      </c>
      <c r="F1165" s="13">
        <v>0</v>
      </c>
      <c r="G1165" s="29"/>
    </row>
    <row r="1166" spans="3:7" x14ac:dyDescent="0.2">
      <c r="C1166" s="29"/>
      <c r="D1166" s="68"/>
      <c r="E1166" s="13"/>
      <c r="F1166" s="13"/>
      <c r="G1166" s="29"/>
    </row>
    <row r="1167" spans="3:7" x14ac:dyDescent="0.2">
      <c r="E1167" s="9">
        <f>SUM(E1134:E1166)</f>
        <v>5300000</v>
      </c>
      <c r="F1167" s="9">
        <f>SUM(F1134:F1166)</f>
        <v>0</v>
      </c>
      <c r="G1167" s="9"/>
    </row>
    <row r="1168" spans="3:7" x14ac:dyDescent="0.2">
      <c r="C1168" s="1"/>
      <c r="E1168" s="1">
        <v>5300000</v>
      </c>
    </row>
    <row r="1169" spans="3:7" x14ac:dyDescent="0.2">
      <c r="C1169" s="1"/>
      <c r="E1169" s="3">
        <f>E1168-E1167</f>
        <v>0</v>
      </c>
      <c r="G1169" s="3"/>
    </row>
    <row r="1172" spans="3:7" ht="26" x14ac:dyDescent="0.3">
      <c r="C1172" s="391" t="s">
        <v>3501</v>
      </c>
      <c r="D1172" s="391"/>
      <c r="E1172" s="391"/>
      <c r="F1172" s="391"/>
      <c r="G1172" s="391"/>
    </row>
    <row r="1173" spans="3:7" x14ac:dyDescent="0.2">
      <c r="C1173" s="29" t="s">
        <v>82</v>
      </c>
      <c r="D1173" s="11" t="s">
        <v>3097</v>
      </c>
      <c r="E1173" s="12" t="s">
        <v>1</v>
      </c>
      <c r="F1173" s="12" t="s">
        <v>3140</v>
      </c>
      <c r="G1173" s="12" t="s">
        <v>3484</v>
      </c>
    </row>
    <row r="1174" spans="3:7" x14ac:dyDescent="0.2">
      <c r="C1174" s="5" t="s">
        <v>3227</v>
      </c>
      <c r="D1174" s="6">
        <v>1</v>
      </c>
      <c r="E1174" s="21">
        <v>1500000</v>
      </c>
      <c r="F1174" s="7">
        <v>0</v>
      </c>
      <c r="G1174" s="7"/>
    </row>
    <row r="1175" spans="3:7" x14ac:dyDescent="0.2">
      <c r="C1175" s="5" t="s">
        <v>3256</v>
      </c>
      <c r="D1175" s="6">
        <v>1</v>
      </c>
      <c r="E1175" s="21">
        <v>500000</v>
      </c>
      <c r="F1175" s="7">
        <v>0</v>
      </c>
      <c r="G1175" s="8"/>
    </row>
    <row r="1176" spans="3:7" x14ac:dyDescent="0.2">
      <c r="C1176" s="5" t="s">
        <v>3228</v>
      </c>
      <c r="D1176" s="6">
        <v>1</v>
      </c>
      <c r="E1176" s="21">
        <v>500000</v>
      </c>
      <c r="F1176" s="7">
        <v>0</v>
      </c>
      <c r="G1176" s="8"/>
    </row>
    <row r="1177" spans="3:7" x14ac:dyDescent="0.2">
      <c r="C1177" s="5" t="s">
        <v>3230</v>
      </c>
      <c r="D1177" s="6">
        <v>1</v>
      </c>
      <c r="E1177" s="21">
        <v>200000</v>
      </c>
      <c r="F1177" s="7">
        <v>0</v>
      </c>
      <c r="G1177" s="8"/>
    </row>
    <row r="1178" spans="3:7" x14ac:dyDescent="0.2">
      <c r="C1178" s="5" t="s">
        <v>3316</v>
      </c>
      <c r="D1178" s="6">
        <v>1</v>
      </c>
      <c r="E1178" s="21">
        <v>250000</v>
      </c>
      <c r="F1178" s="7">
        <v>0</v>
      </c>
      <c r="G1178" s="8"/>
    </row>
    <row r="1179" spans="3:7" x14ac:dyDescent="0.2">
      <c r="C1179" s="5" t="s">
        <v>3297</v>
      </c>
      <c r="D1179" s="6">
        <v>1</v>
      </c>
      <c r="E1179" s="21">
        <v>45000</v>
      </c>
      <c r="F1179" s="7">
        <v>0</v>
      </c>
      <c r="G1179" s="8"/>
    </row>
    <row r="1180" spans="3:7" x14ac:dyDescent="0.2">
      <c r="C1180" s="5" t="s">
        <v>3472</v>
      </c>
      <c r="D1180" s="6">
        <v>1</v>
      </c>
      <c r="E1180" s="21">
        <v>124500</v>
      </c>
      <c r="F1180" s="7">
        <v>0</v>
      </c>
      <c r="G1180" s="8"/>
    </row>
    <row r="1181" spans="3:7" x14ac:dyDescent="0.2">
      <c r="C1181" s="5" t="s">
        <v>3473</v>
      </c>
      <c r="D1181" s="6">
        <v>1</v>
      </c>
      <c r="E1181" s="21">
        <v>277600</v>
      </c>
      <c r="F1181" s="7">
        <v>0</v>
      </c>
      <c r="G1181" s="7"/>
    </row>
    <row r="1182" spans="3:7" x14ac:dyDescent="0.2">
      <c r="C1182" s="5" t="s">
        <v>3474</v>
      </c>
      <c r="D1182" s="6">
        <v>1</v>
      </c>
      <c r="E1182" s="21">
        <v>79000</v>
      </c>
      <c r="F1182" s="7">
        <v>0</v>
      </c>
      <c r="G1182" s="8"/>
    </row>
    <row r="1183" spans="3:7" x14ac:dyDescent="0.2">
      <c r="C1183" s="54" t="s">
        <v>3475</v>
      </c>
      <c r="D1183" s="6">
        <v>1</v>
      </c>
      <c r="E1183" s="21">
        <v>487000</v>
      </c>
      <c r="F1183" s="7">
        <v>0</v>
      </c>
      <c r="G1183" s="7"/>
    </row>
    <row r="1184" spans="3:7" x14ac:dyDescent="0.2">
      <c r="C1184" s="5" t="s">
        <v>3476</v>
      </c>
      <c r="D1184" s="6">
        <v>1</v>
      </c>
      <c r="E1184" s="21">
        <v>258500</v>
      </c>
      <c r="F1184" s="7">
        <v>0</v>
      </c>
      <c r="G1184" s="8"/>
    </row>
    <row r="1185" spans="3:7" x14ac:dyDescent="0.2">
      <c r="C1185" s="5" t="s">
        <v>3477</v>
      </c>
      <c r="D1185" s="6">
        <v>1</v>
      </c>
      <c r="E1185" s="21">
        <v>244600</v>
      </c>
      <c r="F1185" s="7">
        <v>0</v>
      </c>
      <c r="G1185" s="8"/>
    </row>
    <row r="1186" spans="3:7" x14ac:dyDescent="0.2">
      <c r="C1186" s="5" t="s">
        <v>3502</v>
      </c>
      <c r="D1186" s="6">
        <v>1</v>
      </c>
      <c r="E1186" s="7">
        <v>0</v>
      </c>
      <c r="F1186" s="7">
        <v>0</v>
      </c>
      <c r="G1186" s="21">
        <v>500000</v>
      </c>
    </row>
    <row r="1187" spans="3:7" x14ac:dyDescent="0.2">
      <c r="C1187" s="5" t="s">
        <v>3503</v>
      </c>
      <c r="D1187" s="6">
        <v>1</v>
      </c>
      <c r="E1187" s="7">
        <v>0</v>
      </c>
      <c r="F1187" s="7">
        <v>0</v>
      </c>
      <c r="G1187" s="21">
        <v>400000</v>
      </c>
    </row>
    <row r="1188" spans="3:7" x14ac:dyDescent="0.2">
      <c r="C1188" s="5" t="s">
        <v>3504</v>
      </c>
      <c r="D1188" s="6">
        <v>1</v>
      </c>
      <c r="E1188" s="7">
        <v>0</v>
      </c>
      <c r="F1188" s="7">
        <v>0</v>
      </c>
      <c r="G1188" s="21">
        <v>300000</v>
      </c>
    </row>
    <row r="1189" spans="3:7" x14ac:dyDescent="0.2">
      <c r="C1189" s="5" t="s">
        <v>3505</v>
      </c>
      <c r="D1189" s="6">
        <v>1</v>
      </c>
      <c r="E1189" s="7">
        <v>0</v>
      </c>
      <c r="F1189" s="7">
        <v>0</v>
      </c>
      <c r="G1189" s="21">
        <v>672000</v>
      </c>
    </row>
    <row r="1190" spans="3:7" x14ac:dyDescent="0.2">
      <c r="C1190" s="5" t="s">
        <v>3506</v>
      </c>
      <c r="D1190" s="6">
        <v>1</v>
      </c>
      <c r="E1190" s="7">
        <v>0</v>
      </c>
      <c r="F1190" s="7">
        <v>0</v>
      </c>
      <c r="G1190" s="21">
        <v>162000</v>
      </c>
    </row>
    <row r="1191" spans="3:7" x14ac:dyDescent="0.2">
      <c r="C1191" s="5" t="s">
        <v>3507</v>
      </c>
      <c r="D1191" s="6">
        <v>1</v>
      </c>
      <c r="E1191" s="7">
        <v>0</v>
      </c>
      <c r="F1191" s="7">
        <v>0</v>
      </c>
      <c r="G1191" s="21">
        <v>1000000</v>
      </c>
    </row>
    <row r="1192" spans="3:7" x14ac:dyDescent="0.2">
      <c r="C1192" s="5" t="s">
        <v>3508</v>
      </c>
      <c r="D1192" s="6">
        <v>1</v>
      </c>
      <c r="E1192" s="7">
        <v>0</v>
      </c>
      <c r="F1192" s="7">
        <v>0</v>
      </c>
      <c r="G1192" s="21">
        <v>320000</v>
      </c>
    </row>
    <row r="1193" spans="3:7" x14ac:dyDescent="0.2">
      <c r="C1193" s="5" t="s">
        <v>3509</v>
      </c>
      <c r="D1193" s="6">
        <v>1</v>
      </c>
      <c r="E1193" s="21">
        <v>300000</v>
      </c>
      <c r="F1193" s="7">
        <v>0</v>
      </c>
      <c r="G1193" s="7"/>
    </row>
    <row r="1194" spans="3:7" x14ac:dyDescent="0.2">
      <c r="C1194" s="5" t="s">
        <v>3510</v>
      </c>
      <c r="D1194" s="6">
        <v>1</v>
      </c>
      <c r="E1194" s="21">
        <v>190000</v>
      </c>
      <c r="F1194" s="7">
        <v>0</v>
      </c>
      <c r="G1194" s="7"/>
    </row>
    <row r="1195" spans="3:7" x14ac:dyDescent="0.2">
      <c r="C1195" s="5" t="s">
        <v>3511</v>
      </c>
      <c r="D1195" s="6"/>
      <c r="E1195" s="21">
        <v>300000</v>
      </c>
      <c r="F1195" s="7"/>
      <c r="G1195" s="7"/>
    </row>
    <row r="1196" spans="3:7" x14ac:dyDescent="0.2">
      <c r="C1196" s="5"/>
      <c r="D1196" s="6"/>
      <c r="E1196" s="7"/>
      <c r="F1196" s="7"/>
      <c r="G1196" s="8"/>
    </row>
    <row r="1197" spans="3:7" x14ac:dyDescent="0.2">
      <c r="C1197" s="25" t="s">
        <v>3317</v>
      </c>
      <c r="D1197" s="68">
        <v>1</v>
      </c>
      <c r="E1197" s="13">
        <v>0</v>
      </c>
      <c r="F1197" s="13">
        <v>0</v>
      </c>
      <c r="G1197" s="29"/>
    </row>
    <row r="1198" spans="3:7" x14ac:dyDescent="0.2">
      <c r="C1198" s="29"/>
      <c r="D1198" s="68"/>
      <c r="E1198" s="13"/>
      <c r="F1198" s="13"/>
      <c r="G1198" s="29"/>
    </row>
    <row r="1199" spans="3:7" x14ac:dyDescent="0.2">
      <c r="E1199" s="9">
        <f>SUM(E1174:E1198)</f>
        <v>5256200</v>
      </c>
      <c r="F1199" s="9">
        <f>SUM(F1174:F1198)</f>
        <v>0</v>
      </c>
      <c r="G1199" s="9"/>
    </row>
    <row r="1200" spans="3:7" x14ac:dyDescent="0.2">
      <c r="C1200" s="1"/>
      <c r="E1200" s="1">
        <v>5300000</v>
      </c>
    </row>
    <row r="1201" spans="3:7" x14ac:dyDescent="0.2">
      <c r="C1201" s="1"/>
      <c r="E1201" s="3">
        <f>E1200-E1199</f>
        <v>43800</v>
      </c>
      <c r="G1201" s="3"/>
    </row>
    <row r="1203" spans="3:7" ht="26" x14ac:dyDescent="0.3">
      <c r="C1203" s="391" t="s">
        <v>3512</v>
      </c>
      <c r="D1203" s="391"/>
      <c r="E1203" s="391"/>
      <c r="F1203" s="391"/>
      <c r="G1203" s="391"/>
    </row>
    <row r="1204" spans="3:7" x14ac:dyDescent="0.2">
      <c r="C1204" s="29" t="s">
        <v>82</v>
      </c>
      <c r="D1204" s="11" t="s">
        <v>3097</v>
      </c>
      <c r="E1204" s="12" t="s">
        <v>1</v>
      </c>
      <c r="F1204" s="12" t="s">
        <v>3140</v>
      </c>
      <c r="G1204" s="12" t="s">
        <v>3484</v>
      </c>
    </row>
    <row r="1205" spans="3:7" x14ac:dyDescent="0.2">
      <c r="C1205" s="5" t="s">
        <v>3227</v>
      </c>
      <c r="D1205" s="6">
        <v>1</v>
      </c>
      <c r="E1205" s="46">
        <v>2000000</v>
      </c>
      <c r="F1205" s="7">
        <v>0</v>
      </c>
      <c r="G1205" s="7"/>
    </row>
    <row r="1206" spans="3:7" x14ac:dyDescent="0.2">
      <c r="C1206" s="5" t="s">
        <v>3228</v>
      </c>
      <c r="D1206" s="6">
        <v>1</v>
      </c>
      <c r="E1206" s="46">
        <v>500000</v>
      </c>
      <c r="F1206" s="7">
        <v>0</v>
      </c>
      <c r="G1206" s="8"/>
    </row>
    <row r="1207" spans="3:7" x14ac:dyDescent="0.2">
      <c r="C1207" s="5" t="s">
        <v>3316</v>
      </c>
      <c r="D1207" s="6">
        <v>1</v>
      </c>
      <c r="E1207" s="46">
        <v>250000</v>
      </c>
      <c r="F1207" s="7">
        <v>0</v>
      </c>
      <c r="G1207" s="8"/>
    </row>
    <row r="1208" spans="3:7" x14ac:dyDescent="0.2">
      <c r="C1208" s="5" t="s">
        <v>3297</v>
      </c>
      <c r="D1208" s="6">
        <v>1</v>
      </c>
      <c r="E1208" s="21">
        <v>45000</v>
      </c>
      <c r="F1208" s="7">
        <v>0</v>
      </c>
      <c r="G1208" s="8"/>
    </row>
    <row r="1209" spans="3:7" x14ac:dyDescent="0.2">
      <c r="C1209" s="5" t="s">
        <v>3472</v>
      </c>
      <c r="D1209" s="6">
        <v>1</v>
      </c>
      <c r="E1209" s="21">
        <v>124500</v>
      </c>
      <c r="F1209" s="7">
        <v>0</v>
      </c>
      <c r="G1209" s="8"/>
    </row>
    <row r="1210" spans="3:7" x14ac:dyDescent="0.2">
      <c r="C1210" s="5" t="s">
        <v>3473</v>
      </c>
      <c r="D1210" s="6">
        <v>1</v>
      </c>
      <c r="E1210" s="21">
        <v>277600</v>
      </c>
      <c r="F1210" s="7">
        <v>0</v>
      </c>
      <c r="G1210" s="7"/>
    </row>
    <row r="1211" spans="3:7" x14ac:dyDescent="0.2">
      <c r="C1211" s="5" t="s">
        <v>3474</v>
      </c>
      <c r="D1211" s="6">
        <v>1</v>
      </c>
      <c r="E1211" s="21">
        <v>79000</v>
      </c>
      <c r="F1211" s="7">
        <v>0</v>
      </c>
      <c r="G1211" s="8"/>
    </row>
    <row r="1212" spans="3:7" x14ac:dyDescent="0.2">
      <c r="C1212" s="54" t="s">
        <v>3475</v>
      </c>
      <c r="D1212" s="6">
        <v>1</v>
      </c>
      <c r="E1212" s="21">
        <v>487000</v>
      </c>
      <c r="F1212" s="7">
        <v>0</v>
      </c>
      <c r="G1212" s="7"/>
    </row>
    <row r="1213" spans="3:7" x14ac:dyDescent="0.2">
      <c r="C1213" s="5" t="s">
        <v>3476</v>
      </c>
      <c r="D1213" s="6">
        <v>1</v>
      </c>
      <c r="E1213" s="21">
        <v>258500</v>
      </c>
      <c r="F1213" s="7">
        <v>0</v>
      </c>
      <c r="G1213" s="8"/>
    </row>
    <row r="1214" spans="3:7" x14ac:dyDescent="0.2">
      <c r="C1214" s="5" t="s">
        <v>3477</v>
      </c>
      <c r="D1214" s="6">
        <v>1</v>
      </c>
      <c r="E1214" s="21">
        <v>244600</v>
      </c>
      <c r="F1214" s="7">
        <v>0</v>
      </c>
      <c r="G1214" s="8"/>
    </row>
    <row r="1215" spans="3:7" x14ac:dyDescent="0.2">
      <c r="C1215" s="5" t="s">
        <v>3513</v>
      </c>
      <c r="D1215" s="6">
        <v>1</v>
      </c>
      <c r="E1215" s="21">
        <v>80000</v>
      </c>
      <c r="F1215" s="7">
        <v>0</v>
      </c>
      <c r="G1215" s="8"/>
    </row>
    <row r="1216" spans="3:7" x14ac:dyDescent="0.2">
      <c r="C1216" s="5" t="s">
        <v>3514</v>
      </c>
      <c r="D1216" s="6">
        <v>1</v>
      </c>
      <c r="E1216" s="7">
        <v>0</v>
      </c>
      <c r="F1216" s="46">
        <v>320000</v>
      </c>
      <c r="G1216" s="8"/>
    </row>
    <row r="1217" spans="3:8" x14ac:dyDescent="0.2">
      <c r="C1217" s="5" t="s">
        <v>3515</v>
      </c>
      <c r="D1217" s="6">
        <v>1</v>
      </c>
      <c r="E1217" s="21">
        <v>298000</v>
      </c>
      <c r="F1217" s="7">
        <v>0</v>
      </c>
      <c r="G1217" s="8"/>
    </row>
    <row r="1218" spans="3:8" x14ac:dyDescent="0.2">
      <c r="C1218" s="5" t="s">
        <v>3516</v>
      </c>
      <c r="D1218" s="6">
        <v>800</v>
      </c>
      <c r="E1218" s="7">
        <v>0</v>
      </c>
      <c r="F1218" s="7">
        <v>0</v>
      </c>
      <c r="G1218" s="21">
        <f>D1218*400</f>
        <v>320000</v>
      </c>
      <c r="H1218" s="1" t="s">
        <v>3517</v>
      </c>
    </row>
    <row r="1219" spans="3:8" x14ac:dyDescent="0.2">
      <c r="C1219" s="5" t="s">
        <v>3518</v>
      </c>
      <c r="D1219" s="6">
        <v>25</v>
      </c>
      <c r="E1219" s="7">
        <v>0</v>
      </c>
      <c r="F1219" s="7">
        <v>0</v>
      </c>
      <c r="G1219" s="21">
        <f>D1219*3500</f>
        <v>87500</v>
      </c>
      <c r="H1219" s="1" t="s">
        <v>3517</v>
      </c>
    </row>
    <row r="1220" spans="3:8" x14ac:dyDescent="0.2">
      <c r="C1220" s="5" t="s">
        <v>1427</v>
      </c>
      <c r="D1220" s="6">
        <v>8</v>
      </c>
      <c r="E1220" s="7">
        <v>0</v>
      </c>
      <c r="F1220" s="46">
        <v>720000</v>
      </c>
      <c r="G1220" s="7"/>
      <c r="H1220" s="1" t="s">
        <v>3517</v>
      </c>
    </row>
    <row r="1221" spans="3:8" x14ac:dyDescent="0.2">
      <c r="C1221" s="5" t="s">
        <v>3519</v>
      </c>
      <c r="D1221" s="6">
        <v>1</v>
      </c>
      <c r="E1221" s="21">
        <v>104000</v>
      </c>
      <c r="F1221" s="7">
        <v>0</v>
      </c>
      <c r="G1221" s="7"/>
      <c r="H1221" s="1" t="s">
        <v>3517</v>
      </c>
    </row>
    <row r="1222" spans="3:8" x14ac:dyDescent="0.2">
      <c r="C1222" s="5" t="s">
        <v>3520</v>
      </c>
      <c r="D1222" s="6">
        <v>1</v>
      </c>
      <c r="E1222" s="7">
        <v>0</v>
      </c>
      <c r="F1222" s="7">
        <v>0</v>
      </c>
      <c r="G1222" s="21">
        <v>162000</v>
      </c>
      <c r="H1222" s="1" t="s">
        <v>3517</v>
      </c>
    </row>
    <row r="1223" spans="3:8" x14ac:dyDescent="0.2">
      <c r="C1223" s="5" t="s">
        <v>3521</v>
      </c>
      <c r="D1223" s="6">
        <v>1</v>
      </c>
      <c r="E1223" s="21">
        <v>100000</v>
      </c>
      <c r="F1223" s="7">
        <v>0</v>
      </c>
      <c r="G1223" s="7"/>
      <c r="H1223" s="1" t="s">
        <v>3517</v>
      </c>
    </row>
    <row r="1224" spans="3:8" x14ac:dyDescent="0.2">
      <c r="C1224" s="5" t="s">
        <v>3522</v>
      </c>
      <c r="D1224" s="6">
        <v>1</v>
      </c>
      <c r="E1224" s="21">
        <v>300000</v>
      </c>
      <c r="F1224" s="7">
        <v>0</v>
      </c>
      <c r="G1224" s="7"/>
      <c r="H1224" s="1" t="s">
        <v>3517</v>
      </c>
    </row>
    <row r="1225" spans="3:8" x14ac:dyDescent="0.2">
      <c r="C1225" s="5" t="s">
        <v>3523</v>
      </c>
      <c r="D1225" s="6">
        <v>1</v>
      </c>
      <c r="E1225" s="21">
        <v>100000</v>
      </c>
      <c r="F1225" s="7">
        <v>0</v>
      </c>
      <c r="G1225" s="7"/>
      <c r="H1225" s="1" t="s">
        <v>3517</v>
      </c>
    </row>
    <row r="1226" spans="3:8" x14ac:dyDescent="0.2">
      <c r="C1226" s="5"/>
      <c r="D1226" s="6"/>
      <c r="E1226" s="7"/>
      <c r="F1226" s="7"/>
      <c r="G1226" s="8"/>
    </row>
    <row r="1227" spans="3:8" x14ac:dyDescent="0.2">
      <c r="C1227" s="25" t="s">
        <v>3317</v>
      </c>
      <c r="D1227" s="68">
        <v>1</v>
      </c>
      <c r="E1227" s="13">
        <v>0</v>
      </c>
      <c r="F1227" s="13">
        <v>0</v>
      </c>
      <c r="G1227" s="29"/>
    </row>
    <row r="1228" spans="3:8" x14ac:dyDescent="0.2">
      <c r="C1228" s="29"/>
      <c r="D1228" s="68"/>
      <c r="E1228" s="13"/>
      <c r="F1228" s="13"/>
      <c r="G1228" s="29"/>
    </row>
    <row r="1229" spans="3:8" x14ac:dyDescent="0.2">
      <c r="E1229" s="9">
        <f>SUM(E1205:E1228)</f>
        <v>5248200</v>
      </c>
      <c r="F1229" s="9">
        <f>SUM(F1205:F1228)</f>
        <v>1040000</v>
      </c>
      <c r="G1229" s="9"/>
    </row>
    <row r="1230" spans="3:8" x14ac:dyDescent="0.2">
      <c r="C1230" s="1"/>
      <c r="E1230" s="1">
        <v>5300000</v>
      </c>
    </row>
    <row r="1231" spans="3:8" x14ac:dyDescent="0.2">
      <c r="C1231" s="1"/>
      <c r="E1231" s="3">
        <f>E1230-E1229</f>
        <v>51800</v>
      </c>
      <c r="G1231" s="3"/>
    </row>
    <row r="1234" spans="3:7" ht="26" x14ac:dyDescent="0.3">
      <c r="C1234" s="391" t="s">
        <v>3524</v>
      </c>
      <c r="D1234" s="391"/>
      <c r="E1234" s="391"/>
      <c r="F1234" s="391"/>
      <c r="G1234" s="391"/>
    </row>
    <row r="1235" spans="3:7" x14ac:dyDescent="0.2">
      <c r="C1235" s="29" t="s">
        <v>82</v>
      </c>
      <c r="D1235" s="11" t="s">
        <v>3097</v>
      </c>
      <c r="E1235" s="12" t="s">
        <v>1</v>
      </c>
      <c r="F1235" s="12" t="s">
        <v>3140</v>
      </c>
      <c r="G1235" s="12" t="s">
        <v>3249</v>
      </c>
    </row>
    <row r="1236" spans="3:7" x14ac:dyDescent="0.2">
      <c r="C1236" s="5" t="s">
        <v>3525</v>
      </c>
      <c r="D1236" s="6">
        <v>1</v>
      </c>
      <c r="E1236" s="46">
        <v>2000000</v>
      </c>
      <c r="F1236" s="7">
        <v>0</v>
      </c>
      <c r="G1236" s="7"/>
    </row>
    <row r="1237" spans="3:7" x14ac:dyDescent="0.2">
      <c r="C1237" s="5" t="s">
        <v>3228</v>
      </c>
      <c r="D1237" s="6">
        <v>1</v>
      </c>
      <c r="E1237" s="46">
        <v>500000</v>
      </c>
      <c r="F1237" s="7">
        <v>0</v>
      </c>
      <c r="G1237" s="8"/>
    </row>
    <row r="1238" spans="3:7" x14ac:dyDescent="0.2">
      <c r="C1238" s="5" t="s">
        <v>3526</v>
      </c>
      <c r="D1238" s="6">
        <v>1</v>
      </c>
      <c r="E1238" s="46">
        <v>250000</v>
      </c>
      <c r="F1238" s="7">
        <v>0</v>
      </c>
      <c r="G1238" s="8"/>
    </row>
    <row r="1239" spans="3:7" x14ac:dyDescent="0.2">
      <c r="C1239" s="5" t="s">
        <v>3297</v>
      </c>
      <c r="D1239" s="6">
        <v>1</v>
      </c>
      <c r="E1239" s="119">
        <v>45000</v>
      </c>
      <c r="F1239" s="7">
        <v>0</v>
      </c>
      <c r="G1239" s="8"/>
    </row>
    <row r="1240" spans="3:7" x14ac:dyDescent="0.2">
      <c r="C1240" s="5" t="s">
        <v>3472</v>
      </c>
      <c r="D1240" s="6">
        <v>1</v>
      </c>
      <c r="E1240" s="119">
        <v>124500</v>
      </c>
      <c r="F1240" s="7">
        <v>0</v>
      </c>
      <c r="G1240" s="8"/>
    </row>
    <row r="1241" spans="3:7" x14ac:dyDescent="0.2">
      <c r="C1241" s="5" t="s">
        <v>3473</v>
      </c>
      <c r="D1241" s="6">
        <v>1</v>
      </c>
      <c r="E1241" s="119">
        <v>317600</v>
      </c>
      <c r="F1241" s="7">
        <v>0</v>
      </c>
      <c r="G1241" s="7"/>
    </row>
    <row r="1242" spans="3:7" x14ac:dyDescent="0.2">
      <c r="C1242" s="5" t="s">
        <v>3474</v>
      </c>
      <c r="D1242" s="6">
        <v>1</v>
      </c>
      <c r="E1242" s="119">
        <v>79000</v>
      </c>
      <c r="F1242" s="7">
        <v>0</v>
      </c>
      <c r="G1242" s="8"/>
    </row>
    <row r="1243" spans="3:7" x14ac:dyDescent="0.2">
      <c r="C1243" s="54" t="s">
        <v>3475</v>
      </c>
      <c r="D1243" s="6">
        <v>1</v>
      </c>
      <c r="E1243" s="119">
        <v>487000</v>
      </c>
      <c r="F1243" s="7">
        <v>0</v>
      </c>
      <c r="G1243" s="7"/>
    </row>
    <row r="1244" spans="3:7" x14ac:dyDescent="0.2">
      <c r="C1244" s="5" t="s">
        <v>3476</v>
      </c>
      <c r="D1244" s="6">
        <v>1</v>
      </c>
      <c r="E1244" s="119">
        <v>258500</v>
      </c>
      <c r="F1244" s="7">
        <v>0</v>
      </c>
      <c r="G1244" s="8"/>
    </row>
    <row r="1245" spans="3:7" x14ac:dyDescent="0.2">
      <c r="C1245" s="5" t="s">
        <v>3477</v>
      </c>
      <c r="D1245" s="6">
        <v>1</v>
      </c>
      <c r="E1245" s="119">
        <v>244600</v>
      </c>
      <c r="F1245" s="7">
        <v>0</v>
      </c>
      <c r="G1245" s="8"/>
    </row>
    <row r="1246" spans="3:7" x14ac:dyDescent="0.2">
      <c r="C1246" s="5" t="s">
        <v>3514</v>
      </c>
      <c r="D1246" s="6">
        <v>1</v>
      </c>
      <c r="E1246" s="21">
        <v>320000</v>
      </c>
      <c r="F1246" s="7">
        <v>0</v>
      </c>
      <c r="G1246" s="8"/>
    </row>
    <row r="1247" spans="3:7" x14ac:dyDescent="0.2">
      <c r="C1247" s="5" t="s">
        <v>1427</v>
      </c>
      <c r="D1247" s="6">
        <v>8</v>
      </c>
      <c r="E1247" s="21">
        <v>720000</v>
      </c>
      <c r="F1247" s="7">
        <v>0</v>
      </c>
      <c r="G1247" s="7"/>
    </row>
    <row r="1248" spans="3:7" x14ac:dyDescent="0.2">
      <c r="C1248" s="5" t="s">
        <v>1383</v>
      </c>
      <c r="D1248" s="6">
        <v>1</v>
      </c>
      <c r="E1248" s="7">
        <v>0</v>
      </c>
      <c r="F1248" s="21">
        <v>105000</v>
      </c>
      <c r="G1248" s="7"/>
    </row>
    <row r="1249" spans="3:7" x14ac:dyDescent="0.2">
      <c r="C1249" s="5" t="s">
        <v>1384</v>
      </c>
      <c r="D1249" s="6">
        <v>1</v>
      </c>
      <c r="E1249" s="7">
        <v>0</v>
      </c>
      <c r="F1249" s="21">
        <v>50000</v>
      </c>
      <c r="G1249" s="7"/>
    </row>
    <row r="1250" spans="3:7" x14ac:dyDescent="0.2">
      <c r="C1250" s="5" t="s">
        <v>1385</v>
      </c>
      <c r="D1250" s="6">
        <v>1</v>
      </c>
      <c r="E1250" s="7">
        <v>0</v>
      </c>
      <c r="F1250" s="21">
        <v>250000</v>
      </c>
      <c r="G1250" s="7"/>
    </row>
    <row r="1251" spans="3:7" x14ac:dyDescent="0.2">
      <c r="C1251" s="5" t="s">
        <v>1426</v>
      </c>
      <c r="D1251" s="6">
        <v>1</v>
      </c>
      <c r="E1251" s="7">
        <v>0</v>
      </c>
      <c r="F1251" s="21">
        <v>135000</v>
      </c>
      <c r="G1251" s="7"/>
    </row>
    <row r="1252" spans="3:7" x14ac:dyDescent="0.2">
      <c r="C1252" s="5" t="s">
        <v>3527</v>
      </c>
      <c r="D1252" s="6">
        <v>1</v>
      </c>
      <c r="E1252" s="7">
        <v>0</v>
      </c>
      <c r="F1252" s="7">
        <v>0</v>
      </c>
      <c r="G1252" s="21">
        <v>1050000</v>
      </c>
    </row>
    <row r="1253" spans="3:7" x14ac:dyDescent="0.2">
      <c r="C1253" s="5" t="s">
        <v>3528</v>
      </c>
      <c r="D1253" s="6">
        <v>1</v>
      </c>
      <c r="E1253" s="7">
        <v>0</v>
      </c>
      <c r="F1253" s="7">
        <v>0</v>
      </c>
      <c r="G1253" s="21">
        <v>672600</v>
      </c>
    </row>
    <row r="1254" spans="3:7" x14ac:dyDescent="0.2">
      <c r="C1254" s="5" t="s">
        <v>3529</v>
      </c>
      <c r="D1254" s="6">
        <v>1</v>
      </c>
      <c r="E1254" s="7">
        <v>0</v>
      </c>
      <c r="F1254" s="7">
        <v>0</v>
      </c>
      <c r="G1254" s="21">
        <v>320300</v>
      </c>
    </row>
    <row r="1255" spans="3:7" x14ac:dyDescent="0.2">
      <c r="C1255" s="5"/>
      <c r="D1255" s="6"/>
      <c r="E1255" s="7"/>
      <c r="F1255" s="7"/>
      <c r="G1255" s="7"/>
    </row>
    <row r="1256" spans="3:7" ht="14.25" customHeight="1" x14ac:dyDescent="0.2">
      <c r="C1256" s="5"/>
      <c r="D1256" s="6"/>
      <c r="E1256" s="7"/>
      <c r="F1256" s="7"/>
      <c r="G1256" s="8"/>
    </row>
    <row r="1257" spans="3:7" x14ac:dyDescent="0.2">
      <c r="C1257" s="25" t="s">
        <v>3317</v>
      </c>
      <c r="D1257" s="68">
        <v>1</v>
      </c>
      <c r="E1257" s="13">
        <v>0</v>
      </c>
      <c r="F1257" s="13">
        <v>0</v>
      </c>
      <c r="G1257" s="29">
        <v>0</v>
      </c>
    </row>
    <row r="1258" spans="3:7" x14ac:dyDescent="0.2">
      <c r="C1258" s="29"/>
      <c r="D1258" s="68"/>
      <c r="E1258" s="13"/>
      <c r="F1258" s="13"/>
      <c r="G1258" s="29"/>
    </row>
    <row r="1259" spans="3:7" x14ac:dyDescent="0.2">
      <c r="E1259" s="9">
        <f>SUM(E1236:E1258)</f>
        <v>5346200</v>
      </c>
      <c r="F1259" s="9">
        <f>SUM(F1236:F1258)</f>
        <v>540000</v>
      </c>
      <c r="G1259" s="9">
        <f>SUM(G1236:G1258)</f>
        <v>2042900</v>
      </c>
    </row>
    <row r="1260" spans="3:7" x14ac:dyDescent="0.2">
      <c r="C1260" s="1"/>
      <c r="E1260" s="1">
        <v>5300000</v>
      </c>
    </row>
    <row r="1261" spans="3:7" x14ac:dyDescent="0.2">
      <c r="C1261" s="1"/>
      <c r="E1261" s="3">
        <f>E1260-E1259</f>
        <v>-46200</v>
      </c>
      <c r="G1261" s="3"/>
    </row>
    <row r="1265" spans="3:7" ht="26" x14ac:dyDescent="0.3">
      <c r="C1265" s="391" t="s">
        <v>3530</v>
      </c>
      <c r="D1265" s="391"/>
      <c r="E1265" s="391"/>
      <c r="F1265" s="391"/>
      <c r="G1265" s="391"/>
    </row>
    <row r="1266" spans="3:7" x14ac:dyDescent="0.2">
      <c r="C1266" s="29" t="s">
        <v>82</v>
      </c>
      <c r="D1266" s="11" t="s">
        <v>3097</v>
      </c>
      <c r="E1266" s="12" t="s">
        <v>1</v>
      </c>
      <c r="F1266" s="12" t="s">
        <v>3140</v>
      </c>
      <c r="G1266" s="12" t="s">
        <v>3249</v>
      </c>
    </row>
    <row r="1267" spans="3:7" x14ac:dyDescent="0.2">
      <c r="C1267" s="5" t="s">
        <v>3525</v>
      </c>
      <c r="D1267" s="6">
        <v>1</v>
      </c>
      <c r="E1267" s="46">
        <v>2000000</v>
      </c>
      <c r="F1267" s="7">
        <v>0</v>
      </c>
      <c r="G1267" s="7"/>
    </row>
    <row r="1268" spans="3:7" x14ac:dyDescent="0.2">
      <c r="C1268" s="5" t="s">
        <v>3228</v>
      </c>
      <c r="D1268" s="6">
        <v>1</v>
      </c>
      <c r="E1268" s="46">
        <v>500000</v>
      </c>
      <c r="F1268" s="7">
        <v>0</v>
      </c>
      <c r="G1268" s="8"/>
    </row>
    <row r="1269" spans="3:7" x14ac:dyDescent="0.2">
      <c r="C1269" s="5" t="s">
        <v>3526</v>
      </c>
      <c r="D1269" s="6">
        <v>1</v>
      </c>
      <c r="E1269" s="46">
        <v>250000</v>
      </c>
      <c r="F1269" s="7">
        <v>0</v>
      </c>
      <c r="G1269" s="8"/>
    </row>
    <row r="1270" spans="3:7" x14ac:dyDescent="0.2">
      <c r="C1270" s="5" t="s">
        <v>3297</v>
      </c>
      <c r="D1270" s="6">
        <v>1</v>
      </c>
      <c r="E1270" s="119">
        <v>45000</v>
      </c>
      <c r="F1270" s="7">
        <v>0</v>
      </c>
      <c r="G1270" s="8"/>
    </row>
    <row r="1271" spans="3:7" x14ac:dyDescent="0.2">
      <c r="C1271" s="5" t="s">
        <v>3472</v>
      </c>
      <c r="D1271" s="6">
        <v>1</v>
      </c>
      <c r="E1271" s="119">
        <v>124500</v>
      </c>
      <c r="F1271" s="7">
        <v>0</v>
      </c>
      <c r="G1271" s="8"/>
    </row>
    <row r="1272" spans="3:7" x14ac:dyDescent="0.2">
      <c r="C1272" s="5" t="s">
        <v>3473</v>
      </c>
      <c r="D1272" s="6">
        <v>1</v>
      </c>
      <c r="E1272" s="119">
        <v>317600</v>
      </c>
      <c r="F1272" s="7">
        <v>0</v>
      </c>
      <c r="G1272" s="7"/>
    </row>
    <row r="1273" spans="3:7" x14ac:dyDescent="0.2">
      <c r="C1273" s="5" t="s">
        <v>3474</v>
      </c>
      <c r="D1273" s="6">
        <v>1</v>
      </c>
      <c r="E1273" s="119">
        <v>79000</v>
      </c>
      <c r="F1273" s="7">
        <v>0</v>
      </c>
      <c r="G1273" s="8"/>
    </row>
    <row r="1274" spans="3:7" x14ac:dyDescent="0.2">
      <c r="C1274" s="54" t="s">
        <v>3475</v>
      </c>
      <c r="D1274" s="6">
        <v>1</v>
      </c>
      <c r="E1274" s="119">
        <v>487000</v>
      </c>
      <c r="F1274" s="7">
        <v>0</v>
      </c>
      <c r="G1274" s="7"/>
    </row>
    <row r="1275" spans="3:7" x14ac:dyDescent="0.2">
      <c r="C1275" s="5" t="s">
        <v>3476</v>
      </c>
      <c r="D1275" s="6">
        <v>1</v>
      </c>
      <c r="E1275" s="119">
        <v>258500</v>
      </c>
      <c r="F1275" s="7">
        <v>0</v>
      </c>
      <c r="G1275" s="8"/>
    </row>
    <row r="1276" spans="3:7" x14ac:dyDescent="0.2">
      <c r="C1276" s="5" t="s">
        <v>3531</v>
      </c>
      <c r="D1276" s="6">
        <v>1</v>
      </c>
      <c r="E1276" s="119">
        <v>0</v>
      </c>
      <c r="F1276" s="7">
        <v>0</v>
      </c>
      <c r="G1276" s="8"/>
    </row>
    <row r="1277" spans="3:7" x14ac:dyDescent="0.2">
      <c r="C1277" s="5" t="s">
        <v>3532</v>
      </c>
      <c r="D1277" s="6">
        <v>1</v>
      </c>
      <c r="E1277" s="119">
        <v>399000</v>
      </c>
      <c r="F1277" s="7">
        <v>0</v>
      </c>
      <c r="G1277" s="7">
        <f>E1277-181000-120000</f>
        <v>98000</v>
      </c>
    </row>
    <row r="1278" spans="3:7" x14ac:dyDescent="0.2">
      <c r="C1278" s="5" t="s">
        <v>3533</v>
      </c>
      <c r="D1278" s="6">
        <v>1</v>
      </c>
      <c r="E1278" s="17">
        <v>206000</v>
      </c>
      <c r="F1278" s="7">
        <v>0</v>
      </c>
      <c r="G1278" s="8"/>
    </row>
    <row r="1279" spans="3:7" x14ac:dyDescent="0.2">
      <c r="C1279" s="5" t="s">
        <v>3534</v>
      </c>
      <c r="D1279" s="6">
        <v>1</v>
      </c>
      <c r="E1279" s="17">
        <v>202000</v>
      </c>
      <c r="F1279" s="7">
        <v>0</v>
      </c>
      <c r="G1279" s="7"/>
    </row>
    <row r="1280" spans="3:7" x14ac:dyDescent="0.2">
      <c r="C1280" s="5" t="s">
        <v>3535</v>
      </c>
      <c r="D1280" s="6">
        <v>1</v>
      </c>
      <c r="E1280" s="17">
        <v>38000</v>
      </c>
      <c r="F1280" s="7">
        <v>0</v>
      </c>
      <c r="G1280" s="7"/>
    </row>
    <row r="1281" spans="3:7" x14ac:dyDescent="0.2">
      <c r="C1281" s="5" t="s">
        <v>3536</v>
      </c>
      <c r="D1281" s="6">
        <v>1</v>
      </c>
      <c r="E1281" s="17">
        <v>50000</v>
      </c>
      <c r="F1281" s="7">
        <v>0</v>
      </c>
      <c r="G1281" s="7"/>
    </row>
    <row r="1282" spans="3:7" x14ac:dyDescent="0.2">
      <c r="C1282" s="5" t="s">
        <v>3537</v>
      </c>
      <c r="D1282" s="6">
        <v>1</v>
      </c>
      <c r="E1282" s="7">
        <v>150000</v>
      </c>
      <c r="F1282" s="7">
        <v>0</v>
      </c>
      <c r="G1282" s="7"/>
    </row>
    <row r="1283" spans="3:7" x14ac:dyDescent="0.2">
      <c r="C1283" s="5" t="s">
        <v>3538</v>
      </c>
      <c r="D1283" s="6">
        <v>1</v>
      </c>
      <c r="E1283" s="7">
        <v>90000</v>
      </c>
      <c r="F1283" s="7">
        <v>0</v>
      </c>
      <c r="G1283" s="7"/>
    </row>
    <row r="1284" spans="3:7" x14ac:dyDescent="0.2">
      <c r="C1284" s="5" t="s">
        <v>3539</v>
      </c>
      <c r="D1284" s="6">
        <v>1</v>
      </c>
      <c r="E1284" s="7">
        <v>50000</v>
      </c>
      <c r="F1284" s="7">
        <v>0</v>
      </c>
      <c r="G1284" s="7"/>
    </row>
    <row r="1285" spans="3:7" x14ac:dyDescent="0.2">
      <c r="C1285" s="5"/>
      <c r="D1285" s="6"/>
      <c r="E1285" s="7"/>
      <c r="F1285" s="7"/>
      <c r="G1285" s="7"/>
    </row>
    <row r="1286" spans="3:7" x14ac:dyDescent="0.2">
      <c r="C1286" s="5"/>
      <c r="D1286" s="6"/>
      <c r="E1286" s="7"/>
      <c r="F1286" s="7"/>
      <c r="G1286" s="7"/>
    </row>
    <row r="1287" spans="3:7" x14ac:dyDescent="0.2">
      <c r="C1287" s="5"/>
      <c r="D1287" s="6"/>
      <c r="E1287" s="7"/>
      <c r="F1287" s="7"/>
      <c r="G1287" s="7"/>
    </row>
    <row r="1288" spans="3:7" x14ac:dyDescent="0.2">
      <c r="C1288" s="5"/>
      <c r="D1288" s="6"/>
      <c r="E1288" s="7"/>
      <c r="F1288" s="7"/>
      <c r="G1288" s="7"/>
    </row>
    <row r="1289" spans="3:7" x14ac:dyDescent="0.2">
      <c r="C1289" s="5"/>
      <c r="D1289" s="6"/>
      <c r="E1289" s="7"/>
      <c r="F1289" s="7"/>
      <c r="G1289" s="7"/>
    </row>
    <row r="1290" spans="3:7" x14ac:dyDescent="0.2">
      <c r="C1290" s="5"/>
      <c r="D1290" s="6"/>
      <c r="E1290" s="7"/>
      <c r="F1290" s="7"/>
      <c r="G1290" s="8"/>
    </row>
    <row r="1291" spans="3:7" x14ac:dyDescent="0.2">
      <c r="C1291" s="25" t="s">
        <v>3317</v>
      </c>
      <c r="D1291" s="68">
        <v>1</v>
      </c>
      <c r="E1291" s="13">
        <v>0</v>
      </c>
      <c r="F1291" s="13">
        <v>0</v>
      </c>
      <c r="G1291" s="29">
        <v>0</v>
      </c>
    </row>
    <row r="1292" spans="3:7" x14ac:dyDescent="0.2">
      <c r="C1292" s="29"/>
      <c r="D1292" s="68"/>
      <c r="E1292" s="13"/>
      <c r="F1292" s="13"/>
      <c r="G1292" s="29"/>
    </row>
    <row r="1293" spans="3:7" x14ac:dyDescent="0.2">
      <c r="E1293" s="9">
        <f>SUM(E1270:E1292)</f>
        <v>2496600</v>
      </c>
      <c r="F1293" s="9">
        <f>SUM(F1267:F1292)</f>
        <v>0</v>
      </c>
      <c r="G1293" s="9">
        <f>SUM(G1267:G1292)</f>
        <v>98000</v>
      </c>
    </row>
    <row r="1294" spans="3:7" x14ac:dyDescent="0.2">
      <c r="C1294" s="1"/>
      <c r="E1294" s="3">
        <f>5300000-SUM(E1267:E1269)</f>
        <v>2550000</v>
      </c>
    </row>
    <row r="1295" spans="3:7" x14ac:dyDescent="0.2">
      <c r="C1295" s="1"/>
      <c r="E1295" s="3">
        <f>E1294-E1293</f>
        <v>53400</v>
      </c>
      <c r="G1295" s="3"/>
    </row>
    <row r="1298" spans="3:7" ht="26" x14ac:dyDescent="0.3">
      <c r="C1298" s="391" t="s">
        <v>3540</v>
      </c>
      <c r="D1298" s="391"/>
      <c r="E1298" s="391"/>
      <c r="F1298" s="391"/>
      <c r="G1298" s="391"/>
    </row>
    <row r="1299" spans="3:7" x14ac:dyDescent="0.2">
      <c r="C1299" s="29" t="s">
        <v>82</v>
      </c>
      <c r="D1299" s="11" t="s">
        <v>3097</v>
      </c>
      <c r="E1299" s="12" t="s">
        <v>1</v>
      </c>
      <c r="F1299" s="12" t="s">
        <v>3140</v>
      </c>
      <c r="G1299" s="12" t="s">
        <v>3249</v>
      </c>
    </row>
    <row r="1300" spans="3:7" x14ac:dyDescent="0.2">
      <c r="C1300" s="5" t="s">
        <v>3337</v>
      </c>
      <c r="D1300" s="6">
        <v>1</v>
      </c>
      <c r="E1300" s="7">
        <v>1500000</v>
      </c>
      <c r="F1300" s="7">
        <v>0</v>
      </c>
      <c r="G1300" s="7">
        <v>0</v>
      </c>
    </row>
    <row r="1301" spans="3:7" x14ac:dyDescent="0.2">
      <c r="C1301" s="5" t="s">
        <v>3541</v>
      </c>
      <c r="D1301" s="6">
        <v>1</v>
      </c>
      <c r="E1301" s="7">
        <v>672000</v>
      </c>
      <c r="F1301" s="7">
        <v>0</v>
      </c>
      <c r="G1301" s="8">
        <v>0</v>
      </c>
    </row>
    <row r="1302" spans="3:7" x14ac:dyDescent="0.2">
      <c r="C1302" s="5" t="s">
        <v>3542</v>
      </c>
      <c r="D1302" s="6">
        <v>1</v>
      </c>
      <c r="E1302" s="7">
        <v>320000</v>
      </c>
      <c r="F1302" s="7">
        <v>0</v>
      </c>
      <c r="G1302" s="8">
        <v>0</v>
      </c>
    </row>
    <row r="1303" spans="3:7" x14ac:dyDescent="0.2">
      <c r="C1303" s="5" t="s">
        <v>3543</v>
      </c>
      <c r="D1303" s="6">
        <v>1</v>
      </c>
      <c r="E1303" s="7">
        <v>100000</v>
      </c>
      <c r="F1303" s="7">
        <v>0</v>
      </c>
      <c r="G1303" s="8">
        <v>0</v>
      </c>
    </row>
    <row r="1305" spans="3:7" x14ac:dyDescent="0.2">
      <c r="C1305" s="5" t="s">
        <v>3544</v>
      </c>
      <c r="D1305" s="6">
        <v>1</v>
      </c>
      <c r="E1305" s="7">
        <v>349000</v>
      </c>
      <c r="F1305" s="7">
        <v>0</v>
      </c>
      <c r="G1305" s="8">
        <v>0</v>
      </c>
    </row>
    <row r="1306" spans="3:7" x14ac:dyDescent="0.2">
      <c r="C1306" s="5"/>
      <c r="D1306" s="6"/>
      <c r="E1306" s="7"/>
      <c r="F1306" s="7"/>
      <c r="G1306" s="7"/>
    </row>
    <row r="1307" spans="3:7" x14ac:dyDescent="0.2">
      <c r="C1307" s="5"/>
      <c r="D1307" s="6"/>
      <c r="E1307" s="7"/>
      <c r="F1307" s="7"/>
      <c r="G1307" s="7"/>
    </row>
    <row r="1308" spans="3:7" x14ac:dyDescent="0.2">
      <c r="C1308" s="5"/>
      <c r="D1308" s="6"/>
      <c r="E1308" s="7"/>
      <c r="F1308" s="7"/>
      <c r="G1308" s="7"/>
    </row>
    <row r="1309" spans="3:7" x14ac:dyDescent="0.2">
      <c r="C1309" s="5"/>
      <c r="D1309" s="6"/>
      <c r="E1309" s="7"/>
      <c r="F1309" s="7"/>
      <c r="G1309" s="7"/>
    </row>
    <row r="1310" spans="3:7" x14ac:dyDescent="0.2">
      <c r="C1310" s="5"/>
      <c r="D1310" s="6"/>
      <c r="E1310" s="7"/>
      <c r="F1310" s="7"/>
      <c r="G1310" s="8"/>
    </row>
    <row r="1311" spans="3:7" x14ac:dyDescent="0.2">
      <c r="C1311" s="25" t="s">
        <v>3317</v>
      </c>
      <c r="D1311" s="68">
        <v>1</v>
      </c>
      <c r="E1311" s="13">
        <v>0</v>
      </c>
      <c r="F1311" s="13">
        <v>0</v>
      </c>
      <c r="G1311" s="29">
        <v>0</v>
      </c>
    </row>
    <row r="1312" spans="3:7" x14ac:dyDescent="0.2">
      <c r="C1312" s="29"/>
      <c r="D1312" s="68"/>
      <c r="E1312" s="13"/>
      <c r="F1312" s="13"/>
      <c r="G1312" s="29"/>
    </row>
    <row r="1313" spans="3:7" x14ac:dyDescent="0.2">
      <c r="E1313" s="9">
        <f>SUM(E1300:E1312)</f>
        <v>2941000</v>
      </c>
      <c r="F1313" s="9">
        <f>SUM(F1300:F1312)</f>
        <v>0</v>
      </c>
      <c r="G1313" s="9">
        <f>SUM(G1300:G1312)</f>
        <v>0</v>
      </c>
    </row>
    <row r="1314" spans="3:7" x14ac:dyDescent="0.2">
      <c r="C1314" s="1"/>
      <c r="E1314" s="3">
        <f>3000000-E1313</f>
        <v>59000</v>
      </c>
      <c r="G1314" s="3"/>
    </row>
    <row r="1317" spans="3:7" ht="26" x14ac:dyDescent="0.3">
      <c r="C1317" s="391" t="s">
        <v>3545</v>
      </c>
      <c r="D1317" s="391"/>
      <c r="E1317" s="391"/>
      <c r="F1317" s="391"/>
      <c r="G1317" s="391"/>
    </row>
    <row r="1318" spans="3:7" x14ac:dyDescent="0.2">
      <c r="C1318" s="29" t="s">
        <v>82</v>
      </c>
      <c r="D1318" s="11" t="s">
        <v>3097</v>
      </c>
      <c r="E1318" s="12" t="s">
        <v>1</v>
      </c>
      <c r="F1318" s="12" t="s">
        <v>3140</v>
      </c>
      <c r="G1318" s="12" t="s">
        <v>3249</v>
      </c>
    </row>
    <row r="1319" spans="3:7" x14ac:dyDescent="0.2">
      <c r="C1319" s="5" t="s">
        <v>3525</v>
      </c>
      <c r="D1319" s="6">
        <v>1</v>
      </c>
      <c r="E1319" s="46">
        <v>2000000</v>
      </c>
      <c r="F1319" s="7">
        <v>0</v>
      </c>
      <c r="G1319" s="7"/>
    </row>
    <row r="1320" spans="3:7" x14ac:dyDescent="0.2">
      <c r="C1320" s="5" t="s">
        <v>3228</v>
      </c>
      <c r="D1320" s="6">
        <v>1</v>
      </c>
      <c r="E1320" s="46">
        <v>500000</v>
      </c>
      <c r="F1320" s="7">
        <v>0</v>
      </c>
      <c r="G1320" s="8"/>
    </row>
    <row r="1321" spans="3:7" x14ac:dyDescent="0.2">
      <c r="C1321" s="5" t="s">
        <v>3526</v>
      </c>
      <c r="D1321" s="6">
        <v>1</v>
      </c>
      <c r="E1321" s="46">
        <v>250000</v>
      </c>
      <c r="F1321" s="7">
        <v>0</v>
      </c>
      <c r="G1321" s="8"/>
    </row>
    <row r="1322" spans="3:7" x14ac:dyDescent="0.2">
      <c r="C1322" s="5" t="s">
        <v>3297</v>
      </c>
      <c r="D1322" s="6">
        <v>1</v>
      </c>
      <c r="E1322" s="119">
        <v>45000</v>
      </c>
      <c r="F1322" s="7">
        <v>0</v>
      </c>
      <c r="G1322" s="8"/>
    </row>
    <row r="1323" spans="3:7" x14ac:dyDescent="0.2">
      <c r="C1323" s="5" t="s">
        <v>3472</v>
      </c>
      <c r="D1323" s="6">
        <v>1</v>
      </c>
      <c r="E1323" s="119">
        <v>124500</v>
      </c>
      <c r="F1323" s="7">
        <v>0</v>
      </c>
      <c r="G1323" s="8"/>
    </row>
    <row r="1324" spans="3:7" x14ac:dyDescent="0.2">
      <c r="C1324" s="5" t="s">
        <v>3473</v>
      </c>
      <c r="D1324" s="6">
        <v>1</v>
      </c>
      <c r="E1324" s="119">
        <v>317600</v>
      </c>
      <c r="F1324" s="7">
        <v>0</v>
      </c>
      <c r="G1324" s="7"/>
    </row>
    <row r="1325" spans="3:7" x14ac:dyDescent="0.2">
      <c r="C1325" s="5" t="s">
        <v>3474</v>
      </c>
      <c r="D1325" s="6">
        <v>1</v>
      </c>
      <c r="E1325" s="119">
        <v>79000</v>
      </c>
      <c r="F1325" s="7">
        <v>0</v>
      </c>
      <c r="G1325" s="8"/>
    </row>
    <row r="1326" spans="3:7" x14ac:dyDescent="0.2">
      <c r="C1326" s="5" t="s">
        <v>3546</v>
      </c>
      <c r="D1326" s="6">
        <v>420</v>
      </c>
      <c r="E1326" s="119">
        <f>D1326*400</f>
        <v>168000</v>
      </c>
      <c r="F1326" s="1">
        <v>0</v>
      </c>
      <c r="G1326" s="7"/>
    </row>
    <row r="1327" spans="3:7" x14ac:dyDescent="0.2">
      <c r="C1327" s="54" t="s">
        <v>3475</v>
      </c>
      <c r="D1327" s="6">
        <v>1</v>
      </c>
      <c r="E1327" s="7"/>
      <c r="F1327" s="17">
        <v>487000</v>
      </c>
      <c r="G1327" s="7"/>
    </row>
    <row r="1328" spans="3:7" x14ac:dyDescent="0.2">
      <c r="C1328" s="5" t="s">
        <v>3476</v>
      </c>
      <c r="D1328" s="6">
        <v>1</v>
      </c>
      <c r="E1328" s="7"/>
      <c r="F1328" s="17">
        <v>258500</v>
      </c>
      <c r="G1328" s="8"/>
    </row>
    <row r="1329" spans="3:7" x14ac:dyDescent="0.2">
      <c r="C1329" s="36" t="s">
        <v>3547</v>
      </c>
      <c r="D1329" s="122">
        <v>1</v>
      </c>
      <c r="E1329" s="46"/>
      <c r="F1329" s="46">
        <v>0</v>
      </c>
      <c r="G1329" s="46"/>
    </row>
    <row r="1330" spans="3:7" x14ac:dyDescent="0.2">
      <c r="C1330" s="5" t="s">
        <v>3548</v>
      </c>
      <c r="D1330" s="6">
        <v>1</v>
      </c>
      <c r="E1330" s="7"/>
      <c r="F1330" s="17">
        <v>670000</v>
      </c>
      <c r="G1330" s="7"/>
    </row>
    <row r="1331" spans="3:7" x14ac:dyDescent="0.2">
      <c r="C1331" s="5" t="s">
        <v>3549</v>
      </c>
      <c r="D1331" s="6">
        <v>1</v>
      </c>
      <c r="E1331" s="7"/>
      <c r="F1331" s="17">
        <v>320000</v>
      </c>
      <c r="G1331" s="7"/>
    </row>
    <row r="1332" spans="3:7" x14ac:dyDescent="0.2">
      <c r="C1332" s="5" t="s">
        <v>3550</v>
      </c>
      <c r="D1332" s="6">
        <v>1</v>
      </c>
      <c r="E1332" s="7"/>
      <c r="F1332" s="17">
        <v>650000</v>
      </c>
      <c r="G1332" s="7"/>
    </row>
    <row r="1333" spans="3:7" x14ac:dyDescent="0.2">
      <c r="C1333" s="5"/>
      <c r="D1333" s="6"/>
      <c r="E1333" s="7"/>
      <c r="F1333" s="7"/>
      <c r="G1333" s="7"/>
    </row>
    <row r="1334" spans="3:7" x14ac:dyDescent="0.2">
      <c r="C1334" s="5"/>
      <c r="D1334" s="6"/>
      <c r="E1334" s="7"/>
      <c r="F1334" s="7"/>
      <c r="G1334" s="7"/>
    </row>
    <row r="1335" spans="3:7" x14ac:dyDescent="0.2">
      <c r="C1335" s="5"/>
      <c r="D1335" s="6"/>
      <c r="E1335" s="7"/>
      <c r="F1335" s="7"/>
      <c r="G1335" s="7"/>
    </row>
    <row r="1336" spans="3:7" x14ac:dyDescent="0.2">
      <c r="C1336" s="5"/>
      <c r="D1336" s="6"/>
      <c r="E1336" s="7"/>
      <c r="F1336" s="7"/>
      <c r="G1336" s="7"/>
    </row>
    <row r="1337" spans="3:7" x14ac:dyDescent="0.2">
      <c r="C1337" s="5"/>
      <c r="D1337" s="6"/>
      <c r="E1337" s="7"/>
      <c r="F1337" s="7"/>
      <c r="G1337" s="7"/>
    </row>
    <row r="1338" spans="3:7" x14ac:dyDescent="0.2">
      <c r="C1338" s="5"/>
      <c r="D1338" s="6"/>
      <c r="E1338" s="7"/>
      <c r="F1338" s="7"/>
      <c r="G1338" s="8"/>
    </row>
    <row r="1339" spans="3:7" x14ac:dyDescent="0.2">
      <c r="C1339" s="25" t="s">
        <v>3317</v>
      </c>
      <c r="D1339" s="68">
        <v>1</v>
      </c>
      <c r="E1339" s="13">
        <v>0</v>
      </c>
      <c r="F1339" s="13">
        <v>0</v>
      </c>
      <c r="G1339" s="29">
        <v>0</v>
      </c>
    </row>
    <row r="1340" spans="3:7" x14ac:dyDescent="0.2">
      <c r="C1340" s="29"/>
      <c r="D1340" s="68"/>
      <c r="E1340" s="13"/>
      <c r="F1340" s="13"/>
      <c r="G1340" s="29"/>
    </row>
    <row r="1341" spans="3:7" x14ac:dyDescent="0.2">
      <c r="E1341" s="9">
        <f>SUM(E1319:E1340)</f>
        <v>3484100</v>
      </c>
      <c r="F1341" s="9">
        <f>SUM(F1319:F1340)</f>
        <v>2385500</v>
      </c>
      <c r="G1341" s="9">
        <f>SUM(G1319:G1340)</f>
        <v>0</v>
      </c>
    </row>
    <row r="1342" spans="3:7" x14ac:dyDescent="0.2">
      <c r="C1342" s="1"/>
      <c r="E1342" s="3">
        <f>3400000-E1341</f>
        <v>-84100</v>
      </c>
    </row>
    <row r="1343" spans="3:7" x14ac:dyDescent="0.2">
      <c r="C1343" s="1"/>
      <c r="E1343" s="3">
        <f>E1342+E1314</f>
        <v>-25100</v>
      </c>
      <c r="G1343" s="3"/>
    </row>
    <row r="1346" spans="3:9" ht="26" x14ac:dyDescent="0.3">
      <c r="C1346" s="391" t="s">
        <v>3551</v>
      </c>
      <c r="D1346" s="391"/>
      <c r="E1346" s="391"/>
      <c r="F1346" s="391"/>
      <c r="G1346" s="391"/>
    </row>
    <row r="1347" spans="3:9" x14ac:dyDescent="0.2">
      <c r="C1347" s="29" t="s">
        <v>82</v>
      </c>
      <c r="D1347" s="11" t="s">
        <v>3097</v>
      </c>
      <c r="E1347" s="12" t="s">
        <v>1</v>
      </c>
      <c r="F1347" s="12" t="s">
        <v>3140</v>
      </c>
      <c r="G1347" s="12" t="s">
        <v>3249</v>
      </c>
    </row>
    <row r="1348" spans="3:9" x14ac:dyDescent="0.2">
      <c r="C1348" s="5" t="s">
        <v>3525</v>
      </c>
      <c r="D1348" s="6">
        <v>1</v>
      </c>
      <c r="E1348" s="46">
        <v>2000000</v>
      </c>
      <c r="F1348" s="7">
        <v>0</v>
      </c>
      <c r="G1348" s="7"/>
    </row>
    <row r="1349" spans="3:9" x14ac:dyDescent="0.2">
      <c r="C1349" s="5" t="s">
        <v>3228</v>
      </c>
      <c r="D1349" s="6">
        <v>1</v>
      </c>
      <c r="E1349" s="46">
        <v>500000</v>
      </c>
      <c r="F1349" s="7">
        <v>0</v>
      </c>
      <c r="G1349" s="8"/>
    </row>
    <row r="1350" spans="3:9" x14ac:dyDescent="0.2">
      <c r="C1350" s="5" t="s">
        <v>3526</v>
      </c>
      <c r="D1350" s="6">
        <v>1</v>
      </c>
      <c r="E1350" s="46">
        <v>250000</v>
      </c>
      <c r="F1350" s="7">
        <v>0</v>
      </c>
      <c r="G1350" s="8"/>
    </row>
    <row r="1351" spans="3:9" x14ac:dyDescent="0.2">
      <c r="C1351" s="5" t="s">
        <v>3297</v>
      </c>
      <c r="D1351" s="6">
        <v>1</v>
      </c>
      <c r="E1351" s="21">
        <v>45000</v>
      </c>
      <c r="F1351" s="7">
        <v>0</v>
      </c>
      <c r="G1351" s="8"/>
    </row>
    <row r="1352" spans="3:9" x14ac:dyDescent="0.2">
      <c r="C1352" s="5" t="s">
        <v>3472</v>
      </c>
      <c r="D1352" s="6">
        <v>1</v>
      </c>
      <c r="E1352" s="21">
        <v>124500</v>
      </c>
      <c r="F1352" s="7">
        <v>0</v>
      </c>
      <c r="G1352" s="8"/>
    </row>
    <row r="1353" spans="3:9" x14ac:dyDescent="0.2">
      <c r="C1353" s="5" t="s">
        <v>3473</v>
      </c>
      <c r="D1353" s="6">
        <v>1</v>
      </c>
      <c r="E1353" s="21">
        <v>317600</v>
      </c>
      <c r="F1353" s="7">
        <v>0</v>
      </c>
      <c r="G1353" s="7"/>
    </row>
    <row r="1354" spans="3:9" x14ac:dyDescent="0.2">
      <c r="C1354" s="5" t="s">
        <v>3474</v>
      </c>
      <c r="D1354" s="6">
        <v>1</v>
      </c>
      <c r="E1354" s="21">
        <v>79000</v>
      </c>
      <c r="F1354" s="7">
        <v>0</v>
      </c>
      <c r="G1354" s="8"/>
    </row>
    <row r="1355" spans="3:9" x14ac:dyDescent="0.2">
      <c r="C1355" s="54" t="s">
        <v>3475</v>
      </c>
      <c r="D1355" s="6">
        <v>1</v>
      </c>
      <c r="E1355" s="21">
        <v>487000</v>
      </c>
      <c r="F1355" s="7">
        <v>0</v>
      </c>
      <c r="G1355" s="7"/>
    </row>
    <row r="1356" spans="3:9" x14ac:dyDescent="0.2">
      <c r="C1356" s="5" t="s">
        <v>3476</v>
      </c>
      <c r="D1356" s="6">
        <v>1</v>
      </c>
      <c r="E1356" s="21">
        <v>258500</v>
      </c>
      <c r="F1356" s="7">
        <v>0</v>
      </c>
      <c r="G1356" s="8"/>
    </row>
    <row r="1357" spans="3:9" x14ac:dyDescent="0.2">
      <c r="C1357" s="5" t="s">
        <v>3552</v>
      </c>
      <c r="D1357" s="6">
        <v>1</v>
      </c>
      <c r="E1357" s="21">
        <v>125000</v>
      </c>
      <c r="F1357" s="7">
        <v>0</v>
      </c>
      <c r="G1357" s="7"/>
    </row>
    <row r="1358" spans="3:9" x14ac:dyDescent="0.2">
      <c r="C1358" s="5" t="s">
        <v>3553</v>
      </c>
      <c r="D1358" s="6">
        <v>1</v>
      </c>
      <c r="E1358" s="21">
        <v>50000</v>
      </c>
      <c r="F1358" s="7">
        <v>0</v>
      </c>
      <c r="G1358" s="7"/>
    </row>
    <row r="1359" spans="3:9" x14ac:dyDescent="0.2">
      <c r="C1359" s="5" t="s">
        <v>3554</v>
      </c>
      <c r="D1359" s="6">
        <v>1</v>
      </c>
      <c r="E1359" s="7">
        <v>0</v>
      </c>
      <c r="F1359" s="7">
        <v>400000</v>
      </c>
      <c r="G1359" s="7"/>
    </row>
    <row r="1360" spans="3:9" x14ac:dyDescent="0.2">
      <c r="C1360" s="5" t="s">
        <v>3555</v>
      </c>
      <c r="D1360" s="6">
        <v>1</v>
      </c>
      <c r="E1360" s="21">
        <v>290000</v>
      </c>
      <c r="F1360" s="7">
        <v>0</v>
      </c>
      <c r="G1360" s="8"/>
      <c r="I1360">
        <v>500</v>
      </c>
    </row>
    <row r="1361" spans="3:9" x14ac:dyDescent="0.2">
      <c r="C1361" s="5" t="s">
        <v>3556</v>
      </c>
      <c r="D1361" s="6">
        <v>1</v>
      </c>
      <c r="E1361" s="7">
        <v>0</v>
      </c>
      <c r="F1361" s="7">
        <v>400000</v>
      </c>
      <c r="G1361" s="7"/>
      <c r="I1361" s="124">
        <v>7</v>
      </c>
    </row>
    <row r="1362" spans="3:9" x14ac:dyDescent="0.2">
      <c r="C1362" s="5" t="s">
        <v>1554</v>
      </c>
      <c r="D1362" s="6">
        <v>1313</v>
      </c>
      <c r="E1362" s="21">
        <v>525000</v>
      </c>
      <c r="F1362" s="7">
        <v>0</v>
      </c>
      <c r="G1362" s="7"/>
      <c r="I1362">
        <v>3</v>
      </c>
    </row>
    <row r="1363" spans="3:9" x14ac:dyDescent="0.2">
      <c r="C1363" s="5" t="s">
        <v>3552</v>
      </c>
      <c r="D1363" s="6">
        <v>1</v>
      </c>
      <c r="E1363" s="21">
        <v>244000</v>
      </c>
      <c r="F1363" s="7">
        <v>0</v>
      </c>
      <c r="G1363" s="7"/>
      <c r="I1363">
        <v>30</v>
      </c>
    </row>
    <row r="1364" spans="3:9" x14ac:dyDescent="0.2">
      <c r="C1364" s="5"/>
      <c r="D1364" s="6"/>
      <c r="E1364" s="7"/>
      <c r="F1364" s="7"/>
      <c r="G1364" s="7"/>
      <c r="I1364" s="124">
        <v>5</v>
      </c>
    </row>
    <row r="1365" spans="3:9" x14ac:dyDescent="0.2">
      <c r="C1365" s="5"/>
      <c r="D1365" s="6"/>
      <c r="E1365" s="7"/>
      <c r="F1365" s="7"/>
      <c r="G1365" s="7"/>
      <c r="I1365" s="124">
        <v>7</v>
      </c>
    </row>
    <row r="1366" spans="3:9" x14ac:dyDescent="0.2">
      <c r="C1366" s="5"/>
      <c r="D1366" s="6"/>
      <c r="E1366" s="7"/>
      <c r="F1366" s="7"/>
      <c r="G1366" s="7"/>
      <c r="I1366" s="3">
        <v>36</v>
      </c>
    </row>
    <row r="1367" spans="3:9" x14ac:dyDescent="0.2">
      <c r="C1367" s="5"/>
      <c r="D1367" s="6"/>
      <c r="E1367" s="7"/>
      <c r="F1367" s="7"/>
      <c r="G1367" s="7"/>
      <c r="I1367" s="3">
        <v>16</v>
      </c>
    </row>
    <row r="1368" spans="3:9" x14ac:dyDescent="0.2">
      <c r="C1368" s="5"/>
      <c r="D1368" s="6"/>
      <c r="E1368" s="7"/>
      <c r="F1368" s="7"/>
      <c r="G1368" s="7"/>
    </row>
    <row r="1369" spans="3:9" x14ac:dyDescent="0.2">
      <c r="C1369" s="5"/>
      <c r="D1369" s="6"/>
      <c r="E1369" s="7"/>
      <c r="F1369" s="7"/>
      <c r="G1369" s="7"/>
    </row>
    <row r="1370" spans="3:9" x14ac:dyDescent="0.2">
      <c r="C1370" s="5"/>
      <c r="D1370" s="6"/>
      <c r="E1370" s="7"/>
      <c r="F1370" s="7"/>
      <c r="G1370" s="7"/>
    </row>
    <row r="1371" spans="3:9" x14ac:dyDescent="0.2">
      <c r="C1371" s="5"/>
      <c r="D1371" s="6"/>
      <c r="E1371" s="7"/>
      <c r="F1371" s="7"/>
      <c r="G1371" s="7"/>
    </row>
    <row r="1372" spans="3:9" x14ac:dyDescent="0.2">
      <c r="C1372" s="5"/>
      <c r="D1372" s="6"/>
      <c r="E1372" s="7"/>
      <c r="F1372" s="7"/>
      <c r="G1372" s="7"/>
    </row>
    <row r="1373" spans="3:9" x14ac:dyDescent="0.2">
      <c r="C1373" s="25" t="s">
        <v>3317</v>
      </c>
      <c r="D1373" s="68">
        <v>1</v>
      </c>
      <c r="E1373" s="13">
        <v>0</v>
      </c>
      <c r="F1373" s="13">
        <v>0</v>
      </c>
      <c r="G1373" s="29">
        <v>0</v>
      </c>
    </row>
    <row r="1374" spans="3:9" x14ac:dyDescent="0.2">
      <c r="C1374" s="29"/>
      <c r="D1374" s="68"/>
      <c r="E1374" s="13"/>
      <c r="F1374" s="13"/>
      <c r="G1374" s="29"/>
    </row>
    <row r="1375" spans="3:9" x14ac:dyDescent="0.2">
      <c r="E1375" s="9">
        <f>SUM(E1348:E1374)</f>
        <v>5295600</v>
      </c>
      <c r="F1375" s="9">
        <f>SUM(F1348:F1374)</f>
        <v>800000</v>
      </c>
      <c r="G1375" s="9">
        <f>SUM(G1348:G1374)</f>
        <v>0</v>
      </c>
    </row>
    <row r="1376" spans="3:9" x14ac:dyDescent="0.2">
      <c r="C1376" s="1"/>
      <c r="E1376" s="3">
        <f>5300000-E1375</f>
        <v>4400</v>
      </c>
    </row>
    <row r="1377" spans="3:7" x14ac:dyDescent="0.2">
      <c r="C1377" s="1"/>
      <c r="E1377" s="3">
        <f>E1376+E1343</f>
        <v>-20700</v>
      </c>
      <c r="G1377" s="3"/>
    </row>
    <row r="1379" spans="3:7" ht="26" x14ac:dyDescent="0.3">
      <c r="C1379" s="391" t="s">
        <v>3557</v>
      </c>
      <c r="D1379" s="391"/>
      <c r="E1379" s="391"/>
      <c r="F1379" s="391"/>
      <c r="G1379" s="391"/>
    </row>
    <row r="1380" spans="3:7" x14ac:dyDescent="0.2">
      <c r="C1380" s="29" t="s">
        <v>82</v>
      </c>
      <c r="D1380" s="11" t="s">
        <v>3097</v>
      </c>
      <c r="E1380" s="12" t="s">
        <v>1</v>
      </c>
      <c r="F1380" s="12" t="s">
        <v>3140</v>
      </c>
      <c r="G1380" s="12" t="s">
        <v>3249</v>
      </c>
    </row>
    <row r="1381" spans="3:7" x14ac:dyDescent="0.2">
      <c r="C1381" s="5" t="s">
        <v>3525</v>
      </c>
      <c r="D1381" s="6">
        <v>1</v>
      </c>
      <c r="E1381" s="46">
        <v>2000000</v>
      </c>
      <c r="F1381" s="7">
        <v>0</v>
      </c>
      <c r="G1381" s="7"/>
    </row>
    <row r="1382" spans="3:7" x14ac:dyDescent="0.2">
      <c r="C1382" s="5" t="s">
        <v>3228</v>
      </c>
      <c r="D1382" s="6">
        <v>1</v>
      </c>
      <c r="E1382" s="46">
        <v>500000</v>
      </c>
      <c r="F1382" s="7">
        <v>0</v>
      </c>
      <c r="G1382" s="8"/>
    </row>
    <row r="1383" spans="3:7" x14ac:dyDescent="0.2">
      <c r="C1383" s="5" t="s">
        <v>3526</v>
      </c>
      <c r="D1383" s="6">
        <v>1</v>
      </c>
      <c r="E1383" s="46">
        <v>250000</v>
      </c>
      <c r="F1383" s="7">
        <v>0</v>
      </c>
      <c r="G1383" s="8"/>
    </row>
    <row r="1384" spans="3:7" x14ac:dyDescent="0.2">
      <c r="C1384" s="5" t="s">
        <v>3297</v>
      </c>
      <c r="D1384" s="6">
        <v>1</v>
      </c>
      <c r="E1384" s="21">
        <v>45000</v>
      </c>
      <c r="F1384" s="7">
        <v>0</v>
      </c>
      <c r="G1384" s="8"/>
    </row>
    <row r="1385" spans="3:7" x14ac:dyDescent="0.2">
      <c r="C1385" s="5" t="s">
        <v>3472</v>
      </c>
      <c r="D1385" s="6">
        <v>1</v>
      </c>
      <c r="E1385" s="21">
        <v>124500</v>
      </c>
      <c r="F1385" s="7">
        <v>0</v>
      </c>
      <c r="G1385" s="8"/>
    </row>
    <row r="1386" spans="3:7" x14ac:dyDescent="0.2">
      <c r="C1386" s="5" t="s">
        <v>3473</v>
      </c>
      <c r="D1386" s="6">
        <v>1</v>
      </c>
      <c r="E1386" s="21">
        <v>317600</v>
      </c>
      <c r="F1386" s="7">
        <v>0</v>
      </c>
      <c r="G1386" s="7"/>
    </row>
    <row r="1387" spans="3:7" x14ac:dyDescent="0.2">
      <c r="C1387" s="5" t="s">
        <v>3474</v>
      </c>
      <c r="D1387" s="6">
        <v>1</v>
      </c>
      <c r="E1387" s="21">
        <v>79500</v>
      </c>
      <c r="F1387" s="7">
        <v>0</v>
      </c>
      <c r="G1387" s="8"/>
    </row>
    <row r="1388" spans="3:7" x14ac:dyDescent="0.2">
      <c r="C1388" s="54" t="s">
        <v>3475</v>
      </c>
      <c r="D1388" s="6">
        <v>1</v>
      </c>
      <c r="E1388" s="21">
        <v>487000</v>
      </c>
      <c r="F1388" s="7">
        <v>0</v>
      </c>
      <c r="G1388" s="7"/>
    </row>
    <row r="1389" spans="3:7" x14ac:dyDescent="0.2">
      <c r="C1389" s="5" t="s">
        <v>3476</v>
      </c>
      <c r="D1389" s="6">
        <v>1</v>
      </c>
      <c r="E1389" s="21">
        <v>258500</v>
      </c>
      <c r="F1389" s="7">
        <v>0</v>
      </c>
      <c r="G1389" s="8"/>
    </row>
    <row r="1390" spans="3:7" x14ac:dyDescent="0.2">
      <c r="C1390" s="5" t="s">
        <v>3552</v>
      </c>
      <c r="D1390" s="6">
        <v>1</v>
      </c>
      <c r="E1390" s="21">
        <v>245000</v>
      </c>
      <c r="F1390" s="7">
        <v>0</v>
      </c>
      <c r="G1390" s="7"/>
    </row>
    <row r="1391" spans="3:7" x14ac:dyDescent="0.2">
      <c r="C1391" s="5" t="s">
        <v>3556</v>
      </c>
      <c r="D1391" s="6">
        <v>1</v>
      </c>
      <c r="E1391" s="21">
        <v>400000</v>
      </c>
      <c r="F1391" s="7">
        <v>0</v>
      </c>
      <c r="G1391" s="7"/>
    </row>
    <row r="1392" spans="3:7" x14ac:dyDescent="0.2">
      <c r="C1392" s="5" t="s">
        <v>3558</v>
      </c>
      <c r="D1392" s="6">
        <v>1</v>
      </c>
      <c r="E1392" s="21">
        <v>572000</v>
      </c>
      <c r="F1392" s="7">
        <v>0</v>
      </c>
      <c r="G1392" s="7"/>
    </row>
    <row r="1393" spans="3:7" ht="19.25" customHeight="1" x14ac:dyDescent="0.2">
      <c r="C1393" s="5" t="s">
        <v>3559</v>
      </c>
      <c r="D1393" s="6">
        <v>1</v>
      </c>
      <c r="E1393" s="7">
        <v>0</v>
      </c>
      <c r="F1393" s="7">
        <v>0</v>
      </c>
      <c r="G1393" s="17">
        <v>250000</v>
      </c>
    </row>
    <row r="1394" spans="3:7" x14ac:dyDescent="0.2">
      <c r="C1394" s="5" t="s">
        <v>3560</v>
      </c>
      <c r="D1394" s="6">
        <v>1</v>
      </c>
      <c r="E1394" s="7">
        <v>0</v>
      </c>
      <c r="F1394" s="7">
        <v>0</v>
      </c>
      <c r="G1394" s="17">
        <v>315000</v>
      </c>
    </row>
    <row r="1395" spans="3:7" x14ac:dyDescent="0.2">
      <c r="C1395" s="5"/>
      <c r="D1395" s="6"/>
      <c r="E1395" s="7"/>
      <c r="F1395" s="7"/>
      <c r="G1395" s="7"/>
    </row>
    <row r="1396" spans="3:7" x14ac:dyDescent="0.2">
      <c r="C1396" s="25" t="s">
        <v>3317</v>
      </c>
      <c r="D1396" s="68">
        <v>1</v>
      </c>
      <c r="E1396" s="13">
        <v>0</v>
      </c>
      <c r="F1396" s="13">
        <v>0</v>
      </c>
      <c r="G1396" s="29">
        <v>0</v>
      </c>
    </row>
    <row r="1397" spans="3:7" x14ac:dyDescent="0.2">
      <c r="C1397" s="29"/>
      <c r="D1397" s="68"/>
      <c r="E1397" s="13"/>
      <c r="F1397" s="13"/>
      <c r="G1397" s="29"/>
    </row>
    <row r="1398" spans="3:7" x14ac:dyDescent="0.2">
      <c r="E1398" s="9">
        <f>SUM(E1381:E1397)</f>
        <v>5279100</v>
      </c>
      <c r="F1398" s="9">
        <f>SUM(F1381:F1397)</f>
        <v>0</v>
      </c>
      <c r="G1398" s="9">
        <f>SUM(G1381:G1397)</f>
        <v>565000</v>
      </c>
    </row>
    <row r="1399" spans="3:7" x14ac:dyDescent="0.2">
      <c r="C1399" s="1"/>
      <c r="E1399" s="3">
        <f>5300000-E1398</f>
        <v>20900</v>
      </c>
    </row>
    <row r="1400" spans="3:7" x14ac:dyDescent="0.2">
      <c r="C1400" s="1"/>
      <c r="E1400" s="3">
        <f>E1399+E1376</f>
        <v>25300</v>
      </c>
      <c r="G1400" s="3"/>
    </row>
    <row r="1404" spans="3:7" ht="26" x14ac:dyDescent="0.3">
      <c r="C1404" s="391" t="s">
        <v>3561</v>
      </c>
      <c r="D1404" s="391"/>
      <c r="E1404" s="391"/>
      <c r="F1404" s="391"/>
      <c r="G1404" s="391"/>
    </row>
    <row r="1405" spans="3:7" x14ac:dyDescent="0.2">
      <c r="C1405" s="29" t="s">
        <v>82</v>
      </c>
      <c r="D1405" s="11" t="s">
        <v>3097</v>
      </c>
      <c r="E1405" s="12" t="s">
        <v>1</v>
      </c>
      <c r="F1405" s="12" t="s">
        <v>3140</v>
      </c>
      <c r="G1405" s="12" t="s">
        <v>3249</v>
      </c>
    </row>
    <row r="1406" spans="3:7" x14ac:dyDescent="0.2">
      <c r="C1406" s="5" t="s">
        <v>3525</v>
      </c>
      <c r="D1406" s="6">
        <v>1</v>
      </c>
      <c r="E1406" s="46">
        <v>2000000</v>
      </c>
      <c r="F1406" s="7">
        <v>0</v>
      </c>
      <c r="G1406" s="7"/>
    </row>
    <row r="1407" spans="3:7" x14ac:dyDescent="0.2">
      <c r="C1407" s="5" t="s">
        <v>3228</v>
      </c>
      <c r="D1407" s="6">
        <v>1</v>
      </c>
      <c r="E1407" s="46">
        <v>500000</v>
      </c>
      <c r="F1407" s="7">
        <v>0</v>
      </c>
      <c r="G1407" s="8"/>
    </row>
    <row r="1408" spans="3:7" x14ac:dyDescent="0.2">
      <c r="C1408" s="5" t="s">
        <v>3526</v>
      </c>
      <c r="D1408" s="6">
        <v>1</v>
      </c>
      <c r="E1408" s="46">
        <v>250000</v>
      </c>
      <c r="F1408" s="7">
        <v>0</v>
      </c>
      <c r="G1408" s="8"/>
    </row>
    <row r="1409" spans="3:7" x14ac:dyDescent="0.2">
      <c r="C1409" s="5" t="s">
        <v>3297</v>
      </c>
      <c r="D1409" s="6">
        <v>1</v>
      </c>
      <c r="E1409" s="21">
        <v>45000</v>
      </c>
      <c r="F1409" s="7">
        <v>0</v>
      </c>
      <c r="G1409" s="8"/>
    </row>
    <row r="1410" spans="3:7" x14ac:dyDescent="0.2">
      <c r="C1410" s="5" t="s">
        <v>3472</v>
      </c>
      <c r="D1410" s="6">
        <v>1</v>
      </c>
      <c r="E1410" s="21">
        <v>124500</v>
      </c>
      <c r="F1410" s="7">
        <v>0</v>
      </c>
      <c r="G1410" s="8"/>
    </row>
    <row r="1411" spans="3:7" x14ac:dyDescent="0.2">
      <c r="C1411" s="5" t="s">
        <v>3473</v>
      </c>
      <c r="D1411" s="6">
        <v>1</v>
      </c>
      <c r="E1411" s="21">
        <v>317600</v>
      </c>
      <c r="F1411" s="7">
        <v>0</v>
      </c>
      <c r="G1411" s="7"/>
    </row>
    <row r="1412" spans="3:7" x14ac:dyDescent="0.2">
      <c r="C1412" s="5" t="s">
        <v>3474</v>
      </c>
      <c r="D1412" s="6">
        <v>1</v>
      </c>
      <c r="E1412" s="21">
        <v>79500</v>
      </c>
      <c r="F1412" s="7">
        <v>0</v>
      </c>
      <c r="G1412" s="8"/>
    </row>
    <row r="1413" spans="3:7" x14ac:dyDescent="0.2">
      <c r="C1413" s="54" t="s">
        <v>3475</v>
      </c>
      <c r="D1413" s="6">
        <v>1</v>
      </c>
      <c r="E1413" s="21">
        <v>487000</v>
      </c>
      <c r="F1413" s="7">
        <v>0</v>
      </c>
      <c r="G1413" s="7"/>
    </row>
    <row r="1414" spans="3:7" x14ac:dyDescent="0.2">
      <c r="C1414" s="5" t="s">
        <v>3476</v>
      </c>
      <c r="D1414" s="6">
        <v>1</v>
      </c>
      <c r="E1414" s="21">
        <v>0</v>
      </c>
      <c r="F1414" s="7">
        <v>0</v>
      </c>
      <c r="G1414" s="8"/>
    </row>
    <row r="1415" spans="3:7" x14ac:dyDescent="0.2">
      <c r="C1415" s="5" t="s">
        <v>3562</v>
      </c>
      <c r="D1415" s="6">
        <v>1</v>
      </c>
      <c r="E1415" s="21">
        <v>245000</v>
      </c>
      <c r="F1415" s="7">
        <v>0</v>
      </c>
      <c r="G1415" s="7"/>
    </row>
    <row r="1416" spans="3:7" x14ac:dyDescent="0.2">
      <c r="C1416" s="5" t="s">
        <v>3554</v>
      </c>
      <c r="D1416" s="6">
        <v>1</v>
      </c>
      <c r="E1416" s="21">
        <v>400000</v>
      </c>
      <c r="F1416" s="7">
        <v>0</v>
      </c>
      <c r="G1416" s="7"/>
    </row>
    <row r="1417" spans="3:7" x14ac:dyDescent="0.2">
      <c r="C1417" s="5" t="s">
        <v>3563</v>
      </c>
      <c r="D1417" s="6">
        <v>1</v>
      </c>
      <c r="E1417" s="21">
        <v>359000</v>
      </c>
      <c r="F1417" s="7">
        <v>0</v>
      </c>
      <c r="G1417" s="7"/>
    </row>
    <row r="1418" spans="3:7" x14ac:dyDescent="0.2">
      <c r="C1418" s="5" t="s">
        <v>3564</v>
      </c>
      <c r="D1418" s="6">
        <v>1</v>
      </c>
      <c r="E1418" s="21">
        <v>34000</v>
      </c>
      <c r="F1418" s="7">
        <v>0</v>
      </c>
      <c r="G1418" s="7"/>
    </row>
    <row r="1419" spans="3:7" x14ac:dyDescent="0.2">
      <c r="C1419" s="5" t="s">
        <v>3565</v>
      </c>
      <c r="D1419" s="6">
        <v>1</v>
      </c>
      <c r="E1419" s="21">
        <v>400000</v>
      </c>
      <c r="F1419" s="7">
        <v>0</v>
      </c>
      <c r="G1419" s="7"/>
    </row>
    <row r="1420" spans="3:7" x14ac:dyDescent="0.2">
      <c r="C1420" s="5" t="s">
        <v>3566</v>
      </c>
      <c r="D1420" s="6">
        <v>1</v>
      </c>
      <c r="E1420" s="7">
        <v>0</v>
      </c>
      <c r="F1420" s="7">
        <v>0</v>
      </c>
      <c r="G1420" s="21">
        <v>1709000</v>
      </c>
    </row>
    <row r="1421" spans="3:7" x14ac:dyDescent="0.2">
      <c r="C1421" s="5" t="s">
        <v>3567</v>
      </c>
      <c r="D1421" s="6">
        <v>1</v>
      </c>
      <c r="E1421" s="7">
        <v>0</v>
      </c>
      <c r="F1421" s="7">
        <v>0</v>
      </c>
      <c r="G1421" s="21">
        <v>850000</v>
      </c>
    </row>
    <row r="1422" spans="3:7" x14ac:dyDescent="0.2">
      <c r="C1422" s="5" t="s">
        <v>3568</v>
      </c>
      <c r="D1422" s="6">
        <v>1</v>
      </c>
      <c r="E1422" s="7">
        <v>0</v>
      </c>
      <c r="F1422" s="7">
        <v>0</v>
      </c>
      <c r="G1422" s="21">
        <v>690000</v>
      </c>
    </row>
    <row r="1423" spans="3:7" x14ac:dyDescent="0.2">
      <c r="C1423" s="5" t="s">
        <v>3569</v>
      </c>
      <c r="D1423" s="6">
        <v>1</v>
      </c>
      <c r="E1423" s="7">
        <v>0</v>
      </c>
      <c r="F1423" s="7"/>
      <c r="G1423" s="21">
        <v>700000</v>
      </c>
    </row>
    <row r="1424" spans="3:7" x14ac:dyDescent="0.2">
      <c r="C1424" s="5" t="s">
        <v>3570</v>
      </c>
      <c r="D1424" s="6">
        <v>1</v>
      </c>
      <c r="E1424" s="7">
        <v>0</v>
      </c>
      <c r="F1424" s="7">
        <v>0</v>
      </c>
      <c r="G1424" s="21">
        <v>299000</v>
      </c>
    </row>
    <row r="1425" spans="3:7" x14ac:dyDescent="0.2">
      <c r="C1425" s="5"/>
      <c r="D1425" s="6"/>
      <c r="E1425" s="7"/>
      <c r="F1425" s="7"/>
      <c r="G1425" s="7"/>
    </row>
    <row r="1426" spans="3:7" x14ac:dyDescent="0.2">
      <c r="C1426" s="5"/>
      <c r="D1426" s="6"/>
      <c r="E1426" s="7"/>
      <c r="F1426" s="7"/>
      <c r="G1426" s="7"/>
    </row>
    <row r="1427" spans="3:7" x14ac:dyDescent="0.2">
      <c r="C1427" s="5"/>
      <c r="D1427" s="6"/>
      <c r="E1427" s="7"/>
      <c r="F1427" s="7"/>
      <c r="G1427" s="7"/>
    </row>
    <row r="1428" spans="3:7" x14ac:dyDescent="0.2">
      <c r="C1428" s="25" t="s">
        <v>3317</v>
      </c>
      <c r="D1428" s="68">
        <v>1</v>
      </c>
      <c r="E1428" s="13">
        <v>0</v>
      </c>
      <c r="F1428" s="13">
        <v>0</v>
      </c>
      <c r="G1428" s="29">
        <v>0</v>
      </c>
    </row>
    <row r="1429" spans="3:7" x14ac:dyDescent="0.2">
      <c r="C1429" s="29"/>
      <c r="D1429" s="68"/>
      <c r="E1429" s="13"/>
      <c r="F1429" s="13"/>
      <c r="G1429" s="29"/>
    </row>
    <row r="1430" spans="3:7" x14ac:dyDescent="0.2">
      <c r="E1430" s="9">
        <f>SUM(E1406:E1429)</f>
        <v>5241600</v>
      </c>
      <c r="F1430" s="9">
        <f>SUM(F1406:F1429)</f>
        <v>0</v>
      </c>
      <c r="G1430" s="9">
        <f>SUM(G1406:G1429)</f>
        <v>4248000</v>
      </c>
    </row>
    <row r="1431" spans="3:7" x14ac:dyDescent="0.2">
      <c r="C1431" s="1"/>
      <c r="E1431" s="3">
        <f>5300000-E1430</f>
        <v>58400</v>
      </c>
    </row>
    <row r="1432" spans="3:7" x14ac:dyDescent="0.2">
      <c r="C1432" s="1"/>
      <c r="E1432" s="3">
        <f>E1431+E1401</f>
        <v>58400</v>
      </c>
      <c r="G1432" s="3"/>
    </row>
    <row r="1435" spans="3:7" ht="26" x14ac:dyDescent="0.3">
      <c r="C1435" s="391" t="s">
        <v>3571</v>
      </c>
      <c r="D1435" s="391"/>
      <c r="E1435" s="391"/>
      <c r="F1435" s="391"/>
      <c r="G1435" s="391"/>
    </row>
    <row r="1436" spans="3:7" x14ac:dyDescent="0.2">
      <c r="C1436" s="29" t="s">
        <v>82</v>
      </c>
      <c r="D1436" s="11" t="s">
        <v>3097</v>
      </c>
      <c r="E1436" s="12" t="s">
        <v>1</v>
      </c>
      <c r="F1436" s="12" t="s">
        <v>3140</v>
      </c>
      <c r="G1436" s="12" t="s">
        <v>3249</v>
      </c>
    </row>
    <row r="1437" spans="3:7" x14ac:dyDescent="0.2">
      <c r="C1437" s="5" t="s">
        <v>3525</v>
      </c>
      <c r="D1437" s="6">
        <v>1</v>
      </c>
      <c r="E1437" s="46">
        <v>2000000</v>
      </c>
      <c r="F1437" s="7">
        <v>0</v>
      </c>
      <c r="G1437" s="7"/>
    </row>
    <row r="1438" spans="3:7" x14ac:dyDescent="0.2">
      <c r="C1438" s="5" t="s">
        <v>3228</v>
      </c>
      <c r="D1438" s="6">
        <v>1</v>
      </c>
      <c r="E1438" s="46">
        <v>500000</v>
      </c>
      <c r="F1438" s="7">
        <v>0</v>
      </c>
      <c r="G1438" s="8"/>
    </row>
    <row r="1439" spans="3:7" x14ac:dyDescent="0.2">
      <c r="C1439" s="5" t="s">
        <v>3526</v>
      </c>
      <c r="D1439" s="6">
        <v>1</v>
      </c>
      <c r="E1439" s="46">
        <v>250000</v>
      </c>
      <c r="F1439" s="7">
        <v>0</v>
      </c>
      <c r="G1439" s="8"/>
    </row>
    <row r="1440" spans="3:7" x14ac:dyDescent="0.2">
      <c r="C1440" s="5" t="s">
        <v>3297</v>
      </c>
      <c r="D1440" s="6">
        <v>1</v>
      </c>
      <c r="E1440" s="46">
        <v>45000</v>
      </c>
      <c r="F1440" s="7">
        <v>0</v>
      </c>
      <c r="G1440" s="8"/>
    </row>
    <row r="1441" spans="3:7" x14ac:dyDescent="0.2">
      <c r="C1441" s="5" t="s">
        <v>3472</v>
      </c>
      <c r="D1441" s="6">
        <v>1</v>
      </c>
      <c r="E1441" s="13">
        <v>124500</v>
      </c>
      <c r="F1441" s="7">
        <v>0</v>
      </c>
      <c r="G1441" s="8"/>
    </row>
    <row r="1442" spans="3:7" x14ac:dyDescent="0.2">
      <c r="C1442" s="5" t="s">
        <v>3473</v>
      </c>
      <c r="D1442" s="6">
        <v>1</v>
      </c>
      <c r="E1442" s="17">
        <v>317600</v>
      </c>
      <c r="F1442" s="7">
        <v>0</v>
      </c>
      <c r="G1442" s="7"/>
    </row>
    <row r="1443" spans="3:7" x14ac:dyDescent="0.2">
      <c r="C1443" s="5" t="s">
        <v>3474</v>
      </c>
      <c r="D1443" s="6">
        <v>1</v>
      </c>
      <c r="E1443" s="17">
        <v>79500</v>
      </c>
      <c r="F1443" s="7">
        <v>0</v>
      </c>
      <c r="G1443" s="8"/>
    </row>
    <row r="1444" spans="3:7" x14ac:dyDescent="0.2">
      <c r="C1444" s="54" t="s">
        <v>3475</v>
      </c>
      <c r="D1444" s="6">
        <v>1</v>
      </c>
      <c r="E1444" s="13">
        <v>487000</v>
      </c>
      <c r="F1444" s="7">
        <v>0</v>
      </c>
      <c r="G1444" s="7"/>
    </row>
    <row r="1445" spans="3:7" x14ac:dyDescent="0.2">
      <c r="C1445" s="5" t="s">
        <v>3562</v>
      </c>
      <c r="D1445" s="6">
        <v>1</v>
      </c>
      <c r="E1445" s="17">
        <v>245000</v>
      </c>
      <c r="F1445" s="7">
        <v>0</v>
      </c>
      <c r="G1445" s="7"/>
    </row>
    <row r="1446" spans="3:7" x14ac:dyDescent="0.2">
      <c r="C1446" s="5" t="s">
        <v>3572</v>
      </c>
      <c r="D1446" s="6">
        <v>1</v>
      </c>
      <c r="E1446" s="17">
        <v>245000</v>
      </c>
      <c r="F1446" s="7">
        <v>0</v>
      </c>
      <c r="G1446" s="7"/>
    </row>
    <row r="1447" spans="3:7" x14ac:dyDescent="0.2">
      <c r="C1447" s="5" t="s">
        <v>3573</v>
      </c>
      <c r="D1447" s="6">
        <v>1</v>
      </c>
      <c r="E1447" s="13">
        <v>259000</v>
      </c>
      <c r="F1447" s="7">
        <v>0</v>
      </c>
      <c r="G1447" s="7"/>
    </row>
    <row r="1448" spans="3:7" x14ac:dyDescent="0.2">
      <c r="C1448" s="5" t="s">
        <v>3574</v>
      </c>
      <c r="D1448" s="6">
        <v>1</v>
      </c>
      <c r="E1448" s="17">
        <v>245000</v>
      </c>
      <c r="F1448" s="7">
        <v>0</v>
      </c>
      <c r="G1448" s="7"/>
    </row>
    <row r="1449" spans="3:7" x14ac:dyDescent="0.2">
      <c r="C1449" s="5" t="s">
        <v>3575</v>
      </c>
      <c r="D1449" s="6">
        <v>1</v>
      </c>
      <c r="E1449" s="7">
        <v>0</v>
      </c>
      <c r="F1449" s="7">
        <v>0</v>
      </c>
      <c r="G1449" s="17">
        <v>250000</v>
      </c>
    </row>
    <row r="1450" spans="3:7" x14ac:dyDescent="0.2">
      <c r="C1450" s="5" t="s">
        <v>3576</v>
      </c>
      <c r="D1450" s="6">
        <v>1</v>
      </c>
      <c r="E1450" s="7">
        <v>0</v>
      </c>
      <c r="F1450" s="7">
        <v>0</v>
      </c>
      <c r="G1450" s="17">
        <v>50000</v>
      </c>
    </row>
    <row r="1451" spans="3:7" x14ac:dyDescent="0.2">
      <c r="C1451" s="5" t="s">
        <v>3577</v>
      </c>
      <c r="D1451" s="6">
        <v>1</v>
      </c>
      <c r="E1451" s="17">
        <v>450000</v>
      </c>
      <c r="F1451" s="7">
        <v>0</v>
      </c>
      <c r="G1451" s="7"/>
    </row>
    <row r="1452" spans="3:7" x14ac:dyDescent="0.2">
      <c r="C1452" s="5" t="s">
        <v>3578</v>
      </c>
      <c r="D1452" s="6">
        <v>1</v>
      </c>
      <c r="E1452" s="7">
        <v>0</v>
      </c>
      <c r="F1452" s="7">
        <v>0</v>
      </c>
      <c r="G1452" s="17">
        <v>673000</v>
      </c>
    </row>
    <row r="1453" spans="3:7" x14ac:dyDescent="0.2">
      <c r="C1453" s="5" t="s">
        <v>3579</v>
      </c>
      <c r="D1453" s="6">
        <v>1</v>
      </c>
      <c r="E1453" s="7">
        <v>0</v>
      </c>
      <c r="F1453" s="7">
        <v>0</v>
      </c>
      <c r="G1453" s="17">
        <v>321000</v>
      </c>
    </row>
    <row r="1454" spans="3:7" x14ac:dyDescent="0.2">
      <c r="C1454" s="5" t="s">
        <v>3580</v>
      </c>
      <c r="D1454" s="6">
        <v>1</v>
      </c>
      <c r="E1454" s="7">
        <v>0</v>
      </c>
      <c r="F1454" s="7">
        <v>0</v>
      </c>
      <c r="G1454" s="21">
        <v>673000</v>
      </c>
    </row>
    <row r="1455" spans="3:7" x14ac:dyDescent="0.2">
      <c r="C1455" s="5" t="s">
        <v>3581</v>
      </c>
      <c r="D1455" s="6">
        <v>1</v>
      </c>
      <c r="E1455" s="7">
        <v>0</v>
      </c>
      <c r="F1455" s="7">
        <v>0</v>
      </c>
      <c r="G1455" s="21">
        <v>321000</v>
      </c>
    </row>
    <row r="1456" spans="3:7" x14ac:dyDescent="0.2">
      <c r="C1456" s="5" t="s">
        <v>3582</v>
      </c>
      <c r="D1456" s="6">
        <v>0</v>
      </c>
      <c r="E1456" s="7">
        <v>0</v>
      </c>
      <c r="F1456" s="7">
        <v>0</v>
      </c>
      <c r="G1456" s="21">
        <v>80000</v>
      </c>
    </row>
    <row r="1457" spans="3:8" x14ac:dyDescent="0.2">
      <c r="C1457" s="5" t="s">
        <v>3583</v>
      </c>
      <c r="D1457" s="6">
        <v>1</v>
      </c>
      <c r="E1457" s="7">
        <v>0</v>
      </c>
      <c r="F1457" s="7">
        <v>0</v>
      </c>
      <c r="G1457" s="21">
        <v>150000</v>
      </c>
    </row>
    <row r="1458" spans="3:8" x14ac:dyDescent="0.2">
      <c r="C1458" s="5" t="s">
        <v>3574</v>
      </c>
      <c r="D1458" s="6">
        <v>1</v>
      </c>
      <c r="E1458" s="17">
        <v>80000</v>
      </c>
      <c r="F1458" s="7">
        <v>0</v>
      </c>
      <c r="G1458" s="7"/>
    </row>
    <row r="1459" spans="3:8" x14ac:dyDescent="0.2">
      <c r="C1459" s="5" t="s">
        <v>3584</v>
      </c>
      <c r="D1459" s="6">
        <v>1</v>
      </c>
      <c r="E1459" s="7">
        <v>0</v>
      </c>
      <c r="F1459" s="1">
        <v>0</v>
      </c>
      <c r="G1459" s="17">
        <v>380000</v>
      </c>
    </row>
    <row r="1460" spans="3:8" x14ac:dyDescent="0.2">
      <c r="C1460" s="5" t="s">
        <v>3585</v>
      </c>
      <c r="D1460" s="6">
        <v>1</v>
      </c>
      <c r="E1460" s="7">
        <v>0</v>
      </c>
      <c r="F1460" s="7">
        <v>40000</v>
      </c>
      <c r="G1460" s="7"/>
    </row>
    <row r="1461" spans="3:8" x14ac:dyDescent="0.2">
      <c r="C1461" s="5" t="s">
        <v>3586</v>
      </c>
      <c r="D1461" s="6">
        <v>1</v>
      </c>
      <c r="E1461" s="7">
        <v>0</v>
      </c>
      <c r="F1461" s="7">
        <v>0</v>
      </c>
      <c r="G1461" s="7"/>
      <c r="H1461" s="17">
        <v>1000000</v>
      </c>
    </row>
    <row r="1462" spans="3:8" x14ac:dyDescent="0.2">
      <c r="C1462" s="5" t="s">
        <v>3587</v>
      </c>
      <c r="D1462" s="6">
        <v>1</v>
      </c>
      <c r="E1462" s="7">
        <v>0</v>
      </c>
      <c r="F1462" s="7">
        <v>0</v>
      </c>
      <c r="G1462" s="7"/>
      <c r="H1462" s="17">
        <v>1000000</v>
      </c>
    </row>
    <row r="1463" spans="3:8" x14ac:dyDescent="0.2">
      <c r="C1463" s="5" t="s">
        <v>3588</v>
      </c>
      <c r="D1463" s="6">
        <v>1</v>
      </c>
      <c r="E1463" s="7">
        <v>0</v>
      </c>
      <c r="F1463" s="7">
        <v>0</v>
      </c>
      <c r="G1463" s="21">
        <v>240000</v>
      </c>
    </row>
    <row r="1464" spans="3:8" x14ac:dyDescent="0.2">
      <c r="C1464" s="5" t="s">
        <v>3589</v>
      </c>
      <c r="D1464" s="6">
        <v>1</v>
      </c>
      <c r="E1464" s="7">
        <v>0</v>
      </c>
      <c r="F1464" s="7">
        <v>0</v>
      </c>
      <c r="G1464" s="21">
        <v>450000</v>
      </c>
    </row>
    <row r="1465" spans="3:8" x14ac:dyDescent="0.2">
      <c r="C1465" s="5" t="s">
        <v>3590</v>
      </c>
      <c r="D1465" s="6">
        <v>1</v>
      </c>
      <c r="E1465" s="7">
        <v>0</v>
      </c>
      <c r="F1465" s="7">
        <v>0</v>
      </c>
      <c r="G1465" s="17">
        <v>1250000</v>
      </c>
    </row>
    <row r="1466" spans="3:8" x14ac:dyDescent="0.2">
      <c r="C1466" s="5" t="s">
        <v>3591</v>
      </c>
      <c r="D1466" s="6">
        <v>1</v>
      </c>
      <c r="E1466" s="7">
        <v>0</v>
      </c>
      <c r="F1466" s="7">
        <v>0</v>
      </c>
      <c r="G1466" s="21">
        <v>120000</v>
      </c>
    </row>
    <row r="1467" spans="3:8" x14ac:dyDescent="0.2">
      <c r="C1467" s="5"/>
      <c r="D1467" s="6"/>
      <c r="E1467" s="7"/>
      <c r="F1467" s="7"/>
      <c r="G1467" s="7"/>
    </row>
    <row r="1468" spans="3:8" x14ac:dyDescent="0.2">
      <c r="C1468" s="5"/>
      <c r="D1468" s="6"/>
      <c r="E1468" s="7"/>
      <c r="F1468" s="7"/>
      <c r="G1468" s="7"/>
    </row>
    <row r="1469" spans="3:8" x14ac:dyDescent="0.2">
      <c r="C1469" s="25" t="s">
        <v>3317</v>
      </c>
      <c r="D1469" s="68">
        <v>1</v>
      </c>
      <c r="E1469" s="13">
        <v>0</v>
      </c>
      <c r="F1469" s="13">
        <v>0</v>
      </c>
      <c r="G1469" s="29">
        <v>0</v>
      </c>
    </row>
    <row r="1470" spans="3:8" x14ac:dyDescent="0.2">
      <c r="C1470" s="29"/>
      <c r="D1470" s="68"/>
      <c r="E1470" s="13"/>
      <c r="F1470" s="13"/>
      <c r="G1470" s="29"/>
    </row>
    <row r="1471" spans="3:8" x14ac:dyDescent="0.2">
      <c r="E1471" s="9">
        <f>SUM(E1437:E1470)</f>
        <v>5327600</v>
      </c>
      <c r="F1471" s="9">
        <f>SUM(F1437:F1470)</f>
        <v>40000</v>
      </c>
      <c r="G1471" s="9">
        <f>SUM(G1437:G1470)</f>
        <v>4958000</v>
      </c>
    </row>
    <row r="1472" spans="3:8" x14ac:dyDescent="0.2">
      <c r="C1472" s="1"/>
      <c r="E1472" s="3">
        <f>5300000-E1471</f>
        <v>-27600</v>
      </c>
    </row>
    <row r="1473" spans="3:7" x14ac:dyDescent="0.2">
      <c r="C1473" s="1"/>
      <c r="E1473" s="3">
        <f>E1472+E1432</f>
        <v>30800</v>
      </c>
      <c r="G1473" s="3"/>
    </row>
    <row r="1476" spans="3:7" ht="26" x14ac:dyDescent="0.3">
      <c r="C1476" s="391" t="s">
        <v>3592</v>
      </c>
      <c r="D1476" s="391"/>
      <c r="E1476" s="391"/>
      <c r="F1476" s="391"/>
      <c r="G1476" s="391"/>
    </row>
    <row r="1477" spans="3:7" x14ac:dyDescent="0.2">
      <c r="C1477" s="29" t="s">
        <v>82</v>
      </c>
      <c r="D1477" s="11" t="s">
        <v>3097</v>
      </c>
      <c r="E1477" s="12" t="s">
        <v>1</v>
      </c>
      <c r="F1477" s="12" t="s">
        <v>3140</v>
      </c>
      <c r="G1477" s="12" t="s">
        <v>3249</v>
      </c>
    </row>
    <row r="1478" spans="3:7" x14ac:dyDescent="0.2">
      <c r="C1478" s="5" t="s">
        <v>3525</v>
      </c>
      <c r="D1478" s="6">
        <v>1</v>
      </c>
      <c r="E1478" s="46">
        <v>2000000</v>
      </c>
      <c r="F1478" s="7">
        <v>0</v>
      </c>
      <c r="G1478" s="7"/>
    </row>
    <row r="1479" spans="3:7" x14ac:dyDescent="0.2">
      <c r="C1479" s="5" t="s">
        <v>3228</v>
      </c>
      <c r="D1479" s="6">
        <v>1</v>
      </c>
      <c r="E1479" s="46">
        <v>500000</v>
      </c>
      <c r="F1479" s="7">
        <v>0</v>
      </c>
      <c r="G1479" s="8"/>
    </row>
    <row r="1480" spans="3:7" x14ac:dyDescent="0.2">
      <c r="C1480" s="5" t="s">
        <v>3526</v>
      </c>
      <c r="D1480" s="6">
        <v>1</v>
      </c>
      <c r="E1480" s="46">
        <v>250000</v>
      </c>
      <c r="F1480" s="7">
        <v>0</v>
      </c>
      <c r="G1480" s="8"/>
    </row>
    <row r="1481" spans="3:7" x14ac:dyDescent="0.2">
      <c r="C1481" s="5" t="s">
        <v>3297</v>
      </c>
      <c r="D1481" s="6">
        <v>1</v>
      </c>
      <c r="E1481" s="46">
        <v>45000</v>
      </c>
      <c r="F1481" s="7">
        <v>0</v>
      </c>
      <c r="G1481" s="8"/>
    </row>
    <row r="1482" spans="3:7" x14ac:dyDescent="0.2">
      <c r="C1482" s="5" t="s">
        <v>3472</v>
      </c>
      <c r="D1482" s="6">
        <v>1</v>
      </c>
      <c r="E1482" s="7">
        <v>0</v>
      </c>
      <c r="F1482" s="7">
        <v>0</v>
      </c>
      <c r="G1482" s="8"/>
    </row>
    <row r="1483" spans="3:7" x14ac:dyDescent="0.2">
      <c r="C1483" s="5" t="s">
        <v>3473</v>
      </c>
      <c r="D1483" s="6">
        <v>1</v>
      </c>
      <c r="E1483" s="21">
        <v>317600</v>
      </c>
      <c r="F1483" s="7">
        <v>0</v>
      </c>
      <c r="G1483" s="7"/>
    </row>
    <row r="1484" spans="3:7" x14ac:dyDescent="0.2">
      <c r="C1484" s="5" t="s">
        <v>3474</v>
      </c>
      <c r="D1484" s="6">
        <v>1</v>
      </c>
      <c r="E1484" s="21">
        <v>79500</v>
      </c>
      <c r="F1484" s="7">
        <v>0</v>
      </c>
      <c r="G1484" s="8"/>
    </row>
    <row r="1485" spans="3:7" x14ac:dyDescent="0.2">
      <c r="C1485" s="54" t="s">
        <v>3475</v>
      </c>
      <c r="D1485" s="6">
        <v>1</v>
      </c>
      <c r="E1485" s="7">
        <v>0</v>
      </c>
      <c r="F1485" s="7">
        <v>0</v>
      </c>
      <c r="G1485" s="7"/>
    </row>
    <row r="1486" spans="3:7" x14ac:dyDescent="0.2">
      <c r="C1486" s="5" t="s">
        <v>3562</v>
      </c>
      <c r="D1486" s="6">
        <v>1</v>
      </c>
      <c r="E1486" s="21">
        <v>245000</v>
      </c>
      <c r="F1486" s="7">
        <v>0</v>
      </c>
      <c r="G1486" s="7"/>
    </row>
    <row r="1487" spans="3:7" x14ac:dyDescent="0.2">
      <c r="C1487" s="5" t="s">
        <v>3572</v>
      </c>
      <c r="D1487" s="6">
        <v>1</v>
      </c>
      <c r="E1487" s="21">
        <v>245000</v>
      </c>
      <c r="F1487" s="7">
        <v>0</v>
      </c>
      <c r="G1487" s="7"/>
    </row>
    <row r="1488" spans="3:7" x14ac:dyDescent="0.2">
      <c r="C1488" s="5" t="s">
        <v>3573</v>
      </c>
      <c r="D1488" s="6">
        <v>1</v>
      </c>
      <c r="E1488" s="7">
        <v>0</v>
      </c>
      <c r="F1488" s="7">
        <v>0</v>
      </c>
      <c r="G1488" s="7"/>
    </row>
    <row r="1489" spans="3:7" x14ac:dyDescent="0.2">
      <c r="C1489" s="5" t="s">
        <v>3574</v>
      </c>
      <c r="D1489" s="6">
        <v>1</v>
      </c>
      <c r="E1489" s="21">
        <v>245000</v>
      </c>
      <c r="F1489" s="7">
        <v>0</v>
      </c>
    </row>
    <row r="1490" spans="3:7" x14ac:dyDescent="0.2">
      <c r="C1490" s="5" t="s">
        <v>3593</v>
      </c>
      <c r="D1490" s="6">
        <v>1</v>
      </c>
      <c r="E1490" s="21">
        <v>150000</v>
      </c>
      <c r="F1490" s="7">
        <v>0</v>
      </c>
      <c r="G1490" s="7"/>
    </row>
    <row r="1491" spans="3:7" x14ac:dyDescent="0.2">
      <c r="C1491" s="5" t="s">
        <v>3594</v>
      </c>
      <c r="D1491" s="6">
        <v>1</v>
      </c>
      <c r="E1491" s="21">
        <v>150000</v>
      </c>
      <c r="F1491" s="7">
        <v>0</v>
      </c>
      <c r="G1491" s="7"/>
    </row>
    <row r="1492" spans="3:7" x14ac:dyDescent="0.2">
      <c r="C1492" s="5" t="s">
        <v>3595</v>
      </c>
      <c r="D1492" s="6">
        <v>1</v>
      </c>
      <c r="E1492" s="21">
        <v>240000</v>
      </c>
      <c r="F1492" s="7">
        <v>0</v>
      </c>
      <c r="G1492" s="7"/>
    </row>
    <row r="1493" spans="3:7" x14ac:dyDescent="0.2">
      <c r="C1493" s="5" t="s">
        <v>3596</v>
      </c>
      <c r="D1493" s="6">
        <v>1</v>
      </c>
      <c r="E1493" s="21">
        <v>673000</v>
      </c>
      <c r="F1493" s="7">
        <v>0</v>
      </c>
      <c r="G1493" s="7"/>
    </row>
    <row r="1494" spans="3:7" x14ac:dyDescent="0.2">
      <c r="C1494" s="5" t="s">
        <v>3585</v>
      </c>
      <c r="D1494" s="6">
        <v>1</v>
      </c>
      <c r="E1494" s="21">
        <v>40000</v>
      </c>
      <c r="F1494" s="7">
        <v>0</v>
      </c>
      <c r="G1494" s="7"/>
    </row>
    <row r="1495" spans="3:7" x14ac:dyDescent="0.2">
      <c r="C1495" s="5"/>
      <c r="D1495" s="6"/>
      <c r="E1495" s="7"/>
      <c r="F1495" s="7"/>
      <c r="G1495" s="7"/>
    </row>
    <row r="1496" spans="3:7" x14ac:dyDescent="0.2">
      <c r="C1496" s="5"/>
      <c r="D1496" s="6"/>
      <c r="E1496" s="7"/>
      <c r="F1496" s="7"/>
      <c r="G1496" s="7"/>
    </row>
    <row r="1497" spans="3:7" x14ac:dyDescent="0.2">
      <c r="C1497" s="5"/>
      <c r="D1497" s="6"/>
      <c r="E1497" s="7"/>
      <c r="F1497" s="7"/>
      <c r="G1497" s="7"/>
    </row>
    <row r="1498" spans="3:7" x14ac:dyDescent="0.2">
      <c r="C1498" s="5"/>
      <c r="D1498" s="6"/>
      <c r="E1498" s="7"/>
      <c r="F1498" s="7"/>
      <c r="G1498" s="7"/>
    </row>
    <row r="1499" spans="3:7" x14ac:dyDescent="0.2">
      <c r="C1499" s="5"/>
      <c r="D1499" s="6"/>
      <c r="E1499" s="7"/>
      <c r="F1499" s="7"/>
      <c r="G1499" s="7"/>
    </row>
    <row r="1500" spans="3:7" x14ac:dyDescent="0.2">
      <c r="C1500" s="5"/>
      <c r="D1500" s="6"/>
      <c r="E1500" s="7"/>
      <c r="F1500" s="7"/>
      <c r="G1500" s="7"/>
    </row>
    <row r="1501" spans="3:7" x14ac:dyDescent="0.2">
      <c r="C1501" s="25" t="s">
        <v>3317</v>
      </c>
      <c r="D1501" s="68">
        <v>1</v>
      </c>
      <c r="E1501" s="13">
        <v>0</v>
      </c>
      <c r="F1501" s="13">
        <v>0</v>
      </c>
      <c r="G1501" s="29">
        <v>0</v>
      </c>
    </row>
    <row r="1502" spans="3:7" x14ac:dyDescent="0.2">
      <c r="C1502" s="29"/>
      <c r="D1502" s="68"/>
      <c r="E1502" s="13"/>
      <c r="F1502" s="13"/>
      <c r="G1502" s="29"/>
    </row>
    <row r="1503" spans="3:7" x14ac:dyDescent="0.2">
      <c r="E1503" s="9">
        <f>SUM(E1478:E1502)</f>
        <v>5180100</v>
      </c>
      <c r="F1503" s="9">
        <f>SUM(F1478:F1502)</f>
        <v>0</v>
      </c>
      <c r="G1503" s="9">
        <f>SUM(G1478:G1502)</f>
        <v>0</v>
      </c>
    </row>
    <row r="1504" spans="3:7" x14ac:dyDescent="0.2">
      <c r="C1504" s="1"/>
      <c r="E1504" s="3">
        <f>5300000-E1503</f>
        <v>119900</v>
      </c>
    </row>
    <row r="1505" spans="3:9" x14ac:dyDescent="0.2">
      <c r="C1505" s="1"/>
      <c r="E1505" s="3">
        <f>E1504+E1473</f>
        <v>150700</v>
      </c>
      <c r="G1505" s="3"/>
    </row>
    <row r="1508" spans="3:9" ht="26" x14ac:dyDescent="0.3">
      <c r="C1508" s="391" t="s">
        <v>3597</v>
      </c>
      <c r="D1508" s="391"/>
      <c r="E1508" s="391"/>
      <c r="F1508" s="391"/>
      <c r="G1508" s="391"/>
    </row>
    <row r="1509" spans="3:9" x14ac:dyDescent="0.2">
      <c r="C1509" s="29" t="s">
        <v>82</v>
      </c>
      <c r="D1509" s="11" t="s">
        <v>3097</v>
      </c>
      <c r="E1509" s="12" t="s">
        <v>1</v>
      </c>
      <c r="F1509" s="12" t="s">
        <v>3140</v>
      </c>
      <c r="G1509" s="12" t="s">
        <v>3249</v>
      </c>
    </row>
    <row r="1510" spans="3:9" x14ac:dyDescent="0.2">
      <c r="C1510" s="5" t="s">
        <v>3525</v>
      </c>
      <c r="D1510" s="6">
        <v>1</v>
      </c>
      <c r="E1510" s="46">
        <v>2000000</v>
      </c>
      <c r="F1510" s="7">
        <v>0</v>
      </c>
      <c r="G1510" s="7"/>
    </row>
    <row r="1511" spans="3:9" x14ac:dyDescent="0.2">
      <c r="C1511" s="5" t="s">
        <v>3228</v>
      </c>
      <c r="D1511" s="6">
        <v>1</v>
      </c>
      <c r="E1511" s="46">
        <v>600000</v>
      </c>
      <c r="F1511" s="7">
        <v>0</v>
      </c>
      <c r="G1511" s="8"/>
      <c r="I1511" s="24"/>
    </row>
    <row r="1512" spans="3:9" x14ac:dyDescent="0.2">
      <c r="C1512" s="5" t="s">
        <v>3526</v>
      </c>
      <c r="D1512" s="6">
        <v>1</v>
      </c>
      <c r="E1512" s="46">
        <v>250000</v>
      </c>
      <c r="F1512" s="7">
        <v>0</v>
      </c>
      <c r="G1512" s="8"/>
    </row>
    <row r="1513" spans="3:9" x14ac:dyDescent="0.2">
      <c r="C1513" s="5" t="s">
        <v>3297</v>
      </c>
      <c r="D1513" s="6">
        <v>1</v>
      </c>
      <c r="E1513" s="46">
        <v>45000</v>
      </c>
      <c r="F1513" s="7">
        <v>0</v>
      </c>
      <c r="G1513" s="8"/>
    </row>
    <row r="1514" spans="3:9" x14ac:dyDescent="0.2">
      <c r="C1514" s="5" t="s">
        <v>3473</v>
      </c>
      <c r="D1514" s="6">
        <v>1</v>
      </c>
      <c r="E1514" s="21">
        <v>317600</v>
      </c>
      <c r="F1514" s="7">
        <v>0</v>
      </c>
      <c r="G1514" s="7"/>
    </row>
    <row r="1515" spans="3:9" x14ac:dyDescent="0.2">
      <c r="C1515" s="5" t="s">
        <v>3474</v>
      </c>
      <c r="D1515" s="6">
        <v>1</v>
      </c>
      <c r="E1515" s="21">
        <v>79500</v>
      </c>
      <c r="F1515" s="7">
        <v>0</v>
      </c>
      <c r="G1515" s="8"/>
    </row>
    <row r="1516" spans="3:9" x14ac:dyDescent="0.2">
      <c r="C1516" s="5" t="s">
        <v>3598</v>
      </c>
      <c r="D1516" s="6">
        <v>1</v>
      </c>
      <c r="E1516" s="21">
        <v>245000</v>
      </c>
      <c r="F1516" s="7">
        <v>0</v>
      </c>
      <c r="G1516" s="7"/>
    </row>
    <row r="1517" spans="3:9" x14ac:dyDescent="0.2">
      <c r="C1517" s="5" t="s">
        <v>3572</v>
      </c>
      <c r="D1517" s="6">
        <v>1</v>
      </c>
      <c r="E1517" s="7">
        <v>0</v>
      </c>
      <c r="F1517" s="7">
        <v>0</v>
      </c>
      <c r="G1517" s="7"/>
    </row>
    <row r="1518" spans="3:9" x14ac:dyDescent="0.2">
      <c r="C1518" s="5" t="s">
        <v>3574</v>
      </c>
      <c r="D1518" s="6">
        <v>1</v>
      </c>
      <c r="E1518" s="21">
        <v>86000</v>
      </c>
      <c r="F1518" s="7">
        <v>0</v>
      </c>
      <c r="G1518" s="7"/>
    </row>
    <row r="1519" spans="3:9" x14ac:dyDescent="0.2">
      <c r="C1519" s="5" t="s">
        <v>3599</v>
      </c>
      <c r="D1519" s="6">
        <v>1</v>
      </c>
      <c r="E1519" s="21">
        <v>100000</v>
      </c>
      <c r="F1519" s="7">
        <v>0</v>
      </c>
      <c r="G1519" s="7"/>
    </row>
    <row r="1520" spans="3:9" x14ac:dyDescent="0.2">
      <c r="C1520" s="5" t="s">
        <v>3600</v>
      </c>
      <c r="D1520" s="6">
        <v>1</v>
      </c>
      <c r="E1520" s="21">
        <v>201000</v>
      </c>
      <c r="F1520" s="7">
        <v>0</v>
      </c>
      <c r="G1520" s="7"/>
    </row>
    <row r="1521" spans="3:7" x14ac:dyDescent="0.2">
      <c r="C1521" s="5" t="s">
        <v>3601</v>
      </c>
      <c r="D1521" s="6">
        <v>1</v>
      </c>
      <c r="E1521" s="21">
        <v>50000</v>
      </c>
      <c r="F1521" s="7">
        <v>0</v>
      </c>
      <c r="G1521" s="7"/>
    </row>
    <row r="1522" spans="3:7" x14ac:dyDescent="0.2">
      <c r="C1522" s="5" t="s">
        <v>3602</v>
      </c>
      <c r="D1522" s="6">
        <v>1</v>
      </c>
      <c r="E1522" s="21">
        <v>45000</v>
      </c>
      <c r="F1522" s="7">
        <v>0</v>
      </c>
      <c r="G1522" s="7"/>
    </row>
    <row r="1523" spans="3:7" x14ac:dyDescent="0.2">
      <c r="C1523" s="5" t="s">
        <v>3603</v>
      </c>
      <c r="D1523" s="6">
        <v>1</v>
      </c>
      <c r="E1523" s="21">
        <v>400000</v>
      </c>
      <c r="F1523" s="7">
        <v>0</v>
      </c>
      <c r="G1523" s="7"/>
    </row>
    <row r="1524" spans="3:7" x14ac:dyDescent="0.2">
      <c r="C1524" s="5" t="s">
        <v>3604</v>
      </c>
      <c r="D1524" s="6">
        <v>1</v>
      </c>
      <c r="E1524" s="7">
        <v>0</v>
      </c>
      <c r="F1524" s="7">
        <v>0</v>
      </c>
      <c r="G1524" s="21">
        <v>673000</v>
      </c>
    </row>
    <row r="1525" spans="3:7" x14ac:dyDescent="0.2">
      <c r="C1525" s="5" t="s">
        <v>3605</v>
      </c>
      <c r="D1525" s="6">
        <v>1</v>
      </c>
      <c r="E1525" s="21">
        <v>380000</v>
      </c>
      <c r="F1525" s="7">
        <v>0</v>
      </c>
      <c r="G1525" s="7"/>
    </row>
    <row r="1526" spans="3:7" x14ac:dyDescent="0.2">
      <c r="C1526" s="5" t="s">
        <v>3606</v>
      </c>
      <c r="D1526" s="6"/>
      <c r="E1526" s="21">
        <v>290000</v>
      </c>
      <c r="F1526" s="7"/>
      <c r="G1526" s="7"/>
    </row>
    <row r="1527" spans="3:7" x14ac:dyDescent="0.2">
      <c r="C1527" s="5"/>
      <c r="D1527" s="6"/>
      <c r="E1527" s="7"/>
      <c r="F1527" s="7"/>
      <c r="G1527" s="7"/>
    </row>
    <row r="1528" spans="3:7" x14ac:dyDescent="0.2">
      <c r="C1528" s="25" t="s">
        <v>3317</v>
      </c>
      <c r="D1528" s="68">
        <v>1</v>
      </c>
      <c r="E1528" s="13">
        <v>0</v>
      </c>
      <c r="F1528" s="13">
        <v>0</v>
      </c>
      <c r="G1528" s="29">
        <v>0</v>
      </c>
    </row>
    <row r="1529" spans="3:7" x14ac:dyDescent="0.2">
      <c r="C1529" s="29"/>
      <c r="D1529" s="68"/>
      <c r="E1529" s="13"/>
      <c r="F1529" s="13"/>
      <c r="G1529" s="29"/>
    </row>
    <row r="1530" spans="3:7" x14ac:dyDescent="0.2">
      <c r="E1530" s="9">
        <f>SUM(E1510:E1529)</f>
        <v>5089100</v>
      </c>
      <c r="F1530" s="9">
        <f>SUM(F1510:F1529)</f>
        <v>0</v>
      </c>
      <c r="G1530" s="9">
        <f>SUM(G1510:G1529)</f>
        <v>673000</v>
      </c>
    </row>
    <row r="1531" spans="3:7" x14ac:dyDescent="0.2">
      <c r="C1531" s="1"/>
      <c r="E1531" s="3">
        <f>5090000-E1530</f>
        <v>900</v>
      </c>
    </row>
    <row r="1532" spans="3:7" x14ac:dyDescent="0.2">
      <c r="C1532" s="1"/>
      <c r="E1532" s="3"/>
      <c r="G1532" s="3"/>
    </row>
    <row r="1535" spans="3:7" ht="26" x14ac:dyDescent="0.3">
      <c r="C1535" s="391" t="s">
        <v>3607</v>
      </c>
      <c r="D1535" s="391"/>
      <c r="E1535" s="391"/>
      <c r="F1535" s="391"/>
      <c r="G1535" s="391"/>
    </row>
    <row r="1536" spans="3:7" x14ac:dyDescent="0.2">
      <c r="C1536" s="29" t="s">
        <v>82</v>
      </c>
      <c r="D1536" s="11" t="s">
        <v>3097</v>
      </c>
      <c r="E1536" s="12" t="s">
        <v>1</v>
      </c>
      <c r="F1536" s="12" t="s">
        <v>3140</v>
      </c>
      <c r="G1536" s="12" t="s">
        <v>3249</v>
      </c>
    </row>
    <row r="1537" spans="3:7" x14ac:dyDescent="0.2">
      <c r="C1537" s="5" t="s">
        <v>3525</v>
      </c>
      <c r="D1537" s="6">
        <v>1</v>
      </c>
      <c r="E1537" s="46">
        <v>2000000</v>
      </c>
      <c r="F1537" s="7">
        <v>0</v>
      </c>
      <c r="G1537" s="7"/>
    </row>
    <row r="1538" spans="3:7" x14ac:dyDescent="0.2">
      <c r="C1538" s="5" t="s">
        <v>3228</v>
      </c>
      <c r="D1538" s="6">
        <v>1</v>
      </c>
      <c r="E1538" s="46">
        <v>600000</v>
      </c>
      <c r="F1538" s="7">
        <v>0</v>
      </c>
      <c r="G1538" s="8"/>
    </row>
    <row r="1539" spans="3:7" x14ac:dyDescent="0.2">
      <c r="C1539" s="5" t="s">
        <v>3526</v>
      </c>
      <c r="D1539" s="6">
        <v>1</v>
      </c>
      <c r="E1539" s="46">
        <v>250000</v>
      </c>
      <c r="F1539" s="7">
        <v>0</v>
      </c>
      <c r="G1539" s="8"/>
    </row>
    <row r="1540" spans="3:7" x14ac:dyDescent="0.2">
      <c r="C1540" s="5" t="s">
        <v>3297</v>
      </c>
      <c r="D1540" s="6">
        <v>1</v>
      </c>
      <c r="E1540" s="46">
        <v>45000</v>
      </c>
      <c r="F1540" s="7">
        <v>0</v>
      </c>
      <c r="G1540" s="8"/>
    </row>
    <row r="1541" spans="3:7" x14ac:dyDescent="0.2">
      <c r="C1541" s="5" t="s">
        <v>3473</v>
      </c>
      <c r="D1541" s="6">
        <v>1</v>
      </c>
      <c r="E1541" s="21">
        <v>317600</v>
      </c>
      <c r="F1541" s="7">
        <v>0</v>
      </c>
      <c r="G1541" s="7"/>
    </row>
    <row r="1542" spans="3:7" x14ac:dyDescent="0.2">
      <c r="C1542" s="5" t="s">
        <v>3474</v>
      </c>
      <c r="D1542" s="6">
        <v>1</v>
      </c>
      <c r="E1542" s="21">
        <v>79500</v>
      </c>
      <c r="F1542" s="7">
        <v>0</v>
      </c>
      <c r="G1542" s="8"/>
    </row>
    <row r="1543" spans="3:7" x14ac:dyDescent="0.2">
      <c r="C1543" s="5" t="s">
        <v>3598</v>
      </c>
      <c r="D1543" s="6">
        <v>1</v>
      </c>
      <c r="E1543" s="21">
        <v>245000</v>
      </c>
      <c r="F1543" s="7">
        <v>0</v>
      </c>
      <c r="G1543" s="7"/>
    </row>
    <row r="1544" spans="3:7" x14ac:dyDescent="0.2">
      <c r="C1544" s="5" t="s">
        <v>3572</v>
      </c>
      <c r="D1544" s="6">
        <v>1</v>
      </c>
      <c r="E1544" s="7">
        <v>0</v>
      </c>
      <c r="F1544" s="7">
        <v>0</v>
      </c>
      <c r="G1544" s="7"/>
    </row>
    <row r="1545" spans="3:7" x14ac:dyDescent="0.2">
      <c r="C1545" s="5" t="s">
        <v>3574</v>
      </c>
      <c r="D1545" s="6">
        <v>1</v>
      </c>
      <c r="E1545" s="21">
        <v>86000</v>
      </c>
      <c r="F1545" s="7">
        <v>0</v>
      </c>
      <c r="G1545" s="7"/>
    </row>
    <row r="1546" spans="3:7" x14ac:dyDescent="0.2">
      <c r="C1546" s="5" t="s">
        <v>3608</v>
      </c>
      <c r="D1546" s="6">
        <v>1</v>
      </c>
      <c r="E1546" s="7">
        <v>0</v>
      </c>
      <c r="F1546" s="8">
        <v>0</v>
      </c>
      <c r="G1546" s="21">
        <v>1275000</v>
      </c>
    </row>
    <row r="1547" spans="3:7" x14ac:dyDescent="0.2">
      <c r="C1547" s="5" t="s">
        <v>3609</v>
      </c>
      <c r="D1547" s="6">
        <v>1</v>
      </c>
      <c r="E1547" s="7">
        <v>0</v>
      </c>
      <c r="F1547" s="8">
        <v>0</v>
      </c>
      <c r="G1547" s="21">
        <v>930000</v>
      </c>
    </row>
    <row r="1548" spans="3:7" x14ac:dyDescent="0.2">
      <c r="C1548" s="5" t="s">
        <v>3610</v>
      </c>
      <c r="D1548" s="6">
        <v>1</v>
      </c>
      <c r="E1548" s="21">
        <v>930000</v>
      </c>
      <c r="F1548" s="7">
        <v>0</v>
      </c>
      <c r="G1548" s="7"/>
    </row>
    <row r="1549" spans="3:7" x14ac:dyDescent="0.2">
      <c r="C1549" s="5" t="s">
        <v>3611</v>
      </c>
      <c r="D1549" s="6">
        <v>1</v>
      </c>
      <c r="E1549" s="21">
        <v>400000</v>
      </c>
      <c r="F1549" s="7">
        <v>0</v>
      </c>
      <c r="G1549" s="7"/>
    </row>
    <row r="1550" spans="3:7" x14ac:dyDescent="0.2">
      <c r="C1550" s="5" t="s">
        <v>3612</v>
      </c>
      <c r="D1550" s="6">
        <v>1</v>
      </c>
      <c r="E1550" s="21">
        <v>1000000</v>
      </c>
      <c r="F1550" s="7"/>
      <c r="G1550" s="7"/>
    </row>
    <row r="1551" spans="3:7" x14ac:dyDescent="0.2">
      <c r="C1551" s="5" t="s">
        <v>3613</v>
      </c>
      <c r="D1551" s="6">
        <v>1</v>
      </c>
      <c r="E1551" s="21">
        <v>50000</v>
      </c>
      <c r="F1551" s="7"/>
      <c r="G1551" s="7"/>
    </row>
    <row r="1552" spans="3:7" x14ac:dyDescent="0.2">
      <c r="C1552" s="5"/>
      <c r="D1552" s="6"/>
      <c r="E1552" s="7"/>
      <c r="F1552" s="7"/>
      <c r="G1552" s="7"/>
    </row>
    <row r="1553" spans="3:7" x14ac:dyDescent="0.2">
      <c r="C1553" s="5"/>
      <c r="D1553" s="6"/>
      <c r="E1553" s="7"/>
      <c r="F1553" s="7"/>
      <c r="G1553" s="7"/>
    </row>
    <row r="1554" spans="3:7" x14ac:dyDescent="0.2">
      <c r="C1554" s="5"/>
      <c r="D1554" s="6"/>
      <c r="E1554" s="7"/>
      <c r="F1554" s="7"/>
      <c r="G1554" s="7"/>
    </row>
    <row r="1555" spans="3:7" x14ac:dyDescent="0.2">
      <c r="C1555" s="5"/>
      <c r="D1555" s="6"/>
      <c r="E1555" s="7"/>
      <c r="F1555" s="7"/>
      <c r="G1555" s="7"/>
    </row>
    <row r="1556" spans="3:7" x14ac:dyDescent="0.2">
      <c r="C1556" s="5"/>
      <c r="D1556" s="6"/>
      <c r="E1556" s="7"/>
      <c r="F1556" s="7"/>
      <c r="G1556" s="7"/>
    </row>
    <row r="1557" spans="3:7" x14ac:dyDescent="0.2">
      <c r="C1557" s="5"/>
      <c r="D1557" s="6"/>
      <c r="E1557" s="7"/>
      <c r="F1557" s="7"/>
      <c r="G1557" s="7"/>
    </row>
    <row r="1558" spans="3:7" x14ac:dyDescent="0.2">
      <c r="C1558" s="5"/>
      <c r="D1558" s="6"/>
      <c r="E1558" s="7"/>
      <c r="F1558" s="7"/>
      <c r="G1558" s="7"/>
    </row>
    <row r="1559" spans="3:7" x14ac:dyDescent="0.2">
      <c r="C1559" s="25" t="s">
        <v>3317</v>
      </c>
      <c r="D1559" s="68">
        <v>1</v>
      </c>
      <c r="E1559" s="13">
        <v>0</v>
      </c>
      <c r="F1559" s="13">
        <v>0</v>
      </c>
      <c r="G1559" s="29">
        <v>0</v>
      </c>
    </row>
    <row r="1560" spans="3:7" x14ac:dyDescent="0.2">
      <c r="C1560" s="29"/>
      <c r="D1560" s="68"/>
      <c r="E1560" s="13"/>
      <c r="F1560" s="13"/>
      <c r="G1560" s="29"/>
    </row>
    <row r="1561" spans="3:7" x14ac:dyDescent="0.2">
      <c r="E1561" s="9">
        <f>SUM(E1537:E1560)</f>
        <v>6003100</v>
      </c>
      <c r="F1561" s="9">
        <f>SUM(F1537:F1560)</f>
        <v>0</v>
      </c>
      <c r="G1561" s="9">
        <f>SUM(G1537:G1560)</f>
        <v>2205000</v>
      </c>
    </row>
    <row r="1562" spans="3:7" x14ac:dyDescent="0.2">
      <c r="C1562" s="1"/>
      <c r="E1562" s="3">
        <f>6000000-E1561</f>
        <v>-3100</v>
      </c>
    </row>
    <row r="1564" spans="3:7" ht="26" x14ac:dyDescent="0.3">
      <c r="C1564" s="391" t="s">
        <v>3614</v>
      </c>
      <c r="D1564" s="391"/>
      <c r="E1564" s="391"/>
      <c r="F1564" s="391"/>
      <c r="G1564" s="391"/>
    </row>
    <row r="1565" spans="3:7" x14ac:dyDescent="0.2">
      <c r="C1565" s="29" t="s">
        <v>82</v>
      </c>
      <c r="D1565" s="11" t="s">
        <v>3097</v>
      </c>
      <c r="E1565" s="12" t="s">
        <v>1</v>
      </c>
      <c r="F1565" s="12" t="s">
        <v>3140</v>
      </c>
      <c r="G1565" s="12" t="s">
        <v>3249</v>
      </c>
    </row>
    <row r="1566" spans="3:7" x14ac:dyDescent="0.2">
      <c r="C1566" s="5" t="s">
        <v>3525</v>
      </c>
      <c r="D1566" s="6">
        <v>1</v>
      </c>
      <c r="E1566" s="46">
        <v>2000000</v>
      </c>
      <c r="F1566" s="7">
        <v>0</v>
      </c>
      <c r="G1566" s="7"/>
    </row>
    <row r="1567" spans="3:7" x14ac:dyDescent="0.2">
      <c r="C1567" s="5" t="s">
        <v>3228</v>
      </c>
      <c r="D1567" s="6">
        <v>1</v>
      </c>
      <c r="E1567" s="46">
        <v>600000</v>
      </c>
      <c r="F1567" s="7">
        <v>0</v>
      </c>
      <c r="G1567" s="8"/>
    </row>
    <row r="1568" spans="3:7" x14ac:dyDescent="0.2">
      <c r="C1568" s="5" t="s">
        <v>3526</v>
      </c>
      <c r="D1568" s="6">
        <v>1</v>
      </c>
      <c r="E1568" s="46">
        <v>250000</v>
      </c>
      <c r="F1568" s="7">
        <v>0</v>
      </c>
      <c r="G1568" s="8"/>
    </row>
    <row r="1569" spans="3:7" x14ac:dyDescent="0.2">
      <c r="C1569" s="5" t="s">
        <v>3297</v>
      </c>
      <c r="D1569" s="6">
        <v>1</v>
      </c>
      <c r="E1569" s="46">
        <v>45000</v>
      </c>
      <c r="F1569" s="7">
        <v>0</v>
      </c>
      <c r="G1569" s="8"/>
    </row>
    <row r="1570" spans="3:7" x14ac:dyDescent="0.2">
      <c r="C1570" s="5" t="s">
        <v>3473</v>
      </c>
      <c r="D1570" s="6">
        <v>1</v>
      </c>
      <c r="E1570" s="21">
        <v>362600</v>
      </c>
      <c r="F1570" s="7">
        <v>0</v>
      </c>
      <c r="G1570" s="7"/>
    </row>
    <row r="1571" spans="3:7" x14ac:dyDescent="0.2">
      <c r="C1571" s="5" t="s">
        <v>3474</v>
      </c>
      <c r="D1571" s="6">
        <v>1</v>
      </c>
      <c r="E1571" s="21">
        <v>86600</v>
      </c>
      <c r="F1571" s="7">
        <v>0</v>
      </c>
      <c r="G1571" s="8"/>
    </row>
    <row r="1572" spans="3:7" x14ac:dyDescent="0.2">
      <c r="C1572" s="5" t="s">
        <v>3598</v>
      </c>
      <c r="D1572" s="6">
        <v>1</v>
      </c>
      <c r="E1572" s="21">
        <v>279000</v>
      </c>
      <c r="F1572" s="7">
        <v>0</v>
      </c>
      <c r="G1572" s="7"/>
    </row>
    <row r="1573" spans="3:7" x14ac:dyDescent="0.2">
      <c r="C1573" s="5" t="s">
        <v>3615</v>
      </c>
      <c r="D1573" s="6">
        <v>1</v>
      </c>
      <c r="E1573" s="21">
        <v>86600</v>
      </c>
      <c r="F1573" s="7">
        <v>0</v>
      </c>
      <c r="G1573" s="7"/>
    </row>
    <row r="1574" spans="3:7" x14ac:dyDescent="0.2">
      <c r="C1574" s="5" t="s">
        <v>3574</v>
      </c>
      <c r="D1574" s="6">
        <v>1</v>
      </c>
      <c r="E1574" s="21">
        <v>86000</v>
      </c>
      <c r="F1574" s="7">
        <v>0</v>
      </c>
      <c r="G1574" s="7"/>
    </row>
    <row r="1575" spans="3:7" x14ac:dyDescent="0.2">
      <c r="C1575" s="5" t="s">
        <v>3616</v>
      </c>
      <c r="D1575" s="6">
        <v>420</v>
      </c>
      <c r="E1575" s="21">
        <v>31500</v>
      </c>
      <c r="F1575" s="7">
        <v>0</v>
      </c>
      <c r="G1575" s="7"/>
    </row>
    <row r="1576" spans="3:7" x14ac:dyDescent="0.2">
      <c r="C1576" s="5" t="s">
        <v>3617</v>
      </c>
      <c r="D1576" s="6">
        <v>1</v>
      </c>
      <c r="E1576" s="21">
        <v>280000</v>
      </c>
      <c r="F1576" s="7">
        <v>0</v>
      </c>
      <c r="G1576" s="7"/>
    </row>
    <row r="1577" spans="3:7" x14ac:dyDescent="0.2">
      <c r="C1577" s="5" t="s">
        <v>3618</v>
      </c>
      <c r="D1577" s="6">
        <v>1</v>
      </c>
      <c r="E1577" s="21">
        <v>928000</v>
      </c>
      <c r="F1577" s="7">
        <v>0</v>
      </c>
      <c r="G1577" s="7"/>
    </row>
    <row r="1578" spans="3:7" x14ac:dyDescent="0.2">
      <c r="C1578" s="5" t="s">
        <v>3619</v>
      </c>
      <c r="D1578" s="6">
        <v>1</v>
      </c>
      <c r="E1578" s="21">
        <v>928000</v>
      </c>
      <c r="F1578" s="7">
        <v>0</v>
      </c>
      <c r="G1578" s="7"/>
    </row>
    <row r="1579" spans="3:7" x14ac:dyDescent="0.2">
      <c r="C1579" s="5" t="s">
        <v>3620</v>
      </c>
      <c r="D1579" s="6">
        <v>1</v>
      </c>
      <c r="E1579" s="7">
        <v>0</v>
      </c>
      <c r="F1579" s="7">
        <v>0</v>
      </c>
      <c r="G1579" s="21">
        <v>928000</v>
      </c>
    </row>
    <row r="1580" spans="3:7" x14ac:dyDescent="0.2">
      <c r="C1580" s="5" t="s">
        <v>3621</v>
      </c>
      <c r="D1580" s="6">
        <v>1</v>
      </c>
      <c r="E1580" s="7">
        <v>0</v>
      </c>
      <c r="F1580" s="7">
        <v>0</v>
      </c>
      <c r="G1580" s="21">
        <v>415000</v>
      </c>
    </row>
    <row r="1581" spans="3:7" x14ac:dyDescent="0.2">
      <c r="C1581" s="25" t="s">
        <v>3317</v>
      </c>
      <c r="D1581" s="68">
        <v>1</v>
      </c>
      <c r="E1581" s="13">
        <v>0</v>
      </c>
      <c r="F1581" s="13">
        <v>0</v>
      </c>
      <c r="G1581" s="29">
        <v>0</v>
      </c>
    </row>
    <row r="1582" spans="3:7" x14ac:dyDescent="0.2">
      <c r="C1582" s="29"/>
      <c r="D1582" s="68"/>
      <c r="E1582" s="13"/>
      <c r="F1582" s="13"/>
      <c r="G1582" s="29"/>
    </row>
    <row r="1583" spans="3:7" x14ac:dyDescent="0.2">
      <c r="E1583" s="9">
        <f>SUM(E1566:E1582)</f>
        <v>5963300</v>
      </c>
      <c r="F1583" s="9">
        <f>SUM(F1566:F1582)</f>
        <v>0</v>
      </c>
      <c r="G1583" s="9">
        <f>SUM(G1566:G1582)</f>
        <v>1343000</v>
      </c>
    </row>
    <row r="1584" spans="3:7" x14ac:dyDescent="0.2">
      <c r="C1584" s="1"/>
      <c r="E1584" s="3">
        <f>6000000-E1583</f>
        <v>36700</v>
      </c>
    </row>
    <row r="1588" spans="3:7" ht="26" x14ac:dyDescent="0.3">
      <c r="C1588" s="391" t="s">
        <v>3622</v>
      </c>
      <c r="D1588" s="391"/>
      <c r="E1588" s="391"/>
      <c r="F1588" s="391"/>
      <c r="G1588" s="391"/>
    </row>
    <row r="1589" spans="3:7" x14ac:dyDescent="0.2">
      <c r="C1589" s="29" t="s">
        <v>82</v>
      </c>
      <c r="D1589" s="11" t="s">
        <v>3097</v>
      </c>
      <c r="E1589" s="12" t="s">
        <v>1</v>
      </c>
      <c r="F1589" s="12" t="s">
        <v>3140</v>
      </c>
      <c r="G1589" s="12" t="s">
        <v>3249</v>
      </c>
    </row>
    <row r="1590" spans="3:7" x14ac:dyDescent="0.2">
      <c r="C1590" s="5" t="s">
        <v>3525</v>
      </c>
      <c r="D1590" s="6">
        <v>1</v>
      </c>
      <c r="E1590" s="46">
        <v>2000000</v>
      </c>
      <c r="F1590" s="7">
        <v>0</v>
      </c>
      <c r="G1590" s="7"/>
    </row>
    <row r="1591" spans="3:7" x14ac:dyDescent="0.2">
      <c r="C1591" s="5" t="s">
        <v>3228</v>
      </c>
      <c r="D1591" s="6">
        <v>1</v>
      </c>
      <c r="E1591" s="46">
        <v>600000</v>
      </c>
      <c r="F1591" s="7">
        <v>0</v>
      </c>
      <c r="G1591" s="8"/>
    </row>
    <row r="1592" spans="3:7" x14ac:dyDescent="0.2">
      <c r="C1592" s="5" t="s">
        <v>3526</v>
      </c>
      <c r="D1592" s="6">
        <v>1</v>
      </c>
      <c r="E1592" s="46">
        <v>250000</v>
      </c>
      <c r="F1592" s="7">
        <v>0</v>
      </c>
      <c r="G1592" s="8"/>
    </row>
    <row r="1593" spans="3:7" x14ac:dyDescent="0.2">
      <c r="C1593" s="5" t="s">
        <v>3297</v>
      </c>
      <c r="D1593" s="6">
        <v>1</v>
      </c>
      <c r="E1593" s="46">
        <v>45000</v>
      </c>
      <c r="F1593" s="7">
        <v>0</v>
      </c>
      <c r="G1593" s="8"/>
    </row>
    <row r="1594" spans="3:7" x14ac:dyDescent="0.2">
      <c r="C1594" s="5" t="s">
        <v>3473</v>
      </c>
      <c r="D1594" s="6">
        <v>1</v>
      </c>
      <c r="E1594" s="21">
        <v>362600</v>
      </c>
      <c r="F1594" s="7">
        <v>0</v>
      </c>
      <c r="G1594" s="7"/>
    </row>
    <row r="1595" spans="3:7" x14ac:dyDescent="0.2">
      <c r="C1595" s="5" t="s">
        <v>3474</v>
      </c>
      <c r="D1595" s="6">
        <v>1</v>
      </c>
      <c r="E1595" s="21">
        <v>86600</v>
      </c>
      <c r="F1595" s="7">
        <v>0</v>
      </c>
      <c r="G1595" s="8"/>
    </row>
    <row r="1596" spans="3:7" x14ac:dyDescent="0.2">
      <c r="C1596" s="5" t="s">
        <v>3598</v>
      </c>
      <c r="D1596" s="6">
        <v>1</v>
      </c>
      <c r="E1596" s="21">
        <v>279000</v>
      </c>
      <c r="F1596" s="7">
        <v>0</v>
      </c>
      <c r="G1596" s="7"/>
    </row>
    <row r="1597" spans="3:7" x14ac:dyDescent="0.2">
      <c r="C1597" s="5" t="s">
        <v>3574</v>
      </c>
      <c r="D1597" s="6">
        <v>1</v>
      </c>
      <c r="E1597" s="21">
        <v>86000</v>
      </c>
      <c r="F1597" s="7">
        <v>0</v>
      </c>
      <c r="G1597" s="7"/>
    </row>
    <row r="1598" spans="3:7" x14ac:dyDescent="0.2">
      <c r="C1598" s="5" t="s">
        <v>1907</v>
      </c>
      <c r="D1598" s="6">
        <v>7000</v>
      </c>
      <c r="E1598" s="21">
        <v>525000</v>
      </c>
      <c r="F1598" s="7">
        <v>0</v>
      </c>
      <c r="G1598" s="7"/>
    </row>
    <row r="1599" spans="3:7" x14ac:dyDescent="0.2">
      <c r="C1599" s="5" t="s">
        <v>1908</v>
      </c>
      <c r="D1599" s="6">
        <v>7000</v>
      </c>
      <c r="E1599" s="21">
        <v>525000</v>
      </c>
      <c r="F1599" s="7">
        <v>0</v>
      </c>
      <c r="G1599" s="7"/>
    </row>
    <row r="1600" spans="3:7" x14ac:dyDescent="0.2">
      <c r="C1600" s="5" t="s">
        <v>1910</v>
      </c>
      <c r="D1600" s="6">
        <v>15000</v>
      </c>
      <c r="E1600" s="21">
        <v>1125000</v>
      </c>
      <c r="F1600" s="7">
        <v>0</v>
      </c>
      <c r="G1600" s="7"/>
    </row>
    <row r="1601" spans="3:7" x14ac:dyDescent="0.2">
      <c r="C1601" s="5" t="s">
        <v>3623</v>
      </c>
      <c r="D1601" s="6">
        <v>1</v>
      </c>
      <c r="E1601" s="21">
        <v>182000</v>
      </c>
      <c r="F1601" s="7">
        <v>0</v>
      </c>
      <c r="G1601" s="7"/>
    </row>
    <row r="1602" spans="3:7" x14ac:dyDescent="0.2">
      <c r="C1602" s="5" t="s">
        <v>3624</v>
      </c>
      <c r="D1602" s="6">
        <v>1</v>
      </c>
      <c r="E1602" s="7">
        <v>0</v>
      </c>
      <c r="F1602" s="7">
        <v>0</v>
      </c>
      <c r="G1602" s="21">
        <v>400000</v>
      </c>
    </row>
    <row r="1603" spans="3:7" x14ac:dyDescent="0.2">
      <c r="C1603" s="5" t="s">
        <v>3625</v>
      </c>
      <c r="D1603" s="6">
        <v>1</v>
      </c>
      <c r="E1603" s="7">
        <v>0</v>
      </c>
      <c r="F1603" s="7">
        <v>0</v>
      </c>
      <c r="G1603" s="21">
        <v>400000</v>
      </c>
    </row>
    <row r="1604" spans="3:7" x14ac:dyDescent="0.2">
      <c r="C1604" s="5" t="s">
        <v>3626</v>
      </c>
      <c r="D1604" s="6">
        <v>1</v>
      </c>
      <c r="E1604" s="7">
        <v>0</v>
      </c>
      <c r="F1604" s="7">
        <v>0</v>
      </c>
      <c r="G1604" s="21">
        <v>400000</v>
      </c>
    </row>
    <row r="1605" spans="3:7" x14ac:dyDescent="0.2">
      <c r="C1605" s="5" t="s">
        <v>3627</v>
      </c>
      <c r="D1605" s="6">
        <v>1</v>
      </c>
      <c r="E1605" s="7">
        <v>0</v>
      </c>
      <c r="F1605" s="7">
        <v>0</v>
      </c>
      <c r="G1605" s="21">
        <v>415000</v>
      </c>
    </row>
    <row r="1606" spans="3:7" x14ac:dyDescent="0.2">
      <c r="C1606" s="5"/>
      <c r="D1606" s="6"/>
      <c r="E1606" s="7"/>
      <c r="F1606" s="7"/>
      <c r="G1606" s="7"/>
    </row>
    <row r="1607" spans="3:7" x14ac:dyDescent="0.2">
      <c r="C1607" s="5"/>
      <c r="D1607" s="6"/>
      <c r="E1607" s="7"/>
      <c r="F1607" s="7"/>
      <c r="G1607" s="7"/>
    </row>
    <row r="1608" spans="3:7" x14ac:dyDescent="0.2">
      <c r="C1608" s="5"/>
      <c r="D1608" s="6"/>
      <c r="E1608" s="7"/>
      <c r="F1608" s="7"/>
      <c r="G1608" s="7"/>
    </row>
    <row r="1609" spans="3:7" x14ac:dyDescent="0.2">
      <c r="C1609" s="5"/>
      <c r="D1609" s="6"/>
      <c r="E1609" s="7"/>
      <c r="F1609" s="7"/>
      <c r="G1609" s="7"/>
    </row>
    <row r="1610" spans="3:7" x14ac:dyDescent="0.2">
      <c r="C1610" s="5"/>
      <c r="D1610" s="6"/>
      <c r="E1610" s="7"/>
      <c r="F1610" s="7"/>
      <c r="G1610" s="7"/>
    </row>
    <row r="1611" spans="3:7" x14ac:dyDescent="0.2">
      <c r="C1611" s="5"/>
      <c r="D1611" s="6"/>
      <c r="E1611" s="7"/>
      <c r="F1611" s="7"/>
      <c r="G1611" s="7"/>
    </row>
    <row r="1612" spans="3:7" x14ac:dyDescent="0.2">
      <c r="C1612" s="25" t="s">
        <v>3317</v>
      </c>
      <c r="D1612" s="68">
        <v>1</v>
      </c>
      <c r="E1612" s="13">
        <v>0</v>
      </c>
      <c r="F1612" s="13">
        <v>0</v>
      </c>
      <c r="G1612" s="29">
        <v>0</v>
      </c>
    </row>
    <row r="1613" spans="3:7" x14ac:dyDescent="0.2">
      <c r="C1613" s="29"/>
      <c r="D1613" s="68"/>
      <c r="E1613" s="13"/>
      <c r="F1613" s="13"/>
      <c r="G1613" s="29"/>
    </row>
    <row r="1614" spans="3:7" x14ac:dyDescent="0.2">
      <c r="E1614" s="9">
        <f>SUM(E1590:E1613)</f>
        <v>6066200</v>
      </c>
      <c r="F1614" s="9">
        <f>SUM(F1590:F1613)</f>
        <v>0</v>
      </c>
      <c r="G1614" s="9">
        <f>SUM(G1590:G1613)</f>
        <v>1615000</v>
      </c>
    </row>
    <row r="1615" spans="3:7" x14ac:dyDescent="0.2">
      <c r="C1615" s="1"/>
      <c r="E1615" s="3">
        <f>6000000-E1614</f>
        <v>-66200</v>
      </c>
    </row>
    <row r="1618" spans="3:7" ht="26" x14ac:dyDescent="0.3">
      <c r="C1618" s="391" t="s">
        <v>3628</v>
      </c>
      <c r="D1618" s="391"/>
      <c r="E1618" s="391"/>
      <c r="F1618" s="391"/>
      <c r="G1618" s="391"/>
    </row>
    <row r="1619" spans="3:7" x14ac:dyDescent="0.2">
      <c r="C1619" s="29" t="s">
        <v>82</v>
      </c>
      <c r="D1619" s="11" t="s">
        <v>3097</v>
      </c>
      <c r="E1619" s="12" t="s">
        <v>1</v>
      </c>
      <c r="F1619" s="12" t="s">
        <v>3140</v>
      </c>
      <c r="G1619" s="12" t="s">
        <v>3249</v>
      </c>
    </row>
    <row r="1620" spans="3:7" x14ac:dyDescent="0.2">
      <c r="C1620" s="5" t="s">
        <v>3525</v>
      </c>
      <c r="D1620" s="6">
        <v>1</v>
      </c>
      <c r="E1620" s="46">
        <v>2000000</v>
      </c>
      <c r="F1620" s="7">
        <v>0</v>
      </c>
      <c r="G1620" s="7"/>
    </row>
    <row r="1621" spans="3:7" x14ac:dyDescent="0.2">
      <c r="C1621" s="5" t="s">
        <v>3228</v>
      </c>
      <c r="D1621" s="6">
        <v>1</v>
      </c>
      <c r="E1621" s="46">
        <v>600000</v>
      </c>
      <c r="F1621" s="7">
        <v>0</v>
      </c>
      <c r="G1621" s="8"/>
    </row>
    <row r="1622" spans="3:7" x14ac:dyDescent="0.2">
      <c r="C1622" s="5" t="s">
        <v>3526</v>
      </c>
      <c r="D1622" s="6">
        <v>1</v>
      </c>
      <c r="E1622" s="46">
        <v>250000</v>
      </c>
      <c r="F1622" s="7">
        <v>0</v>
      </c>
      <c r="G1622" s="8"/>
    </row>
    <row r="1623" spans="3:7" x14ac:dyDescent="0.2">
      <c r="C1623" s="5" t="s">
        <v>3297</v>
      </c>
      <c r="D1623" s="6">
        <v>1</v>
      </c>
      <c r="E1623" s="46">
        <v>45000</v>
      </c>
      <c r="F1623" s="7">
        <v>0</v>
      </c>
      <c r="G1623" s="8"/>
    </row>
    <row r="1624" spans="3:7" x14ac:dyDescent="0.2">
      <c r="C1624" s="5" t="s">
        <v>3473</v>
      </c>
      <c r="D1624" s="6">
        <v>1</v>
      </c>
      <c r="E1624" s="21">
        <v>362600</v>
      </c>
      <c r="F1624" s="7">
        <v>0</v>
      </c>
      <c r="G1624" s="7"/>
    </row>
    <row r="1625" spans="3:7" x14ac:dyDescent="0.2">
      <c r="C1625" s="5" t="s">
        <v>3474</v>
      </c>
      <c r="D1625" s="6">
        <v>1</v>
      </c>
      <c r="E1625" s="21">
        <v>86600</v>
      </c>
      <c r="F1625" s="7">
        <v>0</v>
      </c>
      <c r="G1625" s="8"/>
    </row>
    <row r="1626" spans="3:7" x14ac:dyDescent="0.2">
      <c r="C1626" s="5" t="s">
        <v>3598</v>
      </c>
      <c r="D1626" s="6">
        <v>1</v>
      </c>
      <c r="E1626" s="21">
        <v>279000</v>
      </c>
      <c r="F1626" s="7">
        <v>0</v>
      </c>
      <c r="G1626" s="7"/>
    </row>
    <row r="1627" spans="3:7" x14ac:dyDescent="0.2">
      <c r="C1627" s="5" t="s">
        <v>3574</v>
      </c>
      <c r="D1627" s="6">
        <v>1</v>
      </c>
      <c r="E1627" s="21">
        <v>86000</v>
      </c>
      <c r="F1627" s="7">
        <v>0</v>
      </c>
      <c r="G1627" s="7"/>
    </row>
    <row r="1628" spans="3:7" x14ac:dyDescent="0.2">
      <c r="C1628" s="5" t="s">
        <v>3629</v>
      </c>
      <c r="D1628" s="6">
        <v>1</v>
      </c>
      <c r="E1628" s="21">
        <v>100000</v>
      </c>
      <c r="F1628" s="7">
        <v>0</v>
      </c>
      <c r="G1628" s="7"/>
    </row>
    <row r="1629" spans="3:7" x14ac:dyDescent="0.2">
      <c r="C1629" s="5" t="s">
        <v>3630</v>
      </c>
      <c r="D1629" s="6">
        <v>1</v>
      </c>
      <c r="E1629" s="21">
        <v>320000</v>
      </c>
      <c r="F1629" s="7">
        <v>0</v>
      </c>
      <c r="G1629" s="7"/>
    </row>
    <row r="1630" spans="3:7" x14ac:dyDescent="0.2">
      <c r="C1630" s="5" t="s">
        <v>3631</v>
      </c>
      <c r="D1630" s="6">
        <v>1</v>
      </c>
      <c r="E1630" s="21">
        <v>430000</v>
      </c>
      <c r="F1630" s="7">
        <v>0</v>
      </c>
      <c r="G1630" s="7"/>
    </row>
    <row r="1631" spans="3:7" x14ac:dyDescent="0.2">
      <c r="C1631" s="5" t="s">
        <v>3632</v>
      </c>
      <c r="D1631" s="6">
        <v>1</v>
      </c>
      <c r="E1631" s="21">
        <v>70000</v>
      </c>
      <c r="F1631" s="7">
        <v>0</v>
      </c>
      <c r="G1631" s="7"/>
    </row>
    <row r="1632" spans="3:7" x14ac:dyDescent="0.2">
      <c r="C1632" s="5" t="s">
        <v>1963</v>
      </c>
      <c r="D1632" s="6">
        <v>7400</v>
      </c>
      <c r="E1632" s="21">
        <v>555000</v>
      </c>
      <c r="F1632" s="7">
        <v>0</v>
      </c>
      <c r="G1632" s="7"/>
    </row>
    <row r="1633" spans="3:7" x14ac:dyDescent="0.2">
      <c r="C1633" s="5" t="s">
        <v>1964</v>
      </c>
      <c r="D1633" s="6">
        <v>7500</v>
      </c>
      <c r="E1633" s="21">
        <v>555000</v>
      </c>
      <c r="F1633" s="7">
        <v>0</v>
      </c>
      <c r="G1633" s="7"/>
    </row>
    <row r="1634" spans="3:7" x14ac:dyDescent="0.2">
      <c r="C1634" s="5" t="s">
        <v>3633</v>
      </c>
      <c r="D1634" s="6">
        <v>940</v>
      </c>
      <c r="E1634" s="21">
        <v>70500</v>
      </c>
      <c r="F1634" s="7">
        <v>0</v>
      </c>
      <c r="G1634" s="7"/>
    </row>
    <row r="1635" spans="3:7" x14ac:dyDescent="0.2">
      <c r="C1635" s="5" t="s">
        <v>3634</v>
      </c>
      <c r="D1635" s="6">
        <v>1</v>
      </c>
      <c r="E1635" s="21">
        <v>90000</v>
      </c>
      <c r="F1635" s="7">
        <v>0</v>
      </c>
      <c r="G1635" s="7"/>
    </row>
    <row r="1636" spans="3:7" x14ac:dyDescent="0.2">
      <c r="C1636" s="5" t="s">
        <v>3635</v>
      </c>
      <c r="D1636" s="6">
        <v>1</v>
      </c>
      <c r="E1636" s="21">
        <v>90000</v>
      </c>
      <c r="F1636" s="7">
        <v>0</v>
      </c>
      <c r="G1636" s="7"/>
    </row>
    <row r="1637" spans="3:7" x14ac:dyDescent="0.2">
      <c r="C1637" s="5" t="s">
        <v>3636</v>
      </c>
      <c r="D1637" s="6">
        <v>1</v>
      </c>
      <c r="E1637" s="7">
        <v>0</v>
      </c>
      <c r="F1637" s="21">
        <v>50000</v>
      </c>
      <c r="G1637" s="7" t="s">
        <v>3637</v>
      </c>
    </row>
    <row r="1638" spans="3:7" x14ac:dyDescent="0.2">
      <c r="C1638" s="5" t="s">
        <v>3638</v>
      </c>
      <c r="D1638" s="6">
        <v>1</v>
      </c>
      <c r="E1638" s="7">
        <v>0</v>
      </c>
      <c r="F1638" s="21">
        <v>315000</v>
      </c>
      <c r="G1638" s="7" t="s">
        <v>3637</v>
      </c>
    </row>
    <row r="1639" spans="3:7" x14ac:dyDescent="0.2">
      <c r="C1639" s="5" t="s">
        <v>3639</v>
      </c>
      <c r="D1639" s="6">
        <v>1</v>
      </c>
      <c r="E1639" s="7">
        <v>0</v>
      </c>
      <c r="F1639" s="21">
        <v>120000</v>
      </c>
      <c r="G1639" s="7" t="s">
        <v>3637</v>
      </c>
    </row>
    <row r="1640" spans="3:7" x14ac:dyDescent="0.2">
      <c r="C1640" s="5"/>
      <c r="D1640" s="6"/>
      <c r="E1640" s="7"/>
      <c r="F1640" s="7"/>
      <c r="G1640" s="7"/>
    </row>
    <row r="1641" spans="3:7" x14ac:dyDescent="0.2">
      <c r="C1641" s="5"/>
      <c r="D1641" s="6"/>
      <c r="E1641" s="7"/>
      <c r="F1641" s="7"/>
      <c r="G1641" s="7"/>
    </row>
    <row r="1642" spans="3:7" x14ac:dyDescent="0.2">
      <c r="C1642" s="5"/>
      <c r="D1642" s="6"/>
      <c r="E1642" s="7"/>
      <c r="F1642" s="7"/>
      <c r="G1642" s="7"/>
    </row>
    <row r="1643" spans="3:7" x14ac:dyDescent="0.2">
      <c r="C1643" s="5"/>
      <c r="D1643" s="6"/>
      <c r="E1643" s="7"/>
      <c r="F1643" s="7"/>
      <c r="G1643" s="7"/>
    </row>
    <row r="1644" spans="3:7" x14ac:dyDescent="0.2">
      <c r="C1644" s="5"/>
      <c r="D1644" s="6"/>
      <c r="E1644" s="7"/>
      <c r="F1644" s="7"/>
      <c r="G1644" s="7"/>
    </row>
    <row r="1645" spans="3:7" x14ac:dyDescent="0.2">
      <c r="C1645" s="5"/>
      <c r="D1645" s="6"/>
      <c r="E1645" s="7"/>
      <c r="F1645" s="7"/>
      <c r="G1645" s="7"/>
    </row>
    <row r="1646" spans="3:7" x14ac:dyDescent="0.2">
      <c r="C1646" s="25" t="s">
        <v>3317</v>
      </c>
      <c r="D1646" s="68">
        <v>1</v>
      </c>
      <c r="E1646" s="13">
        <v>0</v>
      </c>
      <c r="F1646" s="13">
        <v>0</v>
      </c>
      <c r="G1646" s="29">
        <v>0</v>
      </c>
    </row>
    <row r="1647" spans="3:7" x14ac:dyDescent="0.2">
      <c r="C1647" s="29"/>
      <c r="D1647" s="68"/>
      <c r="E1647" s="13"/>
      <c r="F1647" s="13"/>
      <c r="G1647" s="29"/>
    </row>
    <row r="1648" spans="3:7" x14ac:dyDescent="0.2">
      <c r="E1648" s="9">
        <f>SUM(E1620:E1647)</f>
        <v>5989700</v>
      </c>
      <c r="F1648" s="9">
        <f>SUM(F1620:F1647)</f>
        <v>485000</v>
      </c>
      <c r="G1648" s="9">
        <f>SUM(G1620:G1647)</f>
        <v>0</v>
      </c>
    </row>
    <row r="1649" spans="3:7" x14ac:dyDescent="0.2">
      <c r="C1649" s="1"/>
      <c r="E1649" s="3">
        <f>6000000-E1648</f>
        <v>10300</v>
      </c>
    </row>
    <row r="1652" spans="3:7" ht="26" x14ac:dyDescent="0.3">
      <c r="C1652" s="391" t="s">
        <v>3640</v>
      </c>
      <c r="D1652" s="391"/>
      <c r="E1652" s="391"/>
      <c r="F1652" s="391"/>
      <c r="G1652" s="391"/>
    </row>
    <row r="1653" spans="3:7" ht="12.75" customHeight="1" x14ac:dyDescent="0.2">
      <c r="C1653" s="29" t="s">
        <v>82</v>
      </c>
      <c r="D1653" s="11" t="s">
        <v>3097</v>
      </c>
      <c r="E1653" s="12" t="s">
        <v>1</v>
      </c>
      <c r="F1653" s="12" t="s">
        <v>3140</v>
      </c>
      <c r="G1653" s="12" t="s">
        <v>3249</v>
      </c>
    </row>
    <row r="1654" spans="3:7" hidden="1" x14ac:dyDescent="0.2">
      <c r="C1654" s="5" t="s">
        <v>3525</v>
      </c>
      <c r="D1654" s="6">
        <v>1</v>
      </c>
      <c r="E1654" s="46">
        <v>2000000</v>
      </c>
      <c r="F1654" s="7">
        <v>0</v>
      </c>
      <c r="G1654" s="7"/>
    </row>
    <row r="1655" spans="3:7" hidden="1" x14ac:dyDescent="0.2">
      <c r="C1655" s="5" t="s">
        <v>3228</v>
      </c>
      <c r="D1655" s="6">
        <v>1</v>
      </c>
      <c r="E1655" s="46">
        <v>600000</v>
      </c>
      <c r="F1655" s="7">
        <v>0</v>
      </c>
      <c r="G1655" s="8"/>
    </row>
    <row r="1656" spans="3:7" hidden="1" x14ac:dyDescent="0.2">
      <c r="C1656" s="5" t="s">
        <v>3526</v>
      </c>
      <c r="D1656" s="6">
        <v>1</v>
      </c>
      <c r="E1656" s="46">
        <v>250000</v>
      </c>
      <c r="F1656" s="7">
        <v>0</v>
      </c>
      <c r="G1656" s="8"/>
    </row>
    <row r="1657" spans="3:7" hidden="1" x14ac:dyDescent="0.2">
      <c r="C1657" s="5" t="s">
        <v>3297</v>
      </c>
      <c r="D1657" s="6">
        <v>1</v>
      </c>
      <c r="E1657" s="46">
        <v>45000</v>
      </c>
      <c r="F1657" s="7">
        <v>0</v>
      </c>
      <c r="G1657" s="8"/>
    </row>
    <row r="1658" spans="3:7" x14ac:dyDescent="0.2">
      <c r="C1658" s="5" t="s">
        <v>3473</v>
      </c>
      <c r="D1658" s="6">
        <v>1</v>
      </c>
      <c r="E1658" s="21">
        <v>362600</v>
      </c>
      <c r="F1658" s="7">
        <v>0</v>
      </c>
      <c r="G1658" s="7"/>
    </row>
    <row r="1659" spans="3:7" x14ac:dyDescent="0.2">
      <c r="C1659" s="5" t="s">
        <v>3474</v>
      </c>
      <c r="D1659" s="6">
        <v>1</v>
      </c>
      <c r="E1659" s="21">
        <v>86600</v>
      </c>
      <c r="F1659" s="7">
        <v>0</v>
      </c>
      <c r="G1659" s="8"/>
    </row>
    <row r="1660" spans="3:7" x14ac:dyDescent="0.2">
      <c r="C1660" s="5" t="s">
        <v>3598</v>
      </c>
      <c r="D1660" s="6">
        <v>1</v>
      </c>
      <c r="E1660" s="21">
        <v>279000</v>
      </c>
      <c r="F1660" s="7">
        <v>0</v>
      </c>
      <c r="G1660" s="7"/>
    </row>
    <row r="1661" spans="3:7" x14ac:dyDescent="0.2">
      <c r="C1661" s="5" t="s">
        <v>3574</v>
      </c>
      <c r="D1661" s="6">
        <v>1</v>
      </c>
      <c r="E1661" s="21">
        <v>86000</v>
      </c>
      <c r="F1661" s="7">
        <v>0</v>
      </c>
      <c r="G1661" s="7"/>
    </row>
    <row r="1662" spans="3:7" x14ac:dyDescent="0.2">
      <c r="C1662" s="5" t="s">
        <v>3641</v>
      </c>
      <c r="D1662" s="6">
        <v>1</v>
      </c>
      <c r="E1662" s="21">
        <v>86600</v>
      </c>
      <c r="F1662" s="7">
        <v>0</v>
      </c>
      <c r="G1662" s="7"/>
    </row>
    <row r="1663" spans="3:7" x14ac:dyDescent="0.2">
      <c r="C1663" s="5" t="s">
        <v>3642</v>
      </c>
      <c r="D1663" s="6">
        <v>2</v>
      </c>
      <c r="E1663" s="21">
        <v>86600</v>
      </c>
      <c r="F1663" s="7">
        <v>0</v>
      </c>
      <c r="G1663" s="7"/>
    </row>
    <row r="1664" spans="3:7" x14ac:dyDescent="0.2">
      <c r="C1664" s="5" t="s">
        <v>3643</v>
      </c>
      <c r="D1664" s="6">
        <v>6900</v>
      </c>
      <c r="E1664" s="21">
        <f>D1664*100</f>
        <v>690000</v>
      </c>
      <c r="F1664" s="7">
        <v>0</v>
      </c>
      <c r="G1664" s="7" t="s">
        <v>3637</v>
      </c>
    </row>
    <row r="1665" spans="3:7" x14ac:dyDescent="0.2">
      <c r="C1665" s="5" t="s">
        <v>3644</v>
      </c>
      <c r="D1665" s="6">
        <v>7232</v>
      </c>
      <c r="E1665" s="21">
        <f>D1665*100</f>
        <v>723200</v>
      </c>
      <c r="F1665" s="7">
        <v>0</v>
      </c>
      <c r="G1665" s="7" t="s">
        <v>3637</v>
      </c>
    </row>
    <row r="1666" spans="3:7" x14ac:dyDescent="0.2">
      <c r="C1666" s="5" t="s">
        <v>3645</v>
      </c>
      <c r="D1666" s="6">
        <v>5968</v>
      </c>
      <c r="E1666" s="21">
        <f>D1666*100</f>
        <v>596800</v>
      </c>
      <c r="F1666" s="7">
        <v>0</v>
      </c>
      <c r="G1666" s="7" t="s">
        <v>3637</v>
      </c>
    </row>
    <row r="1667" spans="3:7" x14ac:dyDescent="0.2">
      <c r="C1667" s="5" t="s">
        <v>3646</v>
      </c>
      <c r="D1667" s="6">
        <v>973</v>
      </c>
      <c r="E1667" s="21">
        <f>D1667*100</f>
        <v>97300</v>
      </c>
      <c r="F1667" s="1">
        <v>0</v>
      </c>
      <c r="G1667" s="7" t="s">
        <v>3637</v>
      </c>
    </row>
    <row r="1668" spans="3:7" x14ac:dyDescent="0.2">
      <c r="C1668" s="5" t="s">
        <v>3647</v>
      </c>
      <c r="D1668" s="6">
        <v>130</v>
      </c>
      <c r="E1668" s="21">
        <v>13000</v>
      </c>
      <c r="F1668" s="7">
        <f>D1668*100</f>
        <v>13000</v>
      </c>
      <c r="G1668" s="7" t="s">
        <v>3637</v>
      </c>
    </row>
    <row r="1669" spans="3:7" x14ac:dyDescent="0.2">
      <c r="C1669" s="5"/>
      <c r="D1669" s="6"/>
      <c r="E1669" s="7"/>
      <c r="F1669" s="7"/>
      <c r="G1669" s="7"/>
    </row>
    <row r="1670" spans="3:7" x14ac:dyDescent="0.2">
      <c r="C1670" s="5"/>
      <c r="D1670" s="6"/>
      <c r="E1670" s="7"/>
      <c r="F1670" s="7"/>
      <c r="G1670" s="7"/>
    </row>
    <row r="1671" spans="3:7" x14ac:dyDescent="0.2">
      <c r="C1671" s="5"/>
      <c r="D1671" s="6"/>
      <c r="E1671" s="7"/>
      <c r="F1671" s="7"/>
      <c r="G1671" s="7"/>
    </row>
    <row r="1672" spans="3:7" x14ac:dyDescent="0.2">
      <c r="C1672" s="5"/>
      <c r="D1672" s="6"/>
      <c r="E1672" s="7"/>
      <c r="F1672" s="7"/>
      <c r="G1672" s="7"/>
    </row>
    <row r="1673" spans="3:7" x14ac:dyDescent="0.2">
      <c r="C1673" s="5"/>
      <c r="D1673" s="6"/>
      <c r="E1673" s="7"/>
      <c r="F1673" s="7"/>
      <c r="G1673" s="7"/>
    </row>
    <row r="1674" spans="3:7" x14ac:dyDescent="0.2">
      <c r="C1674" s="5"/>
      <c r="D1674" s="6"/>
      <c r="E1674" s="7"/>
      <c r="F1674" s="7"/>
      <c r="G1674" s="7"/>
    </row>
    <row r="1675" spans="3:7" x14ac:dyDescent="0.2">
      <c r="C1675" s="25" t="s">
        <v>3317</v>
      </c>
      <c r="D1675" s="68">
        <v>1</v>
      </c>
      <c r="E1675" s="13">
        <v>0</v>
      </c>
      <c r="F1675" s="13">
        <v>0</v>
      </c>
      <c r="G1675" s="29">
        <v>0</v>
      </c>
    </row>
    <row r="1676" spans="3:7" x14ac:dyDescent="0.2">
      <c r="C1676" s="29"/>
      <c r="D1676" s="68"/>
      <c r="E1676" s="13"/>
      <c r="F1676" s="13"/>
      <c r="G1676" s="29"/>
    </row>
    <row r="1677" spans="3:7" x14ac:dyDescent="0.2">
      <c r="E1677" s="9">
        <f>SUM(E1654:E1676)</f>
        <v>6002700</v>
      </c>
      <c r="F1677" s="9">
        <f>SUM(F1654:F1676)</f>
        <v>13000</v>
      </c>
      <c r="G1677" s="9">
        <f>SUM(G1654:G1676)</f>
        <v>0</v>
      </c>
    </row>
    <row r="1678" spans="3:7" x14ac:dyDescent="0.2">
      <c r="C1678" s="1"/>
      <c r="E1678" s="3">
        <f>6000000-E1677</f>
        <v>-2700</v>
      </c>
    </row>
    <row r="1681" spans="3:7" ht="26" x14ac:dyDescent="0.3">
      <c r="C1681" s="391" t="s">
        <v>3648</v>
      </c>
      <c r="D1681" s="391"/>
      <c r="E1681" s="391"/>
      <c r="F1681" s="391"/>
      <c r="G1681" s="391"/>
    </row>
    <row r="1682" spans="3:7" x14ac:dyDescent="0.2">
      <c r="C1682" s="29" t="s">
        <v>82</v>
      </c>
      <c r="D1682" s="11" t="s">
        <v>3097</v>
      </c>
      <c r="E1682" s="12" t="s">
        <v>1</v>
      </c>
      <c r="F1682" s="12" t="s">
        <v>3140</v>
      </c>
      <c r="G1682" s="12" t="s">
        <v>3249</v>
      </c>
    </row>
    <row r="1683" spans="3:7" x14ac:dyDescent="0.2">
      <c r="C1683" s="5" t="s">
        <v>3649</v>
      </c>
      <c r="D1683" s="6"/>
      <c r="E1683" s="21">
        <v>400000</v>
      </c>
      <c r="F1683" s="8"/>
      <c r="G1683" s="7" t="s">
        <v>3650</v>
      </c>
    </row>
    <row r="1684" spans="3:7" x14ac:dyDescent="0.2">
      <c r="C1684" s="5" t="s">
        <v>3651</v>
      </c>
      <c r="D1684" s="6"/>
      <c r="E1684" s="21">
        <v>200000</v>
      </c>
      <c r="F1684" s="8"/>
      <c r="G1684" s="7" t="s">
        <v>3637</v>
      </c>
    </row>
    <row r="1685" spans="3:7" x14ac:dyDescent="0.2">
      <c r="C1685" s="5" t="s">
        <v>3652</v>
      </c>
      <c r="D1685" s="6"/>
      <c r="E1685" s="21">
        <v>200000</v>
      </c>
      <c r="F1685" s="8"/>
      <c r="G1685" s="7" t="s">
        <v>3653</v>
      </c>
    </row>
    <row r="1686" spans="3:7" x14ac:dyDescent="0.2">
      <c r="C1686" s="5" t="s">
        <v>3654</v>
      </c>
      <c r="D1686" s="6"/>
      <c r="E1686" s="21">
        <v>100000</v>
      </c>
      <c r="F1686" s="8"/>
      <c r="G1686" s="7" t="s">
        <v>3637</v>
      </c>
    </row>
    <row r="1687" spans="3:7" x14ac:dyDescent="0.2">
      <c r="C1687" s="5" t="s">
        <v>3655</v>
      </c>
      <c r="D1687" s="7"/>
      <c r="E1687" s="21">
        <v>581200</v>
      </c>
      <c r="F1687" s="8"/>
      <c r="G1687" s="8"/>
    </row>
    <row r="1688" spans="3:7" x14ac:dyDescent="0.2">
      <c r="C1688" s="5"/>
      <c r="D1688" s="6"/>
      <c r="E1688" s="8"/>
      <c r="F1688" s="8"/>
      <c r="G1688" s="8"/>
    </row>
    <row r="1689" spans="3:7" x14ac:dyDescent="0.2">
      <c r="C1689" s="5"/>
      <c r="D1689" s="6"/>
      <c r="E1689" s="7"/>
      <c r="F1689" s="7"/>
      <c r="G1689" s="8"/>
    </row>
    <row r="1690" spans="3:7" x14ac:dyDescent="0.2">
      <c r="C1690" s="29"/>
      <c r="D1690" s="68"/>
      <c r="E1690" s="13"/>
      <c r="F1690" s="13"/>
      <c r="G1690" s="29"/>
    </row>
    <row r="1691" spans="3:7" x14ac:dyDescent="0.2">
      <c r="E1691" s="9">
        <f>SUM(E1683:E1689)</f>
        <v>1481200</v>
      </c>
      <c r="F1691" s="9">
        <f>SUM(F1683:F1689)</f>
        <v>0</v>
      </c>
      <c r="G1691" s="9">
        <f>SUM(G1683:G1689)</f>
        <v>0</v>
      </c>
    </row>
    <row r="1692" spans="3:7" x14ac:dyDescent="0.2">
      <c r="C1692" s="1"/>
      <c r="E1692" s="3">
        <f>(3300000/2)-E1691</f>
        <v>168800</v>
      </c>
    </row>
    <row r="1695" spans="3:7" ht="26" x14ac:dyDescent="0.3">
      <c r="C1695" s="391" t="s">
        <v>3656</v>
      </c>
      <c r="D1695" s="391"/>
      <c r="E1695" s="391"/>
      <c r="F1695" s="391"/>
      <c r="G1695" s="391"/>
    </row>
    <row r="1696" spans="3:7" x14ac:dyDescent="0.2">
      <c r="C1696" s="29" t="s">
        <v>82</v>
      </c>
      <c r="D1696" s="11" t="s">
        <v>3097</v>
      </c>
      <c r="E1696" s="12" t="s">
        <v>1</v>
      </c>
      <c r="F1696" s="12" t="s">
        <v>3140</v>
      </c>
      <c r="G1696" s="12" t="s">
        <v>3657</v>
      </c>
    </row>
    <row r="1697" spans="3:7" x14ac:dyDescent="0.2">
      <c r="C1697" s="5" t="s">
        <v>3525</v>
      </c>
      <c r="D1697" s="6">
        <v>1</v>
      </c>
      <c r="E1697" s="46">
        <v>2000000</v>
      </c>
      <c r="F1697" s="7">
        <v>0</v>
      </c>
      <c r="G1697" s="7"/>
    </row>
    <row r="1698" spans="3:7" x14ac:dyDescent="0.2">
      <c r="C1698" s="5" t="s">
        <v>3228</v>
      </c>
      <c r="D1698" s="6">
        <v>1</v>
      </c>
      <c r="E1698" s="46">
        <v>600000</v>
      </c>
      <c r="F1698" s="7">
        <v>0</v>
      </c>
      <c r="G1698" s="8"/>
    </row>
    <row r="1699" spans="3:7" x14ac:dyDescent="0.2">
      <c r="C1699" s="5" t="s">
        <v>3526</v>
      </c>
      <c r="D1699" s="6">
        <v>1</v>
      </c>
      <c r="E1699" s="46">
        <v>250000</v>
      </c>
      <c r="F1699" s="7">
        <v>0</v>
      </c>
      <c r="G1699" s="8"/>
    </row>
    <row r="1700" spans="3:7" x14ac:dyDescent="0.2">
      <c r="C1700" s="5" t="s">
        <v>3297</v>
      </c>
      <c r="D1700" s="6">
        <v>1</v>
      </c>
      <c r="E1700" s="46">
        <v>45000</v>
      </c>
      <c r="F1700" s="7">
        <v>0</v>
      </c>
      <c r="G1700" s="8"/>
    </row>
    <row r="1701" spans="3:7" x14ac:dyDescent="0.2">
      <c r="C1701" s="5" t="s">
        <v>3473</v>
      </c>
      <c r="D1701" s="6">
        <v>1</v>
      </c>
      <c r="E1701" s="21">
        <v>362600</v>
      </c>
      <c r="F1701" s="7">
        <v>0</v>
      </c>
      <c r="G1701" s="7"/>
    </row>
    <row r="1702" spans="3:7" x14ac:dyDescent="0.2">
      <c r="C1702" s="5" t="s">
        <v>3474</v>
      </c>
      <c r="D1702" s="6">
        <v>1</v>
      </c>
      <c r="E1702" s="21">
        <v>86600</v>
      </c>
      <c r="F1702" s="7">
        <v>0</v>
      </c>
      <c r="G1702" s="8"/>
    </row>
    <row r="1703" spans="3:7" x14ac:dyDescent="0.2">
      <c r="C1703" s="5" t="s">
        <v>3598</v>
      </c>
      <c r="D1703" s="6">
        <v>1</v>
      </c>
      <c r="E1703" s="21">
        <v>279000</v>
      </c>
      <c r="F1703" s="7">
        <v>0</v>
      </c>
      <c r="G1703" s="7"/>
    </row>
    <row r="1704" spans="3:7" x14ac:dyDescent="0.2">
      <c r="C1704" s="5" t="s">
        <v>3574</v>
      </c>
      <c r="D1704" s="6">
        <v>1</v>
      </c>
      <c r="E1704" s="21">
        <v>86000</v>
      </c>
      <c r="F1704" s="7">
        <v>0</v>
      </c>
      <c r="G1704" s="7"/>
    </row>
    <row r="1705" spans="3:7" x14ac:dyDescent="0.2">
      <c r="C1705" s="5" t="s">
        <v>3642</v>
      </c>
      <c r="D1705" s="6">
        <v>2</v>
      </c>
      <c r="E1705" s="21">
        <v>0</v>
      </c>
      <c r="F1705" s="7">
        <v>0</v>
      </c>
      <c r="G1705" s="7"/>
    </row>
    <row r="1706" spans="3:7" x14ac:dyDescent="0.2">
      <c r="C1706" s="5" t="s">
        <v>3658</v>
      </c>
      <c r="D1706" s="6"/>
      <c r="E1706" s="21">
        <v>20000</v>
      </c>
      <c r="F1706" s="7">
        <v>0</v>
      </c>
      <c r="G1706" s="8" t="s">
        <v>3653</v>
      </c>
    </row>
    <row r="1707" spans="3:7" x14ac:dyDescent="0.2">
      <c r="C1707" s="5" t="s">
        <v>3659</v>
      </c>
      <c r="D1707" s="6"/>
      <c r="E1707" s="21">
        <v>58000</v>
      </c>
      <c r="F1707" s="7">
        <v>0</v>
      </c>
      <c r="G1707" s="8" t="s">
        <v>3653</v>
      </c>
    </row>
    <row r="1708" spans="3:7" x14ac:dyDescent="0.2">
      <c r="C1708" s="5" t="s">
        <v>3660</v>
      </c>
      <c r="D1708" s="6"/>
      <c r="E1708" s="21">
        <v>150000</v>
      </c>
      <c r="F1708" s="7">
        <v>0</v>
      </c>
      <c r="G1708" s="8" t="s">
        <v>3637</v>
      </c>
    </row>
    <row r="1709" spans="3:7" x14ac:dyDescent="0.2">
      <c r="C1709" s="5" t="s">
        <v>3661</v>
      </c>
      <c r="D1709" s="6">
        <v>1</v>
      </c>
      <c r="E1709" s="21">
        <v>2000000</v>
      </c>
      <c r="F1709" s="1">
        <v>0</v>
      </c>
      <c r="G1709" s="7" t="s">
        <v>3653</v>
      </c>
    </row>
    <row r="1710" spans="3:7" x14ac:dyDescent="0.2">
      <c r="C1710" s="5" t="s">
        <v>3662</v>
      </c>
      <c r="D1710" s="6">
        <v>1</v>
      </c>
      <c r="E1710" s="1">
        <v>0</v>
      </c>
      <c r="F1710" s="21">
        <v>420000</v>
      </c>
      <c r="G1710" s="7" t="s">
        <v>3653</v>
      </c>
    </row>
    <row r="1711" spans="3:7" x14ac:dyDescent="0.2">
      <c r="C1711" s="5" t="s">
        <v>3663</v>
      </c>
      <c r="D1711" s="6"/>
      <c r="E1711" s="7">
        <v>0</v>
      </c>
      <c r="F1711" s="21">
        <v>420000</v>
      </c>
      <c r="G1711" s="7" t="s">
        <v>3653</v>
      </c>
    </row>
    <row r="1712" spans="3:7" x14ac:dyDescent="0.2">
      <c r="C1712" s="5"/>
      <c r="D1712" s="6"/>
      <c r="E1712" s="7"/>
      <c r="F1712" s="7"/>
      <c r="G1712" s="7"/>
    </row>
    <row r="1713" spans="3:7" x14ac:dyDescent="0.2">
      <c r="C1713" s="5"/>
      <c r="D1713" s="6"/>
      <c r="E1713" s="7"/>
      <c r="F1713" s="7"/>
      <c r="G1713" s="7"/>
    </row>
    <row r="1714" spans="3:7" x14ac:dyDescent="0.2">
      <c r="C1714" s="5"/>
      <c r="D1714" s="6"/>
      <c r="E1714" s="7"/>
      <c r="F1714" s="7"/>
      <c r="G1714" s="7"/>
    </row>
    <row r="1715" spans="3:7" x14ac:dyDescent="0.2">
      <c r="C1715" s="5"/>
      <c r="D1715" s="6"/>
      <c r="E1715" s="7"/>
      <c r="F1715" s="7"/>
      <c r="G1715" s="7"/>
    </row>
    <row r="1716" spans="3:7" x14ac:dyDescent="0.2">
      <c r="C1716" s="5"/>
      <c r="D1716" s="6"/>
      <c r="E1716" s="7"/>
      <c r="F1716" s="7"/>
      <c r="G1716" s="7"/>
    </row>
    <row r="1717" spans="3:7" x14ac:dyDescent="0.2">
      <c r="C1717" s="5"/>
      <c r="D1717" s="6"/>
      <c r="E1717" s="7"/>
      <c r="F1717" s="7"/>
      <c r="G1717" s="7"/>
    </row>
    <row r="1718" spans="3:7" x14ac:dyDescent="0.2">
      <c r="C1718" s="25" t="s">
        <v>3317</v>
      </c>
      <c r="D1718" s="68">
        <v>1</v>
      </c>
      <c r="E1718" s="13">
        <v>0</v>
      </c>
      <c r="F1718" s="13">
        <v>0</v>
      </c>
      <c r="G1718" s="29">
        <v>0</v>
      </c>
    </row>
    <row r="1719" spans="3:7" x14ac:dyDescent="0.2">
      <c r="C1719" s="29"/>
      <c r="D1719" s="68"/>
      <c r="E1719" s="13"/>
      <c r="F1719" s="13"/>
      <c r="G1719" s="29"/>
    </row>
    <row r="1720" spans="3:7" x14ac:dyDescent="0.2">
      <c r="E1720" s="9">
        <f>SUM(E1697:E1719)</f>
        <v>5937200</v>
      </c>
      <c r="F1720" s="9">
        <f>SUM(F1697:F1719)</f>
        <v>840000</v>
      </c>
      <c r="G1720" s="9">
        <f>SUM(G1697:G1719)</f>
        <v>0</v>
      </c>
    </row>
    <row r="1721" spans="3:7" x14ac:dyDescent="0.2">
      <c r="C1721" s="1"/>
      <c r="E1721" s="3">
        <f>6000000-E1720</f>
        <v>62800</v>
      </c>
    </row>
    <row r="1724" spans="3:7" ht="31.5" customHeight="1" x14ac:dyDescent="0.3">
      <c r="C1724" s="391" t="s">
        <v>3664</v>
      </c>
      <c r="D1724" s="391"/>
      <c r="E1724" s="391"/>
      <c r="F1724" s="391"/>
      <c r="G1724" s="391"/>
    </row>
    <row r="1725" spans="3:7" x14ac:dyDescent="0.2">
      <c r="C1725" s="29" t="s">
        <v>82</v>
      </c>
      <c r="D1725" s="11" t="s">
        <v>3097</v>
      </c>
      <c r="E1725" s="12" t="s">
        <v>1</v>
      </c>
      <c r="F1725" s="12" t="s">
        <v>3140</v>
      </c>
      <c r="G1725" s="12" t="s">
        <v>3657</v>
      </c>
    </row>
    <row r="1726" spans="3:7" x14ac:dyDescent="0.2">
      <c r="C1726" s="5" t="s">
        <v>3525</v>
      </c>
      <c r="D1726" s="6">
        <v>1</v>
      </c>
      <c r="E1726" s="46">
        <v>2000000</v>
      </c>
      <c r="F1726" s="7">
        <v>0</v>
      </c>
      <c r="G1726" s="7"/>
    </row>
    <row r="1727" spans="3:7" x14ac:dyDescent="0.2">
      <c r="C1727" s="5" t="s">
        <v>3228</v>
      </c>
      <c r="D1727" s="6">
        <v>1</v>
      </c>
      <c r="E1727" s="46">
        <v>600000</v>
      </c>
      <c r="F1727" s="7">
        <v>0</v>
      </c>
      <c r="G1727" s="8"/>
    </row>
    <row r="1728" spans="3:7" x14ac:dyDescent="0.2">
      <c r="C1728" s="5" t="s">
        <v>3526</v>
      </c>
      <c r="D1728" s="6">
        <v>1</v>
      </c>
      <c r="E1728" s="46">
        <v>250000</v>
      </c>
      <c r="F1728" s="7">
        <v>0</v>
      </c>
      <c r="G1728" s="8"/>
    </row>
    <row r="1729" spans="3:7" x14ac:dyDescent="0.2">
      <c r="C1729" s="5" t="s">
        <v>3297</v>
      </c>
      <c r="D1729" s="6">
        <v>1</v>
      </c>
      <c r="E1729" s="46">
        <v>45000</v>
      </c>
      <c r="F1729" s="7">
        <v>0</v>
      </c>
      <c r="G1729" s="8"/>
    </row>
    <row r="1730" spans="3:7" x14ac:dyDescent="0.2">
      <c r="C1730" s="5" t="s">
        <v>3473</v>
      </c>
      <c r="D1730" s="6">
        <v>1</v>
      </c>
      <c r="E1730" s="21">
        <v>362600</v>
      </c>
      <c r="F1730" s="7">
        <v>0</v>
      </c>
      <c r="G1730" s="7"/>
    </row>
    <row r="1731" spans="3:7" x14ac:dyDescent="0.2">
      <c r="C1731" s="5" t="s">
        <v>3474</v>
      </c>
      <c r="D1731" s="6">
        <v>1</v>
      </c>
      <c r="E1731" s="21">
        <v>86600</v>
      </c>
      <c r="F1731" s="7">
        <v>0</v>
      </c>
      <c r="G1731" s="8"/>
    </row>
    <row r="1732" spans="3:7" x14ac:dyDescent="0.2">
      <c r="C1732" s="5" t="s">
        <v>3598</v>
      </c>
      <c r="D1732" s="6">
        <v>1</v>
      </c>
      <c r="E1732" s="21">
        <v>279000</v>
      </c>
      <c r="F1732" s="7">
        <v>0</v>
      </c>
      <c r="G1732" s="7"/>
    </row>
    <row r="1733" spans="3:7" x14ac:dyDescent="0.2">
      <c r="C1733" s="5" t="s">
        <v>3574</v>
      </c>
      <c r="D1733" s="6">
        <v>1</v>
      </c>
      <c r="E1733" s="21">
        <v>86000</v>
      </c>
      <c r="F1733" s="7">
        <v>0</v>
      </c>
      <c r="G1733" s="7"/>
    </row>
    <row r="1734" spans="3:7" x14ac:dyDescent="0.2">
      <c r="C1734" s="5" t="s">
        <v>3665</v>
      </c>
      <c r="D1734" s="6">
        <v>1</v>
      </c>
      <c r="E1734" s="17">
        <v>150000</v>
      </c>
      <c r="F1734" s="7">
        <v>0</v>
      </c>
      <c r="G1734" s="7"/>
    </row>
    <row r="1735" spans="3:7" x14ac:dyDescent="0.2">
      <c r="C1735" s="5" t="s">
        <v>3666</v>
      </c>
      <c r="D1735" s="6">
        <v>1</v>
      </c>
      <c r="E1735" s="17">
        <v>100000</v>
      </c>
      <c r="F1735" s="7">
        <v>0</v>
      </c>
      <c r="G1735" s="7"/>
    </row>
    <row r="1736" spans="3:7" x14ac:dyDescent="0.2">
      <c r="C1736" s="5" t="s">
        <v>3667</v>
      </c>
      <c r="D1736" s="6">
        <v>1</v>
      </c>
      <c r="E1736" s="17">
        <v>250000</v>
      </c>
      <c r="F1736" s="7">
        <v>0</v>
      </c>
      <c r="G1736" s="7"/>
    </row>
    <row r="1737" spans="3:7" x14ac:dyDescent="0.2">
      <c r="C1737" s="5" t="s">
        <v>3668</v>
      </c>
      <c r="D1737" s="6">
        <v>1</v>
      </c>
      <c r="E1737" s="17">
        <v>150000</v>
      </c>
      <c r="F1737" s="7">
        <v>0</v>
      </c>
      <c r="G1737" s="7"/>
    </row>
    <row r="1738" spans="3:7" x14ac:dyDescent="0.2">
      <c r="C1738" s="5" t="s">
        <v>3669</v>
      </c>
      <c r="D1738" s="6">
        <v>1</v>
      </c>
      <c r="E1738" s="17">
        <v>50000</v>
      </c>
      <c r="F1738" s="7">
        <v>0</v>
      </c>
      <c r="G1738" s="7"/>
    </row>
    <row r="1739" spans="3:7" x14ac:dyDescent="0.2">
      <c r="C1739" s="5" t="s">
        <v>3670</v>
      </c>
      <c r="D1739" s="6">
        <v>1</v>
      </c>
      <c r="E1739" s="17">
        <v>683000</v>
      </c>
      <c r="F1739" s="7">
        <v>0</v>
      </c>
      <c r="G1739" s="7"/>
    </row>
    <row r="1740" spans="3:7" x14ac:dyDescent="0.2">
      <c r="C1740" s="5" t="s">
        <v>3671</v>
      </c>
      <c r="D1740" s="6">
        <v>1</v>
      </c>
      <c r="E1740" s="17">
        <v>480000</v>
      </c>
      <c r="F1740" s="7">
        <v>0</v>
      </c>
      <c r="G1740" s="7"/>
    </row>
    <row r="1741" spans="3:7" x14ac:dyDescent="0.2">
      <c r="C1741" s="5" t="s">
        <v>3672</v>
      </c>
      <c r="D1741" s="6">
        <v>1</v>
      </c>
      <c r="E1741" s="17">
        <v>100000</v>
      </c>
      <c r="F1741" s="7">
        <v>0</v>
      </c>
      <c r="G1741" s="7"/>
    </row>
    <row r="1742" spans="3:7" x14ac:dyDescent="0.2">
      <c r="C1742" s="5" t="s">
        <v>3673</v>
      </c>
      <c r="D1742" s="6">
        <v>1</v>
      </c>
      <c r="E1742" s="17">
        <v>86500</v>
      </c>
      <c r="F1742" s="7">
        <v>0</v>
      </c>
      <c r="G1742" s="7"/>
    </row>
    <row r="1743" spans="3:7" x14ac:dyDescent="0.2">
      <c r="C1743" s="5" t="s">
        <v>3674</v>
      </c>
      <c r="D1743" s="6">
        <v>1905</v>
      </c>
      <c r="E1743" s="17">
        <f>D1743*100</f>
        <v>190500</v>
      </c>
      <c r="F1743" s="7">
        <v>0</v>
      </c>
      <c r="G1743" s="7"/>
    </row>
    <row r="1744" spans="3:7" ht="16" x14ac:dyDescent="0.2">
      <c r="C1744" s="134" t="s">
        <v>3675</v>
      </c>
      <c r="D1744" s="136">
        <v>8193</v>
      </c>
      <c r="E1744" s="136">
        <v>0</v>
      </c>
      <c r="F1744" s="7">
        <f>D1744*100</f>
        <v>819300</v>
      </c>
      <c r="G1744" s="7"/>
    </row>
    <row r="1745" spans="3:7" x14ac:dyDescent="0.2">
      <c r="C1745" s="5"/>
      <c r="D1745" s="6"/>
      <c r="E1745" s="7"/>
      <c r="F1745" s="7"/>
      <c r="G1745" s="7"/>
    </row>
    <row r="1746" spans="3:7" x14ac:dyDescent="0.2">
      <c r="C1746" s="25" t="s">
        <v>3317</v>
      </c>
      <c r="D1746" s="68">
        <v>1</v>
      </c>
      <c r="E1746" s="13">
        <v>0</v>
      </c>
      <c r="F1746" s="13">
        <v>0</v>
      </c>
      <c r="G1746" s="29">
        <v>0</v>
      </c>
    </row>
    <row r="1747" spans="3:7" x14ac:dyDescent="0.2">
      <c r="C1747" s="29"/>
      <c r="D1747" s="68"/>
      <c r="E1747" s="13"/>
      <c r="F1747" s="13"/>
      <c r="G1747" s="29"/>
    </row>
    <row r="1748" spans="3:7" x14ac:dyDescent="0.2">
      <c r="E1748" s="9">
        <f>SUM(E1726:E1747)</f>
        <v>5949200</v>
      </c>
      <c r="F1748" s="9">
        <f>SUM(F1726:F1747)</f>
        <v>819300</v>
      </c>
      <c r="G1748" s="9">
        <f>SUM(G1726:G1747)</f>
        <v>0</v>
      </c>
    </row>
    <row r="1749" spans="3:7" x14ac:dyDescent="0.2">
      <c r="C1749" s="1"/>
      <c r="E1749" s="3">
        <f>6000000-E1748</f>
        <v>50800</v>
      </c>
    </row>
    <row r="1753" spans="3:7" ht="26" x14ac:dyDescent="0.3">
      <c r="C1753" s="391" t="s">
        <v>3676</v>
      </c>
      <c r="D1753" s="391"/>
      <c r="E1753" s="391"/>
      <c r="F1753" s="391"/>
      <c r="G1753" s="391"/>
    </row>
    <row r="1754" spans="3:7" x14ac:dyDescent="0.2">
      <c r="C1754" s="29" t="s">
        <v>82</v>
      </c>
      <c r="D1754" s="11" t="s">
        <v>3097</v>
      </c>
      <c r="E1754" s="12" t="s">
        <v>1</v>
      </c>
      <c r="F1754" s="12" t="s">
        <v>3140</v>
      </c>
      <c r="G1754" s="12" t="s">
        <v>3657</v>
      </c>
    </row>
    <row r="1755" spans="3:7" x14ac:dyDescent="0.2">
      <c r="C1755" s="5" t="s">
        <v>3525</v>
      </c>
      <c r="D1755" s="6">
        <v>1</v>
      </c>
      <c r="E1755" s="46">
        <v>2000000</v>
      </c>
      <c r="F1755" s="7">
        <v>0</v>
      </c>
      <c r="G1755" s="7"/>
    </row>
    <row r="1756" spans="3:7" x14ac:dyDescent="0.2">
      <c r="C1756" s="5" t="s">
        <v>3228</v>
      </c>
      <c r="D1756" s="6">
        <v>1</v>
      </c>
      <c r="E1756" s="46">
        <v>600000</v>
      </c>
      <c r="F1756" s="7">
        <v>0</v>
      </c>
      <c r="G1756" s="8"/>
    </row>
    <row r="1757" spans="3:7" x14ac:dyDescent="0.2">
      <c r="C1757" s="5" t="s">
        <v>3526</v>
      </c>
      <c r="D1757" s="6">
        <v>1</v>
      </c>
      <c r="E1757" s="46">
        <v>250000</v>
      </c>
      <c r="F1757" s="7">
        <v>0</v>
      </c>
      <c r="G1757" s="8"/>
    </row>
    <row r="1758" spans="3:7" x14ac:dyDescent="0.2">
      <c r="C1758" s="5" t="s">
        <v>3297</v>
      </c>
      <c r="D1758" s="6">
        <v>1</v>
      </c>
      <c r="E1758" s="46">
        <v>45000</v>
      </c>
      <c r="F1758" s="7">
        <v>0</v>
      </c>
      <c r="G1758" s="8"/>
    </row>
    <row r="1759" spans="3:7" x14ac:dyDescent="0.2">
      <c r="C1759" s="5" t="s">
        <v>3473</v>
      </c>
      <c r="D1759" s="6">
        <v>1</v>
      </c>
      <c r="E1759" s="21">
        <v>362600</v>
      </c>
      <c r="F1759" s="7">
        <v>0</v>
      </c>
      <c r="G1759" s="7"/>
    </row>
    <row r="1760" spans="3:7" x14ac:dyDescent="0.2">
      <c r="C1760" s="5" t="s">
        <v>3474</v>
      </c>
      <c r="D1760" s="6">
        <v>1</v>
      </c>
      <c r="E1760" s="21">
        <v>86600</v>
      </c>
      <c r="F1760" s="7">
        <v>0</v>
      </c>
      <c r="G1760" s="8"/>
    </row>
    <row r="1761" spans="3:7" x14ac:dyDescent="0.2">
      <c r="C1761" s="5" t="s">
        <v>3598</v>
      </c>
      <c r="D1761" s="6">
        <v>1</v>
      </c>
      <c r="E1761" s="21">
        <v>279000</v>
      </c>
      <c r="F1761" s="7">
        <v>0</v>
      </c>
      <c r="G1761" s="7"/>
    </row>
    <row r="1762" spans="3:7" x14ac:dyDescent="0.2">
      <c r="C1762" s="5" t="s">
        <v>3574</v>
      </c>
      <c r="D1762" s="6">
        <v>1</v>
      </c>
      <c r="E1762" s="21">
        <v>86000</v>
      </c>
      <c r="F1762" s="7">
        <v>0</v>
      </c>
      <c r="G1762" s="7"/>
    </row>
    <row r="1763" spans="3:7" x14ac:dyDescent="0.2">
      <c r="C1763" s="5" t="s">
        <v>3677</v>
      </c>
      <c r="D1763" s="6">
        <v>1</v>
      </c>
      <c r="E1763" s="17">
        <v>480000</v>
      </c>
      <c r="F1763" s="7">
        <v>0</v>
      </c>
      <c r="G1763" s="7"/>
    </row>
    <row r="1764" spans="3:7" x14ac:dyDescent="0.2">
      <c r="C1764" s="5" t="s">
        <v>3678</v>
      </c>
      <c r="D1764" s="6">
        <v>1</v>
      </c>
      <c r="E1764" s="17">
        <v>150000</v>
      </c>
      <c r="F1764" s="7">
        <v>0</v>
      </c>
      <c r="G1764" s="7"/>
    </row>
    <row r="1765" spans="3:7" x14ac:dyDescent="0.2">
      <c r="C1765" s="5" t="s">
        <v>3679</v>
      </c>
      <c r="D1765" s="6">
        <v>1</v>
      </c>
      <c r="E1765" s="17">
        <v>70000</v>
      </c>
      <c r="F1765" s="7">
        <v>0</v>
      </c>
      <c r="G1765" s="7"/>
    </row>
    <row r="1766" spans="3:7" x14ac:dyDescent="0.2">
      <c r="C1766" s="5" t="s">
        <v>3680</v>
      </c>
      <c r="D1766" s="6">
        <v>1</v>
      </c>
      <c r="E1766" s="17">
        <v>465000</v>
      </c>
      <c r="F1766" s="7">
        <v>0</v>
      </c>
      <c r="G1766" s="7"/>
    </row>
    <row r="1767" spans="3:7" x14ac:dyDescent="0.2">
      <c r="C1767" s="5" t="s">
        <v>3681</v>
      </c>
      <c r="D1767" s="6">
        <v>1</v>
      </c>
      <c r="E1767" s="17">
        <v>40000</v>
      </c>
      <c r="F1767" s="7">
        <v>0</v>
      </c>
      <c r="G1767" s="7"/>
    </row>
    <row r="1768" spans="3:7" x14ac:dyDescent="0.2">
      <c r="C1768" s="5" t="s">
        <v>3682</v>
      </c>
      <c r="D1768" s="6">
        <v>1</v>
      </c>
      <c r="E1768" s="17">
        <v>30000</v>
      </c>
      <c r="F1768" s="7">
        <v>0</v>
      </c>
      <c r="G1768" s="7"/>
    </row>
    <row r="1769" spans="3:7" x14ac:dyDescent="0.2">
      <c r="C1769" s="5" t="s">
        <v>3683</v>
      </c>
      <c r="D1769" s="6">
        <v>1</v>
      </c>
      <c r="E1769" s="17">
        <v>900000</v>
      </c>
      <c r="F1769" s="7">
        <v>0</v>
      </c>
      <c r="G1769" s="7"/>
    </row>
    <row r="1770" spans="3:7" x14ac:dyDescent="0.2">
      <c r="C1770" s="5" t="s">
        <v>3684</v>
      </c>
      <c r="D1770" s="6">
        <v>1</v>
      </c>
      <c r="E1770" s="17">
        <v>100000</v>
      </c>
      <c r="F1770" s="7">
        <v>0</v>
      </c>
      <c r="G1770" s="7"/>
    </row>
    <row r="1771" spans="3:7" x14ac:dyDescent="0.2">
      <c r="C1771" s="5" t="s">
        <v>3685</v>
      </c>
      <c r="D1771" s="6">
        <v>1</v>
      </c>
      <c r="E1771" s="17">
        <v>80000</v>
      </c>
      <c r="F1771" s="7">
        <v>0</v>
      </c>
      <c r="G1771" s="7"/>
    </row>
    <row r="1772" spans="3:7" x14ac:dyDescent="0.2">
      <c r="C1772" s="5"/>
      <c r="D1772" s="6"/>
      <c r="E1772" s="7"/>
      <c r="F1772" s="7"/>
      <c r="G1772" s="7"/>
    </row>
    <row r="1773" spans="3:7" x14ac:dyDescent="0.2">
      <c r="C1773" s="134"/>
      <c r="D1773" s="136"/>
      <c r="E1773" s="136"/>
      <c r="F1773" s="7"/>
      <c r="G1773" s="7"/>
    </row>
    <row r="1774" spans="3:7" x14ac:dyDescent="0.2">
      <c r="C1774" s="5"/>
      <c r="D1774" s="6"/>
      <c r="E1774" s="7"/>
      <c r="F1774" s="7"/>
      <c r="G1774" s="7"/>
    </row>
    <row r="1775" spans="3:7" x14ac:dyDescent="0.2">
      <c r="C1775" s="25" t="s">
        <v>3317</v>
      </c>
      <c r="D1775" s="68">
        <v>1</v>
      </c>
      <c r="E1775" s="13">
        <v>0</v>
      </c>
      <c r="F1775" s="13">
        <v>0</v>
      </c>
      <c r="G1775" s="29">
        <v>0</v>
      </c>
    </row>
    <row r="1776" spans="3:7" x14ac:dyDescent="0.2">
      <c r="C1776" s="29"/>
      <c r="D1776" s="68"/>
      <c r="E1776" s="13"/>
      <c r="F1776" s="13"/>
      <c r="G1776" s="29"/>
    </row>
    <row r="1777" spans="3:14" x14ac:dyDescent="0.2">
      <c r="E1777" s="9">
        <f>SUM(E1755:E1776)</f>
        <v>6024200</v>
      </c>
      <c r="F1777" s="9">
        <f>SUM(F1755:F1776)</f>
        <v>0</v>
      </c>
      <c r="G1777" s="9">
        <f>SUM(G1755:G1776)</f>
        <v>0</v>
      </c>
    </row>
    <row r="1778" spans="3:14" x14ac:dyDescent="0.2">
      <c r="C1778" s="1"/>
      <c r="E1778" s="3">
        <f>6000000-E1777</f>
        <v>-24200</v>
      </c>
    </row>
    <row r="1783" spans="3:14" ht="26" x14ac:dyDescent="0.3">
      <c r="C1783" s="391" t="s">
        <v>3686</v>
      </c>
      <c r="D1783" s="391"/>
      <c r="E1783" s="391"/>
      <c r="F1783" s="391"/>
      <c r="G1783" s="391"/>
      <c r="J1783" s="391" t="s">
        <v>3687</v>
      </c>
      <c r="K1783" s="391"/>
      <c r="L1783" s="391"/>
      <c r="M1783" s="391"/>
      <c r="N1783" s="391"/>
    </row>
    <row r="1784" spans="3:14" x14ac:dyDescent="0.2">
      <c r="C1784" s="29" t="s">
        <v>82</v>
      </c>
      <c r="D1784" s="11" t="s">
        <v>3097</v>
      </c>
      <c r="E1784" s="12" t="s">
        <v>1</v>
      </c>
      <c r="F1784" s="12" t="s">
        <v>3140</v>
      </c>
      <c r="G1784" s="12" t="s">
        <v>3657</v>
      </c>
      <c r="J1784" s="12" t="s">
        <v>82</v>
      </c>
      <c r="K1784" s="11" t="s">
        <v>3097</v>
      </c>
      <c r="L1784" s="12" t="s">
        <v>1</v>
      </c>
      <c r="M1784" s="12" t="s">
        <v>3140</v>
      </c>
      <c r="N1784" s="12" t="s">
        <v>3657</v>
      </c>
    </row>
    <row r="1785" spans="3:14" x14ac:dyDescent="0.2">
      <c r="C1785" s="5" t="s">
        <v>3525</v>
      </c>
      <c r="D1785" s="6">
        <v>1</v>
      </c>
      <c r="E1785" s="46">
        <v>2000000</v>
      </c>
      <c r="F1785" s="7">
        <v>0</v>
      </c>
      <c r="G1785" s="7"/>
      <c r="J1785" s="5"/>
      <c r="K1785" s="6"/>
      <c r="L1785" s="7"/>
      <c r="M1785" s="7"/>
      <c r="N1785" s="7"/>
    </row>
    <row r="1786" spans="3:14" x14ac:dyDescent="0.2">
      <c r="C1786" s="5" t="s">
        <v>3228</v>
      </c>
      <c r="D1786" s="6">
        <v>1</v>
      </c>
      <c r="E1786" s="46">
        <v>600000</v>
      </c>
      <c r="F1786" s="7">
        <v>0</v>
      </c>
      <c r="G1786" s="8"/>
      <c r="J1786" s="5" t="s">
        <v>3688</v>
      </c>
      <c r="K1786" s="6">
        <v>1</v>
      </c>
      <c r="L1786" s="21">
        <v>1400000</v>
      </c>
      <c r="M1786" s="7"/>
      <c r="N1786" s="8"/>
    </row>
    <row r="1787" spans="3:14" x14ac:dyDescent="0.2">
      <c r="C1787" s="5" t="s">
        <v>3526</v>
      </c>
      <c r="D1787" s="6">
        <v>1</v>
      </c>
      <c r="E1787" s="46">
        <v>250000</v>
      </c>
      <c r="F1787" s="7">
        <v>0</v>
      </c>
      <c r="G1787" s="8"/>
      <c r="J1787" s="5"/>
      <c r="K1787" s="6"/>
      <c r="L1787" s="7"/>
      <c r="M1787" s="7"/>
      <c r="N1787" s="8"/>
    </row>
    <row r="1788" spans="3:14" x14ac:dyDescent="0.2">
      <c r="C1788" s="5" t="s">
        <v>3297</v>
      </c>
      <c r="D1788" s="6">
        <v>1</v>
      </c>
      <c r="E1788" s="46">
        <v>45000</v>
      </c>
      <c r="F1788" s="7">
        <v>0</v>
      </c>
      <c r="G1788" s="8"/>
      <c r="J1788" s="5" t="s">
        <v>3689</v>
      </c>
      <c r="K1788" s="6">
        <v>1</v>
      </c>
      <c r="L1788" s="21">
        <v>930000</v>
      </c>
      <c r="M1788" s="7"/>
      <c r="N1788" s="8"/>
    </row>
    <row r="1789" spans="3:14" x14ac:dyDescent="0.2">
      <c r="C1789" s="5" t="s">
        <v>3473</v>
      </c>
      <c r="D1789" s="6">
        <v>1</v>
      </c>
      <c r="E1789" s="21">
        <v>362600</v>
      </c>
      <c r="F1789" s="7">
        <v>0</v>
      </c>
      <c r="G1789" s="7"/>
      <c r="J1789" s="5" t="s">
        <v>3581</v>
      </c>
      <c r="K1789" s="6">
        <v>1</v>
      </c>
      <c r="L1789" s="21">
        <v>420000</v>
      </c>
      <c r="M1789" s="7"/>
      <c r="N1789" s="7"/>
    </row>
    <row r="1790" spans="3:14" x14ac:dyDescent="0.2">
      <c r="C1790" s="5" t="s">
        <v>3474</v>
      </c>
      <c r="D1790" s="6">
        <v>1</v>
      </c>
      <c r="E1790" s="21">
        <v>86600</v>
      </c>
      <c r="F1790" s="7">
        <v>0</v>
      </c>
      <c r="G1790" s="8"/>
      <c r="J1790" s="5"/>
      <c r="K1790" s="6"/>
      <c r="L1790" s="7"/>
      <c r="M1790" s="7"/>
      <c r="N1790" s="8"/>
    </row>
    <row r="1791" spans="3:14" x14ac:dyDescent="0.2">
      <c r="C1791" s="5" t="s">
        <v>3598</v>
      </c>
      <c r="D1791" s="6">
        <v>1</v>
      </c>
      <c r="E1791" s="21">
        <v>279000</v>
      </c>
      <c r="F1791" s="7">
        <v>0</v>
      </c>
      <c r="G1791" s="7"/>
      <c r="J1791" s="5" t="s">
        <v>3690</v>
      </c>
      <c r="K1791" s="6"/>
      <c r="L1791" s="21">
        <v>2250000</v>
      </c>
      <c r="M1791" s="7"/>
      <c r="N1791" s="7"/>
    </row>
    <row r="1792" spans="3:14" x14ac:dyDescent="0.2">
      <c r="C1792" s="5" t="s">
        <v>3574</v>
      </c>
      <c r="D1792" s="6">
        <v>1</v>
      </c>
      <c r="E1792" s="21">
        <v>86000</v>
      </c>
      <c r="F1792" s="7">
        <v>0</v>
      </c>
      <c r="G1792" s="7"/>
      <c r="J1792" s="5"/>
      <c r="K1792" s="6"/>
      <c r="L1792" s="7"/>
      <c r="M1792" s="7"/>
      <c r="N1792" s="7"/>
    </row>
    <row r="1793" spans="3:14" x14ac:dyDescent="0.2">
      <c r="C1793" s="5" t="s">
        <v>3691</v>
      </c>
      <c r="D1793" s="6">
        <v>5800</v>
      </c>
      <c r="E1793" s="21">
        <v>1160000</v>
      </c>
      <c r="F1793" s="7">
        <v>0</v>
      </c>
      <c r="G1793" s="7"/>
      <c r="J1793" s="5"/>
      <c r="K1793" s="6"/>
      <c r="L1793" s="7"/>
      <c r="M1793" s="7"/>
      <c r="N1793" s="7"/>
    </row>
    <row r="1794" spans="3:14" x14ac:dyDescent="0.2">
      <c r="C1794" s="5" t="s">
        <v>3692</v>
      </c>
      <c r="D1794" s="6">
        <v>1</v>
      </c>
      <c r="E1794" s="21">
        <v>930000</v>
      </c>
      <c r="F1794" s="7">
        <v>0</v>
      </c>
      <c r="G1794" s="7"/>
      <c r="J1794" s="5"/>
      <c r="K1794" s="6"/>
      <c r="L1794" s="7"/>
      <c r="M1794" s="7"/>
      <c r="N1794" s="7"/>
    </row>
    <row r="1795" spans="3:14" x14ac:dyDescent="0.2">
      <c r="C1795" s="5"/>
      <c r="D1795" s="6"/>
      <c r="E1795" s="7"/>
      <c r="F1795" s="7"/>
      <c r="G1795" s="7"/>
      <c r="J1795" s="5"/>
      <c r="K1795" s="6"/>
      <c r="L1795" s="7"/>
      <c r="M1795" s="7"/>
      <c r="N1795" s="7"/>
    </row>
    <row r="1796" spans="3:14" x14ac:dyDescent="0.2">
      <c r="C1796" s="5" t="s">
        <v>3693</v>
      </c>
      <c r="D1796" s="6">
        <v>5</v>
      </c>
      <c r="E1796" s="21">
        <f>325000-F1796</f>
        <v>201000</v>
      </c>
      <c r="F1796" s="7">
        <v>124000</v>
      </c>
      <c r="G1796" s="7"/>
      <c r="J1796" s="5"/>
      <c r="K1796" s="6"/>
      <c r="L1796" s="7"/>
      <c r="M1796" s="7"/>
      <c r="N1796" s="7"/>
    </row>
    <row r="1797" spans="3:14" x14ac:dyDescent="0.2">
      <c r="C1797" s="5"/>
      <c r="D1797" s="6"/>
      <c r="E1797" s="138"/>
      <c r="F1797" s="7"/>
      <c r="G1797" s="7"/>
      <c r="J1797" s="5"/>
      <c r="K1797" s="6"/>
      <c r="L1797" s="7"/>
      <c r="M1797" s="7"/>
      <c r="N1797" s="7"/>
    </row>
    <row r="1798" spans="3:14" x14ac:dyDescent="0.2">
      <c r="C1798" s="5" t="s">
        <v>3694</v>
      </c>
      <c r="D1798" s="6">
        <v>1</v>
      </c>
      <c r="E1798" s="138">
        <v>420000</v>
      </c>
      <c r="F1798" s="7"/>
      <c r="G1798" s="7"/>
      <c r="J1798" s="5"/>
      <c r="K1798" s="6"/>
      <c r="L1798" s="7"/>
      <c r="M1798" s="7"/>
      <c r="N1798" s="7"/>
    </row>
    <row r="1799" spans="3:14" x14ac:dyDescent="0.2">
      <c r="C1799" s="5" t="s">
        <v>3695</v>
      </c>
      <c r="D1799" s="6">
        <v>1</v>
      </c>
      <c r="E1799" s="138">
        <v>100000</v>
      </c>
      <c r="F1799" s="7"/>
      <c r="G1799" s="7"/>
      <c r="J1799" s="5"/>
      <c r="K1799" s="6"/>
      <c r="L1799" s="7"/>
      <c r="M1799" s="7"/>
      <c r="N1799" s="7"/>
    </row>
    <row r="1800" spans="3:14" x14ac:dyDescent="0.2">
      <c r="C1800" s="5" t="s">
        <v>3696</v>
      </c>
      <c r="D1800" s="6">
        <v>1</v>
      </c>
      <c r="E1800" s="138">
        <v>100000</v>
      </c>
      <c r="F1800" s="7"/>
      <c r="G1800" s="7"/>
      <c r="J1800" s="5"/>
      <c r="K1800" s="6"/>
      <c r="L1800" s="7"/>
      <c r="M1800" s="7"/>
      <c r="N1800" s="7"/>
    </row>
    <row r="1801" spans="3:14" x14ac:dyDescent="0.2">
      <c r="C1801" s="5" t="s">
        <v>3697</v>
      </c>
      <c r="D1801" s="6">
        <v>1</v>
      </c>
      <c r="E1801" s="138">
        <v>100000</v>
      </c>
      <c r="F1801" s="7"/>
      <c r="G1801" s="7"/>
      <c r="J1801" s="5"/>
      <c r="K1801" s="6"/>
      <c r="L1801" s="7"/>
      <c r="M1801" s="7"/>
      <c r="N1801" s="7"/>
    </row>
    <row r="1802" spans="3:14" x14ac:dyDescent="0.2">
      <c r="C1802" s="5" t="s">
        <v>3698</v>
      </c>
      <c r="D1802" s="6">
        <v>1</v>
      </c>
      <c r="E1802" s="138">
        <v>50000</v>
      </c>
      <c r="F1802" s="7"/>
      <c r="G1802" s="7"/>
      <c r="J1802" s="5"/>
      <c r="K1802" s="6"/>
      <c r="L1802" s="7"/>
      <c r="M1802" s="7"/>
      <c r="N1802" s="7"/>
    </row>
    <row r="1803" spans="3:14" x14ac:dyDescent="0.2">
      <c r="C1803" s="5" t="s">
        <v>3699</v>
      </c>
      <c r="D1803" s="6">
        <v>1</v>
      </c>
      <c r="E1803" s="138">
        <v>25000</v>
      </c>
      <c r="F1803" s="7"/>
      <c r="G1803" s="7"/>
      <c r="J1803" s="5"/>
      <c r="K1803" s="6"/>
      <c r="L1803" s="7"/>
      <c r="M1803" s="7"/>
      <c r="N1803" s="7"/>
    </row>
    <row r="1804" spans="3:14" x14ac:dyDescent="0.2">
      <c r="C1804" s="134"/>
      <c r="D1804" s="136"/>
      <c r="E1804" s="138"/>
      <c r="F1804" s="7"/>
      <c r="G1804" s="7"/>
      <c r="J1804" s="134"/>
      <c r="K1804" s="136"/>
      <c r="L1804" s="136"/>
      <c r="M1804" s="7"/>
      <c r="N1804" s="7"/>
    </row>
    <row r="1805" spans="3:14" x14ac:dyDescent="0.2">
      <c r="C1805" s="5"/>
      <c r="D1805" s="6"/>
      <c r="E1805" s="49"/>
      <c r="F1805" s="7"/>
      <c r="G1805" s="7"/>
      <c r="J1805" s="5"/>
      <c r="K1805" s="6"/>
      <c r="L1805" s="7"/>
      <c r="M1805" s="7"/>
      <c r="N1805" s="7"/>
    </row>
    <row r="1806" spans="3:14" x14ac:dyDescent="0.2">
      <c r="C1806" s="25" t="s">
        <v>3317</v>
      </c>
      <c r="D1806" s="68">
        <v>1</v>
      </c>
      <c r="E1806" s="13">
        <v>0</v>
      </c>
      <c r="F1806" s="13">
        <v>0</v>
      </c>
      <c r="G1806" s="29">
        <v>0</v>
      </c>
      <c r="J1806" s="25" t="s">
        <v>3317</v>
      </c>
      <c r="K1806" s="68">
        <v>1</v>
      </c>
      <c r="L1806" s="13">
        <v>0</v>
      </c>
      <c r="M1806" s="13">
        <v>0</v>
      </c>
      <c r="N1806" s="29">
        <v>0</v>
      </c>
    </row>
    <row r="1807" spans="3:14" x14ac:dyDescent="0.2">
      <c r="C1807" s="29"/>
      <c r="D1807" s="68"/>
      <c r="E1807" s="13"/>
      <c r="F1807" s="13"/>
      <c r="G1807" s="29"/>
      <c r="J1807" s="29"/>
      <c r="K1807" s="68"/>
      <c r="L1807" s="13"/>
      <c r="M1807" s="13"/>
      <c r="N1807" s="29"/>
    </row>
    <row r="1808" spans="3:14" x14ac:dyDescent="0.2">
      <c r="E1808" s="9">
        <f>SUM(E1785:E1807)</f>
        <v>6795200</v>
      </c>
      <c r="F1808" s="9">
        <f>SUM(F1785:F1807)</f>
        <v>124000</v>
      </c>
      <c r="G1808" s="9">
        <f>SUM(G1785:G1807)</f>
        <v>0</v>
      </c>
      <c r="K1808" s="4"/>
      <c r="L1808" s="9">
        <f>SUM(L1785:L1807)</f>
        <v>5000000</v>
      </c>
      <c r="M1808" s="9">
        <f>SUM(M1785:M1807)</f>
        <v>0</v>
      </c>
      <c r="N1808" s="9">
        <f>SUM(N1785:N1807)</f>
        <v>0</v>
      </c>
    </row>
    <row r="1809" spans="1:14" x14ac:dyDescent="0.2">
      <c r="C1809" s="1"/>
      <c r="E1809" s="3">
        <f>6000000-E1808</f>
        <v>-795200</v>
      </c>
      <c r="J1809" s="1"/>
      <c r="K1809" s="4"/>
      <c r="L1809" s="3">
        <f>5000000-L1808</f>
        <v>0</v>
      </c>
      <c r="M1809" s="1"/>
      <c r="N1809" s="1"/>
    </row>
    <row r="1810" spans="1:14" x14ac:dyDescent="0.2">
      <c r="C1810">
        <v>45206</v>
      </c>
      <c r="E1810" s="1">
        <v>100000</v>
      </c>
      <c r="I1810" t="s">
        <v>3700</v>
      </c>
    </row>
    <row r="1816" spans="1:14" x14ac:dyDescent="0.2">
      <c r="D1816"/>
      <c r="E1816"/>
      <c r="F1816"/>
      <c r="G1816"/>
    </row>
    <row r="1817" spans="1:14" x14ac:dyDescent="0.2">
      <c r="D1817" s="1">
        <v>30</v>
      </c>
      <c r="E1817" s="1">
        <v>31</v>
      </c>
      <c r="F1817" s="1">
        <v>1</v>
      </c>
      <c r="G1817" s="1">
        <v>2</v>
      </c>
      <c r="H1817" s="1">
        <v>3</v>
      </c>
    </row>
    <row r="1818" spans="1:14" x14ac:dyDescent="0.2">
      <c r="C1818" s="274"/>
      <c r="D1818" s="140" t="s">
        <v>3701</v>
      </c>
      <c r="E1818" s="140" t="s">
        <v>3702</v>
      </c>
      <c r="F1818" s="140" t="s">
        <v>3703</v>
      </c>
      <c r="G1818" s="140" t="s">
        <v>3704</v>
      </c>
      <c r="H1818" s="140" t="s">
        <v>3705</v>
      </c>
      <c r="J1818" s="140" t="s">
        <v>3706</v>
      </c>
    </row>
    <row r="1819" spans="1:14" x14ac:dyDescent="0.2">
      <c r="A1819" s="1">
        <v>40</v>
      </c>
      <c r="C1819" s="111" t="s">
        <v>3707</v>
      </c>
      <c r="D1819" s="91">
        <v>40000</v>
      </c>
      <c r="E1819" s="31">
        <v>0</v>
      </c>
      <c r="F1819" s="31">
        <v>0</v>
      </c>
      <c r="G1819" s="31">
        <v>0</v>
      </c>
      <c r="H1819" s="31">
        <v>0</v>
      </c>
      <c r="J1819" s="91">
        <f>SUM(D1819:H1819)</f>
        <v>40000</v>
      </c>
    </row>
    <row r="1820" spans="1:14" x14ac:dyDescent="0.2">
      <c r="A1820" s="1">
        <v>40</v>
      </c>
      <c r="C1820" s="111" t="s">
        <v>3708</v>
      </c>
      <c r="D1820" s="91">
        <v>40000</v>
      </c>
      <c r="E1820" s="31">
        <v>0</v>
      </c>
      <c r="F1820" s="31">
        <v>0</v>
      </c>
      <c r="G1820" s="31">
        <v>0</v>
      </c>
      <c r="H1820" s="31">
        <v>0</v>
      </c>
      <c r="J1820" s="91">
        <f t="shared" ref="J1820:J1841" si="3">SUM(D1820:H1820)</f>
        <v>40000</v>
      </c>
    </row>
    <row r="1821" spans="1:14" x14ac:dyDescent="0.2">
      <c r="A1821" s="1">
        <v>40</v>
      </c>
      <c r="C1821" s="111" t="s">
        <v>3709</v>
      </c>
      <c r="D1821" s="91">
        <v>40000</v>
      </c>
      <c r="E1821" s="31">
        <v>0</v>
      </c>
      <c r="F1821" s="31">
        <v>0</v>
      </c>
      <c r="G1821" s="31">
        <v>0</v>
      </c>
      <c r="H1821" s="31">
        <v>0</v>
      </c>
      <c r="J1821" s="91">
        <f t="shared" si="3"/>
        <v>40000</v>
      </c>
    </row>
    <row r="1822" spans="1:14" x14ac:dyDescent="0.2">
      <c r="A1822" s="1" t="s">
        <v>3710</v>
      </c>
      <c r="C1822" s="89" t="s">
        <v>3711</v>
      </c>
      <c r="D1822" s="91">
        <v>40000</v>
      </c>
      <c r="E1822" s="31">
        <v>0</v>
      </c>
      <c r="F1822" s="31">
        <v>0</v>
      </c>
      <c r="G1822" s="31">
        <v>0</v>
      </c>
      <c r="H1822" s="31">
        <v>0</v>
      </c>
      <c r="J1822" s="91">
        <f t="shared" si="3"/>
        <v>40000</v>
      </c>
    </row>
    <row r="1823" spans="1:14" x14ac:dyDescent="0.2">
      <c r="A1823" s="1" t="s">
        <v>3710</v>
      </c>
      <c r="C1823" s="89" t="s">
        <v>3712</v>
      </c>
      <c r="D1823" s="91">
        <v>40000</v>
      </c>
      <c r="E1823" s="31">
        <v>0</v>
      </c>
      <c r="F1823" s="31">
        <v>0</v>
      </c>
      <c r="G1823" s="31">
        <v>0</v>
      </c>
      <c r="H1823" s="31">
        <v>0</v>
      </c>
      <c r="J1823" s="91">
        <f t="shared" si="3"/>
        <v>40000</v>
      </c>
    </row>
    <row r="1824" spans="1:14" x14ac:dyDescent="0.2">
      <c r="A1824" s="1">
        <v>200</v>
      </c>
      <c r="C1824" s="111" t="s">
        <v>3713</v>
      </c>
      <c r="D1824" s="115">
        <v>40000</v>
      </c>
      <c r="E1824" s="31">
        <v>80000</v>
      </c>
      <c r="F1824" s="31">
        <v>40000</v>
      </c>
      <c r="G1824" s="31">
        <v>0</v>
      </c>
      <c r="H1824" s="31">
        <v>40000</v>
      </c>
      <c r="J1824" s="115">
        <f t="shared" si="3"/>
        <v>200000</v>
      </c>
    </row>
    <row r="1825" spans="1:10" x14ac:dyDescent="0.2">
      <c r="A1825" s="1">
        <v>230</v>
      </c>
      <c r="C1825" s="111" t="s">
        <v>3714</v>
      </c>
      <c r="D1825" s="125">
        <v>50000</v>
      </c>
      <c r="E1825" s="125">
        <v>50000</v>
      </c>
      <c r="F1825" s="125">
        <v>50000</v>
      </c>
      <c r="G1825" s="125">
        <v>40000</v>
      </c>
      <c r="H1825" s="125">
        <v>40000</v>
      </c>
      <c r="J1825" s="91">
        <f t="shared" si="3"/>
        <v>230000</v>
      </c>
    </row>
    <row r="1826" spans="1:10" x14ac:dyDescent="0.2">
      <c r="A1826" s="1">
        <v>160</v>
      </c>
      <c r="C1826" s="111" t="s">
        <v>3715</v>
      </c>
      <c r="D1826" s="31">
        <v>40000</v>
      </c>
      <c r="E1826" s="31">
        <v>40000</v>
      </c>
      <c r="F1826" s="31">
        <v>40000</v>
      </c>
      <c r="G1826" s="31">
        <v>0</v>
      </c>
      <c r="H1826" s="31">
        <v>40000</v>
      </c>
      <c r="J1826" s="31">
        <f t="shared" si="3"/>
        <v>160000</v>
      </c>
    </row>
    <row r="1827" spans="1:10" x14ac:dyDescent="0.2">
      <c r="A1827" s="1">
        <v>280</v>
      </c>
      <c r="C1827" s="111" t="s">
        <v>3716</v>
      </c>
      <c r="D1827" s="125">
        <v>40000</v>
      </c>
      <c r="E1827" s="125">
        <v>80000</v>
      </c>
      <c r="F1827" s="125">
        <v>80000</v>
      </c>
      <c r="G1827" s="125">
        <v>40000</v>
      </c>
      <c r="H1827" s="125">
        <v>40000</v>
      </c>
      <c r="J1827" s="91">
        <f t="shared" si="3"/>
        <v>280000</v>
      </c>
    </row>
    <row r="1828" spans="1:10" x14ac:dyDescent="0.2">
      <c r="A1828" s="1">
        <v>40</v>
      </c>
      <c r="C1828" s="111" t="s">
        <v>3717</v>
      </c>
      <c r="D1828" s="31">
        <v>40000</v>
      </c>
      <c r="E1828" s="31">
        <v>0</v>
      </c>
      <c r="F1828" s="31">
        <v>0</v>
      </c>
      <c r="G1828" s="31">
        <v>0</v>
      </c>
      <c r="H1828" s="31">
        <v>0</v>
      </c>
      <c r="J1828" s="31">
        <f t="shared" si="3"/>
        <v>40000</v>
      </c>
    </row>
    <row r="1829" spans="1:10" x14ac:dyDescent="0.2">
      <c r="A1829" s="1">
        <v>140</v>
      </c>
      <c r="C1829" s="111" t="s">
        <v>3718</v>
      </c>
      <c r="D1829" s="31">
        <v>40000</v>
      </c>
      <c r="E1829" s="31">
        <v>0</v>
      </c>
      <c r="F1829" s="31">
        <v>40000</v>
      </c>
      <c r="G1829" s="31">
        <v>0</v>
      </c>
      <c r="H1829" s="31">
        <v>40000</v>
      </c>
      <c r="J1829" s="31">
        <f t="shared" si="3"/>
        <v>120000</v>
      </c>
    </row>
    <row r="1830" spans="1:10" x14ac:dyDescent="0.2">
      <c r="A1830" s="1">
        <v>100</v>
      </c>
      <c r="C1830" s="111" t="s">
        <v>3719</v>
      </c>
      <c r="D1830" s="125">
        <v>50000</v>
      </c>
      <c r="E1830" s="125">
        <v>0</v>
      </c>
      <c r="F1830" s="125">
        <v>50000</v>
      </c>
      <c r="G1830" s="125">
        <v>0</v>
      </c>
      <c r="H1830" s="125">
        <v>0</v>
      </c>
      <c r="J1830" s="31">
        <f t="shared" si="3"/>
        <v>100000</v>
      </c>
    </row>
    <row r="1831" spans="1:10" x14ac:dyDescent="0.2">
      <c r="A1831" s="1">
        <v>80</v>
      </c>
      <c r="C1831" s="111" t="s">
        <v>3719</v>
      </c>
      <c r="D1831" s="31">
        <v>40000</v>
      </c>
      <c r="E1831" s="31">
        <v>0</v>
      </c>
      <c r="F1831" s="31">
        <v>40000</v>
      </c>
      <c r="G1831" s="31">
        <v>0</v>
      </c>
      <c r="H1831" s="31">
        <v>0</v>
      </c>
      <c r="J1831" s="31">
        <f t="shared" si="3"/>
        <v>80000</v>
      </c>
    </row>
    <row r="1832" spans="1:10" x14ac:dyDescent="0.2">
      <c r="A1832" s="1">
        <v>100</v>
      </c>
      <c r="C1832" s="111" t="s">
        <v>3720</v>
      </c>
      <c r="D1832" s="31">
        <v>0</v>
      </c>
      <c r="E1832" s="31">
        <v>50000</v>
      </c>
      <c r="F1832" s="31">
        <v>50000</v>
      </c>
      <c r="G1832" s="31">
        <v>0</v>
      </c>
      <c r="H1832" s="31">
        <v>0</v>
      </c>
      <c r="J1832" s="31">
        <f t="shared" si="3"/>
        <v>100000</v>
      </c>
    </row>
    <row r="1833" spans="1:10" x14ac:dyDescent="0.2">
      <c r="A1833" s="1">
        <v>160</v>
      </c>
      <c r="C1833" s="111" t="s">
        <v>3721</v>
      </c>
      <c r="D1833" s="31">
        <v>80000</v>
      </c>
      <c r="E1833" s="31">
        <v>80000</v>
      </c>
      <c r="F1833" s="31">
        <v>40000</v>
      </c>
      <c r="G1833" s="31">
        <v>0</v>
      </c>
      <c r="H1833" s="31">
        <v>0</v>
      </c>
      <c r="J1833" s="31">
        <f t="shared" si="3"/>
        <v>200000</v>
      </c>
    </row>
    <row r="1834" spans="1:10" x14ac:dyDescent="0.2">
      <c r="A1834" s="1" t="s">
        <v>3710</v>
      </c>
      <c r="C1834" s="89" t="s">
        <v>3722</v>
      </c>
      <c r="D1834" s="91">
        <v>40000</v>
      </c>
      <c r="E1834" s="31">
        <v>0</v>
      </c>
      <c r="F1834" s="31">
        <v>0</v>
      </c>
      <c r="G1834" s="31">
        <v>0</v>
      </c>
      <c r="H1834" s="31">
        <v>0</v>
      </c>
      <c r="J1834" s="91">
        <f t="shared" si="3"/>
        <v>40000</v>
      </c>
    </row>
    <row r="1835" spans="1:10" x14ac:dyDescent="0.2">
      <c r="A1835" s="1">
        <v>80</v>
      </c>
      <c r="C1835" s="111" t="s">
        <v>3723</v>
      </c>
      <c r="D1835" s="125">
        <v>0</v>
      </c>
      <c r="E1835" s="125">
        <v>80000</v>
      </c>
      <c r="F1835" s="125">
        <v>0</v>
      </c>
      <c r="G1835" s="125">
        <v>0</v>
      </c>
      <c r="H1835" s="125">
        <v>0</v>
      </c>
      <c r="J1835" s="31">
        <f t="shared" si="3"/>
        <v>80000</v>
      </c>
    </row>
    <row r="1836" spans="1:10" x14ac:dyDescent="0.2">
      <c r="A1836" s="1">
        <v>80</v>
      </c>
      <c r="C1836" s="111" t="s">
        <v>3724</v>
      </c>
      <c r="D1836" s="125">
        <v>0</v>
      </c>
      <c r="E1836" s="125">
        <v>80000</v>
      </c>
      <c r="F1836" s="125">
        <v>0</v>
      </c>
      <c r="G1836" s="125">
        <v>0</v>
      </c>
      <c r="H1836" s="125">
        <v>0</v>
      </c>
      <c r="J1836" s="31">
        <f t="shared" si="3"/>
        <v>80000</v>
      </c>
    </row>
    <row r="1837" spans="1:10" x14ac:dyDescent="0.2">
      <c r="A1837" s="1">
        <v>80</v>
      </c>
      <c r="C1837" s="111" t="s">
        <v>3725</v>
      </c>
      <c r="D1837" s="125">
        <v>0</v>
      </c>
      <c r="E1837" s="125">
        <v>80000</v>
      </c>
      <c r="F1837" s="125">
        <v>0</v>
      </c>
      <c r="G1837" s="125">
        <v>0</v>
      </c>
      <c r="H1837" s="125">
        <v>0</v>
      </c>
      <c r="J1837" s="31">
        <f t="shared" si="3"/>
        <v>80000</v>
      </c>
    </row>
    <row r="1838" spans="1:10" x14ac:dyDescent="0.2">
      <c r="A1838" s="1">
        <v>80</v>
      </c>
      <c r="C1838" s="111" t="s">
        <v>3726</v>
      </c>
      <c r="D1838" s="125">
        <v>0</v>
      </c>
      <c r="E1838" s="125">
        <v>80000</v>
      </c>
      <c r="F1838" s="125">
        <v>0</v>
      </c>
      <c r="G1838" s="125">
        <v>0</v>
      </c>
      <c r="H1838" s="125">
        <v>0</v>
      </c>
      <c r="J1838" s="31">
        <f t="shared" si="3"/>
        <v>80000</v>
      </c>
    </row>
    <row r="1839" spans="1:10" x14ac:dyDescent="0.2">
      <c r="A1839" s="1"/>
      <c r="D1839"/>
      <c r="E1839"/>
      <c r="F1839"/>
      <c r="G1839"/>
    </row>
    <row r="1840" spans="1:10" x14ac:dyDescent="0.2">
      <c r="A1840" s="1">
        <v>112</v>
      </c>
      <c r="C1840" s="5" t="s">
        <v>1598</v>
      </c>
      <c r="D1840" s="31">
        <v>65000</v>
      </c>
      <c r="E1840" s="31">
        <v>32000</v>
      </c>
      <c r="F1840" s="31">
        <v>15000</v>
      </c>
      <c r="G1840" s="31">
        <v>0</v>
      </c>
      <c r="H1840" s="31">
        <v>0</v>
      </c>
      <c r="J1840" s="31">
        <f t="shared" si="3"/>
        <v>112000</v>
      </c>
    </row>
    <row r="1841" spans="1:10" x14ac:dyDescent="0.2">
      <c r="A1841" s="1">
        <v>450</v>
      </c>
      <c r="C1841" s="5" t="s">
        <v>3727</v>
      </c>
      <c r="D1841" s="31">
        <v>150000</v>
      </c>
      <c r="E1841" s="31">
        <v>150000</v>
      </c>
      <c r="F1841" s="31">
        <v>150000</v>
      </c>
      <c r="G1841" s="31">
        <v>0</v>
      </c>
      <c r="H1841" s="31">
        <v>0</v>
      </c>
      <c r="J1841" s="31">
        <f t="shared" si="3"/>
        <v>450000</v>
      </c>
    </row>
    <row r="1842" spans="1:10" x14ac:dyDescent="0.2">
      <c r="D1842" s="121"/>
      <c r="E1842" s="121"/>
      <c r="F1842" s="121"/>
      <c r="G1842" s="121"/>
      <c r="H1842" s="32"/>
    </row>
    <row r="1843" spans="1:10" x14ac:dyDescent="0.2">
      <c r="A1843" s="142">
        <f>SUM(A1818:A1841)</f>
        <v>2492</v>
      </c>
      <c r="B1843" s="142"/>
      <c r="D1843" s="30">
        <f>SUM(D1819:D1842)</f>
        <v>875000</v>
      </c>
      <c r="E1843" s="30">
        <f>SUM(E1819:E1842)</f>
        <v>882000</v>
      </c>
      <c r="F1843" s="30">
        <f>SUM(F1819:F1842)</f>
        <v>595000</v>
      </c>
      <c r="G1843" s="30">
        <f>SUM(G1819:G1842)</f>
        <v>80000</v>
      </c>
      <c r="H1843" s="30">
        <f>SUM(H1819:H1842)</f>
        <v>200000</v>
      </c>
      <c r="J1843" s="141">
        <f>SUM(D1843:H1843)</f>
        <v>2632000</v>
      </c>
    </row>
    <row r="1844" spans="1:10" x14ac:dyDescent="0.2">
      <c r="D1844"/>
      <c r="E1844"/>
      <c r="F1844"/>
      <c r="G1844"/>
    </row>
    <row r="1845" spans="1:10" x14ac:dyDescent="0.2">
      <c r="D1845"/>
      <c r="E1845"/>
      <c r="F1845"/>
      <c r="G1845"/>
    </row>
    <row r="1849" spans="1:10" ht="26" x14ac:dyDescent="0.3">
      <c r="C1849" s="391" t="s">
        <v>3728</v>
      </c>
      <c r="D1849" s="391"/>
      <c r="E1849" s="391"/>
      <c r="F1849" s="391"/>
      <c r="G1849" s="391"/>
    </row>
    <row r="1850" spans="1:10" x14ac:dyDescent="0.2">
      <c r="C1850" s="29" t="s">
        <v>82</v>
      </c>
      <c r="D1850" s="11" t="s">
        <v>3097</v>
      </c>
      <c r="E1850" s="12" t="s">
        <v>1</v>
      </c>
      <c r="F1850" s="12" t="s">
        <v>3140</v>
      </c>
      <c r="G1850" s="12" t="s">
        <v>3657</v>
      </c>
    </row>
    <row r="1851" spans="1:10" x14ac:dyDescent="0.2">
      <c r="C1851" s="5" t="s">
        <v>3525</v>
      </c>
      <c r="D1851" s="6">
        <v>1</v>
      </c>
      <c r="E1851" s="46">
        <v>2000000</v>
      </c>
      <c r="F1851" s="7">
        <v>0</v>
      </c>
      <c r="G1851" s="7"/>
    </row>
    <row r="1852" spans="1:10" x14ac:dyDescent="0.2">
      <c r="C1852" s="5" t="s">
        <v>3228</v>
      </c>
      <c r="D1852" s="6">
        <v>1</v>
      </c>
      <c r="E1852" s="46">
        <v>600000</v>
      </c>
      <c r="F1852" s="7">
        <v>0</v>
      </c>
      <c r="G1852" s="8"/>
    </row>
    <row r="1853" spans="1:10" x14ac:dyDescent="0.2">
      <c r="C1853" s="5" t="s">
        <v>3526</v>
      </c>
      <c r="D1853" s="6">
        <v>1</v>
      </c>
      <c r="E1853" s="46">
        <v>250000</v>
      </c>
      <c r="F1853" s="7">
        <v>0</v>
      </c>
      <c r="G1853" s="8"/>
    </row>
    <row r="1854" spans="1:10" x14ac:dyDescent="0.2">
      <c r="C1854" s="5" t="s">
        <v>3297</v>
      </c>
      <c r="D1854" s="6">
        <v>1</v>
      </c>
      <c r="E1854" s="46">
        <v>45000</v>
      </c>
      <c r="F1854" s="7">
        <v>0</v>
      </c>
      <c r="G1854" s="8"/>
    </row>
    <row r="1855" spans="1:10" x14ac:dyDescent="0.2">
      <c r="C1855" s="5" t="s">
        <v>3473</v>
      </c>
      <c r="D1855" s="6">
        <v>1</v>
      </c>
      <c r="E1855" s="21">
        <v>362600</v>
      </c>
      <c r="F1855" s="7">
        <v>0</v>
      </c>
      <c r="G1855" s="7"/>
    </row>
    <row r="1856" spans="1:10" x14ac:dyDescent="0.2">
      <c r="C1856" s="5" t="s">
        <v>3474</v>
      </c>
      <c r="D1856" s="6">
        <v>1</v>
      </c>
      <c r="E1856" s="21">
        <v>86600</v>
      </c>
      <c r="F1856" s="7">
        <v>0</v>
      </c>
      <c r="G1856" s="8"/>
    </row>
    <row r="1857" spans="3:14" x14ac:dyDescent="0.2">
      <c r="C1857" s="5" t="s">
        <v>3598</v>
      </c>
      <c r="D1857" s="6">
        <v>1</v>
      </c>
      <c r="E1857" s="21">
        <v>279000</v>
      </c>
      <c r="F1857" s="7">
        <v>0</v>
      </c>
      <c r="G1857" s="7"/>
    </row>
    <row r="1858" spans="3:14" x14ac:dyDescent="0.2">
      <c r="C1858" s="5" t="s">
        <v>3574</v>
      </c>
      <c r="D1858" s="6">
        <v>1</v>
      </c>
      <c r="E1858" s="21">
        <v>86000</v>
      </c>
      <c r="F1858" s="7">
        <v>0</v>
      </c>
      <c r="G1858" s="7"/>
    </row>
    <row r="1859" spans="3:14" x14ac:dyDescent="0.2">
      <c r="C1859" s="5" t="s">
        <v>3694</v>
      </c>
      <c r="D1859" s="6">
        <v>1</v>
      </c>
      <c r="E1859" s="138">
        <v>0</v>
      </c>
      <c r="F1859" s="147">
        <v>400000</v>
      </c>
      <c r="G1859" s="7"/>
    </row>
    <row r="1860" spans="3:14" x14ac:dyDescent="0.2">
      <c r="C1860" s="5" t="s">
        <v>3695</v>
      </c>
      <c r="D1860" s="6">
        <v>1</v>
      </c>
      <c r="E1860" s="138">
        <v>100000</v>
      </c>
      <c r="F1860" s="7">
        <v>0</v>
      </c>
      <c r="G1860" s="7"/>
    </row>
    <row r="1861" spans="3:14" x14ac:dyDescent="0.2">
      <c r="C1861" s="5" t="s">
        <v>3696</v>
      </c>
      <c r="D1861" s="6">
        <v>1</v>
      </c>
      <c r="E1861" s="138">
        <v>100000</v>
      </c>
      <c r="F1861" s="7">
        <v>0</v>
      </c>
      <c r="G1861" s="7"/>
      <c r="J1861" s="145"/>
      <c r="K1861" s="145"/>
      <c r="L1861" s="145"/>
      <c r="M1861" s="145"/>
      <c r="N1861" s="145"/>
    </row>
    <row r="1862" spans="3:14" x14ac:dyDescent="0.2">
      <c r="C1862" s="5" t="s">
        <v>3729</v>
      </c>
      <c r="D1862" s="6">
        <v>1</v>
      </c>
      <c r="E1862" s="138">
        <v>150000</v>
      </c>
      <c r="F1862" s="7">
        <v>0</v>
      </c>
      <c r="G1862" s="7"/>
      <c r="J1862" s="182"/>
      <c r="K1862" s="183"/>
      <c r="L1862" s="184"/>
      <c r="M1862" s="8"/>
      <c r="N1862" s="5"/>
    </row>
    <row r="1863" spans="3:14" x14ac:dyDescent="0.2">
      <c r="C1863" s="5" t="s">
        <v>3698</v>
      </c>
      <c r="D1863" s="6">
        <v>1</v>
      </c>
      <c r="E1863" s="138">
        <v>50000</v>
      </c>
      <c r="F1863" s="7">
        <v>0</v>
      </c>
      <c r="G1863" s="7"/>
      <c r="J1863" s="182"/>
      <c r="K1863" s="183"/>
      <c r="L1863" s="184"/>
      <c r="M1863" s="8"/>
      <c r="N1863" s="5"/>
    </row>
    <row r="1864" spans="3:14" x14ac:dyDescent="0.2">
      <c r="C1864" s="5" t="s">
        <v>3699</v>
      </c>
      <c r="D1864" s="6">
        <v>1</v>
      </c>
      <c r="E1864" s="138">
        <v>25000</v>
      </c>
      <c r="F1864" s="7">
        <v>0</v>
      </c>
      <c r="G1864" s="7"/>
      <c r="J1864" s="182"/>
      <c r="K1864" s="183"/>
      <c r="L1864" s="184"/>
      <c r="M1864" s="8"/>
      <c r="N1864" s="5"/>
    </row>
    <row r="1865" spans="3:14" x14ac:dyDescent="0.2">
      <c r="C1865" s="5" t="s">
        <v>3730</v>
      </c>
      <c r="D1865" s="6">
        <v>1</v>
      </c>
      <c r="E1865" s="138">
        <v>0</v>
      </c>
      <c r="F1865" s="147">
        <v>400000</v>
      </c>
      <c r="G1865" s="7"/>
      <c r="J1865" s="182"/>
      <c r="K1865" s="183"/>
      <c r="L1865" s="184"/>
      <c r="M1865" s="8"/>
      <c r="N1865" s="5"/>
    </row>
    <row r="1866" spans="3:14" x14ac:dyDescent="0.2">
      <c r="C1866" s="5" t="s">
        <v>3731</v>
      </c>
      <c r="D1866" s="6">
        <v>1</v>
      </c>
      <c r="E1866" s="138">
        <v>640000</v>
      </c>
      <c r="F1866" s="7">
        <v>0</v>
      </c>
      <c r="G1866" s="7"/>
      <c r="J1866" s="182"/>
      <c r="K1866" s="183"/>
      <c r="L1866" s="184"/>
      <c r="M1866" s="8"/>
      <c r="N1866" s="5"/>
    </row>
    <row r="1867" spans="3:14" x14ac:dyDescent="0.2">
      <c r="C1867" s="5" t="s">
        <v>3732</v>
      </c>
      <c r="D1867" s="6">
        <v>1</v>
      </c>
      <c r="E1867" s="138">
        <v>600000</v>
      </c>
      <c r="F1867" s="7">
        <v>0</v>
      </c>
      <c r="G1867" s="7"/>
      <c r="J1867" s="182"/>
      <c r="K1867" s="183"/>
      <c r="L1867" s="184"/>
      <c r="M1867" s="8"/>
      <c r="N1867" s="5"/>
    </row>
    <row r="1868" spans="3:14" x14ac:dyDescent="0.2">
      <c r="C1868" s="5" t="s">
        <v>3733</v>
      </c>
      <c r="D1868" s="6">
        <v>1</v>
      </c>
      <c r="E1868" s="138">
        <v>109000</v>
      </c>
      <c r="F1868" s="7">
        <v>0</v>
      </c>
      <c r="G1868" s="7"/>
      <c r="N1868" s="144"/>
    </row>
    <row r="1869" spans="3:14" x14ac:dyDescent="0.2">
      <c r="C1869" s="5" t="s">
        <v>3734</v>
      </c>
      <c r="D1869" s="6">
        <v>1</v>
      </c>
      <c r="E1869" s="138">
        <v>515000</v>
      </c>
      <c r="F1869" s="7">
        <v>0</v>
      </c>
      <c r="G1869" s="7"/>
    </row>
    <row r="1870" spans="3:14" x14ac:dyDescent="0.2">
      <c r="C1870" s="29"/>
      <c r="D1870" s="68"/>
      <c r="E1870" s="13"/>
      <c r="F1870" s="13"/>
      <c r="G1870" s="29"/>
      <c r="M1870" s="146"/>
    </row>
    <row r="1871" spans="3:14" x14ac:dyDescent="0.2">
      <c r="E1871" s="9">
        <f>SUM(E1851:E1870)</f>
        <v>5998200</v>
      </c>
      <c r="F1871" s="9">
        <f>SUM(F1851:F1870)</f>
        <v>800000</v>
      </c>
      <c r="G1871" s="9">
        <f>SUM(G1851:G1870)</f>
        <v>0</v>
      </c>
    </row>
    <row r="1872" spans="3:14" x14ac:dyDescent="0.2">
      <c r="C1872" s="1"/>
      <c r="E1872" s="3">
        <f>6000000-E1871</f>
        <v>1800</v>
      </c>
      <c r="M1872" s="146"/>
    </row>
    <row r="1875" spans="3:7" ht="26" x14ac:dyDescent="0.3">
      <c r="C1875" s="391" t="s">
        <v>3735</v>
      </c>
      <c r="D1875" s="391"/>
      <c r="E1875" s="391"/>
      <c r="F1875" s="391"/>
      <c r="G1875" s="391"/>
    </row>
    <row r="1876" spans="3:7" x14ac:dyDescent="0.2">
      <c r="C1876" s="29" t="s">
        <v>82</v>
      </c>
      <c r="D1876" s="11" t="s">
        <v>3097</v>
      </c>
      <c r="E1876" s="12" t="s">
        <v>1</v>
      </c>
      <c r="F1876" s="12" t="s">
        <v>3140</v>
      </c>
      <c r="G1876" s="12" t="s">
        <v>3657</v>
      </c>
    </row>
    <row r="1877" spans="3:7" x14ac:dyDescent="0.2">
      <c r="C1877" s="5" t="s">
        <v>3736</v>
      </c>
      <c r="D1877" s="6"/>
      <c r="E1877" s="138">
        <v>2000000</v>
      </c>
      <c r="F1877" s="7"/>
      <c r="G1877" s="7"/>
    </row>
    <row r="1878" spans="3:7" x14ac:dyDescent="0.2">
      <c r="C1878" s="5" t="s">
        <v>3737</v>
      </c>
      <c r="D1878" s="6"/>
      <c r="E1878" s="138">
        <v>1100000</v>
      </c>
      <c r="F1878" s="7"/>
      <c r="G1878" s="7"/>
    </row>
    <row r="1879" spans="3:7" x14ac:dyDescent="0.2">
      <c r="C1879" s="5"/>
      <c r="D1879" s="6"/>
      <c r="E1879" s="138"/>
      <c r="F1879" s="7"/>
      <c r="G1879" s="7"/>
    </row>
    <row r="1880" spans="3:7" x14ac:dyDescent="0.2">
      <c r="C1880" s="5"/>
      <c r="D1880" s="6"/>
      <c r="E1880" s="138"/>
      <c r="F1880" s="7"/>
      <c r="G1880" s="7"/>
    </row>
    <row r="1881" spans="3:7" x14ac:dyDescent="0.2">
      <c r="C1881" s="29"/>
      <c r="D1881" s="68"/>
      <c r="E1881" s="13"/>
      <c r="F1881" s="13"/>
      <c r="G1881" s="29"/>
    </row>
    <row r="1882" spans="3:7" x14ac:dyDescent="0.2">
      <c r="E1882" s="9">
        <f>SUM(E1877:E1881)</f>
        <v>3100000</v>
      </c>
      <c r="F1882" s="9">
        <f>SUM(F1877:F1881)</f>
        <v>0</v>
      </c>
      <c r="G1882" s="9">
        <f>SUM(G1877:G1881)</f>
        <v>0</v>
      </c>
    </row>
    <row r="1883" spans="3:7" x14ac:dyDescent="0.2">
      <c r="C1883" s="1"/>
      <c r="E1883" s="3">
        <f>(7400000/2)-E1882</f>
        <v>600000</v>
      </c>
    </row>
    <row r="1888" spans="3:7" ht="26" x14ac:dyDescent="0.3">
      <c r="C1888" s="391" t="s">
        <v>3738</v>
      </c>
      <c r="D1888" s="391"/>
      <c r="E1888" s="391"/>
      <c r="F1888" s="391"/>
      <c r="G1888" s="391"/>
    </row>
    <row r="1889" spans="3:10" x14ac:dyDescent="0.2">
      <c r="C1889" s="29" t="s">
        <v>82</v>
      </c>
      <c r="D1889" s="11" t="s">
        <v>3097</v>
      </c>
      <c r="E1889" s="12" t="s">
        <v>1</v>
      </c>
      <c r="F1889" s="12" t="s">
        <v>3140</v>
      </c>
      <c r="G1889" s="12" t="s">
        <v>3657</v>
      </c>
    </row>
    <row r="1890" spans="3:10" x14ac:dyDescent="0.2">
      <c r="C1890" s="5" t="s">
        <v>3525</v>
      </c>
      <c r="D1890" s="6">
        <v>1</v>
      </c>
      <c r="E1890" s="46">
        <v>2000000</v>
      </c>
      <c r="F1890" s="7">
        <v>0</v>
      </c>
      <c r="G1890" s="7"/>
    </row>
    <row r="1891" spans="3:10" x14ac:dyDescent="0.2">
      <c r="C1891" s="5" t="s">
        <v>3228</v>
      </c>
      <c r="D1891" s="6">
        <v>1</v>
      </c>
      <c r="E1891" s="46">
        <v>600000</v>
      </c>
      <c r="F1891" s="7">
        <v>0</v>
      </c>
      <c r="G1891" s="8"/>
    </row>
    <row r="1892" spans="3:10" x14ac:dyDescent="0.2">
      <c r="C1892" s="5" t="s">
        <v>3526</v>
      </c>
      <c r="D1892" s="6">
        <v>1</v>
      </c>
      <c r="E1892" s="46">
        <v>250000</v>
      </c>
      <c r="F1892" s="7">
        <v>0</v>
      </c>
      <c r="G1892" s="8"/>
    </row>
    <row r="1893" spans="3:10" x14ac:dyDescent="0.2">
      <c r="C1893" s="5" t="s">
        <v>3297</v>
      </c>
      <c r="D1893" s="6">
        <v>1</v>
      </c>
      <c r="E1893" s="46">
        <v>45000</v>
      </c>
      <c r="F1893" s="7">
        <v>0</v>
      </c>
      <c r="G1893" s="8"/>
    </row>
    <row r="1894" spans="3:10" x14ac:dyDescent="0.2">
      <c r="C1894" s="5" t="s">
        <v>3473</v>
      </c>
      <c r="D1894" s="6">
        <v>1</v>
      </c>
      <c r="E1894" s="21">
        <v>362600</v>
      </c>
      <c r="F1894" s="7">
        <v>0</v>
      </c>
      <c r="G1894" s="7"/>
    </row>
    <row r="1895" spans="3:10" x14ac:dyDescent="0.2">
      <c r="C1895" s="5" t="s">
        <v>3474</v>
      </c>
      <c r="D1895" s="6">
        <v>1</v>
      </c>
      <c r="E1895" s="21">
        <v>86600</v>
      </c>
      <c r="F1895" s="7">
        <v>0</v>
      </c>
      <c r="G1895" s="8"/>
    </row>
    <row r="1896" spans="3:10" x14ac:dyDescent="0.2">
      <c r="C1896" s="5" t="s">
        <v>3598</v>
      </c>
      <c r="D1896" s="6">
        <v>1</v>
      </c>
      <c r="E1896" s="21">
        <v>279000</v>
      </c>
      <c r="F1896" s="7">
        <v>0</v>
      </c>
      <c r="G1896" s="7"/>
    </row>
    <row r="1897" spans="3:10" x14ac:dyDescent="0.2">
      <c r="C1897" s="5" t="s">
        <v>3574</v>
      </c>
      <c r="D1897" s="6">
        <v>1</v>
      </c>
      <c r="E1897" s="21">
        <v>279000</v>
      </c>
      <c r="F1897" s="7">
        <v>0</v>
      </c>
      <c r="G1897" s="7"/>
    </row>
    <row r="1898" spans="3:10" x14ac:dyDescent="0.2">
      <c r="C1898" s="5" t="s">
        <v>3739</v>
      </c>
      <c r="D1898" s="6">
        <v>500</v>
      </c>
      <c r="E1898" s="147">
        <f>D1898*500</f>
        <v>250000</v>
      </c>
      <c r="F1898" s="7">
        <v>0</v>
      </c>
      <c r="G1898" s="7"/>
    </row>
    <row r="1899" spans="3:10" x14ac:dyDescent="0.2">
      <c r="C1899" s="5" t="s">
        <v>3740</v>
      </c>
      <c r="D1899" s="6">
        <v>1</v>
      </c>
      <c r="E1899" s="147">
        <v>1800000</v>
      </c>
      <c r="F1899" s="7">
        <v>0</v>
      </c>
      <c r="G1899" s="7"/>
    </row>
    <row r="1900" spans="3:10" x14ac:dyDescent="0.2">
      <c r="C1900" s="5"/>
      <c r="D1900" s="6"/>
      <c r="E1900" s="138"/>
      <c r="F1900" s="7"/>
      <c r="G1900" s="7"/>
      <c r="J1900">
        <v>4872000</v>
      </c>
    </row>
    <row r="1901" spans="3:10" x14ac:dyDescent="0.2">
      <c r="C1901" s="5"/>
      <c r="D1901" s="6"/>
      <c r="E1901" s="138"/>
      <c r="F1901" s="7"/>
      <c r="G1901" s="7"/>
      <c r="J1901" s="148">
        <v>0.05</v>
      </c>
    </row>
    <row r="1902" spans="3:10" x14ac:dyDescent="0.2">
      <c r="C1902" s="5"/>
      <c r="D1902" s="6"/>
      <c r="E1902" s="138"/>
      <c r="F1902" s="7"/>
      <c r="G1902" s="7"/>
      <c r="J1902">
        <f>J1900*J1901</f>
        <v>243600</v>
      </c>
    </row>
    <row r="1903" spans="3:10" x14ac:dyDescent="0.2">
      <c r="C1903" s="5"/>
      <c r="D1903" s="6"/>
      <c r="E1903" s="138"/>
      <c r="F1903" s="7"/>
      <c r="G1903" s="7"/>
    </row>
    <row r="1904" spans="3:10" x14ac:dyDescent="0.2">
      <c r="C1904" s="5"/>
      <c r="D1904" s="6"/>
      <c r="E1904" s="138"/>
      <c r="F1904" s="7"/>
      <c r="G1904" s="7"/>
    </row>
    <row r="1905" spans="3:7" x14ac:dyDescent="0.2">
      <c r="C1905" s="5"/>
      <c r="D1905" s="6"/>
      <c r="E1905" s="138"/>
      <c r="F1905" s="7"/>
      <c r="G1905" s="7"/>
    </row>
    <row r="1906" spans="3:7" x14ac:dyDescent="0.2">
      <c r="C1906" s="5"/>
      <c r="D1906" s="6"/>
      <c r="E1906" s="138"/>
      <c r="F1906" s="7"/>
      <c r="G1906" s="7"/>
    </row>
    <row r="1907" spans="3:7" x14ac:dyDescent="0.2">
      <c r="C1907" s="5"/>
      <c r="D1907" s="6"/>
      <c r="E1907" s="138"/>
      <c r="F1907" s="7"/>
      <c r="G1907" s="7"/>
    </row>
    <row r="1908" spans="3:7" x14ac:dyDescent="0.2">
      <c r="C1908" s="5"/>
      <c r="D1908" s="6"/>
      <c r="E1908" s="138"/>
      <c r="F1908" s="7"/>
      <c r="G1908" s="7"/>
    </row>
    <row r="1909" spans="3:7" x14ac:dyDescent="0.2">
      <c r="C1909" s="29"/>
      <c r="D1909" s="68"/>
      <c r="E1909" s="13"/>
      <c r="F1909" s="13"/>
      <c r="G1909" s="29"/>
    </row>
    <row r="1910" spans="3:7" x14ac:dyDescent="0.2">
      <c r="E1910" s="9">
        <f>SUM(E1890:E1909)</f>
        <v>5952200</v>
      </c>
      <c r="F1910" s="9">
        <f>SUM(F1890:F1909)</f>
        <v>0</v>
      </c>
      <c r="G1910" s="9">
        <f>SUM(G1890:G1909)</f>
        <v>0</v>
      </c>
    </row>
    <row r="1911" spans="3:7" x14ac:dyDescent="0.2">
      <c r="C1911" s="1"/>
      <c r="E1911" s="3">
        <f>6000000-E1910</f>
        <v>47800</v>
      </c>
    </row>
    <row r="1914" spans="3:7" ht="26" x14ac:dyDescent="0.3">
      <c r="C1914" s="391" t="s">
        <v>3741</v>
      </c>
      <c r="D1914" s="391"/>
      <c r="E1914" s="391"/>
      <c r="F1914" s="391"/>
      <c r="G1914" s="391"/>
    </row>
    <row r="1915" spans="3:7" x14ac:dyDescent="0.2">
      <c r="C1915" s="29" t="s">
        <v>82</v>
      </c>
      <c r="D1915" s="11" t="s">
        <v>3097</v>
      </c>
      <c r="E1915" s="12" t="s">
        <v>1</v>
      </c>
      <c r="F1915" s="12" t="s">
        <v>3140</v>
      </c>
      <c r="G1915" s="12" t="s">
        <v>3657</v>
      </c>
    </row>
    <row r="1916" spans="3:7" x14ac:dyDescent="0.2">
      <c r="C1916" s="5" t="s">
        <v>3525</v>
      </c>
      <c r="D1916" s="6">
        <v>1</v>
      </c>
      <c r="E1916" s="46">
        <v>2000000</v>
      </c>
      <c r="F1916" s="7">
        <v>0</v>
      </c>
      <c r="G1916" s="7"/>
    </row>
    <row r="1917" spans="3:7" x14ac:dyDescent="0.2">
      <c r="C1917" s="5" t="s">
        <v>3228</v>
      </c>
      <c r="D1917" s="6">
        <v>1</v>
      </c>
      <c r="E1917" s="46">
        <v>600000</v>
      </c>
      <c r="F1917" s="7">
        <v>0</v>
      </c>
      <c r="G1917" s="8"/>
    </row>
    <row r="1918" spans="3:7" x14ac:dyDescent="0.2">
      <c r="C1918" s="5" t="s">
        <v>3526</v>
      </c>
      <c r="D1918" s="6">
        <v>1</v>
      </c>
      <c r="E1918" s="46">
        <v>250000</v>
      </c>
      <c r="F1918" s="7">
        <v>0</v>
      </c>
      <c r="G1918" s="8"/>
    </row>
    <row r="1919" spans="3:7" x14ac:dyDescent="0.2">
      <c r="C1919" s="5" t="s">
        <v>3297</v>
      </c>
      <c r="D1919" s="6">
        <v>1</v>
      </c>
      <c r="E1919" s="46">
        <v>45000</v>
      </c>
      <c r="F1919" s="7">
        <v>0</v>
      </c>
      <c r="G1919" s="8"/>
    </row>
    <row r="1920" spans="3:7" x14ac:dyDescent="0.2">
      <c r="C1920" s="5" t="s">
        <v>3742</v>
      </c>
      <c r="D1920" s="6">
        <v>1</v>
      </c>
      <c r="E1920" s="46">
        <v>100000</v>
      </c>
      <c r="F1920" s="7">
        <v>0</v>
      </c>
      <c r="G1920" s="8"/>
    </row>
    <row r="1921" spans="3:7" x14ac:dyDescent="0.2">
      <c r="C1921" s="5" t="s">
        <v>3743</v>
      </c>
      <c r="D1921" s="6">
        <v>1</v>
      </c>
      <c r="E1921" s="21">
        <v>405000</v>
      </c>
      <c r="F1921" s="7">
        <v>0</v>
      </c>
      <c r="G1921" s="7"/>
    </row>
    <row r="1922" spans="3:7" x14ac:dyDescent="0.2">
      <c r="C1922" s="5" t="s">
        <v>3744</v>
      </c>
      <c r="D1922" s="6">
        <v>1</v>
      </c>
      <c r="E1922" s="21">
        <v>100000</v>
      </c>
      <c r="F1922" s="7">
        <v>0</v>
      </c>
      <c r="G1922" s="8"/>
    </row>
    <row r="1923" spans="3:7" x14ac:dyDescent="0.2">
      <c r="C1923" s="5" t="s">
        <v>3745</v>
      </c>
      <c r="D1923" s="6">
        <v>1</v>
      </c>
      <c r="E1923" s="21">
        <v>305000</v>
      </c>
      <c r="F1923" s="7">
        <v>0</v>
      </c>
      <c r="G1923" s="7"/>
    </row>
    <row r="1924" spans="3:7" x14ac:dyDescent="0.2">
      <c r="C1924" s="5" t="s">
        <v>3746</v>
      </c>
      <c r="D1924" s="6">
        <v>1</v>
      </c>
      <c r="E1924" s="21">
        <v>305000</v>
      </c>
      <c r="F1924" s="7">
        <v>0</v>
      </c>
      <c r="G1924" s="7"/>
    </row>
    <row r="1925" spans="3:7" x14ac:dyDescent="0.2">
      <c r="C1925" s="5" t="s">
        <v>3747</v>
      </c>
      <c r="D1925" s="6">
        <v>1</v>
      </c>
      <c r="E1925" s="147">
        <v>80000</v>
      </c>
      <c r="F1925" s="7">
        <v>0</v>
      </c>
      <c r="G1925" s="7"/>
    </row>
    <row r="1926" spans="3:7" x14ac:dyDescent="0.2">
      <c r="C1926" s="5" t="s">
        <v>3748</v>
      </c>
      <c r="D1926" s="6">
        <v>1</v>
      </c>
      <c r="E1926" s="147">
        <v>40000</v>
      </c>
      <c r="F1926" s="7">
        <v>0</v>
      </c>
      <c r="G1926" s="7"/>
    </row>
    <row r="1927" spans="3:7" x14ac:dyDescent="0.2">
      <c r="C1927" s="5" t="s">
        <v>3749</v>
      </c>
      <c r="D1927" s="6">
        <v>1</v>
      </c>
      <c r="E1927" s="147">
        <v>25000</v>
      </c>
      <c r="F1927" s="7">
        <v>0</v>
      </c>
      <c r="G1927" s="7"/>
    </row>
    <row r="1928" spans="3:7" x14ac:dyDescent="0.2">
      <c r="C1928" s="5" t="s">
        <v>3750</v>
      </c>
      <c r="D1928" s="6">
        <v>1</v>
      </c>
      <c r="E1928" s="147">
        <v>10000</v>
      </c>
      <c r="F1928" s="7">
        <v>0</v>
      </c>
      <c r="G1928" s="7"/>
    </row>
    <row r="1929" spans="3:7" x14ac:dyDescent="0.2">
      <c r="C1929" s="5" t="s">
        <v>3751</v>
      </c>
      <c r="D1929" s="6">
        <v>1</v>
      </c>
      <c r="E1929" s="147">
        <v>25000</v>
      </c>
      <c r="F1929" s="7">
        <v>0</v>
      </c>
      <c r="G1929" s="7"/>
    </row>
    <row r="1930" spans="3:7" x14ac:dyDescent="0.2">
      <c r="C1930" s="5" t="s">
        <v>3752</v>
      </c>
      <c r="D1930" s="6">
        <v>1</v>
      </c>
      <c r="E1930" s="147">
        <v>660000</v>
      </c>
      <c r="F1930" s="7">
        <v>0</v>
      </c>
      <c r="G1930" s="7"/>
    </row>
    <row r="1931" spans="3:7" x14ac:dyDescent="0.2">
      <c r="C1931" s="5" t="s">
        <v>3753</v>
      </c>
      <c r="D1931" s="6">
        <v>1</v>
      </c>
      <c r="E1931" s="147">
        <v>50000</v>
      </c>
      <c r="F1931" s="7">
        <v>0</v>
      </c>
      <c r="G1931" s="7"/>
    </row>
    <row r="1932" spans="3:7" x14ac:dyDescent="0.2">
      <c r="C1932" s="5" t="s">
        <v>3754</v>
      </c>
      <c r="D1932" s="6">
        <v>1</v>
      </c>
      <c r="E1932" s="138">
        <v>0</v>
      </c>
      <c r="F1932" s="138">
        <v>370000</v>
      </c>
      <c r="G1932" s="7"/>
    </row>
    <row r="1933" spans="3:7" x14ac:dyDescent="0.2">
      <c r="C1933" s="5" t="s">
        <v>3755</v>
      </c>
      <c r="D1933" s="6">
        <v>1</v>
      </c>
      <c r="E1933" s="138">
        <v>0</v>
      </c>
      <c r="F1933" s="138">
        <v>370000</v>
      </c>
      <c r="G1933" s="7"/>
    </row>
    <row r="1934" spans="3:7" x14ac:dyDescent="0.2">
      <c r="C1934" s="29"/>
      <c r="D1934" s="68"/>
      <c r="E1934" s="13"/>
      <c r="F1934" s="13"/>
      <c r="G1934" s="29"/>
    </row>
    <row r="1935" spans="3:7" x14ac:dyDescent="0.2">
      <c r="E1935" s="9">
        <f>SUM(E1916:E1934)</f>
        <v>5000000</v>
      </c>
      <c r="F1935" s="9">
        <f>SUM(F1916:F1934)</f>
        <v>740000</v>
      </c>
      <c r="G1935" s="9">
        <f>SUM(G1916:G1934)</f>
        <v>0</v>
      </c>
    </row>
    <row r="1936" spans="3:7" x14ac:dyDescent="0.2">
      <c r="C1936" s="1"/>
      <c r="D1936" s="4">
        <v>5050000</v>
      </c>
      <c r="E1936" s="3">
        <f>5050000-E1935</f>
        <v>50000</v>
      </c>
    </row>
    <row r="1939" spans="3:10" ht="26" x14ac:dyDescent="0.3">
      <c r="C1939" s="391" t="s">
        <v>3756</v>
      </c>
      <c r="D1939" s="391"/>
      <c r="E1939" s="391"/>
      <c r="F1939" s="391"/>
      <c r="G1939" s="391"/>
    </row>
    <row r="1940" spans="3:10" x14ac:dyDescent="0.2">
      <c r="C1940" s="29" t="s">
        <v>82</v>
      </c>
      <c r="D1940" s="11" t="s">
        <v>3097</v>
      </c>
      <c r="E1940" s="12" t="s">
        <v>1</v>
      </c>
      <c r="F1940" s="12" t="s">
        <v>3140</v>
      </c>
      <c r="G1940" s="12" t="s">
        <v>3657</v>
      </c>
    </row>
    <row r="1941" spans="3:10" x14ac:dyDescent="0.2">
      <c r="C1941" s="5" t="s">
        <v>3525</v>
      </c>
      <c r="D1941" s="62">
        <v>1</v>
      </c>
      <c r="E1941" s="28">
        <v>2000000</v>
      </c>
      <c r="F1941" s="7">
        <v>0</v>
      </c>
      <c r="G1941" s="7"/>
    </row>
    <row r="1942" spans="3:10" x14ac:dyDescent="0.2">
      <c r="C1942" s="5" t="s">
        <v>3757</v>
      </c>
      <c r="D1942" s="62">
        <v>1</v>
      </c>
      <c r="E1942" s="28">
        <v>750000</v>
      </c>
      <c r="F1942" s="7">
        <v>0</v>
      </c>
      <c r="G1942" s="8"/>
    </row>
    <row r="1943" spans="3:10" x14ac:dyDescent="0.2">
      <c r="C1943" s="5" t="s">
        <v>3526</v>
      </c>
      <c r="D1943" s="62">
        <v>1</v>
      </c>
      <c r="E1943" s="28">
        <v>250000</v>
      </c>
      <c r="F1943" s="7">
        <v>0</v>
      </c>
      <c r="G1943" s="8"/>
    </row>
    <row r="1944" spans="3:10" x14ac:dyDescent="0.2">
      <c r="C1944" s="5" t="s">
        <v>3297</v>
      </c>
      <c r="D1944" s="62">
        <v>1</v>
      </c>
      <c r="E1944" s="28">
        <v>45000</v>
      </c>
      <c r="F1944" s="7">
        <v>0</v>
      </c>
      <c r="G1944" s="8"/>
    </row>
    <row r="1945" spans="3:10" x14ac:dyDescent="0.2">
      <c r="C1945" s="5" t="s">
        <v>3758</v>
      </c>
      <c r="D1945" s="62">
        <v>1</v>
      </c>
      <c r="E1945" s="151">
        <f>25000000*2%</f>
        <v>500000</v>
      </c>
      <c r="F1945" s="7">
        <v>0</v>
      </c>
      <c r="G1945" s="8"/>
    </row>
    <row r="1946" spans="3:10" x14ac:dyDescent="0.2">
      <c r="C1946" s="5" t="s">
        <v>3743</v>
      </c>
      <c r="D1946" s="62">
        <v>1</v>
      </c>
      <c r="E1946" s="151">
        <v>405000</v>
      </c>
      <c r="F1946" s="7">
        <v>0</v>
      </c>
      <c r="G1946" s="7"/>
    </row>
    <row r="1947" spans="3:10" x14ac:dyDescent="0.2">
      <c r="C1947" s="5" t="s">
        <v>3744</v>
      </c>
      <c r="D1947" s="62">
        <v>1</v>
      </c>
      <c r="E1947" s="151">
        <v>105000</v>
      </c>
      <c r="F1947" s="7">
        <v>0</v>
      </c>
      <c r="G1947" s="8"/>
    </row>
    <row r="1948" spans="3:10" x14ac:dyDescent="0.2">
      <c r="C1948" s="5" t="s">
        <v>3745</v>
      </c>
      <c r="D1948" s="62">
        <v>1</v>
      </c>
      <c r="E1948" s="151">
        <v>305000</v>
      </c>
      <c r="F1948" s="7">
        <v>0</v>
      </c>
      <c r="G1948" s="7"/>
    </row>
    <row r="1949" spans="3:10" x14ac:dyDescent="0.2">
      <c r="C1949" s="5" t="s">
        <v>3746</v>
      </c>
      <c r="D1949" s="62">
        <v>1</v>
      </c>
      <c r="E1949" s="151">
        <v>0</v>
      </c>
      <c r="F1949" s="7">
        <v>0</v>
      </c>
      <c r="G1949" s="7"/>
    </row>
    <row r="1950" spans="3:10" x14ac:dyDescent="0.2">
      <c r="C1950" s="5" t="s">
        <v>3759</v>
      </c>
      <c r="D1950" s="62">
        <v>1</v>
      </c>
      <c r="E1950" s="172">
        <v>45000</v>
      </c>
      <c r="F1950" s="171">
        <v>0</v>
      </c>
      <c r="G1950" s="7"/>
    </row>
    <row r="1951" spans="3:10" x14ac:dyDescent="0.2">
      <c r="C1951" s="5" t="s">
        <v>3760</v>
      </c>
      <c r="D1951" s="62">
        <v>1</v>
      </c>
      <c r="E1951" s="172">
        <v>80000</v>
      </c>
      <c r="F1951" s="171">
        <v>0</v>
      </c>
      <c r="G1951" s="7"/>
    </row>
    <row r="1952" spans="3:10" x14ac:dyDescent="0.2">
      <c r="C1952" s="5" t="s">
        <v>3761</v>
      </c>
      <c r="D1952" s="62">
        <v>1</v>
      </c>
      <c r="E1952" s="172">
        <v>930000</v>
      </c>
      <c r="F1952" s="171">
        <v>0</v>
      </c>
      <c r="G1952" s="7"/>
      <c r="J1952" s="1"/>
    </row>
    <row r="1953" spans="3:10" x14ac:dyDescent="0.2">
      <c r="C1953" s="5" t="s">
        <v>3762</v>
      </c>
      <c r="D1953" s="62">
        <v>1</v>
      </c>
      <c r="E1953" s="172">
        <v>70000</v>
      </c>
      <c r="F1953" s="171">
        <v>0</v>
      </c>
      <c r="G1953" s="7"/>
      <c r="J1953" s="1">
        <v>3183785298</v>
      </c>
    </row>
    <row r="1954" spans="3:10" x14ac:dyDescent="0.2">
      <c r="C1954" s="5" t="s">
        <v>3763</v>
      </c>
      <c r="D1954" s="62">
        <v>1</v>
      </c>
      <c r="E1954" s="172">
        <v>582000</v>
      </c>
      <c r="F1954" s="171">
        <v>0</v>
      </c>
      <c r="G1954" s="7"/>
      <c r="J1954" s="1">
        <v>3116320302</v>
      </c>
    </row>
    <row r="1955" spans="3:10" x14ac:dyDescent="0.2">
      <c r="C1955" s="5" t="s">
        <v>3764</v>
      </c>
      <c r="D1955" s="62">
        <v>1</v>
      </c>
      <c r="E1955" s="172">
        <v>420000</v>
      </c>
      <c r="F1955" s="171">
        <v>0</v>
      </c>
      <c r="G1955" s="7"/>
      <c r="J1955" s="1"/>
    </row>
    <row r="1956" spans="3:10" x14ac:dyDescent="0.2">
      <c r="C1956" s="5" t="s">
        <v>3755</v>
      </c>
      <c r="D1956" s="62">
        <v>1</v>
      </c>
      <c r="E1956" s="171">
        <v>0</v>
      </c>
      <c r="F1956" s="172">
        <v>420000</v>
      </c>
      <c r="G1956" s="7"/>
      <c r="H1956" s="158">
        <v>45334</v>
      </c>
      <c r="J1956" s="1">
        <v>6676881</v>
      </c>
    </row>
    <row r="1957" spans="3:10" x14ac:dyDescent="0.2">
      <c r="C1957" s="5" t="s">
        <v>3765</v>
      </c>
      <c r="D1957" s="62">
        <v>1</v>
      </c>
      <c r="E1957" s="171">
        <v>0</v>
      </c>
      <c r="F1957" s="172">
        <v>420000</v>
      </c>
      <c r="G1957" s="7"/>
      <c r="H1957" s="158">
        <v>45334</v>
      </c>
      <c r="J1957" s="1"/>
    </row>
    <row r="1958" spans="3:10" x14ac:dyDescent="0.2">
      <c r="C1958" s="5" t="s">
        <v>3766</v>
      </c>
      <c r="D1958" s="62">
        <v>1</v>
      </c>
      <c r="E1958" s="171">
        <v>0</v>
      </c>
      <c r="F1958" s="172">
        <v>205000</v>
      </c>
      <c r="G1958" s="7"/>
      <c r="H1958" s="158">
        <v>45334</v>
      </c>
    </row>
    <row r="1959" spans="3:10" x14ac:dyDescent="0.2">
      <c r="C1959" s="5" t="s">
        <v>3767</v>
      </c>
      <c r="D1959" s="62">
        <v>1</v>
      </c>
      <c r="E1959" s="44">
        <v>0</v>
      </c>
      <c r="F1959" s="172">
        <v>930000</v>
      </c>
      <c r="G1959" s="7"/>
      <c r="H1959" s="158">
        <v>45334</v>
      </c>
    </row>
    <row r="1960" spans="3:10" x14ac:dyDescent="0.2">
      <c r="C1960" s="5" t="s">
        <v>3768</v>
      </c>
      <c r="D1960" s="62">
        <v>1</v>
      </c>
      <c r="E1960" s="171">
        <v>0</v>
      </c>
      <c r="F1960" s="172">
        <v>420000</v>
      </c>
      <c r="G1960" s="7"/>
      <c r="H1960" s="158">
        <v>45350</v>
      </c>
    </row>
    <row r="1961" spans="3:10" x14ac:dyDescent="0.2">
      <c r="C1961" s="5" t="s">
        <v>3769</v>
      </c>
      <c r="D1961" s="62">
        <v>1</v>
      </c>
      <c r="E1961" s="171">
        <v>0</v>
      </c>
      <c r="F1961" s="172">
        <v>160000</v>
      </c>
      <c r="G1961" s="7"/>
      <c r="H1961" s="158">
        <v>45350</v>
      </c>
    </row>
    <row r="1962" spans="3:10" x14ac:dyDescent="0.2">
      <c r="C1962" s="5" t="s">
        <v>3770</v>
      </c>
      <c r="D1962" s="62"/>
      <c r="E1962" s="172">
        <v>413000</v>
      </c>
      <c r="F1962" s="171"/>
      <c r="G1962" s="7"/>
    </row>
    <row r="1963" spans="3:10" x14ac:dyDescent="0.2">
      <c r="C1963" s="5"/>
      <c r="D1963" s="6"/>
      <c r="E1963" s="138"/>
      <c r="F1963" s="138"/>
      <c r="G1963" s="7"/>
    </row>
    <row r="1964" spans="3:10" x14ac:dyDescent="0.2">
      <c r="C1964" s="29"/>
      <c r="D1964" s="68"/>
      <c r="E1964" s="13"/>
      <c r="F1964" s="13"/>
      <c r="G1964" s="29"/>
    </row>
    <row r="1965" spans="3:10" x14ac:dyDescent="0.2">
      <c r="E1965" s="9">
        <f>SUM(E1941:E1964)</f>
        <v>6900000</v>
      </c>
      <c r="F1965" s="9">
        <f>SUM(F1941:F1964)</f>
        <v>2555000</v>
      </c>
      <c r="G1965" s="9">
        <f>SUM(G1941:G1964)</f>
        <v>0</v>
      </c>
    </row>
    <row r="1966" spans="3:10" x14ac:dyDescent="0.2">
      <c r="E1966" s="3">
        <f>6900000-E1965</f>
        <v>0</v>
      </c>
    </row>
    <row r="1970" spans="2:8" ht="26" x14ac:dyDescent="0.3">
      <c r="C1970" s="391" t="s">
        <v>3771</v>
      </c>
      <c r="D1970" s="391"/>
      <c r="E1970" s="391"/>
      <c r="F1970" s="391"/>
      <c r="G1970" s="391"/>
    </row>
    <row r="1971" spans="2:8" x14ac:dyDescent="0.2">
      <c r="B1971" s="12"/>
      <c r="C1971" s="29" t="s">
        <v>82</v>
      </c>
      <c r="D1971" s="11" t="s">
        <v>3097</v>
      </c>
      <c r="E1971" s="12" t="s">
        <v>1</v>
      </c>
      <c r="F1971" s="12" t="s">
        <v>3140</v>
      </c>
      <c r="G1971" s="12" t="s">
        <v>3657</v>
      </c>
    </row>
    <row r="1972" spans="2:8" x14ac:dyDescent="0.2">
      <c r="B1972" s="8"/>
      <c r="C1972" s="5" t="s">
        <v>3525</v>
      </c>
      <c r="D1972" s="62">
        <v>1</v>
      </c>
      <c r="E1972" s="28">
        <v>2000000</v>
      </c>
      <c r="F1972" s="7">
        <v>0</v>
      </c>
      <c r="G1972" s="7"/>
    </row>
    <row r="1973" spans="2:8" x14ac:dyDescent="0.2">
      <c r="B1973" s="8"/>
      <c r="C1973" s="5" t="s">
        <v>3757</v>
      </c>
      <c r="D1973" s="62">
        <v>1</v>
      </c>
      <c r="E1973" s="28">
        <v>750000</v>
      </c>
      <c r="F1973" s="7">
        <v>0</v>
      </c>
      <c r="G1973" s="8"/>
    </row>
    <row r="1974" spans="2:8" x14ac:dyDescent="0.2">
      <c r="B1974" s="8"/>
      <c r="C1974" s="5" t="s">
        <v>3526</v>
      </c>
      <c r="D1974" s="62">
        <v>1</v>
      </c>
      <c r="E1974" s="28">
        <v>250000</v>
      </c>
      <c r="F1974" s="7">
        <v>0</v>
      </c>
      <c r="G1974" s="8"/>
    </row>
    <row r="1975" spans="2:8" x14ac:dyDescent="0.2">
      <c r="B1975" s="8"/>
      <c r="C1975" s="5" t="s">
        <v>3297</v>
      </c>
      <c r="D1975" s="62">
        <v>1</v>
      </c>
      <c r="E1975" s="28">
        <v>45000</v>
      </c>
      <c r="F1975" s="7">
        <v>0</v>
      </c>
      <c r="G1975" s="8"/>
    </row>
    <row r="1976" spans="2:8" x14ac:dyDescent="0.2">
      <c r="B1976" s="8"/>
      <c r="C1976" s="5" t="s">
        <v>3743</v>
      </c>
      <c r="D1976" s="62">
        <v>1</v>
      </c>
      <c r="E1976" s="151">
        <v>405000</v>
      </c>
      <c r="F1976" s="7">
        <v>0</v>
      </c>
      <c r="G1976" s="7"/>
    </row>
    <row r="1977" spans="2:8" x14ac:dyDescent="0.2">
      <c r="B1977" s="8"/>
      <c r="C1977" s="5" t="s">
        <v>3744</v>
      </c>
      <c r="D1977" s="62">
        <v>1</v>
      </c>
      <c r="E1977" s="151">
        <v>105000</v>
      </c>
      <c r="F1977" s="7">
        <v>0</v>
      </c>
      <c r="G1977" s="8"/>
    </row>
    <row r="1978" spans="2:8" x14ac:dyDescent="0.2">
      <c r="B1978" s="8"/>
      <c r="C1978" s="5" t="s">
        <v>3745</v>
      </c>
      <c r="D1978" s="62">
        <v>1</v>
      </c>
      <c r="E1978" s="151">
        <v>305000</v>
      </c>
      <c r="F1978" s="7">
        <v>0</v>
      </c>
      <c r="G1978" s="7"/>
    </row>
    <row r="1979" spans="2:8" x14ac:dyDescent="0.2">
      <c r="B1979" s="8"/>
      <c r="C1979" s="5" t="s">
        <v>3772</v>
      </c>
      <c r="D1979" s="62">
        <v>1</v>
      </c>
      <c r="E1979" s="172">
        <v>2500000</v>
      </c>
      <c r="F1979" s="7">
        <v>0</v>
      </c>
      <c r="G1979" s="7"/>
    </row>
    <row r="1980" spans="2:8" x14ac:dyDescent="0.2">
      <c r="B1980" s="173"/>
      <c r="C1980" s="5" t="s">
        <v>3773</v>
      </c>
      <c r="D1980" s="62">
        <v>1</v>
      </c>
      <c r="E1980" s="172">
        <v>75000</v>
      </c>
      <c r="F1980" s="7">
        <v>0</v>
      </c>
      <c r="G1980" s="7"/>
    </row>
    <row r="1981" spans="2:8" x14ac:dyDescent="0.2">
      <c r="B1981" s="173"/>
      <c r="C1981" s="5" t="s">
        <v>3774</v>
      </c>
      <c r="D1981" s="62">
        <v>1</v>
      </c>
      <c r="E1981" s="172">
        <v>75000</v>
      </c>
      <c r="F1981" s="7">
        <v>0</v>
      </c>
      <c r="G1981" s="7"/>
    </row>
    <row r="1982" spans="2:8" x14ac:dyDescent="0.2">
      <c r="B1982" s="173"/>
      <c r="C1982" s="5" t="s">
        <v>3775</v>
      </c>
      <c r="D1982" s="62">
        <v>1</v>
      </c>
      <c r="E1982" s="172">
        <v>75000</v>
      </c>
      <c r="F1982" s="7">
        <v>0</v>
      </c>
      <c r="G1982" s="7"/>
    </row>
    <row r="1983" spans="2:8" x14ac:dyDescent="0.2">
      <c r="B1983" s="173"/>
      <c r="C1983" s="5" t="s">
        <v>3776</v>
      </c>
      <c r="D1983" s="62">
        <v>4</v>
      </c>
      <c r="E1983" s="172">
        <v>260000</v>
      </c>
      <c r="F1983" s="7">
        <v>0</v>
      </c>
      <c r="G1983" s="7"/>
    </row>
    <row r="1984" spans="2:8" x14ac:dyDescent="0.2">
      <c r="B1984" s="173">
        <v>45352</v>
      </c>
      <c r="C1984" s="5" t="s">
        <v>3777</v>
      </c>
      <c r="D1984" s="62">
        <v>1</v>
      </c>
      <c r="E1984" s="171">
        <v>0</v>
      </c>
      <c r="F1984" s="7">
        <v>0</v>
      </c>
      <c r="G1984" s="173">
        <v>45362</v>
      </c>
      <c r="H1984" s="17">
        <v>930000</v>
      </c>
    </row>
    <row r="1985" spans="2:8" x14ac:dyDescent="0.2">
      <c r="B1985" s="173">
        <v>45352</v>
      </c>
      <c r="C1985" s="5" t="s">
        <v>3778</v>
      </c>
      <c r="D1985" s="62">
        <v>1</v>
      </c>
      <c r="E1985" s="171">
        <v>0</v>
      </c>
      <c r="F1985" s="7">
        <v>0</v>
      </c>
      <c r="G1985" s="173">
        <v>45362</v>
      </c>
      <c r="H1985" s="17">
        <v>930000</v>
      </c>
    </row>
    <row r="1986" spans="2:8" x14ac:dyDescent="0.2">
      <c r="B1986" s="173">
        <v>45362</v>
      </c>
      <c r="C1986" s="5" t="s">
        <v>3779</v>
      </c>
      <c r="D1986" s="62">
        <v>1</v>
      </c>
      <c r="E1986" s="171">
        <v>0</v>
      </c>
      <c r="F1986" s="7">
        <v>0</v>
      </c>
      <c r="G1986" s="173">
        <v>45362</v>
      </c>
      <c r="H1986" s="17">
        <v>930000</v>
      </c>
    </row>
    <row r="1987" spans="2:8" x14ac:dyDescent="0.2">
      <c r="B1987" s="8"/>
      <c r="C1987" s="5" t="s">
        <v>3780</v>
      </c>
      <c r="D1987" s="62">
        <v>1</v>
      </c>
      <c r="E1987" s="171">
        <v>0</v>
      </c>
      <c r="F1987" s="7">
        <v>0</v>
      </c>
      <c r="G1987" s="51">
        <v>45362</v>
      </c>
      <c r="H1987" s="17">
        <v>800000</v>
      </c>
    </row>
    <row r="1988" spans="2:8" x14ac:dyDescent="0.2">
      <c r="B1988" s="173"/>
      <c r="C1988" s="5"/>
      <c r="D1988" s="62"/>
      <c r="E1988" s="138"/>
      <c r="F1988" s="7"/>
      <c r="G1988" s="7"/>
    </row>
    <row r="1989" spans="2:8" x14ac:dyDescent="0.2">
      <c r="B1989" s="8"/>
      <c r="C1989" s="5"/>
      <c r="D1989" s="6"/>
      <c r="E1989" s="138"/>
      <c r="F1989" s="138"/>
      <c r="G1989" s="7"/>
    </row>
    <row r="1990" spans="2:8" x14ac:dyDescent="0.2">
      <c r="B1990" s="29"/>
      <c r="C1990" s="29"/>
      <c r="D1990" s="68"/>
      <c r="E1990" s="13"/>
      <c r="F1990" s="13"/>
      <c r="G1990" s="29"/>
    </row>
    <row r="1991" spans="2:8" x14ac:dyDescent="0.2">
      <c r="E1991" s="9">
        <f>SUM(E1972:E1990)</f>
        <v>6845000</v>
      </c>
      <c r="F1991" s="9">
        <f>SUM(F1972:F1990)</f>
        <v>0</v>
      </c>
      <c r="G1991" s="9">
        <f>SUM(G1972:G1990)</f>
        <v>181448</v>
      </c>
    </row>
    <row r="1992" spans="2:8" x14ac:dyDescent="0.2">
      <c r="E1992" s="3">
        <f>6900000-E1991</f>
        <v>55000</v>
      </c>
    </row>
    <row r="1995" spans="2:8" ht="26" x14ac:dyDescent="0.3">
      <c r="C1995" s="391" t="s">
        <v>3781</v>
      </c>
      <c r="D1995" s="391"/>
      <c r="E1995" s="391"/>
      <c r="F1995" s="391"/>
      <c r="G1995" s="391"/>
    </row>
    <row r="1996" spans="2:8" x14ac:dyDescent="0.2">
      <c r="B1996" s="12"/>
      <c r="C1996" s="29" t="s">
        <v>82</v>
      </c>
      <c r="D1996" s="11" t="s">
        <v>3097</v>
      </c>
      <c r="E1996" s="12" t="s">
        <v>1</v>
      </c>
      <c r="F1996" s="12" t="s">
        <v>3140</v>
      </c>
      <c r="G1996" s="12" t="s">
        <v>3657</v>
      </c>
    </row>
    <row r="1997" spans="2:8" x14ac:dyDescent="0.2">
      <c r="B1997" s="8"/>
      <c r="C1997" s="5" t="s">
        <v>3525</v>
      </c>
      <c r="D1997" s="62">
        <v>1</v>
      </c>
      <c r="E1997" s="28">
        <v>2000000</v>
      </c>
      <c r="F1997" s="7">
        <v>0</v>
      </c>
      <c r="G1997" s="7"/>
    </row>
    <row r="1998" spans="2:8" x14ac:dyDescent="0.2">
      <c r="B1998" s="8"/>
      <c r="C1998" s="5" t="s">
        <v>3757</v>
      </c>
      <c r="D1998" s="62">
        <v>1</v>
      </c>
      <c r="E1998" s="28">
        <v>750000</v>
      </c>
      <c r="F1998" s="7">
        <v>0</v>
      </c>
      <c r="G1998" s="8"/>
    </row>
    <row r="1999" spans="2:8" x14ac:dyDescent="0.2">
      <c r="B1999" s="8"/>
      <c r="C1999" s="5" t="s">
        <v>3526</v>
      </c>
      <c r="D1999" s="62">
        <v>1</v>
      </c>
      <c r="E1999" s="28">
        <v>250000</v>
      </c>
      <c r="F1999" s="7">
        <v>0</v>
      </c>
      <c r="G1999" s="8"/>
    </row>
    <row r="2000" spans="2:8" x14ac:dyDescent="0.2">
      <c r="B2000" s="8"/>
      <c r="C2000" s="5" t="s">
        <v>3297</v>
      </c>
      <c r="D2000" s="62">
        <v>1</v>
      </c>
      <c r="E2000" s="28">
        <v>45000</v>
      </c>
      <c r="F2000" s="7">
        <v>0</v>
      </c>
      <c r="G2000" s="8"/>
    </row>
    <row r="2001" spans="2:8" x14ac:dyDescent="0.2">
      <c r="B2001" s="8"/>
      <c r="C2001" s="5" t="s">
        <v>3743</v>
      </c>
      <c r="D2001" s="62">
        <v>1</v>
      </c>
      <c r="E2001" s="151">
        <v>405000</v>
      </c>
      <c r="F2001" s="7">
        <v>0</v>
      </c>
      <c r="G2001" s="7"/>
    </row>
    <row r="2002" spans="2:8" x14ac:dyDescent="0.2">
      <c r="B2002" s="8"/>
      <c r="C2002" s="5" t="s">
        <v>3744</v>
      </c>
      <c r="D2002" s="62">
        <v>1</v>
      </c>
      <c r="E2002" s="151">
        <v>105000</v>
      </c>
      <c r="F2002" s="7">
        <v>0</v>
      </c>
      <c r="G2002" s="8"/>
    </row>
    <row r="2003" spans="2:8" x14ac:dyDescent="0.2">
      <c r="B2003" s="8"/>
      <c r="C2003" s="5" t="s">
        <v>3745</v>
      </c>
      <c r="D2003" s="62">
        <v>1</v>
      </c>
      <c r="E2003" s="151">
        <v>305000</v>
      </c>
      <c r="F2003" s="7">
        <v>0</v>
      </c>
      <c r="G2003" s="7"/>
    </row>
    <row r="2004" spans="2:8" x14ac:dyDescent="0.2">
      <c r="B2004" s="8"/>
      <c r="C2004" s="5" t="s">
        <v>3782</v>
      </c>
      <c r="D2004" s="62">
        <v>1</v>
      </c>
      <c r="E2004" s="172">
        <v>160000</v>
      </c>
      <c r="F2004" s="7">
        <v>0</v>
      </c>
      <c r="G2004" s="7"/>
    </row>
    <row r="2005" spans="2:8" x14ac:dyDescent="0.2">
      <c r="B2005" s="173"/>
      <c r="C2005" s="5" t="s">
        <v>3783</v>
      </c>
      <c r="D2005" s="62">
        <v>1</v>
      </c>
      <c r="E2005" s="172">
        <v>12000</v>
      </c>
      <c r="F2005" s="7">
        <v>0</v>
      </c>
      <c r="G2005" s="7"/>
    </row>
    <row r="2006" spans="2:8" x14ac:dyDescent="0.2">
      <c r="B2006" s="173"/>
      <c r="C2006" s="5" t="s">
        <v>3784</v>
      </c>
      <c r="D2006" s="62">
        <v>1</v>
      </c>
      <c r="E2006" s="172">
        <v>930000</v>
      </c>
      <c r="F2006" s="7">
        <v>0</v>
      </c>
      <c r="G2006" s="7"/>
    </row>
    <row r="2007" spans="2:8" x14ac:dyDescent="0.2">
      <c r="B2007" s="173"/>
      <c r="C2007" s="5" t="s">
        <v>3785</v>
      </c>
      <c r="D2007" s="62">
        <v>1</v>
      </c>
      <c r="E2007" s="172">
        <v>930000</v>
      </c>
      <c r="F2007" s="7">
        <v>0</v>
      </c>
      <c r="G2007" s="7"/>
    </row>
    <row r="2008" spans="2:8" x14ac:dyDescent="0.2">
      <c r="B2008" s="173"/>
      <c r="C2008" s="5" t="s">
        <v>3786</v>
      </c>
      <c r="D2008" s="62">
        <v>1</v>
      </c>
      <c r="E2008" s="171">
        <v>0</v>
      </c>
      <c r="F2008" s="7">
        <v>0</v>
      </c>
      <c r="G2008" s="7" t="s">
        <v>3787</v>
      </c>
      <c r="H2008" s="17">
        <v>1125000</v>
      </c>
    </row>
    <row r="2009" spans="2:8" x14ac:dyDescent="0.2">
      <c r="B2009" s="173"/>
      <c r="C2009" s="5" t="s">
        <v>3788</v>
      </c>
      <c r="D2009" s="62">
        <v>72</v>
      </c>
      <c r="E2009" s="172">
        <f>D2009*500</f>
        <v>36000</v>
      </c>
      <c r="F2009" s="7">
        <v>0</v>
      </c>
      <c r="G2009" s="173"/>
    </row>
    <row r="2010" spans="2:8" x14ac:dyDescent="0.2">
      <c r="B2010" s="173"/>
      <c r="C2010" s="5" t="s">
        <v>3789</v>
      </c>
      <c r="D2010" s="62">
        <v>2</v>
      </c>
      <c r="E2010" s="172">
        <v>200000</v>
      </c>
      <c r="F2010" s="7">
        <v>0</v>
      </c>
      <c r="G2010" s="173"/>
    </row>
    <row r="2011" spans="2:8" x14ac:dyDescent="0.2">
      <c r="B2011" s="173"/>
      <c r="C2011" s="5" t="s">
        <v>3790</v>
      </c>
      <c r="D2011" s="62">
        <v>1</v>
      </c>
      <c r="E2011" s="172">
        <v>772000</v>
      </c>
      <c r="F2011" s="7">
        <v>0</v>
      </c>
      <c r="G2011" s="173"/>
    </row>
    <row r="2012" spans="2:8" x14ac:dyDescent="0.2">
      <c r="B2012" s="173"/>
      <c r="C2012" s="5"/>
      <c r="D2012" s="62"/>
      <c r="E2012" s="171"/>
      <c r="F2012" s="7"/>
      <c r="G2012" s="51"/>
    </row>
    <row r="2013" spans="2:8" x14ac:dyDescent="0.2">
      <c r="B2013" s="29"/>
      <c r="C2013" s="29"/>
      <c r="D2013" s="68"/>
      <c r="E2013" s="13"/>
      <c r="F2013" s="13"/>
      <c r="G2013" s="29"/>
    </row>
    <row r="2014" spans="2:8" x14ac:dyDescent="0.2">
      <c r="E2014" s="9">
        <f>SUM(E1997:E2013)</f>
        <v>6900000</v>
      </c>
      <c r="F2014" s="9">
        <f>SUM(F1997:F2013)</f>
        <v>0</v>
      </c>
      <c r="G2014" s="9">
        <f>SUM(G1997:G2013)</f>
        <v>0</v>
      </c>
    </row>
    <row r="2015" spans="2:8" x14ac:dyDescent="0.2">
      <c r="E2015" s="3">
        <f>6900000-E2014</f>
        <v>0</v>
      </c>
    </row>
    <row r="2019" spans="2:7" ht="26" x14ac:dyDescent="0.3">
      <c r="C2019" s="391" t="s">
        <v>3791</v>
      </c>
      <c r="D2019" s="391"/>
      <c r="E2019" s="391"/>
      <c r="F2019" s="391"/>
      <c r="G2019" s="391"/>
    </row>
    <row r="2020" spans="2:7" x14ac:dyDescent="0.2">
      <c r="B2020" s="12"/>
      <c r="C2020" s="29" t="s">
        <v>82</v>
      </c>
      <c r="D2020" s="11" t="s">
        <v>3097</v>
      </c>
      <c r="E2020" s="12" t="s">
        <v>1</v>
      </c>
      <c r="F2020" s="12" t="s">
        <v>3140</v>
      </c>
      <c r="G2020" s="12" t="s">
        <v>3657</v>
      </c>
    </row>
    <row r="2021" spans="2:7" x14ac:dyDescent="0.2">
      <c r="B2021" s="8"/>
      <c r="C2021" s="5" t="s">
        <v>3525</v>
      </c>
      <c r="D2021" s="62">
        <v>1</v>
      </c>
      <c r="E2021" s="28">
        <v>2000000</v>
      </c>
      <c r="F2021" s="7">
        <v>0</v>
      </c>
      <c r="G2021" s="7"/>
    </row>
    <row r="2022" spans="2:7" x14ac:dyDescent="0.2">
      <c r="B2022" s="8"/>
      <c r="C2022" s="5" t="s">
        <v>3757</v>
      </c>
      <c r="D2022" s="62">
        <v>1</v>
      </c>
      <c r="E2022" s="28">
        <v>750000</v>
      </c>
      <c r="F2022" s="7">
        <v>0</v>
      </c>
      <c r="G2022" s="8"/>
    </row>
    <row r="2023" spans="2:7" x14ac:dyDescent="0.2">
      <c r="B2023" s="8"/>
      <c r="C2023" s="5" t="s">
        <v>3526</v>
      </c>
      <c r="D2023" s="62">
        <v>1</v>
      </c>
      <c r="E2023" s="28">
        <v>250000</v>
      </c>
      <c r="F2023" s="7">
        <v>0</v>
      </c>
      <c r="G2023" s="8"/>
    </row>
    <row r="2024" spans="2:7" x14ac:dyDescent="0.2">
      <c r="B2024" s="8"/>
      <c r="C2024" s="5" t="s">
        <v>3297</v>
      </c>
      <c r="D2024" s="62">
        <v>1</v>
      </c>
      <c r="E2024" s="28">
        <v>45000</v>
      </c>
      <c r="F2024" s="7">
        <v>0</v>
      </c>
      <c r="G2024" s="8"/>
    </row>
    <row r="2025" spans="2:7" x14ac:dyDescent="0.2">
      <c r="B2025" s="8"/>
      <c r="C2025" s="5" t="s">
        <v>3743</v>
      </c>
      <c r="D2025" s="62">
        <v>1</v>
      </c>
      <c r="E2025" s="151">
        <v>405000</v>
      </c>
      <c r="F2025" s="7">
        <v>0</v>
      </c>
      <c r="G2025" s="7"/>
    </row>
    <row r="2026" spans="2:7" x14ac:dyDescent="0.2">
      <c r="B2026" s="8"/>
      <c r="C2026" s="5" t="s">
        <v>3744</v>
      </c>
      <c r="D2026" s="62">
        <v>1</v>
      </c>
      <c r="E2026" s="151">
        <v>105000</v>
      </c>
      <c r="F2026" s="7">
        <v>0</v>
      </c>
      <c r="G2026" s="8"/>
    </row>
    <row r="2027" spans="2:7" x14ac:dyDescent="0.2">
      <c r="B2027" s="8"/>
      <c r="C2027" s="5" t="s">
        <v>3745</v>
      </c>
      <c r="D2027" s="62">
        <v>1</v>
      </c>
      <c r="E2027" s="151">
        <v>305000</v>
      </c>
      <c r="F2027" s="7">
        <v>0</v>
      </c>
      <c r="G2027" s="7"/>
    </row>
    <row r="2028" spans="2:7" x14ac:dyDescent="0.2">
      <c r="B2028" s="173"/>
      <c r="C2028" s="5" t="s">
        <v>3792</v>
      </c>
      <c r="D2028" s="62">
        <v>1</v>
      </c>
      <c r="E2028" s="172">
        <v>936000</v>
      </c>
      <c r="F2028" s="7">
        <v>0</v>
      </c>
      <c r="G2028" s="7"/>
    </row>
    <row r="2029" spans="2:7" x14ac:dyDescent="0.2">
      <c r="B2029" s="173"/>
      <c r="C2029" s="5" t="s">
        <v>3793</v>
      </c>
      <c r="D2029" s="62">
        <v>1</v>
      </c>
      <c r="E2029" s="172">
        <v>930000</v>
      </c>
      <c r="F2029" s="7">
        <v>0</v>
      </c>
      <c r="G2029" s="7"/>
    </row>
    <row r="2030" spans="2:7" x14ac:dyDescent="0.2">
      <c r="B2030" s="173"/>
      <c r="C2030" s="5" t="s">
        <v>3794</v>
      </c>
      <c r="D2030" s="62">
        <v>1</v>
      </c>
      <c r="E2030" s="172">
        <v>721000</v>
      </c>
      <c r="F2030" s="7">
        <v>0</v>
      </c>
      <c r="G2030" s="7"/>
    </row>
    <row r="2031" spans="2:7" x14ac:dyDescent="0.2">
      <c r="B2031" s="173"/>
      <c r="C2031" s="5" t="s">
        <v>3795</v>
      </c>
      <c r="D2031" s="62">
        <v>2300</v>
      </c>
      <c r="E2031" s="172">
        <f>D2031*150</f>
        <v>345000</v>
      </c>
      <c r="F2031" s="7">
        <v>0</v>
      </c>
      <c r="G2031" s="7"/>
    </row>
    <row r="2032" spans="2:7" x14ac:dyDescent="0.2">
      <c r="B2032" s="173">
        <v>45430</v>
      </c>
      <c r="C2032" s="5" t="s">
        <v>3796</v>
      </c>
      <c r="D2032" s="62"/>
      <c r="E2032" s="7">
        <v>0</v>
      </c>
      <c r="F2032" s="7">
        <v>0</v>
      </c>
      <c r="G2032" s="178">
        <v>1640000</v>
      </c>
    </row>
    <row r="2033" spans="2:7" x14ac:dyDescent="0.2">
      <c r="B2033" s="173">
        <v>45430</v>
      </c>
      <c r="C2033" s="5" t="s">
        <v>3796</v>
      </c>
      <c r="D2033" s="62"/>
      <c r="E2033" s="7">
        <v>0</v>
      </c>
      <c r="F2033" s="7">
        <v>0</v>
      </c>
      <c r="G2033" s="178">
        <v>2198000</v>
      </c>
    </row>
    <row r="2034" spans="2:7" x14ac:dyDescent="0.2">
      <c r="B2034" s="173">
        <v>45430</v>
      </c>
      <c r="C2034" s="5" t="s">
        <v>3796</v>
      </c>
      <c r="D2034" s="62"/>
      <c r="E2034" s="7">
        <v>0</v>
      </c>
      <c r="F2034" s="7">
        <v>0</v>
      </c>
      <c r="G2034" s="178">
        <v>2960000</v>
      </c>
    </row>
    <row r="2035" spans="2:7" x14ac:dyDescent="0.2">
      <c r="B2035" s="173">
        <v>45430</v>
      </c>
      <c r="C2035" s="5" t="s">
        <v>3797</v>
      </c>
      <c r="D2035" s="62"/>
      <c r="E2035" s="172">
        <v>22000</v>
      </c>
      <c r="F2035" s="171">
        <v>0</v>
      </c>
      <c r="G2035" s="7"/>
    </row>
    <row r="2036" spans="2:7" x14ac:dyDescent="0.2">
      <c r="B2036" s="173"/>
      <c r="C2036" s="5" t="s">
        <v>3798</v>
      </c>
      <c r="D2036" s="62">
        <v>1</v>
      </c>
      <c r="E2036" s="171">
        <v>0</v>
      </c>
      <c r="F2036" s="171">
        <v>150000</v>
      </c>
      <c r="G2036" s="7"/>
    </row>
    <row r="2037" spans="2:7" x14ac:dyDescent="0.2">
      <c r="B2037" s="173"/>
      <c r="C2037" s="5" t="s">
        <v>2666</v>
      </c>
      <c r="D2037" s="62"/>
      <c r="E2037" s="172">
        <v>40000</v>
      </c>
      <c r="F2037" s="7"/>
      <c r="G2037" s="7"/>
    </row>
    <row r="2038" spans="2:7" x14ac:dyDescent="0.2">
      <c r="B2038" s="173"/>
      <c r="C2038" s="5"/>
      <c r="D2038" s="62"/>
      <c r="E2038" s="171"/>
      <c r="F2038" s="7"/>
      <c r="G2038" s="7"/>
    </row>
    <row r="2039" spans="2:7" x14ac:dyDescent="0.2">
      <c r="B2039" s="173"/>
      <c r="C2039" s="5"/>
      <c r="D2039" s="62"/>
      <c r="E2039" s="171"/>
      <c r="F2039" s="7"/>
      <c r="G2039" s="7"/>
    </row>
    <row r="2040" spans="2:7" x14ac:dyDescent="0.2">
      <c r="B2040" s="173"/>
      <c r="C2040" s="5"/>
      <c r="D2040" s="62"/>
      <c r="E2040" s="171"/>
      <c r="F2040" s="7"/>
      <c r="G2040" s="7"/>
    </row>
    <row r="2041" spans="2:7" x14ac:dyDescent="0.2">
      <c r="B2041" s="173"/>
      <c r="C2041" s="5"/>
      <c r="D2041" s="62"/>
      <c r="E2041" s="171"/>
      <c r="F2041" s="7"/>
      <c r="G2041" s="7"/>
    </row>
    <row r="2042" spans="2:7" x14ac:dyDescent="0.2">
      <c r="B2042" s="173"/>
      <c r="C2042" s="5"/>
      <c r="D2042" s="62"/>
      <c r="E2042" s="171"/>
      <c r="F2042" s="7"/>
      <c r="G2042" s="173"/>
    </row>
    <row r="2043" spans="2:7" x14ac:dyDescent="0.2">
      <c r="B2043" s="173"/>
      <c r="C2043" s="5"/>
      <c r="D2043" s="62"/>
      <c r="E2043" s="171"/>
      <c r="F2043" s="7"/>
      <c r="G2043" s="51"/>
    </row>
    <row r="2044" spans="2:7" x14ac:dyDescent="0.2">
      <c r="B2044" s="29"/>
      <c r="C2044" s="29"/>
      <c r="D2044" s="68"/>
      <c r="E2044" s="13"/>
      <c r="F2044" s="13"/>
      <c r="G2044" s="29"/>
    </row>
    <row r="2045" spans="2:7" x14ac:dyDescent="0.2">
      <c r="E2045" s="9">
        <f>SUM(E2021:E2044)</f>
        <v>6854000</v>
      </c>
      <c r="F2045" s="9">
        <f>SUM(F2021:F2044)</f>
        <v>150000</v>
      </c>
      <c r="G2045" s="9">
        <f>SUM(G2021:G2044)</f>
        <v>6798000</v>
      </c>
    </row>
    <row r="2046" spans="2:7" x14ac:dyDescent="0.2">
      <c r="E2046" s="3">
        <f>6900000-E2045</f>
        <v>46000</v>
      </c>
    </row>
    <row r="2049" spans="2:8" ht="26" x14ac:dyDescent="0.3">
      <c r="C2049" s="391" t="s">
        <v>3799</v>
      </c>
      <c r="D2049" s="391"/>
      <c r="E2049" s="391"/>
      <c r="F2049" s="391"/>
      <c r="G2049" s="391"/>
    </row>
    <row r="2050" spans="2:8" x14ac:dyDescent="0.2">
      <c r="B2050" s="12"/>
      <c r="C2050" s="29" t="s">
        <v>82</v>
      </c>
      <c r="D2050" s="11" t="s">
        <v>3097</v>
      </c>
      <c r="E2050" s="12" t="s">
        <v>1</v>
      </c>
      <c r="F2050" s="12" t="s">
        <v>3140</v>
      </c>
      <c r="G2050" s="12" t="s">
        <v>3657</v>
      </c>
    </row>
    <row r="2051" spans="2:8" x14ac:dyDescent="0.2">
      <c r="B2051" s="8"/>
      <c r="C2051" s="5" t="s">
        <v>3525</v>
      </c>
      <c r="D2051" s="62">
        <v>1</v>
      </c>
      <c r="E2051" s="28">
        <v>2000000</v>
      </c>
      <c r="F2051" s="7">
        <v>0</v>
      </c>
      <c r="G2051" s="7"/>
    </row>
    <row r="2052" spans="2:8" x14ac:dyDescent="0.2">
      <c r="B2052" s="8"/>
      <c r="C2052" s="5" t="s">
        <v>3757</v>
      </c>
      <c r="D2052" s="62">
        <v>1</v>
      </c>
      <c r="E2052" s="28">
        <v>750000</v>
      </c>
      <c r="F2052" s="7">
        <v>0</v>
      </c>
      <c r="G2052" s="8"/>
    </row>
    <row r="2053" spans="2:8" x14ac:dyDescent="0.2">
      <c r="B2053" s="8"/>
      <c r="C2053" s="5" t="s">
        <v>3526</v>
      </c>
      <c r="D2053" s="62">
        <v>1</v>
      </c>
      <c r="E2053" s="28">
        <v>250000</v>
      </c>
      <c r="F2053" s="7">
        <v>0</v>
      </c>
      <c r="G2053" s="8"/>
    </row>
    <row r="2054" spans="2:8" x14ac:dyDescent="0.2">
      <c r="B2054" s="8"/>
      <c r="C2054" s="5" t="s">
        <v>3297</v>
      </c>
      <c r="D2054" s="62">
        <v>1</v>
      </c>
      <c r="E2054" s="28">
        <v>45000</v>
      </c>
      <c r="F2054" s="7">
        <v>0</v>
      </c>
      <c r="G2054" s="8"/>
    </row>
    <row r="2055" spans="2:8" x14ac:dyDescent="0.2">
      <c r="B2055" s="8"/>
      <c r="C2055" s="5" t="s">
        <v>3743</v>
      </c>
      <c r="D2055" s="62">
        <v>1</v>
      </c>
      <c r="E2055" s="151">
        <v>405000</v>
      </c>
      <c r="F2055" s="7">
        <v>0</v>
      </c>
      <c r="G2055" s="7"/>
    </row>
    <row r="2056" spans="2:8" x14ac:dyDescent="0.2">
      <c r="B2056" s="8"/>
      <c r="C2056" s="5" t="s">
        <v>3744</v>
      </c>
      <c r="D2056" s="62">
        <v>1</v>
      </c>
      <c r="E2056" s="151">
        <v>105000</v>
      </c>
      <c r="F2056" s="7">
        <v>0</v>
      </c>
      <c r="G2056" s="8"/>
    </row>
    <row r="2057" spans="2:8" x14ac:dyDescent="0.2">
      <c r="B2057" s="8"/>
      <c r="C2057" s="5" t="s">
        <v>3745</v>
      </c>
      <c r="D2057" s="62">
        <v>1</v>
      </c>
      <c r="E2057" s="151">
        <v>305000</v>
      </c>
      <c r="F2057" s="7">
        <v>0</v>
      </c>
      <c r="G2057" s="7"/>
    </row>
    <row r="2058" spans="2:8" x14ac:dyDescent="0.2">
      <c r="B2058" s="173"/>
      <c r="C2058" s="5" t="s">
        <v>3800</v>
      </c>
      <c r="D2058" s="62">
        <v>1</v>
      </c>
      <c r="E2058" s="171">
        <v>0</v>
      </c>
      <c r="F2058" s="178">
        <v>940000</v>
      </c>
      <c r="G2058" s="7"/>
      <c r="H2058" s="50">
        <v>45463</v>
      </c>
    </row>
    <row r="2059" spans="2:8" x14ac:dyDescent="0.2">
      <c r="B2059" s="173"/>
      <c r="C2059" s="5" t="s">
        <v>3801</v>
      </c>
      <c r="D2059" s="62">
        <v>1</v>
      </c>
      <c r="E2059" s="171">
        <v>0</v>
      </c>
      <c r="F2059" s="178">
        <v>930000</v>
      </c>
      <c r="G2059" s="7"/>
      <c r="H2059" s="50">
        <v>45463</v>
      </c>
    </row>
    <row r="2060" spans="2:8" x14ac:dyDescent="0.2">
      <c r="B2060" s="173"/>
      <c r="C2060" s="5" t="s">
        <v>3802</v>
      </c>
      <c r="D2060" s="62">
        <v>1</v>
      </c>
      <c r="E2060" s="171">
        <v>0</v>
      </c>
      <c r="F2060" s="178">
        <v>720000</v>
      </c>
      <c r="G2060" s="7"/>
      <c r="H2060" s="50">
        <v>45463</v>
      </c>
    </row>
    <row r="2061" spans="2:8" x14ac:dyDescent="0.2">
      <c r="B2061" s="173"/>
      <c r="C2061" s="5" t="s">
        <v>3803</v>
      </c>
      <c r="D2061" s="62">
        <v>318</v>
      </c>
      <c r="E2061" s="172">
        <f>D2061*700</f>
        <v>222600</v>
      </c>
      <c r="F2061" s="7">
        <v>0</v>
      </c>
      <c r="G2061" s="7"/>
    </row>
    <row r="2062" spans="2:8" x14ac:dyDescent="0.2">
      <c r="B2062" s="173"/>
      <c r="C2062" s="5" t="s">
        <v>3804</v>
      </c>
      <c r="D2062" s="62">
        <v>1</v>
      </c>
      <c r="E2062" s="172">
        <v>280000</v>
      </c>
      <c r="F2062" s="7">
        <v>0</v>
      </c>
      <c r="G2062" s="7"/>
    </row>
    <row r="2063" spans="2:8" x14ac:dyDescent="0.2">
      <c r="B2063" s="173"/>
      <c r="C2063" s="5" t="s">
        <v>3805</v>
      </c>
      <c r="D2063" s="62">
        <v>1</v>
      </c>
      <c r="E2063" s="172">
        <v>990000</v>
      </c>
      <c r="F2063" s="7">
        <v>0</v>
      </c>
      <c r="G2063" s="7"/>
    </row>
    <row r="2064" spans="2:8" x14ac:dyDescent="0.2">
      <c r="B2064" s="173"/>
      <c r="C2064" s="5" t="s">
        <v>3806</v>
      </c>
      <c r="D2064" s="62">
        <v>1</v>
      </c>
      <c r="E2064" s="172">
        <v>420000</v>
      </c>
      <c r="F2064" s="7">
        <v>0</v>
      </c>
      <c r="G2064" s="7"/>
    </row>
    <row r="2065" spans="2:7" x14ac:dyDescent="0.2">
      <c r="B2065" s="173"/>
      <c r="C2065" s="5" t="s">
        <v>3807</v>
      </c>
      <c r="D2065" s="62">
        <v>1</v>
      </c>
      <c r="E2065" s="172">
        <v>119400</v>
      </c>
      <c r="F2065" s="7">
        <v>0</v>
      </c>
      <c r="G2065" s="7"/>
    </row>
    <row r="2066" spans="2:7" x14ac:dyDescent="0.2">
      <c r="B2066" s="173"/>
      <c r="C2066" s="5" t="s">
        <v>3808</v>
      </c>
      <c r="D2066" s="62"/>
      <c r="E2066" s="172">
        <v>1007000</v>
      </c>
      <c r="F2066" s="7"/>
      <c r="G2066" s="173"/>
    </row>
    <row r="2067" spans="2:7" x14ac:dyDescent="0.2">
      <c r="B2067" s="173"/>
      <c r="C2067" s="5"/>
      <c r="D2067" s="62"/>
      <c r="E2067" s="171"/>
      <c r="F2067" s="7"/>
      <c r="G2067" s="51"/>
    </row>
    <row r="2068" spans="2:7" x14ac:dyDescent="0.2">
      <c r="B2068" s="29"/>
      <c r="C2068" s="29"/>
      <c r="D2068" s="68"/>
      <c r="E2068" s="13"/>
      <c r="F2068" s="13"/>
      <c r="G2068" s="29"/>
    </row>
    <row r="2069" spans="2:7" x14ac:dyDescent="0.2">
      <c r="E2069" s="9">
        <f>SUM(E2051:E2068)</f>
        <v>6899000</v>
      </c>
      <c r="F2069" s="9">
        <f>SUM(F2051:F2068)</f>
        <v>2590000</v>
      </c>
      <c r="G2069" s="9">
        <f>SUM(G2051:G2068)</f>
        <v>0</v>
      </c>
    </row>
    <row r="2070" spans="2:7" x14ac:dyDescent="0.2">
      <c r="E2070" s="3">
        <f>6900000-E2069</f>
        <v>1000</v>
      </c>
    </row>
    <row r="2071" spans="2:7" x14ac:dyDescent="0.2">
      <c r="E2071" s="3"/>
    </row>
    <row r="2072" spans="2:7" ht="26" x14ac:dyDescent="0.3">
      <c r="C2072" s="391" t="s">
        <v>3809</v>
      </c>
      <c r="D2072" s="391"/>
      <c r="E2072" s="391"/>
      <c r="F2072" s="391"/>
      <c r="G2072" s="391"/>
    </row>
    <row r="2073" spans="2:7" x14ac:dyDescent="0.2">
      <c r="B2073" s="12"/>
      <c r="C2073" s="29" t="s">
        <v>82</v>
      </c>
      <c r="D2073" s="11" t="s">
        <v>3097</v>
      </c>
      <c r="E2073" s="12" t="s">
        <v>1</v>
      </c>
      <c r="F2073" s="12" t="s">
        <v>3140</v>
      </c>
      <c r="G2073" s="12" t="s">
        <v>3657</v>
      </c>
    </row>
    <row r="2074" spans="2:7" x14ac:dyDescent="0.2">
      <c r="B2074" s="8"/>
      <c r="C2074" s="5" t="s">
        <v>3810</v>
      </c>
      <c r="D2074" s="62">
        <v>1</v>
      </c>
      <c r="E2074" s="28">
        <v>2000000</v>
      </c>
      <c r="F2074" s="7">
        <v>0</v>
      </c>
      <c r="G2074" s="7"/>
    </row>
    <row r="2075" spans="2:7" x14ac:dyDescent="0.2">
      <c r="B2075" s="8"/>
      <c r="C2075" s="5" t="s">
        <v>3811</v>
      </c>
      <c r="D2075" s="62">
        <v>1</v>
      </c>
      <c r="E2075" s="172">
        <v>938000</v>
      </c>
      <c r="F2075" s="7">
        <v>0</v>
      </c>
      <c r="G2075" s="8"/>
    </row>
    <row r="2076" spans="2:7" x14ac:dyDescent="0.2">
      <c r="B2076" s="8"/>
      <c r="C2076" s="5" t="s">
        <v>3812</v>
      </c>
      <c r="D2076" s="62">
        <v>1</v>
      </c>
      <c r="E2076" s="172">
        <v>930000</v>
      </c>
      <c r="F2076" s="7">
        <v>0</v>
      </c>
      <c r="G2076" s="8"/>
    </row>
    <row r="2077" spans="2:7" x14ac:dyDescent="0.2">
      <c r="B2077" s="8"/>
      <c r="C2077" s="5"/>
      <c r="D2077" s="62"/>
      <c r="E2077" s="8"/>
      <c r="F2077" s="7"/>
      <c r="G2077" s="8"/>
    </row>
    <row r="2078" spans="2:7" x14ac:dyDescent="0.2">
      <c r="B2078" s="8"/>
      <c r="C2078" s="8"/>
      <c r="D2078" s="8"/>
      <c r="E2078" s="8"/>
      <c r="F2078" s="8"/>
      <c r="G2078" s="8"/>
    </row>
    <row r="2079" spans="2:7" x14ac:dyDescent="0.2">
      <c r="B2079" s="173"/>
      <c r="C2079" s="5"/>
      <c r="D2079" s="62"/>
      <c r="E2079" s="171"/>
      <c r="F2079" s="7"/>
      <c r="G2079" s="51"/>
    </row>
    <row r="2080" spans="2:7" x14ac:dyDescent="0.2">
      <c r="B2080" s="29"/>
      <c r="C2080" s="29"/>
      <c r="D2080" s="68"/>
      <c r="E2080" s="13"/>
      <c r="F2080" s="13"/>
      <c r="G2080" s="29"/>
    </row>
    <row r="2081" spans="2:7" x14ac:dyDescent="0.2">
      <c r="E2081" s="9">
        <f>SUM(E2074:E2080)</f>
        <v>3868000</v>
      </c>
      <c r="F2081" s="9">
        <f>SUM(F2074:F2080)</f>
        <v>0</v>
      </c>
      <c r="G2081" s="9">
        <f>SUM(G2074:G2080)</f>
        <v>0</v>
      </c>
    </row>
    <row r="2082" spans="2:7" x14ac:dyDescent="0.2">
      <c r="E2082" s="3">
        <f>4000000-E2081</f>
        <v>132000</v>
      </c>
    </row>
    <row r="2085" spans="2:7" ht="26" x14ac:dyDescent="0.3">
      <c r="B2085" s="12"/>
      <c r="C2085" s="391" t="s">
        <v>3813</v>
      </c>
      <c r="D2085" s="391"/>
      <c r="E2085" s="391"/>
      <c r="F2085" s="391"/>
      <c r="G2085" s="391"/>
    </row>
    <row r="2086" spans="2:7" x14ac:dyDescent="0.2">
      <c r="B2086" s="12"/>
      <c r="C2086" s="29" t="s">
        <v>82</v>
      </c>
      <c r="D2086" s="11">
        <v>1</v>
      </c>
      <c r="E2086" s="12" t="s">
        <v>1</v>
      </c>
      <c r="F2086" s="12" t="s">
        <v>3140</v>
      </c>
      <c r="G2086" s="12" t="s">
        <v>3657</v>
      </c>
    </row>
    <row r="2087" spans="2:7" x14ac:dyDescent="0.2">
      <c r="B2087" s="8"/>
      <c r="C2087" s="5" t="s">
        <v>3525</v>
      </c>
      <c r="D2087" s="62">
        <v>1</v>
      </c>
      <c r="E2087" s="28">
        <v>2000000</v>
      </c>
      <c r="F2087" s="7">
        <v>0</v>
      </c>
      <c r="G2087" s="7"/>
    </row>
    <row r="2088" spans="2:7" x14ac:dyDescent="0.2">
      <c r="B2088" s="8"/>
      <c r="C2088" s="5" t="s">
        <v>3757</v>
      </c>
      <c r="D2088" s="62">
        <v>1</v>
      </c>
      <c r="E2088" s="28">
        <v>750000</v>
      </c>
      <c r="F2088" s="7">
        <v>0</v>
      </c>
      <c r="G2088" s="8"/>
    </row>
    <row r="2089" spans="2:7" x14ac:dyDescent="0.2">
      <c r="B2089" s="8"/>
      <c r="C2089" s="5" t="s">
        <v>3526</v>
      </c>
      <c r="D2089" s="62">
        <v>1</v>
      </c>
      <c r="E2089" s="28">
        <v>250000</v>
      </c>
      <c r="F2089" s="7">
        <v>0</v>
      </c>
      <c r="G2089" s="8"/>
    </row>
    <row r="2090" spans="2:7" x14ac:dyDescent="0.2">
      <c r="B2090" s="8"/>
      <c r="C2090" s="5" t="s">
        <v>3297</v>
      </c>
      <c r="D2090" s="62">
        <v>1</v>
      </c>
      <c r="E2090" s="28">
        <v>45000</v>
      </c>
      <c r="F2090" s="7">
        <v>0</v>
      </c>
      <c r="G2090" s="8"/>
    </row>
    <row r="2091" spans="2:7" x14ac:dyDescent="0.2">
      <c r="B2091" s="8"/>
      <c r="C2091" s="5" t="s">
        <v>3743</v>
      </c>
      <c r="D2091" s="62">
        <v>1</v>
      </c>
      <c r="E2091" s="151">
        <v>405000</v>
      </c>
      <c r="F2091" s="7">
        <v>0</v>
      </c>
      <c r="G2091" s="7"/>
    </row>
    <row r="2092" spans="2:7" x14ac:dyDescent="0.2">
      <c r="B2092" s="8"/>
      <c r="C2092" s="5" t="s">
        <v>3744</v>
      </c>
      <c r="D2092" s="62">
        <v>1</v>
      </c>
      <c r="E2092" s="151">
        <v>105000</v>
      </c>
      <c r="F2092" s="7">
        <v>0</v>
      </c>
      <c r="G2092" s="8"/>
    </row>
    <row r="2093" spans="2:7" x14ac:dyDescent="0.2">
      <c r="B2093" s="8"/>
      <c r="C2093" s="5" t="s">
        <v>3745</v>
      </c>
      <c r="D2093" s="62">
        <v>1</v>
      </c>
      <c r="E2093" s="151">
        <v>305000</v>
      </c>
      <c r="F2093" s="7">
        <v>0</v>
      </c>
      <c r="G2093" s="7"/>
    </row>
    <row r="2094" spans="2:7" x14ac:dyDescent="0.2">
      <c r="B2094" s="173"/>
      <c r="C2094" s="5" t="s">
        <v>3802</v>
      </c>
      <c r="D2094" s="62">
        <v>1</v>
      </c>
      <c r="E2094" s="172">
        <v>930000</v>
      </c>
      <c r="F2094" s="7">
        <v>0</v>
      </c>
      <c r="G2094" s="7"/>
    </row>
    <row r="2095" spans="2:7" x14ac:dyDescent="0.2">
      <c r="B2095" s="173"/>
      <c r="C2095" s="5" t="s">
        <v>3814</v>
      </c>
      <c r="D2095" s="62">
        <v>1</v>
      </c>
      <c r="E2095" s="172">
        <v>1480000</v>
      </c>
      <c r="F2095" s="7">
        <v>0</v>
      </c>
      <c r="G2095" s="7"/>
    </row>
    <row r="2096" spans="2:7" x14ac:dyDescent="0.2">
      <c r="B2096" s="173"/>
      <c r="C2096" s="5" t="s">
        <v>3815</v>
      </c>
      <c r="D2096" s="62">
        <v>1</v>
      </c>
      <c r="E2096" s="172">
        <v>500000</v>
      </c>
      <c r="F2096" s="7"/>
      <c r="G2096" s="7"/>
    </row>
    <row r="2097" spans="2:7" x14ac:dyDescent="0.2">
      <c r="B2097" s="173"/>
      <c r="C2097" s="5"/>
      <c r="D2097" s="62"/>
      <c r="E2097" s="171"/>
      <c r="F2097" s="7"/>
      <c r="G2097" s="51"/>
    </row>
    <row r="2098" spans="2:7" x14ac:dyDescent="0.2">
      <c r="B2098" s="29"/>
      <c r="C2098" s="29"/>
      <c r="D2098" s="68"/>
      <c r="E2098" s="13"/>
      <c r="F2098" s="13"/>
      <c r="G2098" s="29"/>
    </row>
    <row r="2099" spans="2:7" x14ac:dyDescent="0.2">
      <c r="E2099" s="9">
        <f>SUM(E2087:E2098)</f>
        <v>6770000</v>
      </c>
      <c r="F2099" s="9">
        <f>SUM(F2087:F2098)</f>
        <v>0</v>
      </c>
      <c r="G2099" s="9">
        <f>SUM(G2087:G2098)</f>
        <v>0</v>
      </c>
    </row>
    <row r="2100" spans="2:7" x14ac:dyDescent="0.2">
      <c r="E2100" s="3">
        <f>6900000-E2099</f>
        <v>130000</v>
      </c>
    </row>
    <row r="2104" spans="2:7" ht="26" x14ac:dyDescent="0.3">
      <c r="B2104" s="12"/>
      <c r="C2104" s="391" t="s">
        <v>3816</v>
      </c>
      <c r="D2104" s="391"/>
      <c r="E2104" s="391"/>
      <c r="F2104" s="391"/>
      <c r="G2104" s="391"/>
    </row>
    <row r="2105" spans="2:7" x14ac:dyDescent="0.2">
      <c r="B2105" s="12"/>
      <c r="C2105" s="29" t="s">
        <v>82</v>
      </c>
      <c r="D2105" s="11">
        <v>1</v>
      </c>
      <c r="E2105" s="12" t="s">
        <v>1</v>
      </c>
      <c r="F2105" s="12" t="s">
        <v>3140</v>
      </c>
      <c r="G2105" s="12" t="s">
        <v>3657</v>
      </c>
    </row>
    <row r="2106" spans="2:7" x14ac:dyDescent="0.2">
      <c r="B2106" s="8"/>
      <c r="C2106" s="5" t="s">
        <v>3525</v>
      </c>
      <c r="D2106" s="62">
        <v>1</v>
      </c>
      <c r="E2106" s="28">
        <v>2000000</v>
      </c>
      <c r="F2106" s="7">
        <v>0</v>
      </c>
      <c r="G2106" s="7"/>
    </row>
    <row r="2107" spans="2:7" x14ac:dyDescent="0.2">
      <c r="B2107" s="8"/>
      <c r="C2107" s="5" t="s">
        <v>3757</v>
      </c>
      <c r="D2107" s="62">
        <v>1</v>
      </c>
      <c r="E2107" s="28">
        <v>750000</v>
      </c>
      <c r="F2107" s="7">
        <v>0</v>
      </c>
      <c r="G2107" s="8"/>
    </row>
    <row r="2108" spans="2:7" x14ac:dyDescent="0.2">
      <c r="B2108" s="8"/>
      <c r="C2108" s="5" t="s">
        <v>3526</v>
      </c>
      <c r="D2108" s="62">
        <v>1</v>
      </c>
      <c r="E2108" s="28">
        <v>250000</v>
      </c>
      <c r="F2108" s="7">
        <v>0</v>
      </c>
      <c r="G2108" s="8"/>
    </row>
    <row r="2109" spans="2:7" x14ac:dyDescent="0.2">
      <c r="B2109" s="8"/>
      <c r="C2109" s="5" t="s">
        <v>3297</v>
      </c>
      <c r="D2109" s="62">
        <v>1</v>
      </c>
      <c r="E2109" s="28">
        <v>45000</v>
      </c>
      <c r="F2109" s="7">
        <v>0</v>
      </c>
      <c r="G2109" s="8"/>
    </row>
    <row r="2110" spans="2:7" x14ac:dyDescent="0.2">
      <c r="B2110" s="8"/>
      <c r="C2110" s="5" t="s">
        <v>3743</v>
      </c>
      <c r="D2110" s="62">
        <v>1</v>
      </c>
      <c r="E2110" s="151">
        <v>405000</v>
      </c>
      <c r="F2110" s="7">
        <v>0</v>
      </c>
      <c r="G2110" s="7"/>
    </row>
    <row r="2111" spans="2:7" x14ac:dyDescent="0.2">
      <c r="B2111" s="8"/>
      <c r="C2111" s="5" t="s">
        <v>3744</v>
      </c>
      <c r="D2111" s="62">
        <v>1</v>
      </c>
      <c r="E2111" s="151">
        <v>105000</v>
      </c>
      <c r="F2111" s="7">
        <v>0</v>
      </c>
      <c r="G2111" s="8"/>
    </row>
    <row r="2112" spans="2:7" x14ac:dyDescent="0.2">
      <c r="B2112" s="8"/>
      <c r="C2112" s="5" t="s">
        <v>3745</v>
      </c>
      <c r="D2112" s="62">
        <v>1</v>
      </c>
      <c r="E2112" s="151">
        <v>305000</v>
      </c>
      <c r="F2112" s="7">
        <v>0</v>
      </c>
      <c r="G2112" s="7"/>
    </row>
    <row r="2113" spans="2:7" x14ac:dyDescent="0.2">
      <c r="B2113" s="173"/>
      <c r="C2113" s="5" t="s">
        <v>3817</v>
      </c>
      <c r="D2113" s="62">
        <v>1</v>
      </c>
      <c r="E2113" s="172">
        <v>930000</v>
      </c>
      <c r="F2113" s="7">
        <v>0</v>
      </c>
      <c r="G2113" s="7"/>
    </row>
    <row r="2114" spans="2:7" x14ac:dyDescent="0.2">
      <c r="B2114" s="173"/>
      <c r="C2114" s="5" t="s">
        <v>3801</v>
      </c>
      <c r="D2114" s="62">
        <v>1</v>
      </c>
      <c r="E2114" s="172">
        <v>930000</v>
      </c>
      <c r="F2114" s="7">
        <v>0</v>
      </c>
      <c r="G2114" s="7"/>
    </row>
    <row r="2115" spans="2:7" x14ac:dyDescent="0.2">
      <c r="B2115" s="173"/>
      <c r="C2115" s="5" t="s">
        <v>3802</v>
      </c>
      <c r="D2115" s="62">
        <v>1</v>
      </c>
      <c r="E2115" s="172">
        <v>930000</v>
      </c>
      <c r="F2115" s="7">
        <v>0</v>
      </c>
      <c r="G2115" s="7"/>
    </row>
    <row r="2116" spans="2:7" x14ac:dyDescent="0.2">
      <c r="B2116" s="173"/>
      <c r="C2116" s="5" t="s">
        <v>3818</v>
      </c>
      <c r="D2116" s="62">
        <v>1</v>
      </c>
      <c r="E2116" s="172">
        <v>250000</v>
      </c>
      <c r="F2116" s="7"/>
      <c r="G2116" s="51"/>
    </row>
    <row r="2117" spans="2:7" x14ac:dyDescent="0.2">
      <c r="B2117" s="173"/>
      <c r="C2117" s="5" t="s">
        <v>3819</v>
      </c>
      <c r="D2117" s="62">
        <v>1</v>
      </c>
      <c r="E2117" s="1">
        <v>0</v>
      </c>
      <c r="F2117" s="172">
        <v>1641000</v>
      </c>
      <c r="G2117" s="51"/>
    </row>
    <row r="2118" spans="2:7" x14ac:dyDescent="0.2">
      <c r="B2118" s="173"/>
      <c r="C2118" s="5"/>
      <c r="D2118" s="62"/>
      <c r="E2118" s="172"/>
      <c r="F2118" s="7"/>
      <c r="G2118" s="51"/>
    </row>
    <row r="2119" spans="2:7" x14ac:dyDescent="0.2">
      <c r="B2119" s="29"/>
      <c r="C2119" s="29"/>
      <c r="D2119" s="68"/>
      <c r="E2119" s="13"/>
      <c r="F2119" s="13"/>
      <c r="G2119" s="29"/>
    </row>
    <row r="2120" spans="2:7" x14ac:dyDescent="0.2">
      <c r="E2120" s="9">
        <f>SUM(E2106:E2119)</f>
        <v>6900000</v>
      </c>
      <c r="F2120" s="9">
        <f>SUM(F2106:F2119)</f>
        <v>1641000</v>
      </c>
      <c r="G2120" s="9">
        <f>SUM(G2106:G2119)</f>
        <v>0</v>
      </c>
    </row>
    <row r="2121" spans="2:7" x14ac:dyDescent="0.2">
      <c r="E2121" s="3">
        <f>6900000-E2120</f>
        <v>0</v>
      </c>
      <c r="G2121" s="1" t="s">
        <v>3820</v>
      </c>
    </row>
    <row r="2123" spans="2:7" ht="26" x14ac:dyDescent="0.3">
      <c r="B2123" s="12"/>
      <c r="C2123" s="391" t="s">
        <v>3821</v>
      </c>
      <c r="D2123" s="391"/>
      <c r="E2123" s="391"/>
      <c r="F2123" s="391"/>
      <c r="G2123" s="391"/>
    </row>
    <row r="2124" spans="2:7" x14ac:dyDescent="0.2">
      <c r="B2124" s="12"/>
      <c r="C2124" s="29" t="s">
        <v>82</v>
      </c>
      <c r="D2124" s="11">
        <v>1</v>
      </c>
      <c r="E2124" s="12" t="s">
        <v>1</v>
      </c>
      <c r="F2124" s="12" t="s">
        <v>3140</v>
      </c>
      <c r="G2124" s="12" t="s">
        <v>3657</v>
      </c>
    </row>
    <row r="2125" spans="2:7" x14ac:dyDescent="0.2">
      <c r="B2125" s="8"/>
      <c r="C2125" s="5" t="s">
        <v>3525</v>
      </c>
      <c r="D2125" s="62">
        <v>1</v>
      </c>
      <c r="E2125" s="28">
        <v>2000000</v>
      </c>
      <c r="F2125" s="7">
        <v>0</v>
      </c>
      <c r="G2125" s="7"/>
    </row>
    <row r="2126" spans="2:7" x14ac:dyDescent="0.2">
      <c r="B2126" s="8"/>
      <c r="C2126" s="5" t="s">
        <v>3757</v>
      </c>
      <c r="D2126" s="62">
        <v>1</v>
      </c>
      <c r="E2126" s="28">
        <v>750000</v>
      </c>
      <c r="F2126" s="7">
        <v>0</v>
      </c>
      <c r="G2126" s="8"/>
    </row>
    <row r="2127" spans="2:7" x14ac:dyDescent="0.2">
      <c r="B2127" s="8"/>
      <c r="C2127" s="5" t="s">
        <v>3526</v>
      </c>
      <c r="D2127" s="62">
        <v>1</v>
      </c>
      <c r="E2127" s="28">
        <v>250000</v>
      </c>
      <c r="F2127" s="7">
        <v>0</v>
      </c>
      <c r="G2127" s="8"/>
    </row>
    <row r="2128" spans="2:7" x14ac:dyDescent="0.2">
      <c r="B2128" s="8"/>
      <c r="C2128" s="5" t="s">
        <v>3297</v>
      </c>
      <c r="D2128" s="62">
        <v>1</v>
      </c>
      <c r="E2128" s="28">
        <v>45000</v>
      </c>
      <c r="F2128" s="7">
        <v>0</v>
      </c>
      <c r="G2128" s="8"/>
    </row>
    <row r="2129" spans="2:7" x14ac:dyDescent="0.2">
      <c r="B2129" s="8"/>
      <c r="C2129" s="5" t="s">
        <v>3743</v>
      </c>
      <c r="D2129" s="62">
        <v>1</v>
      </c>
      <c r="E2129" s="151">
        <v>405000</v>
      </c>
      <c r="F2129" s="7">
        <v>0</v>
      </c>
      <c r="G2129" s="7"/>
    </row>
    <row r="2130" spans="2:7" x14ac:dyDescent="0.2">
      <c r="B2130" s="8"/>
      <c r="C2130" s="5" t="s">
        <v>3744</v>
      </c>
      <c r="D2130" s="62">
        <v>1</v>
      </c>
      <c r="E2130" s="151">
        <v>105000</v>
      </c>
      <c r="F2130" s="7">
        <v>0</v>
      </c>
      <c r="G2130" s="8"/>
    </row>
    <row r="2131" spans="2:7" x14ac:dyDescent="0.2">
      <c r="B2131" s="8"/>
      <c r="C2131" s="5" t="s">
        <v>3745</v>
      </c>
      <c r="D2131" s="62">
        <v>1</v>
      </c>
      <c r="E2131" s="151">
        <v>305000</v>
      </c>
      <c r="F2131" s="7">
        <v>0</v>
      </c>
      <c r="G2131" s="7"/>
    </row>
    <row r="2132" spans="2:7" x14ac:dyDescent="0.2">
      <c r="B2132" s="173"/>
      <c r="C2132" s="5" t="s">
        <v>3817</v>
      </c>
      <c r="D2132" s="62">
        <v>1</v>
      </c>
      <c r="E2132" s="171">
        <v>0</v>
      </c>
      <c r="F2132" s="172">
        <v>930000</v>
      </c>
      <c r="G2132" s="57" t="s">
        <v>3822</v>
      </c>
    </row>
    <row r="2133" spans="2:7" x14ac:dyDescent="0.2">
      <c r="B2133" s="173"/>
      <c r="C2133" s="5" t="s">
        <v>3801</v>
      </c>
      <c r="D2133" s="62">
        <v>1</v>
      </c>
      <c r="E2133" s="171">
        <v>0</v>
      </c>
      <c r="F2133" s="172">
        <v>930000</v>
      </c>
      <c r="G2133" s="57" t="s">
        <v>3822</v>
      </c>
    </row>
    <row r="2134" spans="2:7" x14ac:dyDescent="0.2">
      <c r="B2134" s="173"/>
      <c r="C2134" s="5" t="s">
        <v>3802</v>
      </c>
      <c r="D2134" s="62">
        <v>1</v>
      </c>
      <c r="E2134" s="171">
        <v>0</v>
      </c>
      <c r="F2134" s="172">
        <v>930000</v>
      </c>
      <c r="G2134" s="57" t="s">
        <v>3822</v>
      </c>
    </row>
    <row r="2135" spans="2:7" x14ac:dyDescent="0.2">
      <c r="B2135" s="173"/>
      <c r="C2135" s="5" t="s">
        <v>3823</v>
      </c>
      <c r="D2135" s="62">
        <v>1</v>
      </c>
      <c r="E2135" s="172">
        <v>106000</v>
      </c>
      <c r="F2135" s="7">
        <v>0</v>
      </c>
      <c r="G2135" s="51"/>
    </row>
    <row r="2136" spans="2:7" x14ac:dyDescent="0.2">
      <c r="B2136" s="173"/>
      <c r="C2136" s="5" t="s">
        <v>2853</v>
      </c>
      <c r="D2136" s="62">
        <v>1</v>
      </c>
      <c r="E2136" s="172">
        <v>30000</v>
      </c>
      <c r="F2136" s="7">
        <v>0</v>
      </c>
      <c r="G2136" s="51" t="s">
        <v>3824</v>
      </c>
    </row>
    <row r="2137" spans="2:7" x14ac:dyDescent="0.2">
      <c r="B2137" s="173"/>
      <c r="C2137" s="5" t="s">
        <v>2881</v>
      </c>
      <c r="D2137" s="62">
        <v>6646</v>
      </c>
      <c r="E2137" s="151">
        <f>D2137*100</f>
        <v>664600</v>
      </c>
      <c r="F2137" s="7">
        <v>0</v>
      </c>
      <c r="G2137" s="51"/>
    </row>
    <row r="2138" spans="2:7" x14ac:dyDescent="0.2">
      <c r="B2138" s="173"/>
      <c r="C2138" s="5" t="s">
        <v>2882</v>
      </c>
      <c r="D2138" s="62">
        <v>6654</v>
      </c>
      <c r="E2138" s="151">
        <f>D2138*100</f>
        <v>665400</v>
      </c>
      <c r="F2138" s="7">
        <v>0</v>
      </c>
      <c r="G2138" s="51"/>
    </row>
    <row r="2139" spans="2:7" x14ac:dyDescent="0.2">
      <c r="B2139" s="173">
        <v>45568</v>
      </c>
      <c r="C2139" s="5" t="s">
        <v>3825</v>
      </c>
      <c r="D2139" s="62">
        <v>1</v>
      </c>
      <c r="E2139" s="172">
        <v>1574000</v>
      </c>
      <c r="F2139" s="7"/>
      <c r="G2139" s="51"/>
    </row>
    <row r="2140" spans="2:7" x14ac:dyDescent="0.2">
      <c r="B2140" s="173"/>
      <c r="C2140" s="5"/>
      <c r="D2140" s="62"/>
      <c r="E2140" s="171"/>
      <c r="F2140" s="7"/>
      <c r="G2140" s="51"/>
    </row>
    <row r="2141" spans="2:7" x14ac:dyDescent="0.2">
      <c r="B2141" s="173"/>
      <c r="C2141" s="5"/>
      <c r="D2141" s="62"/>
      <c r="E2141" s="171"/>
      <c r="F2141" s="7"/>
      <c r="G2141" s="51"/>
    </row>
    <row r="2142" spans="2:7" x14ac:dyDescent="0.2">
      <c r="B2142" s="173"/>
      <c r="C2142" s="5"/>
      <c r="D2142" s="62"/>
      <c r="E2142" s="171"/>
      <c r="F2142" s="7"/>
      <c r="G2142" s="51"/>
    </row>
    <row r="2143" spans="2:7" x14ac:dyDescent="0.2">
      <c r="B2143" s="29"/>
      <c r="C2143" s="29"/>
      <c r="D2143" s="68"/>
      <c r="E2143" s="13"/>
      <c r="F2143" s="13"/>
      <c r="G2143" s="29"/>
    </row>
    <row r="2144" spans="2:7" x14ac:dyDescent="0.2">
      <c r="E2144" s="9">
        <f>SUM(E2125:E2143)</f>
        <v>6900000</v>
      </c>
      <c r="F2144" s="9">
        <f>SUM(F2125:F2143)</f>
        <v>2790000</v>
      </c>
      <c r="G2144" s="9">
        <f>SUM(G2125:G2143)</f>
        <v>0</v>
      </c>
    </row>
    <row r="2145" spans="2:7" x14ac:dyDescent="0.2">
      <c r="E2145" s="3">
        <f>6900000-E2144</f>
        <v>0</v>
      </c>
    </row>
    <row r="2149" spans="2:7" ht="26" x14ac:dyDescent="0.3">
      <c r="B2149" s="12"/>
      <c r="C2149" s="391" t="s">
        <v>3826</v>
      </c>
      <c r="D2149" s="391"/>
      <c r="E2149" s="391"/>
      <c r="F2149" s="391"/>
      <c r="G2149" s="391"/>
    </row>
    <row r="2150" spans="2:7" x14ac:dyDescent="0.2">
      <c r="B2150" s="12"/>
      <c r="C2150" s="29" t="s">
        <v>82</v>
      </c>
      <c r="D2150" s="11">
        <v>1</v>
      </c>
      <c r="E2150" s="12" t="s">
        <v>1</v>
      </c>
      <c r="F2150" s="12" t="s">
        <v>3140</v>
      </c>
      <c r="G2150" s="12" t="s">
        <v>3657</v>
      </c>
    </row>
    <row r="2151" spans="2:7" x14ac:dyDescent="0.2">
      <c r="B2151" s="8"/>
      <c r="C2151" s="5" t="s">
        <v>3525</v>
      </c>
      <c r="D2151" s="62">
        <v>1</v>
      </c>
      <c r="E2151" s="28">
        <v>2000000</v>
      </c>
      <c r="F2151" s="7">
        <v>0</v>
      </c>
      <c r="G2151" s="7"/>
    </row>
    <row r="2152" spans="2:7" x14ac:dyDescent="0.2">
      <c r="B2152" s="8"/>
      <c r="C2152" s="5" t="s">
        <v>3757</v>
      </c>
      <c r="D2152" s="62">
        <v>1</v>
      </c>
      <c r="E2152" s="28">
        <v>750000</v>
      </c>
      <c r="F2152" s="7">
        <v>0</v>
      </c>
      <c r="G2152" s="8"/>
    </row>
    <row r="2153" spans="2:7" x14ac:dyDescent="0.2">
      <c r="B2153" s="8"/>
      <c r="C2153" s="5" t="s">
        <v>3526</v>
      </c>
      <c r="D2153" s="62">
        <v>1</v>
      </c>
      <c r="E2153" s="28">
        <v>250000</v>
      </c>
      <c r="F2153" s="7">
        <v>0</v>
      </c>
      <c r="G2153" s="8"/>
    </row>
    <row r="2154" spans="2:7" x14ac:dyDescent="0.2">
      <c r="B2154" s="8"/>
      <c r="C2154" s="5" t="s">
        <v>3297</v>
      </c>
      <c r="D2154" s="62">
        <v>1</v>
      </c>
      <c r="E2154" s="28">
        <v>45000</v>
      </c>
      <c r="F2154" s="7">
        <v>0</v>
      </c>
      <c r="G2154" s="8"/>
    </row>
    <row r="2155" spans="2:7" x14ac:dyDescent="0.2">
      <c r="B2155" s="8"/>
      <c r="C2155" s="5" t="s">
        <v>3743</v>
      </c>
      <c r="D2155" s="62">
        <v>1</v>
      </c>
      <c r="E2155" s="151">
        <v>405000</v>
      </c>
      <c r="F2155" s="7">
        <v>0</v>
      </c>
      <c r="G2155" s="7"/>
    </row>
    <row r="2156" spans="2:7" x14ac:dyDescent="0.2">
      <c r="B2156" s="8"/>
      <c r="C2156" s="5" t="s">
        <v>3744</v>
      </c>
      <c r="D2156" s="62">
        <v>1</v>
      </c>
      <c r="E2156" s="151">
        <v>105000</v>
      </c>
      <c r="F2156" s="7">
        <v>0</v>
      </c>
      <c r="G2156" s="8"/>
    </row>
    <row r="2157" spans="2:7" x14ac:dyDescent="0.2">
      <c r="B2157" s="8"/>
      <c r="C2157" s="5" t="s">
        <v>3745</v>
      </c>
      <c r="D2157" s="62">
        <v>1</v>
      </c>
      <c r="E2157" s="151">
        <v>305000</v>
      </c>
      <c r="F2157" s="7">
        <v>0</v>
      </c>
      <c r="G2157" s="7"/>
    </row>
    <row r="2158" spans="2:7" x14ac:dyDescent="0.2">
      <c r="B2158" s="173"/>
      <c r="C2158" s="5" t="s">
        <v>3817</v>
      </c>
      <c r="D2158" s="62">
        <v>1</v>
      </c>
      <c r="E2158" s="172">
        <v>930000</v>
      </c>
      <c r="F2158" s="7">
        <v>0</v>
      </c>
      <c r="G2158" s="51"/>
    </row>
    <row r="2159" spans="2:7" x14ac:dyDescent="0.2">
      <c r="B2159" s="173"/>
      <c r="C2159" s="5" t="s">
        <v>3801</v>
      </c>
      <c r="D2159" s="62">
        <v>1</v>
      </c>
      <c r="E2159" s="172">
        <v>930000</v>
      </c>
      <c r="F2159" s="7">
        <v>0</v>
      </c>
      <c r="G2159" s="51"/>
    </row>
    <row r="2160" spans="2:7" x14ac:dyDescent="0.2">
      <c r="B2160" s="173"/>
      <c r="C2160" s="5" t="s">
        <v>3802</v>
      </c>
      <c r="D2160" s="62">
        <v>1</v>
      </c>
      <c r="E2160" s="172">
        <v>930000</v>
      </c>
      <c r="F2160" s="7">
        <v>0</v>
      </c>
      <c r="G2160" s="51"/>
    </row>
    <row r="2161" spans="2:14" x14ac:dyDescent="0.2">
      <c r="B2161" s="173"/>
      <c r="C2161" s="5" t="s">
        <v>3827</v>
      </c>
      <c r="D2161" s="62">
        <v>443</v>
      </c>
      <c r="E2161" s="172">
        <v>100000</v>
      </c>
      <c r="F2161" s="7">
        <v>0</v>
      </c>
      <c r="G2161" s="51"/>
    </row>
    <row r="2162" spans="2:14" x14ac:dyDescent="0.2">
      <c r="B2162" s="173"/>
      <c r="C2162" s="5" t="s">
        <v>3828</v>
      </c>
      <c r="D2162" s="62">
        <v>1</v>
      </c>
      <c r="E2162" s="172">
        <v>35000</v>
      </c>
      <c r="F2162" s="7">
        <v>0</v>
      </c>
      <c r="G2162" s="51"/>
    </row>
    <row r="2163" spans="2:14" x14ac:dyDescent="0.2">
      <c r="B2163" s="173"/>
      <c r="C2163" s="5" t="s">
        <v>3829</v>
      </c>
      <c r="D2163" s="62">
        <v>2</v>
      </c>
      <c r="E2163" s="172">
        <v>125000</v>
      </c>
      <c r="F2163" s="7">
        <v>0</v>
      </c>
      <c r="G2163" s="51"/>
    </row>
    <row r="2164" spans="2:14" x14ac:dyDescent="0.2">
      <c r="B2164" s="173"/>
      <c r="C2164" s="5" t="s">
        <v>3830</v>
      </c>
      <c r="D2164" s="62">
        <v>1</v>
      </c>
      <c r="E2164" s="171">
        <v>0</v>
      </c>
      <c r="F2164" s="151">
        <v>1000000</v>
      </c>
      <c r="G2164" s="51"/>
    </row>
    <row r="2165" spans="2:14" x14ac:dyDescent="0.2">
      <c r="B2165" s="173"/>
      <c r="C2165" s="5"/>
      <c r="D2165" s="62"/>
      <c r="E2165" s="171"/>
      <c r="F2165" s="7"/>
      <c r="G2165" s="51"/>
      <c r="N2165">
        <v>208</v>
      </c>
    </row>
    <row r="2166" spans="2:14" x14ac:dyDescent="0.2">
      <c r="B2166" s="29"/>
      <c r="C2166" s="29"/>
      <c r="D2166" s="68"/>
      <c r="E2166" s="13"/>
      <c r="F2166" s="13"/>
      <c r="G2166" s="29"/>
    </row>
    <row r="2167" spans="2:14" x14ac:dyDescent="0.2">
      <c r="E2167" s="9">
        <f>SUM(E2151:E2166)</f>
        <v>6910000</v>
      </c>
      <c r="F2167" s="9">
        <f>SUM(F2151:F2166)</f>
        <v>1000000</v>
      </c>
      <c r="G2167" s="9">
        <f>SUM(G2151:G2166)</f>
        <v>0</v>
      </c>
    </row>
    <row r="2168" spans="2:14" x14ac:dyDescent="0.2">
      <c r="E2168" s="3">
        <f>6900000-E2167</f>
        <v>-10000</v>
      </c>
    </row>
    <row r="2172" spans="2:14" ht="26" x14ac:dyDescent="0.3">
      <c r="B2172" s="12"/>
      <c r="C2172" s="391" t="s">
        <v>3831</v>
      </c>
      <c r="D2172" s="391"/>
      <c r="E2172" s="391"/>
      <c r="F2172" s="391"/>
      <c r="G2172" s="391"/>
    </row>
    <row r="2173" spans="2:14" x14ac:dyDescent="0.2">
      <c r="B2173" s="12"/>
      <c r="C2173" s="29" t="s">
        <v>82</v>
      </c>
      <c r="D2173" s="11">
        <v>1</v>
      </c>
      <c r="E2173" s="12" t="s">
        <v>1</v>
      </c>
      <c r="F2173" s="12" t="s">
        <v>3140</v>
      </c>
      <c r="G2173" s="12" t="s">
        <v>3657</v>
      </c>
    </row>
    <row r="2174" spans="2:14" x14ac:dyDescent="0.2">
      <c r="B2174" s="8"/>
      <c r="C2174" s="5" t="s">
        <v>3525</v>
      </c>
      <c r="D2174" s="62">
        <v>1</v>
      </c>
      <c r="E2174" s="28">
        <v>2000000</v>
      </c>
      <c r="F2174" s="7">
        <v>0</v>
      </c>
      <c r="G2174" s="7"/>
    </row>
    <row r="2175" spans="2:14" x14ac:dyDescent="0.2">
      <c r="B2175" s="8"/>
      <c r="C2175" s="5" t="s">
        <v>3757</v>
      </c>
      <c r="D2175" s="62">
        <v>1</v>
      </c>
      <c r="E2175" s="28">
        <v>750000</v>
      </c>
      <c r="F2175" s="7">
        <v>0</v>
      </c>
      <c r="G2175" s="8"/>
    </row>
    <row r="2176" spans="2:14" x14ac:dyDescent="0.2">
      <c r="B2176" s="8"/>
      <c r="C2176" s="5" t="s">
        <v>3526</v>
      </c>
      <c r="D2176" s="62">
        <v>1</v>
      </c>
      <c r="E2176" s="28">
        <v>250000</v>
      </c>
      <c r="F2176" s="7">
        <v>0</v>
      </c>
      <c r="G2176" s="8"/>
    </row>
    <row r="2177" spans="2:7" x14ac:dyDescent="0.2">
      <c r="B2177" s="8"/>
      <c r="C2177" s="5" t="s">
        <v>3297</v>
      </c>
      <c r="D2177" s="62">
        <v>1</v>
      </c>
      <c r="E2177" s="28">
        <v>45000</v>
      </c>
      <c r="F2177" s="7">
        <v>0</v>
      </c>
      <c r="G2177" s="8"/>
    </row>
    <row r="2178" spans="2:7" x14ac:dyDescent="0.2">
      <c r="B2178" s="173"/>
      <c r="C2178" s="5" t="s">
        <v>3832</v>
      </c>
      <c r="D2178" s="62">
        <v>1</v>
      </c>
      <c r="E2178" s="181">
        <v>600000</v>
      </c>
      <c r="F2178" s="7">
        <v>0</v>
      </c>
      <c r="G2178" s="51"/>
    </row>
    <row r="2179" spans="2:7" x14ac:dyDescent="0.2">
      <c r="B2179" s="8"/>
      <c r="C2179" s="5" t="s">
        <v>3833</v>
      </c>
      <c r="D2179" s="62">
        <v>1</v>
      </c>
      <c r="E2179" s="181">
        <v>405000</v>
      </c>
      <c r="F2179" s="7">
        <v>0</v>
      </c>
      <c r="G2179" s="7"/>
    </row>
    <row r="2180" spans="2:7" x14ac:dyDescent="0.2">
      <c r="B2180" s="8"/>
      <c r="C2180" s="5" t="s">
        <v>3834</v>
      </c>
      <c r="D2180" s="62">
        <v>1</v>
      </c>
      <c r="E2180" s="181">
        <v>105000</v>
      </c>
      <c r="F2180" s="7">
        <v>0</v>
      </c>
      <c r="G2180" s="8"/>
    </row>
    <row r="2181" spans="2:7" x14ac:dyDescent="0.2">
      <c r="B2181" s="8"/>
      <c r="C2181" s="5" t="s">
        <v>3835</v>
      </c>
      <c r="D2181" s="62">
        <v>1</v>
      </c>
      <c r="E2181" s="181">
        <v>305000</v>
      </c>
      <c r="F2181" s="7">
        <v>0</v>
      </c>
      <c r="G2181" s="7"/>
    </row>
    <row r="2182" spans="2:7" x14ac:dyDescent="0.2">
      <c r="B2182" s="8"/>
      <c r="C2182" s="5" t="s">
        <v>3836</v>
      </c>
      <c r="D2182" s="62">
        <v>1</v>
      </c>
      <c r="E2182" s="181">
        <v>310000</v>
      </c>
      <c r="F2182" s="7">
        <v>0</v>
      </c>
      <c r="G2182" s="7"/>
    </row>
    <row r="2183" spans="2:7" x14ac:dyDescent="0.2">
      <c r="B2183" s="173"/>
      <c r="C2183" s="5" t="s">
        <v>3837</v>
      </c>
      <c r="D2183" s="62">
        <v>4800</v>
      </c>
      <c r="E2183" s="172">
        <v>480000</v>
      </c>
      <c r="F2183" s="7">
        <v>0</v>
      </c>
      <c r="G2183" s="51"/>
    </row>
    <row r="2184" spans="2:7" x14ac:dyDescent="0.2">
      <c r="B2184" s="173"/>
      <c r="C2184" s="5" t="s">
        <v>3838</v>
      </c>
      <c r="D2184" s="62">
        <v>4800</v>
      </c>
      <c r="E2184" s="172">
        <v>480000</v>
      </c>
      <c r="F2184" s="7">
        <v>0</v>
      </c>
      <c r="G2184" s="51"/>
    </row>
    <row r="2185" spans="2:7" x14ac:dyDescent="0.2">
      <c r="B2185" s="173"/>
      <c r="C2185" s="5" t="s">
        <v>3839</v>
      </c>
      <c r="D2185" s="62">
        <v>4509</v>
      </c>
      <c r="E2185" s="172">
        <f>D2185*100</f>
        <v>450900</v>
      </c>
      <c r="F2185" s="7">
        <v>0</v>
      </c>
      <c r="G2185" s="51"/>
    </row>
    <row r="2186" spans="2:7" x14ac:dyDescent="0.2">
      <c r="B2186" s="173"/>
      <c r="C2186" s="5" t="s">
        <v>3840</v>
      </c>
      <c r="D2186" s="62">
        <f>236+236+191+212+252+178+312+325</f>
        <v>1942</v>
      </c>
      <c r="E2186" s="172">
        <f>D2186*220</f>
        <v>427240</v>
      </c>
      <c r="F2186" s="7">
        <v>0</v>
      </c>
      <c r="G2186" s="51"/>
    </row>
    <row r="2187" spans="2:7" x14ac:dyDescent="0.2">
      <c r="B2187" s="173"/>
      <c r="C2187" s="5" t="s">
        <v>3841</v>
      </c>
      <c r="D2187" s="62">
        <v>4</v>
      </c>
      <c r="E2187" s="172">
        <v>300000</v>
      </c>
      <c r="F2187" s="7">
        <v>0</v>
      </c>
      <c r="G2187" s="51"/>
    </row>
    <row r="2188" spans="2:7" x14ac:dyDescent="0.2">
      <c r="B2188" s="173"/>
      <c r="C2188" s="5"/>
      <c r="D2188" s="62"/>
      <c r="E2188" s="171"/>
      <c r="F2188" s="7"/>
      <c r="G2188" s="51"/>
    </row>
    <row r="2189" spans="2:7" x14ac:dyDescent="0.2">
      <c r="B2189" s="173"/>
      <c r="C2189" s="5"/>
      <c r="D2189" s="62"/>
      <c r="E2189" s="171"/>
      <c r="F2189" s="7"/>
      <c r="G2189" s="51"/>
    </row>
    <row r="2190" spans="2:7" x14ac:dyDescent="0.2">
      <c r="B2190" s="29"/>
      <c r="C2190" s="29"/>
      <c r="D2190" s="68"/>
      <c r="E2190" s="13"/>
      <c r="F2190" s="13"/>
      <c r="G2190" s="29"/>
    </row>
    <row r="2191" spans="2:7" x14ac:dyDescent="0.2">
      <c r="E2191" s="9">
        <f>SUM(E2174:E2190)</f>
        <v>6908140</v>
      </c>
      <c r="F2191" s="9">
        <f>SUM(F2174:F2190)</f>
        <v>0</v>
      </c>
      <c r="G2191" s="9">
        <f>SUM(G2174:G2190)</f>
        <v>0</v>
      </c>
    </row>
    <row r="2192" spans="2:7" x14ac:dyDescent="0.2">
      <c r="E2192" s="3">
        <f>6900000-E2191</f>
        <v>-8140</v>
      </c>
    </row>
    <row r="2197" spans="2:7" ht="26" x14ac:dyDescent="0.3">
      <c r="B2197" s="12"/>
      <c r="C2197" s="391" t="s">
        <v>3857</v>
      </c>
      <c r="D2197" s="391"/>
      <c r="E2197" s="391"/>
      <c r="F2197" s="391"/>
      <c r="G2197" s="391"/>
    </row>
    <row r="2198" spans="2:7" x14ac:dyDescent="0.2">
      <c r="B2198" s="12"/>
      <c r="C2198" s="29" t="s">
        <v>82</v>
      </c>
      <c r="D2198" s="11">
        <v>1</v>
      </c>
      <c r="E2198" s="12" t="s">
        <v>1</v>
      </c>
      <c r="F2198" s="12" t="s">
        <v>3140</v>
      </c>
      <c r="G2198" s="12" t="s">
        <v>3657</v>
      </c>
    </row>
    <row r="2199" spans="2:7" x14ac:dyDescent="0.2">
      <c r="B2199" s="8"/>
      <c r="C2199" s="5" t="s">
        <v>3525</v>
      </c>
      <c r="D2199" s="62">
        <v>1</v>
      </c>
      <c r="E2199" s="28">
        <v>2000000</v>
      </c>
      <c r="F2199" s="7">
        <v>0</v>
      </c>
      <c r="G2199" s="7"/>
    </row>
    <row r="2200" spans="2:7" x14ac:dyDescent="0.2">
      <c r="B2200" s="8"/>
      <c r="C2200" s="5" t="s">
        <v>3757</v>
      </c>
      <c r="D2200" s="62">
        <v>1</v>
      </c>
      <c r="E2200" s="28">
        <v>750000</v>
      </c>
      <c r="F2200" s="7">
        <v>0</v>
      </c>
      <c r="G2200" s="8"/>
    </row>
    <row r="2201" spans="2:7" x14ac:dyDescent="0.2">
      <c r="B2201" s="8"/>
      <c r="C2201" s="5" t="s">
        <v>3526</v>
      </c>
      <c r="D2201" s="62">
        <v>1</v>
      </c>
      <c r="E2201" s="28">
        <v>250000</v>
      </c>
      <c r="F2201" s="7">
        <v>0</v>
      </c>
      <c r="G2201" s="8"/>
    </row>
    <row r="2202" spans="2:7" x14ac:dyDescent="0.2">
      <c r="B2202" s="8"/>
      <c r="C2202" s="5" t="s">
        <v>3297</v>
      </c>
      <c r="D2202" s="62">
        <v>1</v>
      </c>
      <c r="E2202" s="28">
        <v>45000</v>
      </c>
      <c r="F2202" s="7">
        <v>0</v>
      </c>
      <c r="G2202" s="8"/>
    </row>
    <row r="2203" spans="2:7" x14ac:dyDescent="0.2">
      <c r="B2203" s="173"/>
      <c r="C2203" s="5" t="s">
        <v>3832</v>
      </c>
      <c r="D2203" s="62">
        <v>1</v>
      </c>
      <c r="E2203" s="181">
        <v>925000</v>
      </c>
      <c r="F2203" s="7">
        <v>0</v>
      </c>
      <c r="G2203" s="51"/>
    </row>
    <row r="2204" spans="2:7" x14ac:dyDescent="0.2">
      <c r="B2204" s="8"/>
      <c r="C2204" s="5" t="s">
        <v>3833</v>
      </c>
      <c r="D2204" s="62">
        <v>1</v>
      </c>
      <c r="E2204" s="181">
        <v>405000</v>
      </c>
      <c r="F2204" s="7">
        <v>0</v>
      </c>
      <c r="G2204" s="7"/>
    </row>
    <row r="2205" spans="2:7" x14ac:dyDescent="0.2">
      <c r="B2205" s="8"/>
      <c r="C2205" s="5" t="s">
        <v>3834</v>
      </c>
      <c r="D2205" s="62">
        <v>1</v>
      </c>
      <c r="E2205" s="181">
        <v>105000</v>
      </c>
      <c r="F2205" s="7">
        <v>0</v>
      </c>
      <c r="G2205" s="8"/>
    </row>
    <row r="2206" spans="2:7" x14ac:dyDescent="0.2">
      <c r="B2206" s="8"/>
      <c r="C2206" s="5" t="s">
        <v>3835</v>
      </c>
      <c r="D2206" s="62">
        <v>1</v>
      </c>
      <c r="E2206" s="181">
        <v>305000</v>
      </c>
      <c r="F2206" s="7">
        <v>0</v>
      </c>
      <c r="G2206" s="7"/>
    </row>
    <row r="2207" spans="2:7" x14ac:dyDescent="0.2">
      <c r="B2207" s="8"/>
      <c r="C2207" s="5" t="s">
        <v>3836</v>
      </c>
      <c r="D2207" s="62">
        <v>1</v>
      </c>
      <c r="E2207" s="181">
        <v>310000</v>
      </c>
      <c r="F2207" s="7">
        <v>0</v>
      </c>
      <c r="G2207" s="7"/>
    </row>
    <row r="2208" spans="2:7" x14ac:dyDescent="0.2">
      <c r="B2208" s="173"/>
      <c r="C2208" s="5" t="s">
        <v>3842</v>
      </c>
      <c r="D2208" s="62">
        <v>200</v>
      </c>
      <c r="E2208" s="172">
        <f>D2208*350</f>
        <v>70000</v>
      </c>
      <c r="F2208" s="7">
        <v>0</v>
      </c>
      <c r="G2208" s="51"/>
    </row>
    <row r="2209" spans="2:7" x14ac:dyDescent="0.2">
      <c r="B2209" s="173"/>
      <c r="C2209" s="5" t="s">
        <v>3843</v>
      </c>
      <c r="D2209" s="62">
        <v>1100</v>
      </c>
      <c r="E2209" s="172">
        <f>D2209*100</f>
        <v>110000</v>
      </c>
      <c r="F2209" s="7">
        <v>0</v>
      </c>
      <c r="G2209" s="51"/>
    </row>
    <row r="2210" spans="2:7" x14ac:dyDescent="0.2">
      <c r="B2210" s="173"/>
      <c r="C2210" s="5" t="s">
        <v>3843</v>
      </c>
      <c r="D2210" s="62">
        <v>500</v>
      </c>
      <c r="E2210" s="172">
        <f>D2210*100</f>
        <v>50000</v>
      </c>
      <c r="F2210" s="7">
        <v>0</v>
      </c>
      <c r="G2210" s="51"/>
    </row>
    <row r="2211" spans="2:7" x14ac:dyDescent="0.2">
      <c r="B2211" s="173"/>
      <c r="C2211" s="5" t="s">
        <v>3859</v>
      </c>
      <c r="D2211" s="62">
        <v>1</v>
      </c>
      <c r="E2211" s="171">
        <v>0</v>
      </c>
      <c r="F2211" s="172">
        <v>1920000</v>
      </c>
      <c r="G2211" s="51">
        <v>45691</v>
      </c>
    </row>
    <row r="2212" spans="2:7" x14ac:dyDescent="0.2">
      <c r="B2212" s="173"/>
      <c r="C2212" s="5" t="s">
        <v>3858</v>
      </c>
      <c r="D2212" s="62">
        <v>1</v>
      </c>
      <c r="E2212" s="171">
        <v>0</v>
      </c>
      <c r="F2212" s="172">
        <v>930000</v>
      </c>
      <c r="G2212" s="51"/>
    </row>
    <row r="2213" spans="2:7" x14ac:dyDescent="0.2">
      <c r="B2213" s="200"/>
      <c r="C2213" s="187" t="s">
        <v>3808</v>
      </c>
      <c r="D2213" s="201"/>
      <c r="E2213" s="212">
        <v>1575000</v>
      </c>
      <c r="F2213" s="203"/>
      <c r="G2213" s="195"/>
    </row>
    <row r="2214" spans="2:7" x14ac:dyDescent="0.2">
      <c r="B2214" s="200"/>
      <c r="C2214" s="5" t="s">
        <v>3925</v>
      </c>
      <c r="D2214" s="201"/>
      <c r="E2214" s="202"/>
      <c r="F2214" s="213">
        <v>930000</v>
      </c>
      <c r="G2214" s="51">
        <v>45691</v>
      </c>
    </row>
    <row r="2215" spans="2:7" x14ac:dyDescent="0.2">
      <c r="B2215" s="173"/>
      <c r="C2215" s="5"/>
      <c r="D2215" s="62"/>
      <c r="E2215" s="171"/>
      <c r="F2215" s="7"/>
      <c r="G2215" s="51"/>
    </row>
    <row r="2216" spans="2:7" x14ac:dyDescent="0.2">
      <c r="B2216" s="173"/>
      <c r="C2216" s="5"/>
      <c r="D2216" s="62"/>
      <c r="E2216" s="171"/>
      <c r="F2216" s="7"/>
      <c r="G2216" s="51"/>
    </row>
    <row r="2217" spans="2:7" x14ac:dyDescent="0.2">
      <c r="B2217" s="29"/>
      <c r="C2217" s="29"/>
      <c r="D2217" s="68"/>
      <c r="E2217" s="13"/>
      <c r="F2217" s="13"/>
      <c r="G2217" s="29"/>
    </row>
    <row r="2218" spans="2:7" x14ac:dyDescent="0.2">
      <c r="E2218" s="9">
        <f>SUM(E2199:E2217)</f>
        <v>6900000</v>
      </c>
      <c r="F2218" s="9">
        <f>SUM(F2199:F2217)</f>
        <v>3780000</v>
      </c>
      <c r="G2218" s="9">
        <f>SUM(G2199:G2217)</f>
        <v>91382</v>
      </c>
    </row>
    <row r="2219" spans="2:7" x14ac:dyDescent="0.2">
      <c r="E2219" s="3">
        <f>6900000-E2218</f>
        <v>0</v>
      </c>
    </row>
    <row r="2222" spans="2:7" ht="24" customHeight="1" x14ac:dyDescent="0.3">
      <c r="B2222" s="12"/>
      <c r="C2222" s="391" t="s">
        <v>3926</v>
      </c>
      <c r="D2222" s="391"/>
      <c r="E2222" s="391"/>
      <c r="F2222" s="391"/>
      <c r="G2222" s="391"/>
    </row>
    <row r="2223" spans="2:7" x14ac:dyDescent="0.2">
      <c r="B2223" s="12"/>
      <c r="C2223" s="29" t="s">
        <v>82</v>
      </c>
      <c r="D2223" s="11">
        <v>1</v>
      </c>
      <c r="E2223" s="12" t="s">
        <v>1</v>
      </c>
      <c r="F2223" s="12" t="s">
        <v>3140</v>
      </c>
      <c r="G2223" s="12" t="s">
        <v>3657</v>
      </c>
    </row>
    <row r="2224" spans="2:7" x14ac:dyDescent="0.2">
      <c r="B2224" s="8"/>
      <c r="C2224" s="5" t="s">
        <v>3525</v>
      </c>
      <c r="D2224" s="62">
        <v>1</v>
      </c>
      <c r="E2224" s="28">
        <v>2000000</v>
      </c>
      <c r="F2224" s="7">
        <v>0</v>
      </c>
      <c r="G2224" s="7"/>
    </row>
    <row r="2225" spans="2:7" x14ac:dyDescent="0.2">
      <c r="B2225" s="8"/>
      <c r="C2225" s="5" t="s">
        <v>3757</v>
      </c>
      <c r="D2225" s="62">
        <v>1</v>
      </c>
      <c r="E2225" s="28">
        <v>750000</v>
      </c>
      <c r="F2225" s="7">
        <v>0</v>
      </c>
      <c r="G2225" s="8"/>
    </row>
    <row r="2226" spans="2:7" x14ac:dyDescent="0.2">
      <c r="B2226" s="8"/>
      <c r="C2226" s="5" t="s">
        <v>3526</v>
      </c>
      <c r="D2226" s="62">
        <v>1</v>
      </c>
      <c r="E2226" s="28">
        <v>250000</v>
      </c>
      <c r="F2226" s="7">
        <v>0</v>
      </c>
      <c r="G2226" s="8"/>
    </row>
    <row r="2227" spans="2:7" x14ac:dyDescent="0.2">
      <c r="B2227" s="8"/>
      <c r="C2227" s="5" t="s">
        <v>3297</v>
      </c>
      <c r="D2227" s="62">
        <v>1</v>
      </c>
      <c r="E2227" s="28">
        <v>45000</v>
      </c>
      <c r="F2227" s="7">
        <v>0</v>
      </c>
      <c r="G2227" s="8"/>
    </row>
    <row r="2228" spans="2:7" x14ac:dyDescent="0.2">
      <c r="B2228" s="173"/>
      <c r="C2228" s="5" t="s">
        <v>3928</v>
      </c>
      <c r="D2228" s="62">
        <v>1</v>
      </c>
      <c r="E2228" s="214">
        <v>0</v>
      </c>
      <c r="F2228" s="214">
        <v>925000</v>
      </c>
      <c r="G2228" s="8"/>
    </row>
    <row r="2229" spans="2:7" x14ac:dyDescent="0.2">
      <c r="B2229" s="200"/>
      <c r="C2229" s="5" t="s">
        <v>3927</v>
      </c>
      <c r="D2229" s="201">
        <v>1</v>
      </c>
      <c r="E2229" s="214">
        <v>0</v>
      </c>
      <c r="F2229" s="214">
        <f>30000000*1.85%</f>
        <v>555000.00000000012</v>
      </c>
      <c r="G2229" s="8"/>
    </row>
    <row r="2230" spans="2:7" x14ac:dyDescent="0.2">
      <c r="B2230" s="8"/>
      <c r="C2230" s="5" t="s">
        <v>3833</v>
      </c>
      <c r="D2230" s="62">
        <v>1</v>
      </c>
      <c r="E2230" s="151">
        <v>405000</v>
      </c>
      <c r="F2230" s="7">
        <v>0</v>
      </c>
      <c r="G2230" s="8"/>
    </row>
    <row r="2231" spans="2:7" x14ac:dyDescent="0.2">
      <c r="B2231" s="8"/>
      <c r="C2231" s="5" t="s">
        <v>3834</v>
      </c>
      <c r="D2231" s="62">
        <v>1</v>
      </c>
      <c r="E2231" s="151">
        <v>105000</v>
      </c>
      <c r="F2231" s="7">
        <v>0</v>
      </c>
      <c r="G2231" s="8"/>
    </row>
    <row r="2232" spans="2:7" x14ac:dyDescent="0.2">
      <c r="B2232" s="8"/>
      <c r="C2232" s="5" t="s">
        <v>3835</v>
      </c>
      <c r="D2232" s="62">
        <v>1</v>
      </c>
      <c r="E2232" s="151">
        <v>305000</v>
      </c>
      <c r="F2232" s="7">
        <v>0</v>
      </c>
      <c r="G2232" s="7"/>
    </row>
    <row r="2233" spans="2:7" x14ac:dyDescent="0.2">
      <c r="B2233" s="8"/>
      <c r="C2233" s="5" t="s">
        <v>3836</v>
      </c>
      <c r="D2233" s="62">
        <v>1</v>
      </c>
      <c r="E2233" s="151">
        <v>310000</v>
      </c>
      <c r="F2233" s="7">
        <v>0</v>
      </c>
      <c r="G2233" s="7"/>
    </row>
    <row r="2234" spans="2:7" x14ac:dyDescent="0.2">
      <c r="B2234" s="173"/>
      <c r="C2234" s="5" t="s">
        <v>3929</v>
      </c>
      <c r="D2234" s="62">
        <v>4500</v>
      </c>
      <c r="E2234" s="172">
        <f>D2234*100</f>
        <v>450000</v>
      </c>
      <c r="F2234" s="7">
        <v>0</v>
      </c>
      <c r="G2234" s="51"/>
    </row>
    <row r="2235" spans="2:7" x14ac:dyDescent="0.2">
      <c r="B2235" s="173"/>
      <c r="C2235" s="5" t="s">
        <v>3930</v>
      </c>
      <c r="D2235" s="62">
        <v>1</v>
      </c>
      <c r="E2235" s="171">
        <v>0</v>
      </c>
      <c r="F2235" s="171">
        <v>930000</v>
      </c>
      <c r="G2235" s="51"/>
    </row>
    <row r="2236" spans="2:7" x14ac:dyDescent="0.2">
      <c r="B2236" s="173"/>
      <c r="C2236" s="5" t="s">
        <v>3931</v>
      </c>
      <c r="D2236" s="62">
        <v>1</v>
      </c>
      <c r="E2236" s="171">
        <v>0</v>
      </c>
      <c r="F2236" s="171">
        <v>930000</v>
      </c>
      <c r="G2236" s="51"/>
    </row>
    <row r="2237" spans="2:7" x14ac:dyDescent="0.2">
      <c r="B2237" s="200"/>
      <c r="C2237" s="5" t="s">
        <v>3761</v>
      </c>
      <c r="D2237" s="201">
        <v>1</v>
      </c>
      <c r="E2237" s="202">
        <v>0</v>
      </c>
      <c r="F2237" s="171">
        <v>930000</v>
      </c>
      <c r="G2237" s="51"/>
    </row>
    <row r="2238" spans="2:7" x14ac:dyDescent="0.2">
      <c r="B2238" s="173"/>
      <c r="C2238" s="5"/>
      <c r="D2238" s="62"/>
      <c r="E2238" s="171"/>
      <c r="F2238" s="7"/>
      <c r="G2238" s="51"/>
    </row>
    <row r="2239" spans="2:7" x14ac:dyDescent="0.2">
      <c r="B2239" s="173"/>
      <c r="C2239" s="5"/>
      <c r="D2239" s="62"/>
      <c r="E2239" s="171"/>
      <c r="F2239" s="7"/>
      <c r="G2239" s="51"/>
    </row>
    <row r="2240" spans="2:7" x14ac:dyDescent="0.2">
      <c r="B2240" s="29"/>
      <c r="C2240" s="29"/>
      <c r="D2240" s="68"/>
      <c r="E2240" s="13"/>
      <c r="F2240" s="13"/>
      <c r="G2240" s="29"/>
    </row>
    <row r="2241" spans="2:7" x14ac:dyDescent="0.2">
      <c r="E2241" s="9">
        <f>SUM(E2224:E2240)</f>
        <v>4620000</v>
      </c>
      <c r="F2241" s="9">
        <f>SUM(F2224:F2240)</f>
        <v>4270000</v>
      </c>
      <c r="G2241" s="9">
        <f>SUM(G2224:G2240)</f>
        <v>0</v>
      </c>
    </row>
    <row r="2242" spans="2:7" x14ac:dyDescent="0.2">
      <c r="E2242" s="3">
        <f>4490000-E2241</f>
        <v>-130000</v>
      </c>
    </row>
    <row r="2245" spans="2:7" ht="26" x14ac:dyDescent="0.3">
      <c r="B2245" s="12"/>
      <c r="C2245" s="391" t="s">
        <v>3932</v>
      </c>
      <c r="D2245" s="391"/>
      <c r="E2245" s="391"/>
      <c r="F2245" s="391"/>
      <c r="G2245" s="391"/>
    </row>
    <row r="2246" spans="2:7" x14ac:dyDescent="0.2">
      <c r="B2246" s="12"/>
      <c r="C2246" s="29" t="s">
        <v>82</v>
      </c>
      <c r="D2246" s="11">
        <v>1</v>
      </c>
      <c r="E2246" s="12" t="s">
        <v>1</v>
      </c>
      <c r="F2246" s="12" t="s">
        <v>3140</v>
      </c>
      <c r="G2246" s="12" t="s">
        <v>3657</v>
      </c>
    </row>
    <row r="2247" spans="2:7" x14ac:dyDescent="0.2">
      <c r="B2247" s="8"/>
      <c r="C2247" s="5" t="s">
        <v>3525</v>
      </c>
      <c r="D2247" s="62">
        <v>1</v>
      </c>
      <c r="E2247" s="28">
        <v>2000000</v>
      </c>
      <c r="F2247" s="7">
        <v>0</v>
      </c>
      <c r="G2247" s="7"/>
    </row>
    <row r="2248" spans="2:7" x14ac:dyDescent="0.2">
      <c r="B2248" s="8"/>
      <c r="C2248" s="5" t="s">
        <v>3757</v>
      </c>
      <c r="D2248" s="62">
        <v>1</v>
      </c>
      <c r="E2248" s="28">
        <v>750000</v>
      </c>
      <c r="F2248" s="7">
        <v>0</v>
      </c>
      <c r="G2248" s="8"/>
    </row>
    <row r="2249" spans="2:7" x14ac:dyDescent="0.2">
      <c r="B2249" s="8"/>
      <c r="C2249" s="5" t="s">
        <v>3526</v>
      </c>
      <c r="D2249" s="62">
        <v>1</v>
      </c>
      <c r="E2249" s="28">
        <v>350000</v>
      </c>
      <c r="F2249" s="7">
        <v>0</v>
      </c>
      <c r="G2249" s="8"/>
    </row>
    <row r="2250" spans="2:7" x14ac:dyDescent="0.2">
      <c r="B2250" s="8"/>
      <c r="C2250" s="5" t="s">
        <v>3297</v>
      </c>
      <c r="D2250" s="62">
        <v>1</v>
      </c>
      <c r="E2250" s="28">
        <v>45000</v>
      </c>
      <c r="F2250" s="7">
        <v>0</v>
      </c>
      <c r="G2250" s="8"/>
    </row>
    <row r="2251" spans="2:7" x14ac:dyDescent="0.2">
      <c r="B2251" s="173"/>
      <c r="C2251" s="5" t="s">
        <v>3928</v>
      </c>
      <c r="D2251" s="62">
        <v>1</v>
      </c>
      <c r="E2251" s="151">
        <v>925000</v>
      </c>
      <c r="F2251" s="214">
        <v>0</v>
      </c>
      <c r="G2251" s="8"/>
    </row>
    <row r="2252" spans="2:7" x14ac:dyDescent="0.2">
      <c r="B2252" s="200"/>
      <c r="C2252" s="5" t="s">
        <v>3927</v>
      </c>
      <c r="D2252" s="201">
        <v>1</v>
      </c>
      <c r="E2252" s="151">
        <f>30000000*1.85%</f>
        <v>555000.00000000012</v>
      </c>
      <c r="F2252" s="214">
        <v>0</v>
      </c>
      <c r="G2252" s="8"/>
    </row>
    <row r="2253" spans="2:7" x14ac:dyDescent="0.2">
      <c r="B2253" s="200"/>
      <c r="C2253" s="5" t="s">
        <v>4064</v>
      </c>
      <c r="D2253" s="201">
        <v>1</v>
      </c>
      <c r="E2253" s="151">
        <f>1500000*3%</f>
        <v>45000</v>
      </c>
      <c r="F2253" s="203">
        <v>0</v>
      </c>
      <c r="G2253" s="186"/>
    </row>
    <row r="2254" spans="2:7" x14ac:dyDescent="0.2">
      <c r="B2254" s="8"/>
      <c r="C2254" s="5" t="s">
        <v>3942</v>
      </c>
      <c r="D2254" s="62">
        <v>1</v>
      </c>
      <c r="E2254" s="151">
        <v>442000</v>
      </c>
      <c r="F2254" s="7">
        <v>0</v>
      </c>
      <c r="G2254" s="8"/>
    </row>
    <row r="2255" spans="2:7" x14ac:dyDescent="0.2">
      <c r="B2255" s="8"/>
      <c r="C2255" s="5" t="s">
        <v>3941</v>
      </c>
      <c r="D2255" s="62">
        <v>1</v>
      </c>
      <c r="E2255" s="151">
        <v>105000</v>
      </c>
      <c r="F2255" s="7">
        <v>0</v>
      </c>
      <c r="G2255" s="8"/>
    </row>
    <row r="2256" spans="2:7" x14ac:dyDescent="0.2">
      <c r="B2256" s="8"/>
      <c r="C2256" s="5" t="s">
        <v>3940</v>
      </c>
      <c r="D2256" s="62">
        <v>1</v>
      </c>
      <c r="E2256" s="151">
        <v>338000</v>
      </c>
      <c r="F2256" s="7">
        <v>0</v>
      </c>
      <c r="G2256" s="7"/>
    </row>
    <row r="2257" spans="2:8" x14ac:dyDescent="0.2">
      <c r="B2257" s="8"/>
      <c r="C2257" s="5" t="s">
        <v>3939</v>
      </c>
      <c r="D2257" s="62">
        <v>1</v>
      </c>
      <c r="E2257" s="151">
        <v>338000</v>
      </c>
      <c r="F2257" s="7">
        <v>0</v>
      </c>
      <c r="G2257" s="7"/>
    </row>
    <row r="2258" spans="2:8" x14ac:dyDescent="0.2">
      <c r="B2258" s="186"/>
      <c r="C2258" s="5" t="s">
        <v>3938</v>
      </c>
      <c r="D2258" s="201">
        <v>1</v>
      </c>
      <c r="E2258" s="215">
        <v>387000</v>
      </c>
      <c r="F2258" s="216">
        <v>0</v>
      </c>
      <c r="G2258" s="216"/>
    </row>
    <row r="2259" spans="2:8" x14ac:dyDescent="0.2">
      <c r="B2259" s="173"/>
      <c r="C2259" s="5" t="s">
        <v>3933</v>
      </c>
      <c r="D2259" s="62">
        <v>4500</v>
      </c>
      <c r="E2259" s="172">
        <f>D2259*100</f>
        <v>450000</v>
      </c>
      <c r="F2259" s="7">
        <v>0</v>
      </c>
      <c r="G2259" s="51"/>
    </row>
    <row r="2260" spans="2:8" x14ac:dyDescent="0.2">
      <c r="B2260" s="200"/>
      <c r="C2260" s="187" t="s">
        <v>3934</v>
      </c>
      <c r="D2260" s="201">
        <v>1</v>
      </c>
      <c r="E2260" s="215">
        <v>530000</v>
      </c>
      <c r="F2260" s="203"/>
      <c r="G2260" s="186"/>
    </row>
    <row r="2261" spans="2:8" x14ac:dyDescent="0.2">
      <c r="B2261" s="200"/>
      <c r="C2261" s="217" t="s">
        <v>3935</v>
      </c>
      <c r="D2261" s="201">
        <v>4</v>
      </c>
      <c r="E2261" s="215">
        <v>220000</v>
      </c>
      <c r="F2261" s="203"/>
      <c r="G2261" s="186"/>
    </row>
    <row r="2262" spans="2:8" x14ac:dyDescent="0.2">
      <c r="B2262" s="200"/>
      <c r="C2262" s="217" t="s">
        <v>3943</v>
      </c>
      <c r="D2262" s="201">
        <v>900</v>
      </c>
      <c r="E2262" s="203">
        <v>0</v>
      </c>
      <c r="F2262" s="203">
        <f>D2262*250</f>
        <v>225000</v>
      </c>
      <c r="G2262" s="186"/>
    </row>
    <row r="2263" spans="2:8" x14ac:dyDescent="0.2">
      <c r="B2263" s="200"/>
      <c r="C2263" s="187" t="s">
        <v>3937</v>
      </c>
      <c r="D2263" s="201">
        <v>1</v>
      </c>
      <c r="E2263" s="203">
        <v>0</v>
      </c>
      <c r="F2263" s="203">
        <v>201000</v>
      </c>
      <c r="G2263" s="186"/>
    </row>
    <row r="2264" spans="2:8" x14ac:dyDescent="0.2">
      <c r="B2264" s="200"/>
      <c r="C2264" s="5" t="s">
        <v>3930</v>
      </c>
      <c r="D2264" s="62">
        <v>1</v>
      </c>
      <c r="E2264" s="171">
        <v>0</v>
      </c>
      <c r="F2264" s="171">
        <v>452000</v>
      </c>
      <c r="G2264" s="186"/>
    </row>
    <row r="2265" spans="2:8" x14ac:dyDescent="0.2">
      <c r="B2265" s="200"/>
      <c r="C2265" s="5" t="s">
        <v>3931</v>
      </c>
      <c r="D2265" s="62">
        <v>1</v>
      </c>
      <c r="E2265" s="171">
        <v>0</v>
      </c>
      <c r="F2265" s="171">
        <v>452000</v>
      </c>
      <c r="G2265" s="186"/>
    </row>
    <row r="2266" spans="2:8" x14ac:dyDescent="0.2">
      <c r="B2266" s="200"/>
      <c r="C2266" s="5" t="s">
        <v>3761</v>
      </c>
      <c r="D2266" s="201">
        <v>1</v>
      </c>
      <c r="E2266" s="218">
        <v>0</v>
      </c>
      <c r="F2266" s="171">
        <v>930000</v>
      </c>
      <c r="G2266" s="200">
        <v>45680</v>
      </c>
    </row>
    <row r="2267" spans="2:8" x14ac:dyDescent="0.2">
      <c r="B2267" s="200"/>
      <c r="C2267" s="5" t="s">
        <v>4061</v>
      </c>
      <c r="D2267" s="201">
        <v>1</v>
      </c>
      <c r="E2267" s="218">
        <v>0</v>
      </c>
      <c r="F2267" s="202">
        <v>450000</v>
      </c>
      <c r="G2267" s="186"/>
    </row>
    <row r="2268" spans="2:8" x14ac:dyDescent="0.2">
      <c r="B2268" s="200"/>
      <c r="C2268" s="219" t="s">
        <v>3936</v>
      </c>
      <c r="D2268" s="62">
        <v>1</v>
      </c>
      <c r="E2268" s="171">
        <v>0</v>
      </c>
      <c r="F2268" s="171">
        <v>452000</v>
      </c>
      <c r="G2268" s="186"/>
    </row>
    <row r="2269" spans="2:8" x14ac:dyDescent="0.2">
      <c r="B2269" s="200" t="s">
        <v>4069</v>
      </c>
      <c r="C2269" s="5" t="s">
        <v>3777</v>
      </c>
      <c r="D2269" s="62">
        <v>1</v>
      </c>
      <c r="E2269" s="171">
        <v>0</v>
      </c>
      <c r="F2269" s="171">
        <v>452000</v>
      </c>
      <c r="G2269" s="186"/>
    </row>
    <row r="2270" spans="2:8" x14ac:dyDescent="0.2">
      <c r="B2270" s="51" t="s">
        <v>4068</v>
      </c>
      <c r="C2270" s="5" t="s">
        <v>3350</v>
      </c>
      <c r="D2270" s="201">
        <v>1</v>
      </c>
      <c r="E2270" s="218">
        <v>0</v>
      </c>
      <c r="F2270" s="171">
        <v>930000</v>
      </c>
      <c r="G2270" s="51" t="s">
        <v>4068</v>
      </c>
      <c r="H2270" s="223">
        <v>1363700</v>
      </c>
    </row>
    <row r="2271" spans="2:8" x14ac:dyDescent="0.2">
      <c r="B2271" s="173">
        <v>45709</v>
      </c>
      <c r="C2271" s="5" t="s">
        <v>4062</v>
      </c>
      <c r="D2271" s="62">
        <v>1</v>
      </c>
      <c r="E2271" s="171">
        <v>0</v>
      </c>
      <c r="F2271" s="202">
        <v>450000</v>
      </c>
      <c r="G2271" s="51"/>
    </row>
    <row r="2272" spans="2:8" x14ac:dyDescent="0.2">
      <c r="B2272" s="173">
        <v>45708</v>
      </c>
      <c r="C2272" t="s">
        <v>3944</v>
      </c>
      <c r="D2272" s="62"/>
      <c r="E2272" s="171"/>
      <c r="F2272" s="7"/>
      <c r="G2272" s="51"/>
    </row>
    <row r="2273" spans="2:9" x14ac:dyDescent="0.2">
      <c r="B2273" s="29"/>
      <c r="C2273" s="29"/>
      <c r="D2273" s="68"/>
      <c r="E2273" s="13"/>
      <c r="F2273" s="13"/>
      <c r="G2273" s="29"/>
    </row>
    <row r="2274" spans="2:9" x14ac:dyDescent="0.2">
      <c r="E2274" s="9">
        <f>SUM(E2247:E2273)</f>
        <v>7480000</v>
      </c>
      <c r="F2274" s="9">
        <f>SUM(F2247:F2273)</f>
        <v>4994000</v>
      </c>
      <c r="G2274" s="9">
        <f>SUM(G2247:G2273)</f>
        <v>45680</v>
      </c>
    </row>
    <row r="2275" spans="2:9" x14ac:dyDescent="0.2">
      <c r="E2275" s="3">
        <f>7500000-E2274</f>
        <v>20000</v>
      </c>
    </row>
    <row r="2278" spans="2:9" x14ac:dyDescent="0.2">
      <c r="C2278" s="48" t="s">
        <v>4065</v>
      </c>
    </row>
    <row r="2279" spans="2:9" x14ac:dyDescent="0.2">
      <c r="C2279" s="204">
        <v>45675</v>
      </c>
      <c r="D2279" s="188"/>
      <c r="E2279" s="220">
        <v>100000</v>
      </c>
      <c r="F2279" s="187" t="s">
        <v>3986</v>
      </c>
      <c r="G2279"/>
      <c r="H2279" s="188"/>
    </row>
    <row r="2280" spans="2:9" x14ac:dyDescent="0.2">
      <c r="C2280" s="204">
        <v>45692</v>
      </c>
      <c r="D2280" s="188"/>
      <c r="E2280" s="220">
        <v>498000</v>
      </c>
      <c r="F2280" s="187" t="s">
        <v>4016</v>
      </c>
      <c r="G2280"/>
      <c r="H2280" s="188"/>
    </row>
    <row r="2281" spans="2:9" x14ac:dyDescent="0.2">
      <c r="C2281" s="173">
        <v>45708</v>
      </c>
      <c r="E2281" s="220">
        <v>400000</v>
      </c>
      <c r="F2281" t="s">
        <v>3944</v>
      </c>
      <c r="G2281"/>
    </row>
    <row r="2286" spans="2:9" x14ac:dyDescent="0.2">
      <c r="C2286" t="s">
        <v>4060</v>
      </c>
    </row>
    <row r="2287" spans="2:9" x14ac:dyDescent="0.2">
      <c r="C2287" s="204">
        <v>45673</v>
      </c>
      <c r="D2287" s="188"/>
      <c r="E2287" s="220">
        <v>195000</v>
      </c>
      <c r="F2287" s="188"/>
      <c r="G2287" s="188"/>
      <c r="H2287" s="188"/>
      <c r="I2287" s="187" t="s">
        <v>3977</v>
      </c>
    </row>
    <row r="2293" spans="2:7" ht="26" x14ac:dyDescent="0.3">
      <c r="B2293" s="12"/>
      <c r="C2293" s="391" t="s">
        <v>4075</v>
      </c>
      <c r="D2293" s="391"/>
      <c r="E2293" s="391"/>
      <c r="F2293" s="391"/>
      <c r="G2293" s="391"/>
    </row>
    <row r="2294" spans="2:7" x14ac:dyDescent="0.2">
      <c r="B2294" s="12"/>
      <c r="C2294" s="29" t="s">
        <v>82</v>
      </c>
      <c r="D2294" s="11">
        <v>1</v>
      </c>
      <c r="E2294" s="12" t="s">
        <v>1</v>
      </c>
      <c r="F2294" s="12" t="s">
        <v>3140</v>
      </c>
      <c r="G2294" s="12" t="s">
        <v>3657</v>
      </c>
    </row>
    <row r="2295" spans="2:7" x14ac:dyDescent="0.2">
      <c r="B2295" s="8"/>
      <c r="C2295" s="5" t="s">
        <v>3525</v>
      </c>
      <c r="D2295" s="62">
        <v>1</v>
      </c>
      <c r="E2295" s="28">
        <v>2000000</v>
      </c>
      <c r="F2295" s="7">
        <v>0</v>
      </c>
      <c r="G2295" s="7"/>
    </row>
    <row r="2296" spans="2:7" x14ac:dyDescent="0.2">
      <c r="B2296" s="8"/>
      <c r="C2296" s="5" t="s">
        <v>3757</v>
      </c>
      <c r="D2296" s="62">
        <v>1</v>
      </c>
      <c r="E2296" s="28">
        <v>750000</v>
      </c>
      <c r="F2296" s="7">
        <v>0</v>
      </c>
      <c r="G2296" s="8"/>
    </row>
    <row r="2297" spans="2:7" x14ac:dyDescent="0.2">
      <c r="B2297" s="8"/>
      <c r="C2297" s="5" t="s">
        <v>3526</v>
      </c>
      <c r="D2297" s="62">
        <v>1</v>
      </c>
      <c r="E2297" s="28">
        <v>350000</v>
      </c>
      <c r="F2297" s="7">
        <v>0</v>
      </c>
      <c r="G2297" s="8"/>
    </row>
    <row r="2298" spans="2:7" x14ac:dyDescent="0.2">
      <c r="B2298" s="8"/>
      <c r="C2298" s="5" t="s">
        <v>3297</v>
      </c>
      <c r="D2298" s="62">
        <v>1</v>
      </c>
      <c r="E2298" s="28">
        <v>45000</v>
      </c>
      <c r="F2298" s="7">
        <v>0</v>
      </c>
      <c r="G2298" s="8"/>
    </row>
    <row r="2299" spans="2:7" x14ac:dyDescent="0.2">
      <c r="B2299" s="173"/>
      <c r="C2299" s="5" t="s">
        <v>3928</v>
      </c>
      <c r="D2299" s="62">
        <v>1</v>
      </c>
      <c r="E2299" s="151">
        <v>925000</v>
      </c>
      <c r="F2299" s="214">
        <v>0</v>
      </c>
      <c r="G2299" s="8"/>
    </row>
    <row r="2300" spans="2:7" x14ac:dyDescent="0.2">
      <c r="B2300" s="200"/>
      <c r="C2300" s="5" t="s">
        <v>4076</v>
      </c>
      <c r="D2300" s="201">
        <v>1</v>
      </c>
      <c r="E2300" s="151">
        <f>21000000*1.85%</f>
        <v>388500.00000000006</v>
      </c>
      <c r="F2300" s="214">
        <v>0</v>
      </c>
      <c r="G2300" s="8"/>
    </row>
    <row r="2301" spans="2:7" x14ac:dyDescent="0.2">
      <c r="B2301" s="200"/>
      <c r="C2301" s="5" t="s">
        <v>4064</v>
      </c>
      <c r="D2301" s="201">
        <v>1</v>
      </c>
      <c r="E2301" s="151">
        <f>1500000*3%</f>
        <v>45000</v>
      </c>
      <c r="F2301" s="203">
        <v>0</v>
      </c>
      <c r="G2301" s="186"/>
    </row>
    <row r="2302" spans="2:7" x14ac:dyDescent="0.2">
      <c r="B2302" s="8"/>
      <c r="C2302" s="5" t="s">
        <v>3942</v>
      </c>
      <c r="D2302" s="62">
        <v>1</v>
      </c>
      <c r="E2302" s="151">
        <v>442000</v>
      </c>
      <c r="F2302" s="7">
        <v>0</v>
      </c>
      <c r="G2302" s="8"/>
    </row>
    <row r="2303" spans="2:7" x14ac:dyDescent="0.2">
      <c r="B2303" s="8"/>
      <c r="C2303" s="5" t="s">
        <v>3941</v>
      </c>
      <c r="D2303" s="62">
        <v>1</v>
      </c>
      <c r="E2303" s="151">
        <v>105000</v>
      </c>
      <c r="F2303" s="7">
        <v>0</v>
      </c>
      <c r="G2303" s="8"/>
    </row>
    <row r="2304" spans="2:7" x14ac:dyDescent="0.2">
      <c r="B2304" s="8"/>
      <c r="C2304" s="5" t="s">
        <v>3940</v>
      </c>
      <c r="D2304" s="62">
        <v>1</v>
      </c>
      <c r="E2304" s="151">
        <v>338000</v>
      </c>
      <c r="F2304" s="7">
        <v>0</v>
      </c>
      <c r="G2304" s="7"/>
    </row>
    <row r="2305" spans="2:8" x14ac:dyDescent="0.2">
      <c r="B2305" s="8"/>
      <c r="C2305" s="5" t="s">
        <v>3939</v>
      </c>
      <c r="D2305" s="62">
        <v>1</v>
      </c>
      <c r="E2305" s="151">
        <v>338000</v>
      </c>
      <c r="F2305" s="7">
        <v>0</v>
      </c>
      <c r="G2305" s="7"/>
    </row>
    <row r="2306" spans="2:8" x14ac:dyDescent="0.2">
      <c r="B2306" s="186"/>
      <c r="C2306" s="5" t="s">
        <v>3938</v>
      </c>
      <c r="D2306" s="201">
        <v>1</v>
      </c>
      <c r="E2306" s="215">
        <v>387000</v>
      </c>
      <c r="F2306" s="216">
        <v>0</v>
      </c>
      <c r="G2306" s="216"/>
    </row>
    <row r="2307" spans="2:8" x14ac:dyDescent="0.2">
      <c r="B2307" s="173"/>
      <c r="C2307" s="5" t="s">
        <v>4149</v>
      </c>
      <c r="D2307" s="62">
        <v>7000</v>
      </c>
      <c r="E2307" s="172">
        <f>D2307*100</f>
        <v>700000</v>
      </c>
      <c r="F2307" s="7">
        <v>0</v>
      </c>
      <c r="G2307" s="51"/>
    </row>
    <row r="2308" spans="2:8" x14ac:dyDescent="0.2">
      <c r="B2308" s="200"/>
      <c r="C2308" s="187" t="s">
        <v>3937</v>
      </c>
      <c r="D2308" s="201">
        <v>1</v>
      </c>
      <c r="E2308" s="215">
        <v>201000</v>
      </c>
      <c r="F2308" s="203">
        <v>0</v>
      </c>
      <c r="G2308" s="186"/>
    </row>
    <row r="2309" spans="2:8" x14ac:dyDescent="0.2">
      <c r="B2309" s="200"/>
      <c r="C2309" s="187" t="s">
        <v>4140</v>
      </c>
      <c r="D2309" s="201">
        <v>50</v>
      </c>
      <c r="E2309" s="215">
        <f>D2309*500</f>
        <v>25000</v>
      </c>
      <c r="F2309" s="203">
        <v>0</v>
      </c>
      <c r="G2309" s="195"/>
    </row>
    <row r="2310" spans="2:8" x14ac:dyDescent="0.2">
      <c r="B2310" s="200"/>
      <c r="C2310" s="217" t="s">
        <v>3943</v>
      </c>
      <c r="D2310" s="201">
        <v>900</v>
      </c>
      <c r="E2310" s="215">
        <v>225000</v>
      </c>
      <c r="F2310" s="203">
        <v>0</v>
      </c>
      <c r="G2310" s="195"/>
    </row>
    <row r="2311" spans="2:8" x14ac:dyDescent="0.2">
      <c r="B2311" s="200">
        <v>45726</v>
      </c>
      <c r="C2311" s="187" t="s">
        <v>4086</v>
      </c>
      <c r="D2311" s="201">
        <v>1</v>
      </c>
      <c r="E2311" s="215">
        <v>170000</v>
      </c>
      <c r="F2311" s="203">
        <v>0</v>
      </c>
      <c r="G2311" s="195"/>
    </row>
    <row r="2312" spans="2:8" x14ac:dyDescent="0.2">
      <c r="B2312" s="200">
        <v>45741</v>
      </c>
      <c r="C2312" s="187" t="s">
        <v>4131</v>
      </c>
      <c r="D2312" s="203">
        <v>0</v>
      </c>
      <c r="E2312" s="215">
        <v>50000</v>
      </c>
      <c r="F2312" s="203">
        <v>0</v>
      </c>
      <c r="G2312" s="195"/>
    </row>
    <row r="2313" spans="2:8" x14ac:dyDescent="0.2">
      <c r="B2313" s="173">
        <v>45708</v>
      </c>
      <c r="C2313" t="s">
        <v>3944</v>
      </c>
      <c r="D2313" s="62"/>
      <c r="E2313" s="171">
        <v>0</v>
      </c>
      <c r="F2313" s="171">
        <v>400000</v>
      </c>
      <c r="G2313" s="51"/>
    </row>
    <row r="2314" spans="2:8" x14ac:dyDescent="0.2">
      <c r="B2314" s="200">
        <v>45741</v>
      </c>
      <c r="C2314" s="187" t="s">
        <v>4077</v>
      </c>
      <c r="D2314" s="201">
        <f>42*5</f>
        <v>210</v>
      </c>
      <c r="E2314" s="202">
        <v>0</v>
      </c>
      <c r="F2314" s="212">
        <v>105000</v>
      </c>
      <c r="G2314" s="249" t="s">
        <v>3856</v>
      </c>
    </row>
    <row r="2315" spans="2:8" x14ac:dyDescent="0.2">
      <c r="B2315" s="200">
        <v>45761</v>
      </c>
      <c r="C2315" s="187" t="s">
        <v>4160</v>
      </c>
      <c r="D2315" s="201">
        <v>1</v>
      </c>
      <c r="E2315" s="202">
        <v>0</v>
      </c>
      <c r="F2315" s="215">
        <v>100000</v>
      </c>
      <c r="G2315" s="249" t="s">
        <v>3856</v>
      </c>
    </row>
    <row r="2317" spans="2:8" x14ac:dyDescent="0.2">
      <c r="B2317" s="200">
        <v>45680</v>
      </c>
      <c r="C2317" s="5" t="s">
        <v>3767</v>
      </c>
      <c r="D2317" s="201">
        <v>1</v>
      </c>
      <c r="E2317" s="218">
        <v>0</v>
      </c>
      <c r="F2317" s="172">
        <v>930000</v>
      </c>
      <c r="G2317" s="57" t="s">
        <v>3856</v>
      </c>
    </row>
    <row r="2318" spans="2:8" x14ac:dyDescent="0.2">
      <c r="B2318" s="51" t="s">
        <v>4068</v>
      </c>
      <c r="C2318" s="5" t="s">
        <v>3761</v>
      </c>
      <c r="D2318" s="201">
        <v>1</v>
      </c>
      <c r="E2318" s="218">
        <v>0</v>
      </c>
      <c r="F2318" s="248">
        <v>1363700</v>
      </c>
      <c r="G2318" s="57" t="s">
        <v>3856</v>
      </c>
    </row>
    <row r="2319" spans="2:8" x14ac:dyDescent="0.2">
      <c r="B2319" s="200">
        <v>45722</v>
      </c>
      <c r="C2319" s="187" t="s">
        <v>3350</v>
      </c>
      <c r="D2319" s="201">
        <v>1</v>
      </c>
      <c r="E2319" s="218">
        <v>0</v>
      </c>
      <c r="F2319" s="247">
        <v>1363700</v>
      </c>
      <c r="G2319" s="249" t="s">
        <v>3856</v>
      </c>
      <c r="H2319" s="1" t="s">
        <v>4163</v>
      </c>
    </row>
    <row r="2321" spans="2:7" x14ac:dyDescent="0.2">
      <c r="B2321" s="200">
        <v>45649</v>
      </c>
      <c r="C2321" s="187" t="s">
        <v>4141</v>
      </c>
      <c r="D2321" s="201">
        <v>1</v>
      </c>
      <c r="E2321" s="218">
        <v>0</v>
      </c>
      <c r="F2321" s="247">
        <v>2000000</v>
      </c>
      <c r="G2321" s="247" t="s">
        <v>3856</v>
      </c>
    </row>
    <row r="2322" spans="2:7" x14ac:dyDescent="0.2">
      <c r="B2322" s="200">
        <v>45716</v>
      </c>
      <c r="C2322" s="5" t="s">
        <v>3930</v>
      </c>
      <c r="D2322" s="62">
        <v>1</v>
      </c>
      <c r="E2322" s="171">
        <v>0</v>
      </c>
      <c r="F2322" s="172">
        <v>452000</v>
      </c>
      <c r="G2322" s="237" t="s">
        <v>3856</v>
      </c>
    </row>
    <row r="2323" spans="2:7" x14ac:dyDescent="0.2">
      <c r="B2323" s="200">
        <v>45733</v>
      </c>
      <c r="C2323" s="219" t="s">
        <v>3936</v>
      </c>
      <c r="D2323" s="62">
        <v>1</v>
      </c>
      <c r="E2323" s="171">
        <v>0</v>
      </c>
      <c r="F2323" s="172">
        <v>452000</v>
      </c>
      <c r="G2323" s="237" t="s">
        <v>3856</v>
      </c>
    </row>
    <row r="2324" spans="2:7" x14ac:dyDescent="0.2">
      <c r="B2324" s="200">
        <v>45751</v>
      </c>
      <c r="C2324" s="219" t="s">
        <v>4143</v>
      </c>
      <c r="D2324" s="201">
        <v>1</v>
      </c>
      <c r="E2324" s="202">
        <v>0</v>
      </c>
      <c r="F2324" s="212">
        <v>935000</v>
      </c>
      <c r="G2324" s="237" t="s">
        <v>3856</v>
      </c>
    </row>
    <row r="2325" spans="2:7" x14ac:dyDescent="0.2">
      <c r="B2325" s="200"/>
      <c r="C2325" s="217"/>
      <c r="D2325" s="201"/>
      <c r="E2325" s="202"/>
      <c r="F2325" s="202"/>
      <c r="G2325" s="186"/>
    </row>
    <row r="2326" spans="2:7" x14ac:dyDescent="0.2">
      <c r="B2326" s="173">
        <v>45709</v>
      </c>
      <c r="C2326" s="5" t="s">
        <v>4061</v>
      </c>
      <c r="D2326" s="201">
        <v>1</v>
      </c>
      <c r="E2326" s="218">
        <v>0</v>
      </c>
      <c r="F2326" s="212">
        <v>450000</v>
      </c>
      <c r="G2326" s="237" t="s">
        <v>3856</v>
      </c>
    </row>
    <row r="2327" spans="2:7" x14ac:dyDescent="0.2">
      <c r="B2327" s="173">
        <v>45735</v>
      </c>
      <c r="C2327" s="5" t="s">
        <v>4062</v>
      </c>
      <c r="D2327" s="62">
        <v>1</v>
      </c>
      <c r="E2327" s="171">
        <v>50000</v>
      </c>
      <c r="F2327" s="212">
        <v>400000</v>
      </c>
      <c r="G2327" s="57" t="s">
        <v>3856</v>
      </c>
    </row>
    <row r="2328" spans="2:7" x14ac:dyDescent="0.2">
      <c r="B2328" s="200"/>
      <c r="C2328" s="187"/>
      <c r="D2328" s="201"/>
      <c r="E2328" s="202"/>
      <c r="F2328" s="202"/>
      <c r="G2328" s="195"/>
    </row>
    <row r="2329" spans="2:7" x14ac:dyDescent="0.2">
      <c r="B2329" s="200">
        <v>45716</v>
      </c>
      <c r="C2329" s="5" t="s">
        <v>3931</v>
      </c>
      <c r="D2329" s="62">
        <v>1</v>
      </c>
      <c r="E2329" s="171">
        <v>0</v>
      </c>
      <c r="F2329" s="171">
        <v>452000</v>
      </c>
      <c r="G2329" s="186"/>
    </row>
    <row r="2330" spans="2:7" x14ac:dyDescent="0.2">
      <c r="B2330" s="200" t="s">
        <v>4069</v>
      </c>
      <c r="C2330" s="5" t="s">
        <v>3777</v>
      </c>
      <c r="D2330" s="62">
        <v>1</v>
      </c>
      <c r="E2330" s="171">
        <v>0</v>
      </c>
      <c r="F2330" s="171">
        <v>452000</v>
      </c>
      <c r="G2330" s="186"/>
    </row>
    <row r="2331" spans="2:7" x14ac:dyDescent="0.2">
      <c r="B2331" s="200"/>
      <c r="C2331" s="187"/>
      <c r="D2331" s="201"/>
      <c r="E2331" s="202"/>
      <c r="F2331" s="203"/>
      <c r="G2331" s="195"/>
    </row>
    <row r="2332" spans="2:7" x14ac:dyDescent="0.2">
      <c r="B2332" s="200"/>
      <c r="C2332" s="187"/>
      <c r="D2332" s="201"/>
      <c r="E2332" s="202"/>
      <c r="F2332" s="216"/>
      <c r="G2332" s="195"/>
    </row>
    <row r="2333" spans="2:7" x14ac:dyDescent="0.2">
      <c r="B2333" s="29"/>
      <c r="C2333" s="29"/>
      <c r="D2333" s="68"/>
      <c r="E2333" s="13"/>
      <c r="F2333" s="13"/>
      <c r="G2333" s="29"/>
    </row>
    <row r="2334" spans="2:7" x14ac:dyDescent="0.2">
      <c r="E2334" s="9">
        <f>SUM(E2295:E2333)</f>
        <v>7534500</v>
      </c>
      <c r="F2334" s="9">
        <f>SUM(F2295:F2333)</f>
        <v>9855400</v>
      </c>
      <c r="G2334" s="9">
        <f>SUM(G2295:G2333)</f>
        <v>0</v>
      </c>
    </row>
    <row r="2335" spans="2:7" x14ac:dyDescent="0.2">
      <c r="E2335" s="3">
        <f>7500000-E2334</f>
        <v>-34500</v>
      </c>
    </row>
    <row r="2339" spans="2:7" ht="26" x14ac:dyDescent="0.3">
      <c r="B2339" s="12"/>
      <c r="C2339" s="391" t="s">
        <v>4148</v>
      </c>
      <c r="D2339" s="391"/>
      <c r="E2339" s="391"/>
      <c r="F2339" s="391"/>
      <c r="G2339" s="391"/>
    </row>
    <row r="2340" spans="2:7" x14ac:dyDescent="0.2">
      <c r="B2340" s="12"/>
      <c r="C2340" s="29" t="s">
        <v>82</v>
      </c>
      <c r="D2340" s="11">
        <v>1</v>
      </c>
      <c r="E2340" s="12" t="s">
        <v>1</v>
      </c>
      <c r="F2340" s="12" t="s">
        <v>3140</v>
      </c>
      <c r="G2340" s="12" t="s">
        <v>3657</v>
      </c>
    </row>
    <row r="2341" spans="2:7" x14ac:dyDescent="0.2">
      <c r="B2341" s="8"/>
      <c r="C2341" s="5" t="s">
        <v>3525</v>
      </c>
      <c r="D2341" s="62">
        <v>1</v>
      </c>
      <c r="E2341" s="28">
        <v>2000000</v>
      </c>
      <c r="F2341" s="214">
        <v>0</v>
      </c>
      <c r="G2341" s="7"/>
    </row>
    <row r="2342" spans="2:7" x14ac:dyDescent="0.2">
      <c r="B2342" s="8"/>
      <c r="C2342" s="5" t="s">
        <v>3757</v>
      </c>
      <c r="D2342" s="62">
        <v>1</v>
      </c>
      <c r="E2342" s="28">
        <v>750000</v>
      </c>
      <c r="F2342" s="214">
        <v>0</v>
      </c>
      <c r="G2342" s="8"/>
    </row>
    <row r="2343" spans="2:7" x14ac:dyDescent="0.2">
      <c r="B2343" s="8"/>
      <c r="C2343" s="5" t="s">
        <v>3526</v>
      </c>
      <c r="D2343" s="62">
        <v>1</v>
      </c>
      <c r="E2343" s="28">
        <v>350000</v>
      </c>
      <c r="F2343" s="214">
        <v>0</v>
      </c>
      <c r="G2343" s="8"/>
    </row>
    <row r="2344" spans="2:7" x14ac:dyDescent="0.2">
      <c r="B2344" s="8"/>
      <c r="C2344" s="5" t="s">
        <v>3297</v>
      </c>
      <c r="D2344" s="62">
        <v>1</v>
      </c>
      <c r="E2344" s="28">
        <v>45000</v>
      </c>
      <c r="F2344" s="214">
        <v>0</v>
      </c>
      <c r="G2344" s="8"/>
    </row>
    <row r="2345" spans="2:7" x14ac:dyDescent="0.2">
      <c r="B2345" s="173"/>
      <c r="C2345" s="5" t="s">
        <v>3928</v>
      </c>
      <c r="D2345" s="62">
        <v>1</v>
      </c>
      <c r="E2345" s="151">
        <v>925000</v>
      </c>
      <c r="F2345" s="214">
        <v>0</v>
      </c>
      <c r="G2345" s="8"/>
    </row>
    <row r="2346" spans="2:7" x14ac:dyDescent="0.2">
      <c r="B2346" s="200"/>
      <c r="C2346" s="5" t="s">
        <v>4076</v>
      </c>
      <c r="D2346" s="201">
        <v>1</v>
      </c>
      <c r="E2346" s="151">
        <f>21000000*1.85%</f>
        <v>388500.00000000006</v>
      </c>
      <c r="F2346" s="214">
        <v>0</v>
      </c>
      <c r="G2346" s="8"/>
    </row>
    <row r="2347" spans="2:7" x14ac:dyDescent="0.2">
      <c r="B2347" s="200"/>
      <c r="C2347" s="5" t="s">
        <v>4506</v>
      </c>
      <c r="D2347" s="201">
        <v>1</v>
      </c>
      <c r="E2347" s="151">
        <f>10000000*1.85%</f>
        <v>185000.00000000003</v>
      </c>
      <c r="F2347" s="214">
        <v>0</v>
      </c>
      <c r="G2347" s="186"/>
    </row>
    <row r="2348" spans="2:7" x14ac:dyDescent="0.2">
      <c r="B2348" s="200"/>
      <c r="C2348" s="5" t="s">
        <v>4064</v>
      </c>
      <c r="D2348" s="201">
        <v>1</v>
      </c>
      <c r="E2348" s="151">
        <f>1500000*3%</f>
        <v>45000</v>
      </c>
      <c r="F2348" s="203">
        <v>0</v>
      </c>
      <c r="G2348" s="186"/>
    </row>
    <row r="2349" spans="2:7" x14ac:dyDescent="0.2">
      <c r="B2349" s="8"/>
      <c r="C2349" s="5" t="s">
        <v>3942</v>
      </c>
      <c r="D2349" s="62">
        <v>1</v>
      </c>
      <c r="E2349" s="151">
        <v>442000</v>
      </c>
      <c r="F2349" s="214">
        <v>0</v>
      </c>
      <c r="G2349" s="8"/>
    </row>
    <row r="2350" spans="2:7" x14ac:dyDescent="0.2">
      <c r="B2350" s="8"/>
      <c r="C2350" s="5" t="s">
        <v>3941</v>
      </c>
      <c r="D2350" s="62">
        <v>1</v>
      </c>
      <c r="E2350" s="151">
        <v>105000</v>
      </c>
      <c r="F2350" s="214">
        <v>0</v>
      </c>
      <c r="G2350" s="8"/>
    </row>
    <row r="2351" spans="2:7" x14ac:dyDescent="0.2">
      <c r="B2351" s="8"/>
      <c r="C2351" s="5" t="s">
        <v>3940</v>
      </c>
      <c r="D2351" s="62">
        <v>1</v>
      </c>
      <c r="E2351" s="151">
        <v>338000</v>
      </c>
      <c r="F2351" s="214">
        <v>0</v>
      </c>
      <c r="G2351" s="7"/>
    </row>
    <row r="2352" spans="2:7" x14ac:dyDescent="0.2">
      <c r="B2352" s="8"/>
      <c r="C2352" s="5" t="s">
        <v>3939</v>
      </c>
      <c r="D2352" s="62">
        <v>1</v>
      </c>
      <c r="E2352" s="151">
        <v>338000</v>
      </c>
      <c r="F2352" s="214">
        <v>0</v>
      </c>
      <c r="G2352" s="7"/>
    </row>
    <row r="2353" spans="2:8" x14ac:dyDescent="0.2">
      <c r="B2353" s="186"/>
      <c r="C2353" s="5" t="s">
        <v>3938</v>
      </c>
      <c r="D2353" s="201">
        <v>1</v>
      </c>
      <c r="E2353" s="215">
        <v>387000</v>
      </c>
      <c r="F2353" s="203">
        <v>0</v>
      </c>
      <c r="G2353" s="216"/>
    </row>
    <row r="2354" spans="2:8" x14ac:dyDescent="0.2">
      <c r="B2354" s="173"/>
      <c r="C2354" s="5" t="s">
        <v>4151</v>
      </c>
      <c r="D2354" s="62">
        <v>4500</v>
      </c>
      <c r="E2354" s="172">
        <f>D2354*100</f>
        <v>450000</v>
      </c>
      <c r="F2354" s="214">
        <v>0</v>
      </c>
      <c r="G2354" s="51"/>
    </row>
    <row r="2355" spans="2:8" x14ac:dyDescent="0.2">
      <c r="B2355" s="200"/>
      <c r="C2355" s="73" t="s">
        <v>4150</v>
      </c>
      <c r="D2355" s="201">
        <v>1500</v>
      </c>
      <c r="E2355" s="172">
        <f>D2355*100</f>
        <v>150000</v>
      </c>
      <c r="F2355" s="203">
        <v>0</v>
      </c>
      <c r="G2355" s="195"/>
    </row>
    <row r="2356" spans="2:8" x14ac:dyDescent="0.2">
      <c r="B2356" s="200">
        <v>45750</v>
      </c>
      <c r="C2356" s="187" t="s">
        <v>4145</v>
      </c>
      <c r="D2356" s="201">
        <v>1</v>
      </c>
      <c r="E2356" s="215">
        <v>170000</v>
      </c>
      <c r="F2356" s="203">
        <v>0</v>
      </c>
      <c r="G2356" s="254"/>
    </row>
    <row r="2357" spans="2:8" x14ac:dyDescent="0.2">
      <c r="B2357" s="200">
        <v>45758</v>
      </c>
      <c r="C2357" s="187" t="s">
        <v>4161</v>
      </c>
      <c r="D2357" s="201">
        <v>1</v>
      </c>
      <c r="E2357" s="215">
        <v>110000</v>
      </c>
      <c r="F2357" s="203">
        <v>0</v>
      </c>
      <c r="G2357" s="195"/>
    </row>
    <row r="2358" spans="2:8" x14ac:dyDescent="0.2">
      <c r="B2358" s="200">
        <v>45756</v>
      </c>
      <c r="C2358" s="187" t="s">
        <v>4162</v>
      </c>
      <c r="D2358" s="201">
        <v>1</v>
      </c>
      <c r="E2358" s="215">
        <v>125000</v>
      </c>
      <c r="F2358" s="203">
        <v>0</v>
      </c>
      <c r="G2358" s="195"/>
    </row>
    <row r="2359" spans="2:8" x14ac:dyDescent="0.2">
      <c r="B2359" s="200">
        <v>45750</v>
      </c>
      <c r="C2359" s="187" t="s">
        <v>4142</v>
      </c>
      <c r="D2359" s="201">
        <v>1</v>
      </c>
      <c r="E2359" s="261">
        <v>100000</v>
      </c>
      <c r="F2359" s="253">
        <v>0</v>
      </c>
      <c r="G2359" s="254"/>
    </row>
    <row r="2360" spans="2:8" x14ac:dyDescent="0.2">
      <c r="B2360" s="173">
        <v>45777</v>
      </c>
      <c r="C2360" s="5" t="s">
        <v>4235</v>
      </c>
      <c r="D2360" s="201">
        <v>1</v>
      </c>
      <c r="E2360" s="212">
        <v>50000</v>
      </c>
      <c r="F2360" s="203">
        <v>0</v>
      </c>
      <c r="G2360" s="195"/>
    </row>
    <row r="2361" spans="2:8" x14ac:dyDescent="0.2">
      <c r="B2361" s="200">
        <v>45752</v>
      </c>
      <c r="C2361" s="187" t="s">
        <v>4146</v>
      </c>
      <c r="D2361" s="201">
        <v>1</v>
      </c>
      <c r="E2361" s="202">
        <v>0</v>
      </c>
      <c r="F2361" s="215">
        <v>0</v>
      </c>
      <c r="G2361" s="215">
        <v>1000000</v>
      </c>
      <c r="H2361" s="264">
        <v>45782</v>
      </c>
    </row>
    <row r="2362" spans="2:8" x14ac:dyDescent="0.2">
      <c r="B2362" s="200">
        <v>45763</v>
      </c>
      <c r="C2362" s="187" t="s">
        <v>4147</v>
      </c>
      <c r="D2362" s="201">
        <v>1</v>
      </c>
      <c r="E2362" s="202">
        <v>0</v>
      </c>
      <c r="F2362" s="215">
        <v>0</v>
      </c>
      <c r="G2362" s="215">
        <v>400000</v>
      </c>
      <c r="H2362" s="264">
        <v>45782</v>
      </c>
    </row>
    <row r="2363" spans="2:8" x14ac:dyDescent="0.2">
      <c r="B2363" s="200">
        <v>45770</v>
      </c>
      <c r="C2363" s="187" t="s">
        <v>4164</v>
      </c>
      <c r="D2363" s="201">
        <v>1</v>
      </c>
      <c r="E2363" s="202">
        <v>0</v>
      </c>
      <c r="F2363" s="215">
        <v>0</v>
      </c>
      <c r="G2363" s="215">
        <v>476000</v>
      </c>
      <c r="H2363" s="264">
        <v>45782</v>
      </c>
    </row>
    <row r="2364" spans="2:8" x14ac:dyDescent="0.2">
      <c r="B2364" s="173">
        <v>45777</v>
      </c>
      <c r="C2364" s="187" t="s">
        <v>4225</v>
      </c>
      <c r="D2364" s="201">
        <v>1</v>
      </c>
      <c r="E2364" s="202">
        <v>0</v>
      </c>
      <c r="F2364" s="215">
        <v>0</v>
      </c>
      <c r="G2364" s="215">
        <v>380000</v>
      </c>
      <c r="H2364" s="264">
        <v>45782</v>
      </c>
    </row>
    <row r="2365" spans="2:8" x14ac:dyDescent="0.2">
      <c r="B2365" s="200">
        <v>45750</v>
      </c>
      <c r="C2365" s="187" t="s">
        <v>4138</v>
      </c>
      <c r="D2365" s="201">
        <v>4</v>
      </c>
      <c r="E2365" s="202">
        <v>0</v>
      </c>
      <c r="F2365" s="215">
        <v>0</v>
      </c>
      <c r="G2365" s="215">
        <v>1202600</v>
      </c>
      <c r="H2365" s="237" t="s">
        <v>3856</v>
      </c>
    </row>
    <row r="2366" spans="2:8" x14ac:dyDescent="0.2">
      <c r="B2366"/>
      <c r="D2366"/>
      <c r="E2366"/>
      <c r="F2366"/>
      <c r="G2366"/>
      <c r="H2366"/>
    </row>
    <row r="2367" spans="2:8" x14ac:dyDescent="0.2">
      <c r="B2367" s="200">
        <v>45751</v>
      </c>
      <c r="C2367" s="187" t="s">
        <v>4144</v>
      </c>
      <c r="D2367" s="201">
        <v>1</v>
      </c>
      <c r="E2367" s="218">
        <v>0</v>
      </c>
      <c r="F2367" s="247">
        <v>0</v>
      </c>
      <c r="G2367" s="215">
        <v>1363700</v>
      </c>
      <c r="H2367" s="264">
        <v>45782</v>
      </c>
    </row>
    <row r="2368" spans="2:8" x14ac:dyDescent="0.2">
      <c r="B2368" s="200">
        <v>45782</v>
      </c>
      <c r="C2368" s="5" t="s">
        <v>4238</v>
      </c>
      <c r="D2368" s="201">
        <v>1</v>
      </c>
      <c r="E2368" s="202">
        <v>0</v>
      </c>
      <c r="F2368" s="215">
        <v>0</v>
      </c>
      <c r="G2368" s="215">
        <v>730600</v>
      </c>
      <c r="H2368" s="263">
        <v>45783</v>
      </c>
    </row>
    <row r="2369" spans="1:10" x14ac:dyDescent="0.2">
      <c r="A2369" s="1"/>
      <c r="C2369" s="1"/>
      <c r="D2369" s="1"/>
      <c r="I2369" s="1"/>
      <c r="J2369" s="1"/>
    </row>
    <row r="2370" spans="1:10" x14ac:dyDescent="0.2">
      <c r="B2370" s="200">
        <v>45783</v>
      </c>
      <c r="C2370" s="187" t="s">
        <v>4138</v>
      </c>
      <c r="D2370" s="201">
        <v>4</v>
      </c>
      <c r="E2370" s="202">
        <v>0</v>
      </c>
      <c r="F2370" s="215">
        <v>0</v>
      </c>
      <c r="G2370" s="215">
        <v>1202600</v>
      </c>
      <c r="H2370" s="263">
        <v>45798</v>
      </c>
    </row>
    <row r="2371" spans="1:10" x14ac:dyDescent="0.2">
      <c r="B2371" s="200"/>
      <c r="C2371" s="187"/>
      <c r="D2371" s="201"/>
      <c r="E2371" s="202"/>
      <c r="F2371" s="203"/>
      <c r="G2371" s="195"/>
    </row>
    <row r="2372" spans="1:10" x14ac:dyDescent="0.2">
      <c r="B2372" s="200"/>
      <c r="C2372" s="187"/>
      <c r="D2372" s="201"/>
      <c r="E2372" s="202"/>
      <c r="F2372" s="216"/>
      <c r="G2372" s="195"/>
    </row>
    <row r="2373" spans="1:10" x14ac:dyDescent="0.2">
      <c r="B2373" s="29"/>
      <c r="C2373" s="29"/>
      <c r="D2373" s="68"/>
      <c r="E2373" s="13"/>
      <c r="F2373" s="13"/>
      <c r="G2373" s="29"/>
    </row>
    <row r="2374" spans="1:10" x14ac:dyDescent="0.2">
      <c r="E2374" s="9">
        <f>SUM(E2341:E2373)</f>
        <v>7453500</v>
      </c>
      <c r="F2374" s="9">
        <f>SUM(F2341:F2373)</f>
        <v>0</v>
      </c>
      <c r="G2374" s="9"/>
    </row>
    <row r="2375" spans="1:10" x14ac:dyDescent="0.2">
      <c r="E2375" s="3">
        <f>7500000-E2374</f>
        <v>46500</v>
      </c>
    </row>
    <row r="2378" spans="1:10" x14ac:dyDescent="0.2">
      <c r="C2378" s="238"/>
      <c r="D2378" s="251">
        <v>500</v>
      </c>
      <c r="E2378" s="190">
        <v>3400</v>
      </c>
      <c r="F2378" s="190" t="s">
        <v>4153</v>
      </c>
    </row>
    <row r="2379" spans="1:10" x14ac:dyDescent="0.2">
      <c r="C2379" s="187" t="s">
        <v>4157</v>
      </c>
      <c r="D2379" s="250">
        <v>-50</v>
      </c>
      <c r="E2379" s="186">
        <v>-740</v>
      </c>
      <c r="F2379" s="186" t="s">
        <v>4154</v>
      </c>
    </row>
    <row r="2380" spans="1:10" x14ac:dyDescent="0.2">
      <c r="C2380" s="187" t="s">
        <v>4158</v>
      </c>
      <c r="D2380" s="250">
        <v>-20</v>
      </c>
      <c r="E2380" s="186">
        <v>-1365</v>
      </c>
      <c r="F2380" s="186" t="s">
        <v>4155</v>
      </c>
    </row>
    <row r="2381" spans="1:10" x14ac:dyDescent="0.2">
      <c r="C2381" s="187" t="s">
        <v>4159</v>
      </c>
      <c r="D2381" s="250">
        <v>-76</v>
      </c>
      <c r="E2381" s="186">
        <v>-935</v>
      </c>
      <c r="F2381" s="186" t="s">
        <v>4156</v>
      </c>
    </row>
    <row r="2382" spans="1:10" x14ac:dyDescent="0.2">
      <c r="C2382" s="187" t="s">
        <v>3022</v>
      </c>
      <c r="D2382" s="250">
        <v>-100</v>
      </c>
      <c r="E2382" s="186">
        <v>-300</v>
      </c>
      <c r="F2382" s="186" t="s">
        <v>4152</v>
      </c>
    </row>
    <row r="2383" spans="1:10" x14ac:dyDescent="0.2">
      <c r="C2383" s="186" t="s">
        <v>4152</v>
      </c>
      <c r="D2383" s="186">
        <v>-150</v>
      </c>
      <c r="E2383" s="186"/>
      <c r="F2383" s="186"/>
    </row>
    <row r="2384" spans="1:10" x14ac:dyDescent="0.2">
      <c r="C2384" s="187" t="s">
        <v>4077</v>
      </c>
      <c r="D2384" s="186">
        <v>-105</v>
      </c>
      <c r="E2384" s="186"/>
      <c r="F2384" s="186"/>
    </row>
    <row r="2386" spans="2:7" x14ac:dyDescent="0.2">
      <c r="D2386" s="252">
        <f>SUM(D2378:D2385)</f>
        <v>-1</v>
      </c>
      <c r="E2386" s="252">
        <f>SUM(E2378:E2385)</f>
        <v>60</v>
      </c>
    </row>
    <row r="2391" spans="2:7" x14ac:dyDescent="0.2">
      <c r="C2391" s="187" t="s">
        <v>4240</v>
      </c>
      <c r="D2391" s="250"/>
      <c r="E2391" s="186">
        <v>640000</v>
      </c>
      <c r="F2391" s="186"/>
    </row>
    <row r="2395" spans="2:7" ht="26" x14ac:dyDescent="0.3">
      <c r="B2395" s="12"/>
      <c r="C2395" s="391" t="s">
        <v>4241</v>
      </c>
      <c r="D2395" s="391"/>
      <c r="E2395" s="391"/>
      <c r="F2395" s="391"/>
      <c r="G2395" s="391"/>
    </row>
    <row r="2396" spans="2:7" x14ac:dyDescent="0.2">
      <c r="B2396" s="12"/>
      <c r="C2396" s="29" t="s">
        <v>82</v>
      </c>
      <c r="D2396" s="11">
        <v>1</v>
      </c>
      <c r="E2396" s="12" t="s">
        <v>1</v>
      </c>
      <c r="F2396" s="12" t="s">
        <v>3140</v>
      </c>
      <c r="G2396" s="12" t="s">
        <v>3657</v>
      </c>
    </row>
    <row r="2397" spans="2:7" x14ac:dyDescent="0.2">
      <c r="B2397" s="8"/>
      <c r="C2397" s="5" t="s">
        <v>3525</v>
      </c>
      <c r="D2397" s="62">
        <v>1</v>
      </c>
      <c r="E2397" s="28">
        <v>2000000</v>
      </c>
      <c r="F2397" s="214">
        <v>0</v>
      </c>
      <c r="G2397" s="7"/>
    </row>
    <row r="2398" spans="2:7" x14ac:dyDescent="0.2">
      <c r="B2398" s="8"/>
      <c r="C2398" s="5" t="s">
        <v>3757</v>
      </c>
      <c r="D2398" s="62">
        <v>1</v>
      </c>
      <c r="E2398" s="28">
        <v>750000</v>
      </c>
      <c r="F2398" s="214">
        <v>0</v>
      </c>
      <c r="G2398" s="8"/>
    </row>
    <row r="2399" spans="2:7" x14ac:dyDescent="0.2">
      <c r="B2399" s="8"/>
      <c r="C2399" s="5" t="s">
        <v>3526</v>
      </c>
      <c r="D2399" s="62">
        <v>1</v>
      </c>
      <c r="E2399" s="28">
        <v>350000</v>
      </c>
      <c r="F2399" s="214">
        <v>0</v>
      </c>
      <c r="G2399" s="8"/>
    </row>
    <row r="2400" spans="2:7" x14ac:dyDescent="0.2">
      <c r="B2400" s="8"/>
      <c r="C2400" s="5" t="s">
        <v>3297</v>
      </c>
      <c r="D2400" s="62">
        <v>1</v>
      </c>
      <c r="E2400" s="28">
        <v>45000</v>
      </c>
      <c r="F2400" s="214">
        <v>0</v>
      </c>
      <c r="G2400" s="8"/>
    </row>
    <row r="2401" spans="2:8" x14ac:dyDescent="0.2">
      <c r="B2401" s="173"/>
      <c r="C2401" s="5" t="s">
        <v>3928</v>
      </c>
      <c r="D2401" s="62">
        <v>1</v>
      </c>
      <c r="E2401" s="151">
        <v>925000</v>
      </c>
      <c r="F2401" s="214">
        <v>0</v>
      </c>
      <c r="G2401" s="8"/>
    </row>
    <row r="2402" spans="2:8" x14ac:dyDescent="0.2">
      <c r="B2402" s="200"/>
      <c r="C2402" s="5" t="s">
        <v>4076</v>
      </c>
      <c r="D2402" s="201">
        <v>1</v>
      </c>
      <c r="E2402" s="151">
        <f>21000000*1.85%</f>
        <v>388500.00000000006</v>
      </c>
      <c r="F2402" s="214">
        <v>0</v>
      </c>
      <c r="G2402" s="8"/>
    </row>
    <row r="2403" spans="2:8" x14ac:dyDescent="0.2">
      <c r="B2403" s="200"/>
      <c r="C2403" s="5" t="s">
        <v>4507</v>
      </c>
      <c r="D2403" s="201">
        <v>1</v>
      </c>
      <c r="E2403" s="151">
        <f>10000000*1.85%</f>
        <v>185000.00000000003</v>
      </c>
      <c r="F2403" s="214">
        <v>0</v>
      </c>
      <c r="G2403" s="186"/>
    </row>
    <row r="2404" spans="2:8" x14ac:dyDescent="0.2">
      <c r="B2404" s="200"/>
      <c r="C2404" s="5" t="s">
        <v>4064</v>
      </c>
      <c r="D2404" s="201">
        <v>1</v>
      </c>
      <c r="E2404" s="151">
        <f>1500000*3%</f>
        <v>45000</v>
      </c>
      <c r="F2404" s="203">
        <v>0</v>
      </c>
      <c r="G2404" s="186"/>
    </row>
    <row r="2405" spans="2:8" x14ac:dyDescent="0.2">
      <c r="B2405" s="8"/>
      <c r="C2405" s="5" t="s">
        <v>3942</v>
      </c>
      <c r="D2405" s="62">
        <v>1</v>
      </c>
      <c r="E2405" s="151">
        <v>442000</v>
      </c>
      <c r="F2405" s="214">
        <v>0</v>
      </c>
      <c r="G2405" s="8"/>
    </row>
    <row r="2406" spans="2:8" x14ac:dyDescent="0.2">
      <c r="B2406" s="8"/>
      <c r="C2406" s="5" t="s">
        <v>3941</v>
      </c>
      <c r="D2406" s="62">
        <v>1</v>
      </c>
      <c r="E2406" s="151">
        <v>105000</v>
      </c>
      <c r="F2406" s="214">
        <v>0</v>
      </c>
      <c r="G2406" s="8"/>
    </row>
    <row r="2407" spans="2:8" x14ac:dyDescent="0.2">
      <c r="B2407" s="8"/>
      <c r="C2407" s="5" t="s">
        <v>3940</v>
      </c>
      <c r="D2407" s="62">
        <v>1</v>
      </c>
      <c r="E2407" s="151">
        <v>338000</v>
      </c>
      <c r="F2407" s="214">
        <v>0</v>
      </c>
      <c r="G2407" s="7"/>
    </row>
    <row r="2408" spans="2:8" x14ac:dyDescent="0.2">
      <c r="B2408" s="8"/>
      <c r="C2408" s="5" t="s">
        <v>3939</v>
      </c>
      <c r="D2408" s="62">
        <v>1</v>
      </c>
      <c r="E2408" s="151">
        <v>338000</v>
      </c>
      <c r="F2408" s="214">
        <v>0</v>
      </c>
      <c r="G2408" s="7"/>
    </row>
    <row r="2409" spans="2:8" x14ac:dyDescent="0.2">
      <c r="B2409" s="186"/>
      <c r="C2409" s="5" t="s">
        <v>3938</v>
      </c>
      <c r="D2409" s="201">
        <v>1</v>
      </c>
      <c r="E2409" s="215">
        <v>387000</v>
      </c>
      <c r="F2409" s="203">
        <v>0</v>
      </c>
      <c r="G2409" s="216"/>
    </row>
    <row r="2410" spans="2:8" x14ac:dyDescent="0.2">
      <c r="B2410" s="186"/>
      <c r="C2410" s="187" t="s">
        <v>4243</v>
      </c>
      <c r="D2410" s="201">
        <v>1</v>
      </c>
      <c r="E2410" s="215">
        <v>103000</v>
      </c>
      <c r="F2410" s="203">
        <v>0</v>
      </c>
      <c r="G2410" s="216"/>
    </row>
    <row r="2411" spans="2:8" x14ac:dyDescent="0.2">
      <c r="B2411" s="173"/>
      <c r="C2411" s="5" t="s">
        <v>4242</v>
      </c>
      <c r="D2411" s="62">
        <v>4500</v>
      </c>
      <c r="E2411" s="172">
        <f>D2411*100</f>
        <v>450000</v>
      </c>
      <c r="F2411" s="214">
        <v>0</v>
      </c>
      <c r="G2411" s="51"/>
    </row>
    <row r="2412" spans="2:8" x14ac:dyDescent="0.2">
      <c r="B2412"/>
      <c r="D2412"/>
      <c r="E2412"/>
      <c r="F2412"/>
      <c r="G2412"/>
      <c r="H2412"/>
    </row>
    <row r="2413" spans="2:8" x14ac:dyDescent="0.2">
      <c r="B2413"/>
      <c r="C2413" s="187" t="s">
        <v>4266</v>
      </c>
      <c r="D2413" s="201">
        <v>1</v>
      </c>
      <c r="E2413" s="215">
        <v>103000</v>
      </c>
      <c r="F2413" s="203">
        <v>0</v>
      </c>
      <c r="G2413" s="195" t="s">
        <v>4262</v>
      </c>
      <c r="H2413"/>
    </row>
    <row r="2414" spans="2:8" x14ac:dyDescent="0.2">
      <c r="B2414" s="200">
        <v>45786</v>
      </c>
      <c r="C2414" s="187" t="s">
        <v>4264</v>
      </c>
      <c r="D2414" s="201">
        <v>1</v>
      </c>
      <c r="E2414" s="215">
        <v>300000</v>
      </c>
      <c r="F2414" s="203">
        <v>0</v>
      </c>
      <c r="G2414" s="195" t="s">
        <v>4262</v>
      </c>
    </row>
    <row r="2415" spans="2:8" x14ac:dyDescent="0.2">
      <c r="B2415" s="200">
        <v>45811</v>
      </c>
      <c r="C2415" s="187" t="s">
        <v>4249</v>
      </c>
      <c r="D2415" s="201">
        <v>1</v>
      </c>
      <c r="E2415" s="215">
        <v>100000</v>
      </c>
      <c r="F2415" s="203">
        <v>0</v>
      </c>
      <c r="G2415" s="195" t="s">
        <v>3250</v>
      </c>
    </row>
    <row r="2416" spans="2:8" x14ac:dyDescent="0.2">
      <c r="B2416" s="200">
        <v>45798</v>
      </c>
      <c r="C2416" s="187" t="s">
        <v>4246</v>
      </c>
      <c r="D2416" s="201">
        <v>1</v>
      </c>
      <c r="E2416" s="212">
        <v>114000</v>
      </c>
      <c r="F2416" s="203">
        <v>0</v>
      </c>
      <c r="G2416" s="265" t="s">
        <v>4265</v>
      </c>
    </row>
    <row r="2417" spans="2:8" x14ac:dyDescent="0.2">
      <c r="B2417"/>
      <c r="D2417"/>
      <c r="E2417"/>
      <c r="F2417"/>
      <c r="G2417"/>
      <c r="H2417"/>
    </row>
    <row r="2418" spans="2:8" x14ac:dyDescent="0.2">
      <c r="B2418" s="200">
        <v>45716</v>
      </c>
      <c r="C2418" s="5" t="s">
        <v>3931</v>
      </c>
      <c r="D2418" s="62">
        <v>1</v>
      </c>
      <c r="E2418" s="171">
        <v>0</v>
      </c>
      <c r="F2418" s="171">
        <v>452000</v>
      </c>
      <c r="G2418" s="262" t="s">
        <v>4261</v>
      </c>
    </row>
    <row r="2419" spans="2:8" x14ac:dyDescent="0.2">
      <c r="B2419" s="200">
        <v>45719</v>
      </c>
      <c r="C2419" s="5" t="s">
        <v>3777</v>
      </c>
      <c r="D2419" s="62">
        <v>1</v>
      </c>
      <c r="E2419" s="171">
        <v>0</v>
      </c>
      <c r="F2419" s="171">
        <v>452000</v>
      </c>
      <c r="G2419" s="262" t="s">
        <v>4261</v>
      </c>
    </row>
    <row r="2420" spans="2:8" x14ac:dyDescent="0.2">
      <c r="B2420" s="200">
        <v>45749</v>
      </c>
      <c r="C2420" s="5" t="s">
        <v>3786</v>
      </c>
      <c r="D2420" s="271">
        <v>1</v>
      </c>
      <c r="E2420" s="202">
        <v>0</v>
      </c>
      <c r="F2420" s="203">
        <v>970000</v>
      </c>
      <c r="G2420" s="262" t="s">
        <v>4261</v>
      </c>
    </row>
    <row r="2421" spans="2:8" x14ac:dyDescent="0.2">
      <c r="B2421" s="200">
        <v>45782</v>
      </c>
      <c r="C2421" s="5" t="s">
        <v>4236</v>
      </c>
      <c r="D2421" s="201">
        <v>1</v>
      </c>
      <c r="E2421" s="202">
        <v>0</v>
      </c>
      <c r="F2421" s="203">
        <v>970000</v>
      </c>
      <c r="G2421" s="262" t="s">
        <v>4261</v>
      </c>
    </row>
    <row r="2422" spans="2:8" x14ac:dyDescent="0.2">
      <c r="B2422" s="200">
        <v>45812</v>
      </c>
      <c r="C2422" s="5" t="s">
        <v>3802</v>
      </c>
      <c r="D2422" s="201">
        <v>1</v>
      </c>
      <c r="E2422" s="202">
        <v>0</v>
      </c>
      <c r="F2422" s="203">
        <v>970000</v>
      </c>
      <c r="G2422" s="262" t="s">
        <v>4261</v>
      </c>
    </row>
    <row r="2423" spans="2:8" x14ac:dyDescent="0.2">
      <c r="B2423"/>
      <c r="D2423"/>
      <c r="E2423"/>
      <c r="F2423"/>
      <c r="G2423"/>
      <c r="H2423"/>
    </row>
    <row r="2424" spans="2:8" x14ac:dyDescent="0.2">
      <c r="B2424" s="200">
        <v>45763</v>
      </c>
      <c r="C2424" s="187" t="s">
        <v>4252</v>
      </c>
      <c r="D2424" s="201">
        <v>1</v>
      </c>
      <c r="E2424" s="202">
        <v>0</v>
      </c>
      <c r="F2424" s="215">
        <v>2000000</v>
      </c>
      <c r="G2424" s="264">
        <v>45819</v>
      </c>
    </row>
    <row r="2425" spans="2:8" x14ac:dyDescent="0.2">
      <c r="B2425"/>
      <c r="D2425"/>
      <c r="E2425"/>
      <c r="F2425"/>
      <c r="G2425"/>
      <c r="H2425"/>
    </row>
    <row r="2426" spans="2:8" x14ac:dyDescent="0.2">
      <c r="B2426" s="200">
        <v>45756</v>
      </c>
      <c r="C2426" s="187" t="s">
        <v>4253</v>
      </c>
      <c r="D2426" s="201">
        <v>1</v>
      </c>
      <c r="E2426" s="202">
        <v>0</v>
      </c>
      <c r="F2426" s="215">
        <v>1400000</v>
      </c>
      <c r="G2426" s="264">
        <v>45819</v>
      </c>
    </row>
    <row r="2427" spans="2:8" x14ac:dyDescent="0.2">
      <c r="B2427"/>
      <c r="D2427"/>
      <c r="E2427"/>
      <c r="F2427"/>
      <c r="G2427"/>
      <c r="H2427"/>
    </row>
    <row r="2428" spans="2:8" x14ac:dyDescent="0.2">
      <c r="B2428" s="173">
        <v>45777</v>
      </c>
      <c r="C2428" s="5" t="s">
        <v>4165</v>
      </c>
      <c r="D2428" s="201">
        <v>1</v>
      </c>
      <c r="E2428" s="202">
        <v>0</v>
      </c>
      <c r="F2428" s="203">
        <v>450000</v>
      </c>
      <c r="G2428" s="250" t="s">
        <v>4260</v>
      </c>
    </row>
    <row r="2429" spans="2:8" x14ac:dyDescent="0.2">
      <c r="B2429" s="200">
        <v>45807</v>
      </c>
      <c r="C2429" s="187" t="s">
        <v>4250</v>
      </c>
      <c r="D2429" s="201">
        <v>1</v>
      </c>
      <c r="E2429" s="202">
        <v>0</v>
      </c>
      <c r="F2429" s="203">
        <v>450000</v>
      </c>
      <c r="G2429" s="250" t="s">
        <v>4260</v>
      </c>
    </row>
    <row r="2430" spans="2:8" x14ac:dyDescent="0.2">
      <c r="B2430"/>
      <c r="D2430"/>
      <c r="E2430"/>
      <c r="F2430"/>
      <c r="G2430"/>
    </row>
    <row r="2431" spans="2:8" x14ac:dyDescent="0.2">
      <c r="B2431" s="173">
        <v>45677</v>
      </c>
      <c r="C2431" s="187" t="s">
        <v>3944</v>
      </c>
      <c r="D2431" s="62">
        <v>0</v>
      </c>
      <c r="E2431" s="171">
        <v>0</v>
      </c>
      <c r="F2431" s="202">
        <v>400000</v>
      </c>
      <c r="G2431" s="262"/>
    </row>
    <row r="2432" spans="2:8" x14ac:dyDescent="0.2">
      <c r="B2432"/>
      <c r="D2432"/>
      <c r="E2432"/>
      <c r="F2432"/>
      <c r="G2432"/>
    </row>
    <row r="2433" spans="2:8" x14ac:dyDescent="0.2">
      <c r="B2433" s="200">
        <v>45782</v>
      </c>
      <c r="C2433" s="187" t="s">
        <v>4239</v>
      </c>
      <c r="D2433" s="201">
        <v>1</v>
      </c>
      <c r="E2433" s="218">
        <v>0</v>
      </c>
      <c r="F2433" s="247">
        <v>1363700</v>
      </c>
      <c r="G2433" s="264">
        <v>45819</v>
      </c>
    </row>
    <row r="2434" spans="2:8" x14ac:dyDescent="0.2">
      <c r="B2434" s="200">
        <v>45811</v>
      </c>
      <c r="C2434" s="187" t="s">
        <v>4251</v>
      </c>
      <c r="D2434" s="201">
        <v>1</v>
      </c>
      <c r="E2434" s="218">
        <v>0</v>
      </c>
      <c r="F2434" s="246">
        <v>1363700</v>
      </c>
      <c r="G2434" s="254" t="s">
        <v>4262</v>
      </c>
    </row>
    <row r="2435" spans="2:8" x14ac:dyDescent="0.2">
      <c r="B2435"/>
      <c r="D2435"/>
      <c r="E2435"/>
      <c r="F2435"/>
      <c r="G2435"/>
    </row>
    <row r="2436" spans="2:8" x14ac:dyDescent="0.2">
      <c r="B2436" s="200">
        <v>45782</v>
      </c>
      <c r="C2436" s="5" t="s">
        <v>4237</v>
      </c>
      <c r="D2436" s="201">
        <v>1</v>
      </c>
      <c r="E2436" s="202">
        <v>0</v>
      </c>
      <c r="F2436" s="215">
        <v>970000</v>
      </c>
      <c r="G2436" s="264">
        <v>45819</v>
      </c>
    </row>
    <row r="2437" spans="2:8" x14ac:dyDescent="0.2">
      <c r="B2437" s="200">
        <v>45812</v>
      </c>
      <c r="C2437" s="5" t="s">
        <v>3800</v>
      </c>
      <c r="D2437" s="201">
        <v>1</v>
      </c>
      <c r="E2437" s="202">
        <v>0</v>
      </c>
      <c r="F2437" s="203">
        <v>970000</v>
      </c>
      <c r="G2437" s="262" t="s">
        <v>4262</v>
      </c>
    </row>
    <row r="2438" spans="2:8" x14ac:dyDescent="0.2">
      <c r="B2438"/>
      <c r="D2438"/>
      <c r="E2438"/>
      <c r="F2438"/>
      <c r="G2438"/>
      <c r="H2438"/>
    </row>
    <row r="2439" spans="2:8" x14ac:dyDescent="0.2">
      <c r="B2439" s="200">
        <v>45812</v>
      </c>
      <c r="C2439" s="187" t="s">
        <v>4351</v>
      </c>
      <c r="D2439" s="201">
        <v>1</v>
      </c>
      <c r="E2439" s="202">
        <v>0</v>
      </c>
      <c r="F2439" s="203">
        <v>120000</v>
      </c>
      <c r="G2439" s="195" t="s">
        <v>4263</v>
      </c>
      <c r="H2439"/>
    </row>
    <row r="2440" spans="2:8" x14ac:dyDescent="0.2">
      <c r="B2440" s="200">
        <v>45812</v>
      </c>
      <c r="C2440" s="187" t="s">
        <v>4350</v>
      </c>
      <c r="D2440" s="201">
        <v>4</v>
      </c>
      <c r="E2440" s="202">
        <v>0</v>
      </c>
      <c r="F2440" s="203">
        <v>1358000</v>
      </c>
      <c r="G2440" s="195" t="s">
        <v>4263</v>
      </c>
    </row>
    <row r="2441" spans="2:8" x14ac:dyDescent="0.2">
      <c r="B2441" s="200">
        <v>45782</v>
      </c>
      <c r="C2441" s="187" t="s">
        <v>4254</v>
      </c>
      <c r="D2441" s="201">
        <v>1</v>
      </c>
      <c r="E2441" s="202">
        <v>0</v>
      </c>
      <c r="F2441" s="215">
        <v>478000</v>
      </c>
      <c r="G2441" s="264">
        <v>45820</v>
      </c>
    </row>
    <row r="2442" spans="2:8" x14ac:dyDescent="0.2">
      <c r="C2442" s="1"/>
      <c r="D2442" s="1"/>
    </row>
    <row r="2443" spans="2:8" x14ac:dyDescent="0.2">
      <c r="B2443" s="200">
        <v>45784</v>
      </c>
      <c r="C2443" s="187" t="s">
        <v>4244</v>
      </c>
      <c r="D2443" s="201">
        <v>1</v>
      </c>
      <c r="E2443" s="202">
        <v>0</v>
      </c>
      <c r="F2443" s="215">
        <v>950000</v>
      </c>
      <c r="G2443" s="264">
        <v>45819</v>
      </c>
    </row>
    <row r="2444" spans="2:8" x14ac:dyDescent="0.2">
      <c r="C2444" s="1"/>
      <c r="D2444" s="1"/>
    </row>
    <row r="2445" spans="2:8" x14ac:dyDescent="0.2">
      <c r="B2445" s="200">
        <v>45785</v>
      </c>
      <c r="C2445" s="187" t="s">
        <v>4255</v>
      </c>
      <c r="D2445" s="201">
        <v>1</v>
      </c>
      <c r="E2445" s="202">
        <v>0</v>
      </c>
      <c r="F2445" s="215">
        <v>3000000</v>
      </c>
      <c r="G2445" s="264">
        <v>45820</v>
      </c>
    </row>
    <row r="2447" spans="2:8" x14ac:dyDescent="0.2">
      <c r="B2447" s="200">
        <v>45787</v>
      </c>
      <c r="C2447" s="187" t="s">
        <v>4256</v>
      </c>
      <c r="D2447" s="201">
        <v>1</v>
      </c>
      <c r="E2447" s="202">
        <v>0</v>
      </c>
      <c r="F2447" s="215">
        <v>1000000</v>
      </c>
      <c r="G2447" s="264">
        <v>45820</v>
      </c>
    </row>
    <row r="2448" spans="2:8" x14ac:dyDescent="0.2">
      <c r="B2448" s="200">
        <v>45787</v>
      </c>
      <c r="C2448" s="187" t="s">
        <v>4245</v>
      </c>
      <c r="D2448" s="201">
        <v>1</v>
      </c>
      <c r="E2448" s="202">
        <v>0</v>
      </c>
      <c r="F2448" s="203">
        <v>440000</v>
      </c>
      <c r="G2448" s="195" t="s">
        <v>3250</v>
      </c>
    </row>
    <row r="2449" spans="2:7" x14ac:dyDescent="0.2">
      <c r="B2449" s="200">
        <v>45790</v>
      </c>
      <c r="C2449" s="187" t="s">
        <v>4259</v>
      </c>
      <c r="D2449" s="201">
        <v>1</v>
      </c>
      <c r="E2449" s="202">
        <v>0</v>
      </c>
      <c r="F2449" s="203">
        <v>20000000</v>
      </c>
      <c r="G2449" s="195" t="s">
        <v>3251</v>
      </c>
    </row>
    <row r="2450" spans="2:7" x14ac:dyDescent="0.2">
      <c r="B2450" s="200">
        <v>45798</v>
      </c>
      <c r="C2450" s="187" t="s">
        <v>4257</v>
      </c>
      <c r="D2450" s="201">
        <v>1</v>
      </c>
      <c r="E2450" s="202">
        <v>0</v>
      </c>
      <c r="F2450" s="203">
        <v>30000</v>
      </c>
      <c r="G2450" s="195" t="s">
        <v>4263</v>
      </c>
    </row>
    <row r="2451" spans="2:7" x14ac:dyDescent="0.2">
      <c r="B2451" s="200">
        <v>45799</v>
      </c>
      <c r="C2451" s="187" t="s">
        <v>4247</v>
      </c>
      <c r="D2451" s="201">
        <v>1</v>
      </c>
      <c r="E2451" s="202">
        <v>0</v>
      </c>
      <c r="F2451" s="203">
        <v>900000</v>
      </c>
      <c r="G2451" s="195" t="s">
        <v>3250</v>
      </c>
    </row>
    <row r="2452" spans="2:7" x14ac:dyDescent="0.2">
      <c r="B2452" s="200">
        <v>45799</v>
      </c>
      <c r="C2452" s="187" t="s">
        <v>4248</v>
      </c>
      <c r="D2452" s="201">
        <v>1</v>
      </c>
      <c r="E2452" s="202">
        <v>0</v>
      </c>
      <c r="F2452" s="203">
        <v>200000</v>
      </c>
      <c r="G2452" s="195" t="s">
        <v>3250</v>
      </c>
    </row>
    <row r="2453" spans="2:7" x14ac:dyDescent="0.2">
      <c r="B2453" s="200">
        <v>45806</v>
      </c>
      <c r="C2453" s="187" t="s">
        <v>4258</v>
      </c>
      <c r="D2453" s="201">
        <v>1</v>
      </c>
      <c r="E2453" s="202">
        <v>0</v>
      </c>
      <c r="F2453" s="203">
        <v>700000</v>
      </c>
      <c r="G2453" s="195" t="s">
        <v>4262</v>
      </c>
    </row>
    <row r="2454" spans="2:7" x14ac:dyDescent="0.2">
      <c r="B2454" s="200">
        <v>45783</v>
      </c>
      <c r="C2454" s="187" t="s">
        <v>4349</v>
      </c>
      <c r="D2454" s="201">
        <v>1</v>
      </c>
      <c r="E2454" s="202">
        <v>0</v>
      </c>
      <c r="F2454" s="203">
        <v>451300</v>
      </c>
      <c r="G2454" s="195"/>
    </row>
    <row r="2455" spans="2:7" x14ac:dyDescent="0.2">
      <c r="B2455" s="200">
        <v>45821</v>
      </c>
      <c r="C2455" s="187" t="s">
        <v>4400</v>
      </c>
      <c r="D2455" s="201">
        <v>1</v>
      </c>
      <c r="E2455" s="202">
        <v>0</v>
      </c>
      <c r="F2455" s="203">
        <v>111000</v>
      </c>
      <c r="G2455" s="195"/>
    </row>
    <row r="2456" spans="2:7" x14ac:dyDescent="0.2">
      <c r="B2456" s="200">
        <v>45828</v>
      </c>
      <c r="C2456" s="187" t="s">
        <v>4377</v>
      </c>
      <c r="D2456" s="201">
        <v>1</v>
      </c>
      <c r="E2456" s="202">
        <v>0</v>
      </c>
      <c r="F2456" s="203">
        <v>80000</v>
      </c>
      <c r="G2456" s="195"/>
    </row>
    <row r="2457" spans="2:7" x14ac:dyDescent="0.2">
      <c r="B2457" s="200">
        <v>45832</v>
      </c>
      <c r="C2457" s="187" t="s">
        <v>4386</v>
      </c>
      <c r="D2457" s="201">
        <v>1</v>
      </c>
      <c r="E2457" s="202">
        <v>0</v>
      </c>
      <c r="F2457" s="203">
        <v>255000</v>
      </c>
      <c r="G2457" s="195"/>
    </row>
    <row r="2458" spans="2:7" x14ac:dyDescent="0.2">
      <c r="B2458" s="200"/>
      <c r="C2458" s="187"/>
      <c r="D2458" s="201"/>
      <c r="E2458" s="202"/>
      <c r="F2458" s="203"/>
      <c r="G2458" s="195"/>
    </row>
    <row r="2459" spans="2:7" x14ac:dyDescent="0.2">
      <c r="B2459" s="200"/>
      <c r="C2459" s="187"/>
      <c r="D2459" s="201"/>
      <c r="E2459" s="202"/>
      <c r="F2459" s="203"/>
      <c r="G2459" s="195"/>
    </row>
    <row r="2460" spans="2:7" x14ac:dyDescent="0.2">
      <c r="B2460" s="200"/>
      <c r="C2460" s="187"/>
      <c r="D2460" s="201"/>
      <c r="E2460" s="202"/>
      <c r="F2460" s="216"/>
      <c r="G2460" s="195"/>
    </row>
    <row r="2461" spans="2:7" x14ac:dyDescent="0.2">
      <c r="B2461" s="29"/>
      <c r="C2461" s="29"/>
      <c r="D2461" s="68"/>
      <c r="E2461" s="13"/>
      <c r="F2461" s="13"/>
      <c r="G2461" s="29"/>
    </row>
    <row r="2462" spans="2:7" x14ac:dyDescent="0.2">
      <c r="E2462" s="9">
        <f>SUM(E2397:E2461)</f>
        <v>7468500</v>
      </c>
      <c r="F2462" s="9">
        <f>SUM(F2397:F2461)</f>
        <v>43254700</v>
      </c>
      <c r="G2462" s="9"/>
    </row>
    <row r="2463" spans="2:7" x14ac:dyDescent="0.2">
      <c r="E2463" s="3">
        <f>7500000-E2462</f>
        <v>31500</v>
      </c>
    </row>
    <row r="2467" spans="2:7" ht="26" x14ac:dyDescent="0.3">
      <c r="B2467" s="12"/>
      <c r="C2467" s="391" t="s">
        <v>4401</v>
      </c>
      <c r="D2467" s="391"/>
      <c r="E2467" s="391"/>
      <c r="F2467" s="391"/>
      <c r="G2467" s="391"/>
    </row>
    <row r="2468" spans="2:7" x14ac:dyDescent="0.2">
      <c r="B2468" s="12"/>
      <c r="C2468" s="29" t="s">
        <v>82</v>
      </c>
      <c r="D2468" s="11">
        <v>1</v>
      </c>
      <c r="E2468" s="12" t="s">
        <v>1</v>
      </c>
      <c r="F2468" s="12" t="s">
        <v>3140</v>
      </c>
      <c r="G2468" s="12" t="s">
        <v>3657</v>
      </c>
    </row>
    <row r="2469" spans="2:7" x14ac:dyDescent="0.2">
      <c r="B2469" s="8"/>
      <c r="C2469" s="5" t="s">
        <v>3525</v>
      </c>
      <c r="D2469" s="62">
        <v>1</v>
      </c>
      <c r="E2469" s="28">
        <v>2000000</v>
      </c>
      <c r="F2469" s="214">
        <v>0</v>
      </c>
      <c r="G2469" s="7"/>
    </row>
    <row r="2470" spans="2:7" x14ac:dyDescent="0.2">
      <c r="B2470" s="8"/>
      <c r="C2470" s="5" t="s">
        <v>3757</v>
      </c>
      <c r="D2470" s="62">
        <v>1</v>
      </c>
      <c r="E2470" s="28">
        <v>750000</v>
      </c>
      <c r="F2470" s="214">
        <v>0</v>
      </c>
      <c r="G2470" s="8"/>
    </row>
    <row r="2471" spans="2:7" x14ac:dyDescent="0.2">
      <c r="B2471" s="8"/>
      <c r="C2471" s="5" t="s">
        <v>3526</v>
      </c>
      <c r="D2471" s="62">
        <v>1</v>
      </c>
      <c r="E2471" s="28">
        <v>350000</v>
      </c>
      <c r="F2471" s="214">
        <v>0</v>
      </c>
      <c r="G2471" s="8"/>
    </row>
    <row r="2472" spans="2:7" x14ac:dyDescent="0.2">
      <c r="B2472" s="8"/>
      <c r="C2472" s="5" t="s">
        <v>3297</v>
      </c>
      <c r="D2472" s="62">
        <v>1</v>
      </c>
      <c r="E2472" s="28">
        <v>45000</v>
      </c>
      <c r="F2472" s="214">
        <v>0</v>
      </c>
      <c r="G2472" s="8"/>
    </row>
    <row r="2473" spans="2:7" x14ac:dyDescent="0.2">
      <c r="B2473" s="173"/>
      <c r="C2473" s="5" t="s">
        <v>3928</v>
      </c>
      <c r="D2473" s="62">
        <v>1</v>
      </c>
      <c r="E2473" s="151">
        <v>925000</v>
      </c>
      <c r="F2473" s="214">
        <v>0</v>
      </c>
      <c r="G2473" s="8"/>
    </row>
    <row r="2474" spans="2:7" x14ac:dyDescent="0.2">
      <c r="B2474" s="200"/>
      <c r="C2474" s="5" t="s">
        <v>4076</v>
      </c>
      <c r="D2474" s="201">
        <v>1</v>
      </c>
      <c r="E2474" s="151">
        <f>21000000*1.85%</f>
        <v>388500.00000000006</v>
      </c>
      <c r="F2474" s="214">
        <v>0</v>
      </c>
      <c r="G2474" s="8"/>
    </row>
    <row r="2476" spans="2:7" x14ac:dyDescent="0.2">
      <c r="B2476" s="200"/>
      <c r="C2476" s="5" t="s">
        <v>4064</v>
      </c>
      <c r="D2476" s="201">
        <v>1</v>
      </c>
      <c r="E2476" s="151">
        <f>1500000*3%</f>
        <v>45000</v>
      </c>
      <c r="F2476" s="203">
        <v>0</v>
      </c>
      <c r="G2476" s="186"/>
    </row>
    <row r="2477" spans="2:7" x14ac:dyDescent="0.2">
      <c r="B2477" s="8"/>
      <c r="C2477" s="5" t="s">
        <v>3942</v>
      </c>
      <c r="D2477" s="62">
        <v>1</v>
      </c>
      <c r="E2477" s="151">
        <v>442000</v>
      </c>
      <c r="F2477" s="214">
        <v>0</v>
      </c>
      <c r="G2477" s="8"/>
    </row>
    <row r="2478" spans="2:7" x14ac:dyDescent="0.2">
      <c r="B2478" s="8"/>
      <c r="C2478" s="5" t="s">
        <v>3941</v>
      </c>
      <c r="D2478" s="62">
        <v>1</v>
      </c>
      <c r="E2478" s="151">
        <v>105000</v>
      </c>
      <c r="F2478" s="214">
        <v>0</v>
      </c>
      <c r="G2478" s="8"/>
    </row>
    <row r="2479" spans="2:7" x14ac:dyDescent="0.2">
      <c r="B2479" s="8"/>
      <c r="C2479" s="5" t="s">
        <v>3940</v>
      </c>
      <c r="D2479" s="62">
        <v>1</v>
      </c>
      <c r="E2479" s="151">
        <v>338000</v>
      </c>
      <c r="F2479" s="214">
        <v>0</v>
      </c>
      <c r="G2479" s="7"/>
    </row>
    <row r="2480" spans="2:7" x14ac:dyDescent="0.2">
      <c r="B2480" s="8"/>
      <c r="C2480" s="5" t="s">
        <v>3939</v>
      </c>
      <c r="D2480" s="62">
        <v>1</v>
      </c>
      <c r="E2480" s="151">
        <v>338000</v>
      </c>
      <c r="F2480" s="214">
        <v>0</v>
      </c>
      <c r="G2480" s="7"/>
    </row>
    <row r="2481" spans="2:7" x14ac:dyDescent="0.2">
      <c r="B2481" s="186"/>
      <c r="C2481" s="5" t="s">
        <v>3938</v>
      </c>
      <c r="D2481" s="201">
        <v>1</v>
      </c>
      <c r="E2481" s="215">
        <v>387000</v>
      </c>
      <c r="F2481" s="203">
        <v>0</v>
      </c>
      <c r="G2481" s="216"/>
    </row>
    <row r="2482" spans="2:7" x14ac:dyDescent="0.2">
      <c r="B2482" s="186"/>
      <c r="C2482" s="187" t="s">
        <v>4403</v>
      </c>
      <c r="D2482" s="201">
        <v>1</v>
      </c>
      <c r="E2482" s="215">
        <v>103000</v>
      </c>
      <c r="F2482" s="203">
        <v>0</v>
      </c>
      <c r="G2482" s="216"/>
    </row>
    <row r="2483" spans="2:7" x14ac:dyDescent="0.2">
      <c r="B2483" s="173"/>
      <c r="C2483" s="5" t="s">
        <v>4402</v>
      </c>
      <c r="D2483" s="62">
        <v>4500</v>
      </c>
      <c r="E2483" s="172">
        <f>D2483*100</f>
        <v>450000</v>
      </c>
      <c r="F2483" s="214">
        <v>0</v>
      </c>
      <c r="G2483" s="51"/>
    </row>
    <row r="2484" spans="2:7" x14ac:dyDescent="0.2">
      <c r="B2484" s="200">
        <v>45806</v>
      </c>
      <c r="C2484" s="187" t="s">
        <v>4258</v>
      </c>
      <c r="D2484" s="201">
        <v>1</v>
      </c>
      <c r="E2484" s="215">
        <v>700000</v>
      </c>
      <c r="F2484" s="203">
        <v>0</v>
      </c>
      <c r="G2484" s="195" t="s">
        <v>4262</v>
      </c>
    </row>
    <row r="2485" spans="2:7" x14ac:dyDescent="0.2">
      <c r="B2485" s="173">
        <v>45677</v>
      </c>
      <c r="C2485" s="187" t="s">
        <v>3944</v>
      </c>
      <c r="D2485" s="62">
        <v>0</v>
      </c>
      <c r="E2485" s="171">
        <v>0</v>
      </c>
      <c r="F2485" s="202">
        <v>400000</v>
      </c>
      <c r="G2485" s="262"/>
    </row>
    <row r="2486" spans="2:7" x14ac:dyDescent="0.2">
      <c r="B2486"/>
      <c r="D2486"/>
      <c r="E2486"/>
      <c r="F2486"/>
      <c r="G2486"/>
    </row>
    <row r="2487" spans="2:7" x14ac:dyDescent="0.2">
      <c r="B2487" s="200">
        <v>45716</v>
      </c>
      <c r="C2487" s="5" t="s">
        <v>3931</v>
      </c>
      <c r="D2487" s="62">
        <v>1</v>
      </c>
      <c r="E2487" s="171">
        <v>0</v>
      </c>
      <c r="F2487" s="171">
        <v>452000</v>
      </c>
      <c r="G2487" s="262" t="s">
        <v>4261</v>
      </c>
    </row>
    <row r="2488" spans="2:7" x14ac:dyDescent="0.2">
      <c r="B2488" s="200">
        <v>45719</v>
      </c>
      <c r="C2488" s="5" t="s">
        <v>3777</v>
      </c>
      <c r="D2488" s="62">
        <v>1</v>
      </c>
      <c r="E2488" s="171">
        <v>0</v>
      </c>
      <c r="F2488" s="171">
        <v>452000</v>
      </c>
      <c r="G2488" s="262" t="s">
        <v>4261</v>
      </c>
    </row>
    <row r="2489" spans="2:7" x14ac:dyDescent="0.2">
      <c r="B2489" s="200">
        <v>45749</v>
      </c>
      <c r="C2489" s="5" t="s">
        <v>3786</v>
      </c>
      <c r="D2489" s="271">
        <v>1</v>
      </c>
      <c r="E2489" s="202">
        <v>0</v>
      </c>
      <c r="F2489" s="203">
        <v>970000</v>
      </c>
      <c r="G2489" s="262" t="s">
        <v>4261</v>
      </c>
    </row>
    <row r="2490" spans="2:7" x14ac:dyDescent="0.2">
      <c r="B2490" s="200">
        <v>45782</v>
      </c>
      <c r="C2490" s="5" t="s">
        <v>4236</v>
      </c>
      <c r="D2490" s="201">
        <v>1</v>
      </c>
      <c r="E2490" s="202">
        <v>0</v>
      </c>
      <c r="F2490" s="203">
        <v>970000</v>
      </c>
      <c r="G2490" s="262" t="s">
        <v>4261</v>
      </c>
    </row>
    <row r="2491" spans="2:7" x14ac:dyDescent="0.2">
      <c r="B2491" s="200">
        <v>45812</v>
      </c>
      <c r="C2491" s="5" t="s">
        <v>3802</v>
      </c>
      <c r="D2491" s="201">
        <v>1</v>
      </c>
      <c r="E2491" s="202">
        <v>0</v>
      </c>
      <c r="F2491" s="203">
        <v>970000</v>
      </c>
      <c r="G2491" s="262" t="s">
        <v>4261</v>
      </c>
    </row>
    <row r="2492" spans="2:7" x14ac:dyDescent="0.2">
      <c r="B2492" s="200">
        <v>45842</v>
      </c>
      <c r="C2492" s="5" t="s">
        <v>4404</v>
      </c>
      <c r="D2492" s="201">
        <v>1</v>
      </c>
      <c r="E2492" s="202">
        <v>0</v>
      </c>
      <c r="F2492" s="203">
        <v>970000</v>
      </c>
      <c r="G2492" s="262" t="s">
        <v>4261</v>
      </c>
    </row>
    <row r="2493" spans="2:7" x14ac:dyDescent="0.2">
      <c r="B2493"/>
      <c r="D2493"/>
      <c r="E2493"/>
      <c r="F2493"/>
      <c r="G2493"/>
    </row>
    <row r="2494" spans="2:7" x14ac:dyDescent="0.2">
      <c r="B2494" s="173">
        <v>45777</v>
      </c>
      <c r="C2494" s="5" t="s">
        <v>4165</v>
      </c>
      <c r="D2494" s="201">
        <v>1</v>
      </c>
      <c r="E2494" s="202">
        <v>0</v>
      </c>
      <c r="F2494" s="215">
        <v>450000</v>
      </c>
      <c r="G2494" s="264">
        <v>45847</v>
      </c>
    </row>
    <row r="2495" spans="2:7" x14ac:dyDescent="0.2">
      <c r="B2495" s="200">
        <v>45807</v>
      </c>
      <c r="C2495" s="187" t="s">
        <v>4250</v>
      </c>
      <c r="D2495" s="201">
        <v>1</v>
      </c>
      <c r="E2495" s="202">
        <v>0</v>
      </c>
      <c r="F2495" s="203">
        <v>450000</v>
      </c>
      <c r="G2495" s="250" t="s">
        <v>4260</v>
      </c>
    </row>
    <row r="2496" spans="2:7" x14ac:dyDescent="0.2">
      <c r="B2496" s="200">
        <v>45814</v>
      </c>
      <c r="C2496" s="187" t="s">
        <v>4410</v>
      </c>
      <c r="D2496" s="201">
        <v>1</v>
      </c>
      <c r="E2496" s="202">
        <v>0</v>
      </c>
      <c r="F2496" s="203">
        <v>450000</v>
      </c>
      <c r="G2496" s="250" t="s">
        <v>4260</v>
      </c>
    </row>
    <row r="2497" spans="1:7" x14ac:dyDescent="0.2">
      <c r="A2497" s="1"/>
      <c r="C2497" s="1"/>
      <c r="D2497" s="1"/>
    </row>
    <row r="2498" spans="1:7" x14ac:dyDescent="0.2">
      <c r="B2498" s="200">
        <v>45814</v>
      </c>
      <c r="C2498" s="5" t="s">
        <v>4411</v>
      </c>
      <c r="D2498" s="201">
        <v>1</v>
      </c>
      <c r="E2498" s="202">
        <v>0</v>
      </c>
      <c r="F2498" s="215">
        <v>731000</v>
      </c>
      <c r="G2498" s="264">
        <v>45847</v>
      </c>
    </row>
    <row r="2499" spans="1:7" x14ac:dyDescent="0.2">
      <c r="B2499"/>
      <c r="D2499"/>
      <c r="E2499"/>
      <c r="F2499"/>
      <c r="G2499"/>
    </row>
    <row r="2500" spans="1:7" x14ac:dyDescent="0.2">
      <c r="B2500" s="200">
        <v>45811</v>
      </c>
      <c r="C2500" s="187" t="s">
        <v>4251</v>
      </c>
      <c r="D2500" s="201">
        <v>1</v>
      </c>
      <c r="E2500" s="218">
        <v>0</v>
      </c>
      <c r="F2500" s="247">
        <v>1363700</v>
      </c>
      <c r="G2500" s="264">
        <v>45847</v>
      </c>
    </row>
    <row r="2501" spans="1:7" x14ac:dyDescent="0.2">
      <c r="B2501" s="200">
        <v>45812</v>
      </c>
      <c r="C2501" s="187" t="s">
        <v>4405</v>
      </c>
      <c r="D2501" s="201">
        <v>1</v>
      </c>
      <c r="E2501" s="218">
        <v>0</v>
      </c>
      <c r="F2501" s="246">
        <v>1363700</v>
      </c>
      <c r="G2501" s="254" t="s">
        <v>4262</v>
      </c>
    </row>
    <row r="2502" spans="1:7" x14ac:dyDescent="0.2">
      <c r="B2502"/>
      <c r="D2502"/>
      <c r="E2502"/>
      <c r="F2502"/>
      <c r="G2502"/>
    </row>
    <row r="2503" spans="1:7" x14ac:dyDescent="0.2">
      <c r="B2503" s="200">
        <v>45812</v>
      </c>
      <c r="C2503" s="5" t="s">
        <v>3800</v>
      </c>
      <c r="D2503" s="201">
        <v>1</v>
      </c>
      <c r="E2503" s="202">
        <v>0</v>
      </c>
      <c r="F2503" s="215">
        <v>970000</v>
      </c>
      <c r="G2503" s="264">
        <v>45847</v>
      </c>
    </row>
    <row r="2504" spans="1:7" x14ac:dyDescent="0.2">
      <c r="B2504" s="200">
        <v>45813</v>
      </c>
      <c r="C2504" s="5" t="s">
        <v>4406</v>
      </c>
      <c r="D2504" s="201">
        <v>1</v>
      </c>
      <c r="E2504" s="202">
        <v>0</v>
      </c>
      <c r="F2504" s="203">
        <v>970000</v>
      </c>
      <c r="G2504" s="262" t="s">
        <v>4262</v>
      </c>
    </row>
    <row r="2505" spans="1:7" x14ac:dyDescent="0.2">
      <c r="B2505"/>
      <c r="D2505"/>
      <c r="E2505"/>
      <c r="F2505"/>
      <c r="G2505"/>
    </row>
    <row r="2506" spans="1:7" x14ac:dyDescent="0.2">
      <c r="B2506" s="200">
        <v>45812</v>
      </c>
      <c r="C2506" s="187" t="s">
        <v>4351</v>
      </c>
      <c r="D2506" s="201">
        <v>1</v>
      </c>
      <c r="E2506" s="202">
        <v>0</v>
      </c>
      <c r="F2506" s="203">
        <v>120000</v>
      </c>
      <c r="G2506" s="195" t="s">
        <v>4263</v>
      </c>
    </row>
    <row r="2507" spans="1:7" x14ac:dyDescent="0.2">
      <c r="B2507" s="200">
        <v>45812</v>
      </c>
      <c r="C2507" s="187" t="s">
        <v>4350</v>
      </c>
      <c r="D2507" s="201">
        <v>4</v>
      </c>
      <c r="E2507" s="202">
        <v>0</v>
      </c>
      <c r="F2507" s="215">
        <v>1358000</v>
      </c>
      <c r="G2507" s="264">
        <v>45823</v>
      </c>
    </row>
    <row r="2508" spans="1:7" x14ac:dyDescent="0.2">
      <c r="B2508" s="200">
        <v>45842</v>
      </c>
      <c r="C2508" s="187" t="s">
        <v>4412</v>
      </c>
      <c r="D2508" s="201">
        <v>5</v>
      </c>
      <c r="E2508" s="202">
        <v>0</v>
      </c>
      <c r="F2508" s="215">
        <v>1561000</v>
      </c>
      <c r="G2508" s="264">
        <v>45846</v>
      </c>
    </row>
    <row r="2509" spans="1:7" x14ac:dyDescent="0.2">
      <c r="B2509" s="200">
        <v>45787</v>
      </c>
      <c r="C2509" s="187" t="s">
        <v>4245</v>
      </c>
      <c r="D2509" s="201">
        <v>1</v>
      </c>
      <c r="E2509" s="202">
        <v>0</v>
      </c>
      <c r="F2509" s="215">
        <v>440000</v>
      </c>
      <c r="G2509" s="264">
        <v>45847</v>
      </c>
    </row>
    <row r="2510" spans="1:7" x14ac:dyDescent="0.2">
      <c r="B2510" s="200">
        <v>45790</v>
      </c>
      <c r="C2510" s="187" t="s">
        <v>4259</v>
      </c>
      <c r="D2510" s="201">
        <v>1</v>
      </c>
      <c r="E2510" s="202">
        <v>0</v>
      </c>
      <c r="F2510" s="203">
        <v>20000000</v>
      </c>
      <c r="G2510" s="195" t="s">
        <v>3251</v>
      </c>
    </row>
    <row r="2511" spans="1:7" x14ac:dyDescent="0.2">
      <c r="B2511" s="200">
        <v>45798</v>
      </c>
      <c r="C2511" s="187" t="s">
        <v>4257</v>
      </c>
      <c r="D2511" s="201">
        <v>1</v>
      </c>
      <c r="E2511" s="202">
        <v>0</v>
      </c>
      <c r="F2511" s="215">
        <v>30000</v>
      </c>
      <c r="G2511" s="264">
        <v>45847</v>
      </c>
    </row>
    <row r="2512" spans="1:7" x14ac:dyDescent="0.2">
      <c r="B2512" s="200">
        <v>45799</v>
      </c>
      <c r="C2512" s="187" t="s">
        <v>4247</v>
      </c>
      <c r="D2512" s="201">
        <v>1</v>
      </c>
      <c r="E2512" s="202">
        <v>0</v>
      </c>
      <c r="F2512" s="203">
        <v>20</v>
      </c>
      <c r="G2512" s="195" t="s">
        <v>3250</v>
      </c>
    </row>
    <row r="2513" spans="2:7" x14ac:dyDescent="0.2">
      <c r="B2513" s="200">
        <v>45799</v>
      </c>
      <c r="C2513" s="187" t="s">
        <v>4248</v>
      </c>
      <c r="D2513" s="201">
        <v>1</v>
      </c>
      <c r="E2513" s="202">
        <v>0</v>
      </c>
      <c r="F2513" s="203">
        <v>200000</v>
      </c>
      <c r="G2513" s="195" t="s">
        <v>3250</v>
      </c>
    </row>
    <row r="2514" spans="2:7" x14ac:dyDescent="0.2">
      <c r="B2514" s="200">
        <v>45799</v>
      </c>
      <c r="C2514" s="187" t="s">
        <v>4415</v>
      </c>
      <c r="D2514" s="201">
        <v>1</v>
      </c>
      <c r="E2514" s="202">
        <v>0</v>
      </c>
      <c r="F2514" s="203">
        <v>150000</v>
      </c>
      <c r="G2514" s="195"/>
    </row>
    <row r="2515" spans="2:7" x14ac:dyDescent="0.2">
      <c r="B2515" s="200">
        <v>45799</v>
      </c>
      <c r="C2515" s="187" t="s">
        <v>4416</v>
      </c>
      <c r="D2515" s="201">
        <v>2</v>
      </c>
      <c r="E2515" s="202">
        <v>0</v>
      </c>
      <c r="F2515" s="203">
        <v>100000</v>
      </c>
      <c r="G2515" s="195"/>
    </row>
    <row r="2516" spans="2:7" x14ac:dyDescent="0.2">
      <c r="B2516" s="200">
        <v>45799</v>
      </c>
      <c r="C2516" s="187" t="s">
        <v>4417</v>
      </c>
      <c r="D2516" s="201">
        <v>1</v>
      </c>
      <c r="E2516" s="202">
        <v>0</v>
      </c>
      <c r="F2516" s="203">
        <v>100000</v>
      </c>
      <c r="G2516" s="195"/>
    </row>
    <row r="2517" spans="2:7" x14ac:dyDescent="0.2">
      <c r="B2517" s="200">
        <v>45799</v>
      </c>
      <c r="C2517" s="187" t="s">
        <v>4267</v>
      </c>
      <c r="D2517" s="201">
        <v>1</v>
      </c>
      <c r="E2517" s="202">
        <v>0</v>
      </c>
      <c r="F2517" s="203"/>
      <c r="G2517" s="195"/>
    </row>
    <row r="2518" spans="2:7" x14ac:dyDescent="0.2">
      <c r="B2518" s="200">
        <v>45799</v>
      </c>
      <c r="C2518" s="187" t="s">
        <v>4418</v>
      </c>
      <c r="D2518" s="201">
        <v>1</v>
      </c>
      <c r="E2518" s="202">
        <v>0</v>
      </c>
      <c r="F2518" s="203">
        <v>150000</v>
      </c>
      <c r="G2518" s="195"/>
    </row>
    <row r="2519" spans="2:7" x14ac:dyDescent="0.2">
      <c r="B2519" s="200">
        <v>45783</v>
      </c>
      <c r="C2519" s="187" t="s">
        <v>4349</v>
      </c>
      <c r="D2519" s="201">
        <v>1</v>
      </c>
      <c r="E2519" s="202">
        <v>0</v>
      </c>
      <c r="F2519" s="203">
        <v>451300</v>
      </c>
      <c r="G2519" s="195"/>
    </row>
    <row r="2520" spans="2:7" x14ac:dyDescent="0.2">
      <c r="B2520" s="200">
        <v>45821</v>
      </c>
      <c r="C2520" s="187" t="s">
        <v>4400</v>
      </c>
      <c r="D2520" s="201">
        <v>1</v>
      </c>
      <c r="E2520" s="202">
        <v>0</v>
      </c>
      <c r="F2520" s="203">
        <v>111000</v>
      </c>
      <c r="G2520" s="195"/>
    </row>
    <row r="2521" spans="2:7" x14ac:dyDescent="0.2">
      <c r="B2521" s="200">
        <v>45828</v>
      </c>
      <c r="C2521" s="187" t="s">
        <v>4377</v>
      </c>
      <c r="D2521" s="201">
        <v>1</v>
      </c>
      <c r="E2521" s="202">
        <v>0</v>
      </c>
      <c r="F2521" s="203">
        <v>80000</v>
      </c>
      <c r="G2521" s="195"/>
    </row>
    <row r="2522" spans="2:7" x14ac:dyDescent="0.2">
      <c r="B2522" s="200">
        <v>45832</v>
      </c>
      <c r="C2522" s="187" t="s">
        <v>4386</v>
      </c>
      <c r="D2522" s="201">
        <v>1</v>
      </c>
      <c r="E2522" s="202">
        <v>0</v>
      </c>
      <c r="F2522" s="203">
        <v>255000</v>
      </c>
      <c r="G2522" s="195"/>
    </row>
    <row r="2523" spans="2:7" x14ac:dyDescent="0.2">
      <c r="B2523" s="200">
        <v>45823</v>
      </c>
      <c r="C2523" s="187" t="s">
        <v>4407</v>
      </c>
      <c r="D2523" s="201">
        <v>1</v>
      </c>
      <c r="E2523" s="202">
        <v>0</v>
      </c>
      <c r="F2523" s="203">
        <v>140000</v>
      </c>
      <c r="G2523" s="195"/>
    </row>
    <row r="2524" spans="2:7" x14ac:dyDescent="0.2">
      <c r="B2524" s="200">
        <v>45832</v>
      </c>
      <c r="C2524" s="187" t="s">
        <v>4408</v>
      </c>
      <c r="D2524" s="201">
        <v>1</v>
      </c>
      <c r="E2524" s="202">
        <v>0</v>
      </c>
      <c r="F2524" s="203">
        <v>70000</v>
      </c>
      <c r="G2524" s="195"/>
    </row>
    <row r="2525" spans="2:7" x14ac:dyDescent="0.2">
      <c r="B2525" s="200">
        <v>45839</v>
      </c>
      <c r="C2525" s="187" t="s">
        <v>4409</v>
      </c>
      <c r="D2525" s="201">
        <v>1</v>
      </c>
      <c r="E2525" s="202">
        <v>0</v>
      </c>
      <c r="F2525" s="203">
        <v>20000000</v>
      </c>
      <c r="G2525" s="195" t="s">
        <v>3650</v>
      </c>
    </row>
    <row r="2526" spans="2:7" x14ac:dyDescent="0.2">
      <c r="B2526" s="200">
        <v>45812</v>
      </c>
      <c r="C2526" s="187" t="s">
        <v>4414</v>
      </c>
      <c r="D2526" s="201">
        <v>1</v>
      </c>
      <c r="E2526" s="202">
        <v>0</v>
      </c>
      <c r="F2526" s="203" t="s">
        <v>4413</v>
      </c>
      <c r="G2526" s="195"/>
    </row>
    <row r="2527" spans="2:7" x14ac:dyDescent="0.2">
      <c r="B2527" s="200"/>
      <c r="C2527" s="187"/>
      <c r="D2527" s="201"/>
      <c r="E2527" s="202"/>
      <c r="F2527" s="203"/>
      <c r="G2527" s="195"/>
    </row>
    <row r="2528" spans="2:7" x14ac:dyDescent="0.2">
      <c r="B2528" s="200"/>
      <c r="C2528" s="187" t="s">
        <v>4419</v>
      </c>
      <c r="D2528" s="201"/>
      <c r="E2528" s="202"/>
      <c r="F2528" s="203">
        <v>1329000</v>
      </c>
      <c r="G2528" s="195"/>
    </row>
    <row r="2529" spans="2:7" x14ac:dyDescent="0.2">
      <c r="B2529" s="285"/>
      <c r="C2529" s="283" t="s">
        <v>4508</v>
      </c>
      <c r="D2529" s="284">
        <v>1</v>
      </c>
      <c r="E2529" s="181">
        <v>0</v>
      </c>
      <c r="F2529" s="181">
        <f>43000000*1.85%</f>
        <v>795500.00000000012</v>
      </c>
      <c r="G2529" s="286"/>
    </row>
    <row r="2530" spans="2:7" x14ac:dyDescent="0.2">
      <c r="B2530" s="200"/>
      <c r="C2530" s="187"/>
      <c r="D2530" s="201"/>
      <c r="E2530" s="202"/>
      <c r="F2530" s="216"/>
      <c r="G2530" s="195"/>
    </row>
    <row r="2531" spans="2:7" x14ac:dyDescent="0.2">
      <c r="B2531" s="29"/>
      <c r="C2531" s="29"/>
      <c r="D2531" s="68"/>
      <c r="E2531" s="13"/>
      <c r="F2531" s="13"/>
      <c r="G2531" s="29"/>
    </row>
    <row r="2532" spans="2:7" x14ac:dyDescent="0.2">
      <c r="E2532" s="9">
        <f>SUM(E2469:E2531)</f>
        <v>7366500</v>
      </c>
      <c r="F2532" s="9">
        <f>SUM(F2469:F2531)</f>
        <v>59373220</v>
      </c>
      <c r="G2532" s="9"/>
    </row>
    <row r="2533" spans="2:7" x14ac:dyDescent="0.2">
      <c r="E2533" s="3">
        <f>7500000-E2532</f>
        <v>133500</v>
      </c>
    </row>
    <row r="2538" spans="2:7" ht="26" x14ac:dyDescent="0.3">
      <c r="B2538" s="12"/>
      <c r="C2538" s="391" t="s">
        <v>4502</v>
      </c>
      <c r="D2538" s="391"/>
      <c r="E2538" s="391"/>
      <c r="F2538" s="391"/>
      <c r="G2538" s="391"/>
    </row>
    <row r="2539" spans="2:7" x14ac:dyDescent="0.2">
      <c r="B2539" s="12"/>
      <c r="C2539" s="29" t="s">
        <v>82</v>
      </c>
      <c r="D2539" s="11">
        <v>1</v>
      </c>
      <c r="E2539" s="12" t="s">
        <v>1</v>
      </c>
      <c r="F2539" s="12" t="s">
        <v>3140</v>
      </c>
      <c r="G2539" s="12" t="s">
        <v>3657</v>
      </c>
    </row>
    <row r="2540" spans="2:7" x14ac:dyDescent="0.2">
      <c r="B2540" s="8"/>
      <c r="C2540" s="5" t="s">
        <v>3337</v>
      </c>
      <c r="D2540" s="62">
        <v>1</v>
      </c>
      <c r="E2540" s="151">
        <v>2150000</v>
      </c>
      <c r="F2540" s="214">
        <v>0</v>
      </c>
      <c r="G2540" s="7"/>
    </row>
    <row r="2541" spans="2:7" x14ac:dyDescent="0.2">
      <c r="B2541" s="8"/>
      <c r="C2541" s="5" t="s">
        <v>4503</v>
      </c>
      <c r="D2541" s="62">
        <v>1</v>
      </c>
      <c r="E2541" s="151">
        <v>2150000</v>
      </c>
      <c r="F2541" s="214">
        <v>0</v>
      </c>
      <c r="G2541" s="8"/>
    </row>
    <row r="2542" spans="2:7" x14ac:dyDescent="0.2">
      <c r="B2542" s="200"/>
      <c r="C2542" s="187"/>
      <c r="D2542" s="201"/>
      <c r="E2542" s="202"/>
      <c r="F2542" s="203"/>
      <c r="G2542" s="195"/>
    </row>
    <row r="2543" spans="2:7" x14ac:dyDescent="0.2">
      <c r="B2543" s="200"/>
      <c r="C2543" s="187"/>
      <c r="D2543" s="201"/>
      <c r="E2543" s="202"/>
      <c r="F2543" s="216"/>
      <c r="G2543" s="195"/>
    </row>
    <row r="2544" spans="2:7" x14ac:dyDescent="0.2">
      <c r="B2544" s="29"/>
      <c r="C2544" s="29"/>
      <c r="D2544" s="68"/>
      <c r="E2544" s="13"/>
      <c r="F2544" s="13"/>
      <c r="G2544" s="29"/>
    </row>
    <row r="2545" spans="2:7" x14ac:dyDescent="0.2">
      <c r="E2545" s="9">
        <f>SUM(E2540:E2544)</f>
        <v>4300000</v>
      </c>
      <c r="F2545" s="9">
        <f>SUM(F2540:F2544)</f>
        <v>0</v>
      </c>
      <c r="G2545" s="9"/>
    </row>
    <row r="2546" spans="2:7" x14ac:dyDescent="0.2">
      <c r="E2546" s="3">
        <v>4300000</v>
      </c>
    </row>
    <row r="2550" spans="2:7" ht="26" x14ac:dyDescent="0.3">
      <c r="B2550" s="12"/>
      <c r="C2550" s="391" t="s">
        <v>4420</v>
      </c>
      <c r="D2550" s="391"/>
      <c r="E2550" s="391"/>
      <c r="F2550" s="391"/>
      <c r="G2550" s="391"/>
    </row>
    <row r="2551" spans="2:7" x14ac:dyDescent="0.2">
      <c r="B2551" s="12"/>
      <c r="C2551" s="29" t="s">
        <v>82</v>
      </c>
      <c r="D2551" s="11">
        <v>1</v>
      </c>
      <c r="E2551" s="12" t="s">
        <v>1</v>
      </c>
      <c r="F2551" s="12" t="s">
        <v>3140</v>
      </c>
      <c r="G2551" s="12" t="s">
        <v>3657</v>
      </c>
    </row>
    <row r="2552" spans="2:7" x14ac:dyDescent="0.2">
      <c r="B2552" s="8"/>
      <c r="C2552" s="5" t="s">
        <v>3525</v>
      </c>
      <c r="D2552" s="62">
        <v>1</v>
      </c>
      <c r="E2552" s="28">
        <v>2000000</v>
      </c>
      <c r="F2552" s="214">
        <v>0</v>
      </c>
      <c r="G2552" s="7"/>
    </row>
    <row r="2553" spans="2:7" x14ac:dyDescent="0.2">
      <c r="B2553" s="8"/>
      <c r="C2553" s="5" t="s">
        <v>3757</v>
      </c>
      <c r="D2553" s="62">
        <v>1</v>
      </c>
      <c r="E2553" s="28">
        <v>750000</v>
      </c>
      <c r="F2553" s="214">
        <v>0</v>
      </c>
      <c r="G2553" s="8"/>
    </row>
    <row r="2554" spans="2:7" x14ac:dyDescent="0.2">
      <c r="B2554" s="8"/>
      <c r="C2554" s="5" t="s">
        <v>3526</v>
      </c>
      <c r="D2554" s="62">
        <v>1</v>
      </c>
      <c r="E2554" s="28">
        <v>350000</v>
      </c>
      <c r="F2554" s="214">
        <v>0</v>
      </c>
      <c r="G2554" s="8"/>
    </row>
    <row r="2555" spans="2:7" x14ac:dyDescent="0.2">
      <c r="B2555" s="8"/>
      <c r="C2555" s="5" t="s">
        <v>3297</v>
      </c>
      <c r="D2555" s="62">
        <v>1</v>
      </c>
      <c r="E2555" s="28">
        <v>45000</v>
      </c>
      <c r="F2555" s="214">
        <v>0</v>
      </c>
      <c r="G2555" s="8"/>
    </row>
    <row r="2556" spans="2:7" x14ac:dyDescent="0.2">
      <c r="B2556" s="173"/>
      <c r="C2556" s="5" t="s">
        <v>3928</v>
      </c>
      <c r="D2556" s="62">
        <v>1</v>
      </c>
      <c r="E2556" s="151">
        <v>925000</v>
      </c>
      <c r="F2556" s="214">
        <v>0</v>
      </c>
      <c r="G2556" s="8"/>
    </row>
    <row r="2557" spans="2:7" x14ac:dyDescent="0.2">
      <c r="B2557" s="200"/>
      <c r="C2557" s="5" t="s">
        <v>4076</v>
      </c>
      <c r="D2557" s="201">
        <v>1</v>
      </c>
      <c r="E2557" s="151">
        <f>21000000*1.85%</f>
        <v>388500.00000000006</v>
      </c>
      <c r="F2557" s="214">
        <v>0</v>
      </c>
      <c r="G2557" s="8"/>
    </row>
    <row r="2558" spans="2:7" x14ac:dyDescent="0.2">
      <c r="B2558" s="200"/>
      <c r="C2558" s="5" t="s">
        <v>4064</v>
      </c>
      <c r="D2558" s="201">
        <v>1</v>
      </c>
      <c r="E2558" s="151">
        <f>1500000*3%</f>
        <v>45000</v>
      </c>
      <c r="F2558" s="203">
        <v>0</v>
      </c>
      <c r="G2558" s="186"/>
    </row>
    <row r="2559" spans="2:7" x14ac:dyDescent="0.2">
      <c r="B2559" s="8"/>
      <c r="C2559" s="5" t="s">
        <v>3942</v>
      </c>
      <c r="D2559" s="62">
        <v>1</v>
      </c>
      <c r="E2559" s="151">
        <v>442000</v>
      </c>
      <c r="F2559" s="214">
        <v>0</v>
      </c>
      <c r="G2559" s="8"/>
    </row>
    <row r="2560" spans="2:7" x14ac:dyDescent="0.2">
      <c r="B2560" s="8"/>
      <c r="C2560" s="5" t="s">
        <v>3941</v>
      </c>
      <c r="D2560" s="62">
        <v>1</v>
      </c>
      <c r="E2560" s="151">
        <v>105000</v>
      </c>
      <c r="F2560" s="214">
        <v>0</v>
      </c>
      <c r="G2560" s="8"/>
    </row>
    <row r="2561" spans="2:7" x14ac:dyDescent="0.2">
      <c r="B2561" s="8"/>
      <c r="C2561" s="5" t="s">
        <v>3940</v>
      </c>
      <c r="D2561" s="62">
        <v>1</v>
      </c>
      <c r="E2561" s="151">
        <v>338000</v>
      </c>
      <c r="F2561" s="214">
        <v>0</v>
      </c>
      <c r="G2561" s="7"/>
    </row>
    <row r="2562" spans="2:7" x14ac:dyDescent="0.2">
      <c r="B2562" s="8"/>
      <c r="C2562" s="5" t="s">
        <v>3939</v>
      </c>
      <c r="D2562" s="62">
        <v>1</v>
      </c>
      <c r="E2562" s="151">
        <v>338000</v>
      </c>
      <c r="F2562" s="214">
        <v>0</v>
      </c>
      <c r="G2562" s="7"/>
    </row>
    <row r="2563" spans="2:7" x14ac:dyDescent="0.2">
      <c r="B2563" s="186"/>
      <c r="C2563" s="5" t="s">
        <v>3938</v>
      </c>
      <c r="D2563" s="201">
        <v>1</v>
      </c>
      <c r="E2563" s="215">
        <v>387000</v>
      </c>
      <c r="F2563" s="203">
        <v>0</v>
      </c>
      <c r="G2563" s="216"/>
    </row>
    <row r="2564" spans="2:7" x14ac:dyDescent="0.2">
      <c r="B2564" s="186"/>
      <c r="C2564" s="187" t="s">
        <v>4403</v>
      </c>
      <c r="D2564" s="201">
        <v>1</v>
      </c>
      <c r="E2564" s="215">
        <v>103000</v>
      </c>
      <c r="F2564" s="203">
        <v>0</v>
      </c>
      <c r="G2564" s="216"/>
    </row>
    <row r="2565" spans="2:7" x14ac:dyDescent="0.2">
      <c r="B2565" s="173"/>
      <c r="C2565" s="5" t="s">
        <v>4572</v>
      </c>
      <c r="D2565" s="62">
        <v>4500</v>
      </c>
      <c r="E2565" s="172">
        <f>D2565*100</f>
        <v>450000</v>
      </c>
      <c r="F2565" s="214">
        <v>0</v>
      </c>
      <c r="G2565" s="51"/>
    </row>
    <row r="2566" spans="2:7" x14ac:dyDescent="0.2">
      <c r="B2566" s="173">
        <v>45677</v>
      </c>
      <c r="C2566" s="187" t="s">
        <v>3944</v>
      </c>
      <c r="D2566" s="62">
        <v>0</v>
      </c>
      <c r="E2566" s="171">
        <v>0</v>
      </c>
      <c r="F2566" s="202">
        <v>400000</v>
      </c>
      <c r="G2566" s="262"/>
    </row>
    <row r="2567" spans="2:7" x14ac:dyDescent="0.2">
      <c r="B2567"/>
      <c r="D2567"/>
      <c r="E2567"/>
      <c r="F2567"/>
      <c r="G2567"/>
    </row>
    <row r="2568" spans="2:7" x14ac:dyDescent="0.2">
      <c r="B2568" s="200">
        <v>45716</v>
      </c>
      <c r="C2568" s="5" t="s">
        <v>3931</v>
      </c>
      <c r="D2568" s="62">
        <v>1</v>
      </c>
      <c r="E2568" s="171">
        <v>0</v>
      </c>
      <c r="F2568" s="171">
        <v>452000</v>
      </c>
      <c r="G2568" s="262" t="s">
        <v>4261</v>
      </c>
    </row>
    <row r="2569" spans="2:7" x14ac:dyDescent="0.2">
      <c r="B2569" s="200">
        <v>45719</v>
      </c>
      <c r="C2569" s="5" t="s">
        <v>3777</v>
      </c>
      <c r="D2569" s="62">
        <v>1</v>
      </c>
      <c r="E2569" s="171">
        <v>0</v>
      </c>
      <c r="F2569" s="171">
        <v>452000</v>
      </c>
      <c r="G2569" s="262" t="s">
        <v>4261</v>
      </c>
    </row>
    <row r="2570" spans="2:7" x14ac:dyDescent="0.2">
      <c r="B2570" s="200">
        <v>45749</v>
      </c>
      <c r="C2570" s="5" t="s">
        <v>3786</v>
      </c>
      <c r="D2570" s="271">
        <v>1</v>
      </c>
      <c r="E2570" s="202">
        <v>0</v>
      </c>
      <c r="F2570" s="203">
        <v>970000</v>
      </c>
      <c r="G2570" s="262" t="s">
        <v>4261</v>
      </c>
    </row>
    <row r="2571" spans="2:7" x14ac:dyDescent="0.2">
      <c r="B2571" s="200">
        <v>45782</v>
      </c>
      <c r="C2571" s="5" t="s">
        <v>4236</v>
      </c>
      <c r="D2571" s="201">
        <v>1</v>
      </c>
      <c r="E2571" s="202">
        <v>0</v>
      </c>
      <c r="F2571" s="203">
        <v>970000</v>
      </c>
      <c r="G2571" s="262" t="s">
        <v>4261</v>
      </c>
    </row>
    <row r="2572" spans="2:7" x14ac:dyDescent="0.2">
      <c r="B2572" s="200">
        <v>45812</v>
      </c>
      <c r="C2572" s="5" t="s">
        <v>3802</v>
      </c>
      <c r="D2572" s="201">
        <v>1</v>
      </c>
      <c r="E2572" s="202">
        <v>0</v>
      </c>
      <c r="F2572" s="203">
        <v>970000</v>
      </c>
      <c r="G2572" s="262" t="s">
        <v>4261</v>
      </c>
    </row>
    <row r="2573" spans="2:7" x14ac:dyDescent="0.2">
      <c r="B2573" s="200">
        <v>45842</v>
      </c>
      <c r="C2573" s="5" t="s">
        <v>4404</v>
      </c>
      <c r="D2573" s="201">
        <v>1</v>
      </c>
      <c r="E2573" s="202">
        <v>0</v>
      </c>
      <c r="F2573" s="203">
        <v>970000</v>
      </c>
      <c r="G2573" s="262" t="s">
        <v>4261</v>
      </c>
    </row>
    <row r="2574" spans="2:7" x14ac:dyDescent="0.2">
      <c r="B2574"/>
      <c r="D2574"/>
      <c r="E2574"/>
      <c r="F2574"/>
      <c r="G2574"/>
    </row>
    <row r="2575" spans="2:7" x14ac:dyDescent="0.2">
      <c r="B2575" s="200">
        <v>45807</v>
      </c>
      <c r="C2575" s="187" t="s">
        <v>4250</v>
      </c>
      <c r="D2575" s="201">
        <v>1</v>
      </c>
      <c r="E2575" s="202">
        <v>0</v>
      </c>
      <c r="F2575" s="203">
        <v>450000</v>
      </c>
      <c r="G2575" s="250" t="s">
        <v>4260</v>
      </c>
    </row>
    <row r="2576" spans="2:7" x14ac:dyDescent="0.2">
      <c r="B2576" s="200">
        <v>45814</v>
      </c>
      <c r="C2576" s="187" t="s">
        <v>4410</v>
      </c>
      <c r="D2576" s="201">
        <v>1</v>
      </c>
      <c r="E2576" s="202">
        <v>0</v>
      </c>
      <c r="F2576" s="203">
        <v>450000</v>
      </c>
      <c r="G2576" s="250" t="s">
        <v>4260</v>
      </c>
    </row>
    <row r="2577" spans="2:7" x14ac:dyDescent="0.2">
      <c r="B2577" s="276">
        <v>45848</v>
      </c>
      <c r="C2577" s="277" t="s">
        <v>4495</v>
      </c>
      <c r="D2577" s="278">
        <v>1</v>
      </c>
      <c r="E2577" s="279">
        <v>0</v>
      </c>
      <c r="F2577" s="280" t="s">
        <v>4494</v>
      </c>
      <c r="G2577" s="281" t="s">
        <v>4260</v>
      </c>
    </row>
    <row r="2578" spans="2:7" x14ac:dyDescent="0.2">
      <c r="B2578" s="276">
        <v>45877</v>
      </c>
      <c r="C2578" s="277" t="s">
        <v>4504</v>
      </c>
      <c r="D2578" s="278">
        <v>1</v>
      </c>
      <c r="E2578" s="279">
        <v>0</v>
      </c>
      <c r="F2578" s="280" t="s">
        <v>4494</v>
      </c>
      <c r="G2578" s="281" t="s">
        <v>4260</v>
      </c>
    </row>
    <row r="2579" spans="2:7" x14ac:dyDescent="0.2">
      <c r="C2579" s="1"/>
      <c r="D2579" s="1"/>
    </row>
    <row r="2580" spans="2:7" x14ac:dyDescent="0.2">
      <c r="B2580" s="200">
        <v>45842</v>
      </c>
      <c r="C2580" s="187" t="s">
        <v>4405</v>
      </c>
      <c r="D2580" s="201">
        <v>1</v>
      </c>
      <c r="E2580" s="218">
        <v>0</v>
      </c>
      <c r="F2580" s="246">
        <v>0</v>
      </c>
      <c r="G2580" s="247">
        <v>1363700</v>
      </c>
    </row>
    <row r="2581" spans="2:7" x14ac:dyDescent="0.2">
      <c r="B2581" s="276">
        <v>45877</v>
      </c>
      <c r="C2581" s="187" t="s">
        <v>4405</v>
      </c>
      <c r="D2581" s="201">
        <v>1</v>
      </c>
      <c r="E2581" s="218">
        <v>0</v>
      </c>
      <c r="F2581" s="246">
        <v>1363700</v>
      </c>
      <c r="G2581" s="254" t="s">
        <v>4262</v>
      </c>
    </row>
    <row r="2582" spans="2:7" x14ac:dyDescent="0.2">
      <c r="B2582"/>
      <c r="D2582"/>
      <c r="E2582"/>
      <c r="F2582"/>
      <c r="G2582"/>
    </row>
    <row r="2583" spans="2:7" x14ac:dyDescent="0.2">
      <c r="B2583" s="200">
        <v>45843</v>
      </c>
      <c r="C2583" s="5" t="s">
        <v>4406</v>
      </c>
      <c r="D2583" s="201">
        <v>1</v>
      </c>
      <c r="E2583" s="202">
        <v>0</v>
      </c>
      <c r="F2583" s="203">
        <v>0</v>
      </c>
      <c r="G2583" s="215">
        <v>970000</v>
      </c>
    </row>
    <row r="2584" spans="2:7" x14ac:dyDescent="0.2">
      <c r="B2584" s="276">
        <v>45877</v>
      </c>
      <c r="C2584" s="5" t="s">
        <v>4406</v>
      </c>
      <c r="D2584" s="201">
        <v>1</v>
      </c>
      <c r="E2584" s="202">
        <v>0</v>
      </c>
      <c r="F2584" s="203">
        <v>970000</v>
      </c>
      <c r="G2584" s="262" t="s">
        <v>4262</v>
      </c>
    </row>
    <row r="2585" spans="2:7" x14ac:dyDescent="0.2">
      <c r="B2585"/>
      <c r="D2585"/>
      <c r="E2585"/>
      <c r="F2585"/>
      <c r="G2585"/>
    </row>
    <row r="2586" spans="2:7" x14ac:dyDescent="0.2">
      <c r="B2586" s="200">
        <v>45812</v>
      </c>
      <c r="C2586" s="187" t="s">
        <v>4351</v>
      </c>
      <c r="D2586" s="201">
        <v>1</v>
      </c>
      <c r="E2586" s="202">
        <v>0</v>
      </c>
      <c r="F2586" s="203">
        <v>120000</v>
      </c>
      <c r="G2586" s="195" t="s">
        <v>4263</v>
      </c>
    </row>
    <row r="2587" spans="2:7" x14ac:dyDescent="0.2">
      <c r="B2587" s="200">
        <v>45790</v>
      </c>
      <c r="C2587" s="187" t="s">
        <v>4259</v>
      </c>
      <c r="D2587" s="201">
        <v>1</v>
      </c>
      <c r="E2587" s="202">
        <v>0</v>
      </c>
      <c r="F2587" s="203">
        <v>20000000</v>
      </c>
      <c r="G2587" s="195" t="s">
        <v>3251</v>
      </c>
    </row>
    <row r="2588" spans="2:7" x14ac:dyDescent="0.2">
      <c r="B2588" s="200">
        <v>45799</v>
      </c>
      <c r="C2588" s="187" t="s">
        <v>4247</v>
      </c>
      <c r="D2588" s="201">
        <v>1</v>
      </c>
      <c r="E2588" s="202">
        <v>0</v>
      </c>
      <c r="F2588" s="203">
        <v>20</v>
      </c>
      <c r="G2588" s="195" t="s">
        <v>4498</v>
      </c>
    </row>
    <row r="2589" spans="2:7" x14ac:dyDescent="0.2">
      <c r="B2589" s="200">
        <v>45799</v>
      </c>
      <c r="C2589" s="187" t="s">
        <v>4248</v>
      </c>
      <c r="D2589" s="201">
        <v>1</v>
      </c>
      <c r="E2589" s="202">
        <v>0</v>
      </c>
      <c r="F2589" s="203">
        <v>200000</v>
      </c>
      <c r="G2589" s="195" t="s">
        <v>4498</v>
      </c>
    </row>
    <row r="2590" spans="2:7" x14ac:dyDescent="0.2">
      <c r="B2590" s="200">
        <v>45799</v>
      </c>
      <c r="C2590" s="187" t="s">
        <v>4415</v>
      </c>
      <c r="D2590" s="201">
        <v>1</v>
      </c>
      <c r="E2590" s="202">
        <v>0</v>
      </c>
      <c r="F2590" s="203">
        <v>150000</v>
      </c>
      <c r="G2590" s="195" t="s">
        <v>4498</v>
      </c>
    </row>
    <row r="2591" spans="2:7" x14ac:dyDescent="0.2">
      <c r="B2591" s="200">
        <v>45799</v>
      </c>
      <c r="C2591" s="187" t="s">
        <v>4416</v>
      </c>
      <c r="D2591" s="201">
        <v>2</v>
      </c>
      <c r="E2591" s="202">
        <v>0</v>
      </c>
      <c r="F2591" s="203">
        <v>100000</v>
      </c>
      <c r="G2591" s="195" t="s">
        <v>4498</v>
      </c>
    </row>
    <row r="2592" spans="2:7" x14ac:dyDescent="0.2">
      <c r="B2592" s="200">
        <v>45799</v>
      </c>
      <c r="C2592" s="187" t="s">
        <v>4417</v>
      </c>
      <c r="D2592" s="201">
        <v>1</v>
      </c>
      <c r="E2592" s="202">
        <v>0</v>
      </c>
      <c r="F2592" s="203">
        <v>100000</v>
      </c>
      <c r="G2592" s="195" t="s">
        <v>4498</v>
      </c>
    </row>
    <row r="2593" spans="2:7" x14ac:dyDescent="0.2">
      <c r="B2593" s="200">
        <v>45799</v>
      </c>
      <c r="C2593" s="187" t="s">
        <v>4267</v>
      </c>
      <c r="D2593" s="201">
        <v>1</v>
      </c>
      <c r="E2593" s="202">
        <v>0</v>
      </c>
      <c r="F2593" s="203">
        <v>300000</v>
      </c>
      <c r="G2593" s="195" t="s">
        <v>4498</v>
      </c>
    </row>
    <row r="2594" spans="2:7" x14ac:dyDescent="0.2">
      <c r="B2594" s="200">
        <v>45799</v>
      </c>
      <c r="C2594" s="187" t="s">
        <v>4418</v>
      </c>
      <c r="D2594" s="201">
        <v>1</v>
      </c>
      <c r="E2594" s="202">
        <v>0</v>
      </c>
      <c r="F2594" s="203">
        <v>150000</v>
      </c>
      <c r="G2594" s="195" t="s">
        <v>4498</v>
      </c>
    </row>
    <row r="2595" spans="2:7" x14ac:dyDescent="0.2">
      <c r="B2595" s="200">
        <v>45783</v>
      </c>
      <c r="C2595" s="187" t="s">
        <v>4349</v>
      </c>
      <c r="D2595" s="201">
        <v>1</v>
      </c>
      <c r="E2595" s="202">
        <v>0</v>
      </c>
      <c r="F2595" s="203">
        <v>451300</v>
      </c>
      <c r="G2595" s="195" t="s">
        <v>3650</v>
      </c>
    </row>
    <row r="2596" spans="2:7" x14ac:dyDescent="0.2">
      <c r="B2596" s="200">
        <v>45821</v>
      </c>
      <c r="C2596" s="187" t="s">
        <v>4400</v>
      </c>
      <c r="D2596" s="201">
        <v>1</v>
      </c>
      <c r="E2596" s="202">
        <v>0</v>
      </c>
      <c r="F2596" s="203">
        <v>111000</v>
      </c>
      <c r="G2596" s="195" t="s">
        <v>4499</v>
      </c>
    </row>
    <row r="2597" spans="2:7" x14ac:dyDescent="0.2">
      <c r="B2597" s="200">
        <v>45828</v>
      </c>
      <c r="C2597" s="187" t="s">
        <v>4377</v>
      </c>
      <c r="D2597" s="201">
        <v>1</v>
      </c>
      <c r="E2597" s="202">
        <v>0</v>
      </c>
      <c r="F2597" s="203">
        <v>80000</v>
      </c>
      <c r="G2597" s="195" t="s">
        <v>4498</v>
      </c>
    </row>
    <row r="2598" spans="2:7" x14ac:dyDescent="0.2">
      <c r="B2598" s="200">
        <v>45832</v>
      </c>
      <c r="C2598" s="187" t="s">
        <v>4386</v>
      </c>
      <c r="D2598" s="201">
        <v>1</v>
      </c>
      <c r="E2598" s="202">
        <v>0</v>
      </c>
      <c r="F2598" s="203">
        <v>255000</v>
      </c>
      <c r="G2598" s="195" t="s">
        <v>3653</v>
      </c>
    </row>
    <row r="2599" spans="2:7" x14ac:dyDescent="0.2">
      <c r="B2599" s="200">
        <v>45823</v>
      </c>
      <c r="C2599" s="187" t="s">
        <v>4407</v>
      </c>
      <c r="D2599" s="201">
        <v>1</v>
      </c>
      <c r="E2599" s="202">
        <v>0</v>
      </c>
      <c r="F2599" s="203">
        <v>140000</v>
      </c>
      <c r="G2599" s="195" t="s">
        <v>3653</v>
      </c>
    </row>
    <row r="2600" spans="2:7" x14ac:dyDescent="0.2">
      <c r="B2600" s="200">
        <v>45832</v>
      </c>
      <c r="C2600" s="187" t="s">
        <v>4408</v>
      </c>
      <c r="D2600" s="201">
        <v>1</v>
      </c>
      <c r="E2600" s="202">
        <v>0</v>
      </c>
      <c r="F2600" s="203">
        <v>70000</v>
      </c>
      <c r="G2600" s="195" t="s">
        <v>3653</v>
      </c>
    </row>
    <row r="2601" spans="2:7" x14ac:dyDescent="0.2">
      <c r="B2601" s="200">
        <v>45839</v>
      </c>
      <c r="C2601" s="187" t="s">
        <v>4409</v>
      </c>
      <c r="D2601" s="201">
        <v>1</v>
      </c>
      <c r="E2601" s="202">
        <v>0</v>
      </c>
      <c r="F2601" s="203">
        <v>20000000</v>
      </c>
      <c r="G2601" s="195" t="s">
        <v>3650</v>
      </c>
    </row>
    <row r="2602" spans="2:7" x14ac:dyDescent="0.2">
      <c r="B2602" s="200">
        <v>45812</v>
      </c>
      <c r="C2602" s="187" t="s">
        <v>4414</v>
      </c>
      <c r="D2602" s="201">
        <v>1</v>
      </c>
      <c r="E2602" s="202">
        <v>0</v>
      </c>
      <c r="F2602" s="203" t="s">
        <v>4413</v>
      </c>
      <c r="G2602" s="195" t="s">
        <v>3650</v>
      </c>
    </row>
    <row r="2603" spans="2:7" x14ac:dyDescent="0.2">
      <c r="B2603" s="200"/>
      <c r="C2603" s="187"/>
      <c r="D2603" s="201"/>
      <c r="E2603" s="202"/>
      <c r="F2603" s="203"/>
      <c r="G2603" s="195"/>
    </row>
    <row r="2604" spans="2:7" x14ac:dyDescent="0.2">
      <c r="B2604" s="200">
        <v>45865</v>
      </c>
      <c r="C2604" s="187" t="s">
        <v>4421</v>
      </c>
      <c r="D2604" s="201">
        <v>2</v>
      </c>
      <c r="E2604" s="202">
        <v>0</v>
      </c>
      <c r="F2604" s="203">
        <v>500000</v>
      </c>
      <c r="G2604" s="195" t="s">
        <v>4498</v>
      </c>
    </row>
    <row r="2605" spans="2:7" x14ac:dyDescent="0.2">
      <c r="B2605" s="200">
        <v>45865</v>
      </c>
      <c r="C2605" s="187" t="s">
        <v>4422</v>
      </c>
      <c r="D2605" s="201">
        <v>2</v>
      </c>
      <c r="E2605" s="202">
        <v>0</v>
      </c>
      <c r="F2605" s="203">
        <v>150000</v>
      </c>
      <c r="G2605" s="195" t="s">
        <v>4498</v>
      </c>
    </row>
    <row r="2606" spans="2:7" x14ac:dyDescent="0.2">
      <c r="B2606" s="200">
        <v>45865</v>
      </c>
      <c r="C2606" s="187" t="s">
        <v>4423</v>
      </c>
      <c r="D2606" s="201">
        <v>1</v>
      </c>
      <c r="E2606" s="202">
        <v>0</v>
      </c>
      <c r="F2606" s="203">
        <v>100000</v>
      </c>
      <c r="G2606" s="195" t="s">
        <v>4498</v>
      </c>
    </row>
    <row r="2607" spans="2:7" x14ac:dyDescent="0.2">
      <c r="B2607" s="200">
        <v>45865</v>
      </c>
      <c r="C2607" s="187" t="s">
        <v>4424</v>
      </c>
      <c r="D2607" s="201">
        <v>1</v>
      </c>
      <c r="E2607" s="202">
        <v>0</v>
      </c>
      <c r="F2607" s="203">
        <v>95000</v>
      </c>
      <c r="G2607" s="195" t="s">
        <v>4498</v>
      </c>
    </row>
    <row r="2608" spans="2:7" x14ac:dyDescent="0.2">
      <c r="B2608" s="200">
        <v>45866</v>
      </c>
      <c r="C2608" s="187" t="s">
        <v>4425</v>
      </c>
      <c r="D2608" s="201">
        <v>1</v>
      </c>
      <c r="E2608" s="202">
        <v>0</v>
      </c>
      <c r="F2608" s="203">
        <v>120000</v>
      </c>
      <c r="G2608" s="195" t="s">
        <v>3653</v>
      </c>
    </row>
    <row r="2609" spans="2:7" x14ac:dyDescent="0.2">
      <c r="B2609" s="200"/>
      <c r="C2609" s="187"/>
      <c r="D2609" s="201"/>
      <c r="E2609" s="202"/>
      <c r="F2609" s="203"/>
      <c r="G2609" s="195"/>
    </row>
    <row r="2610" spans="2:7" x14ac:dyDescent="0.2">
      <c r="B2610" s="200">
        <v>45866</v>
      </c>
      <c r="C2610" s="187" t="s">
        <v>4426</v>
      </c>
      <c r="D2610" s="201">
        <v>30</v>
      </c>
      <c r="E2610" s="202">
        <v>0</v>
      </c>
      <c r="F2610" s="203">
        <v>30000</v>
      </c>
      <c r="G2610" s="195" t="s">
        <v>4499</v>
      </c>
    </row>
    <row r="2611" spans="2:7" x14ac:dyDescent="0.2">
      <c r="B2611" s="200"/>
      <c r="C2611" s="187"/>
      <c r="D2611" s="201"/>
      <c r="E2611" s="202"/>
      <c r="F2611" s="203"/>
      <c r="G2611" s="195"/>
    </row>
    <row r="2612" spans="2:7" x14ac:dyDescent="0.2">
      <c r="B2612" s="200">
        <v>45874</v>
      </c>
      <c r="C2612" s="187" t="s">
        <v>4500</v>
      </c>
      <c r="D2612" s="201">
        <v>1</v>
      </c>
      <c r="E2612" s="202">
        <v>0</v>
      </c>
      <c r="F2612" s="203">
        <v>690000</v>
      </c>
      <c r="G2612" s="195" t="s">
        <v>3653</v>
      </c>
    </row>
    <row r="2613" spans="2:7" x14ac:dyDescent="0.2">
      <c r="B2613" s="200">
        <v>45874</v>
      </c>
      <c r="C2613" s="187" t="s">
        <v>4501</v>
      </c>
      <c r="D2613" s="201">
        <v>1</v>
      </c>
      <c r="E2613" s="202">
        <v>0</v>
      </c>
      <c r="F2613" s="203">
        <v>510000</v>
      </c>
      <c r="G2613" s="195" t="s">
        <v>3653</v>
      </c>
    </row>
    <row r="2614" spans="2:7" x14ac:dyDescent="0.2">
      <c r="B2614" s="200"/>
      <c r="C2614" s="187"/>
      <c r="D2614" s="201"/>
      <c r="E2614" s="202"/>
      <c r="F2614" s="203"/>
      <c r="G2614" s="195"/>
    </row>
    <row r="2615" spans="2:7" x14ac:dyDescent="0.2">
      <c r="B2615" s="200">
        <v>45899</v>
      </c>
      <c r="C2615" s="187" t="s">
        <v>4520</v>
      </c>
      <c r="D2615" s="201">
        <v>350</v>
      </c>
      <c r="E2615" s="202">
        <v>0</v>
      </c>
      <c r="F2615" s="203">
        <f>D2615*500</f>
        <v>175000</v>
      </c>
      <c r="G2615" s="195" t="s">
        <v>3653</v>
      </c>
    </row>
    <row r="2616" spans="2:7" x14ac:dyDescent="0.2">
      <c r="B2616" s="200">
        <v>45881</v>
      </c>
      <c r="C2616" s="187" t="s">
        <v>4536</v>
      </c>
      <c r="D2616" s="201"/>
      <c r="F2616" s="203">
        <v>260000</v>
      </c>
      <c r="G2616" s="195"/>
    </row>
    <row r="2617" spans="2:7" x14ac:dyDescent="0.2">
      <c r="B2617" s="200">
        <v>45881</v>
      </c>
      <c r="C2617" s="187" t="s">
        <v>4537</v>
      </c>
      <c r="D2617" s="201"/>
      <c r="E2617" s="202"/>
      <c r="F2617" s="203">
        <v>110000</v>
      </c>
      <c r="G2617" s="195"/>
    </row>
    <row r="2618" spans="2:7" x14ac:dyDescent="0.2">
      <c r="B2618" s="200">
        <v>45885</v>
      </c>
      <c r="C2618" s="187" t="s">
        <v>4544</v>
      </c>
      <c r="D2618" s="201"/>
      <c r="E2618" s="202"/>
      <c r="F2618" s="203">
        <v>101000</v>
      </c>
      <c r="G2618" s="195"/>
    </row>
    <row r="2619" spans="2:7" x14ac:dyDescent="0.2">
      <c r="B2619" s="200">
        <v>45885</v>
      </c>
      <c r="C2619" s="187" t="s">
        <v>4570</v>
      </c>
      <c r="D2619" s="201"/>
      <c r="E2619" s="202"/>
      <c r="F2619" s="215">
        <v>1000000</v>
      </c>
      <c r="G2619" s="195"/>
    </row>
    <row r="2620" spans="2:7" x14ac:dyDescent="0.2">
      <c r="B2620" s="200">
        <v>45890</v>
      </c>
      <c r="C2620" s="187" t="s">
        <v>4571</v>
      </c>
      <c r="D2620" s="201"/>
      <c r="E2620" s="202"/>
      <c r="F2620" s="203">
        <v>1000000</v>
      </c>
      <c r="G2620" s="195"/>
    </row>
    <row r="2621" spans="2:7" x14ac:dyDescent="0.2">
      <c r="B2621" s="285"/>
      <c r="C2621" s="283" t="s">
        <v>4508</v>
      </c>
      <c r="D2621" s="284">
        <v>1</v>
      </c>
      <c r="E2621" s="181">
        <v>0</v>
      </c>
      <c r="F2621" s="181">
        <f>43000000*1.85%</f>
        <v>795500.00000000012</v>
      </c>
      <c r="G2621" s="286"/>
    </row>
    <row r="2622" spans="2:7" x14ac:dyDescent="0.2">
      <c r="B2622" s="285"/>
      <c r="C2622" s="283" t="s">
        <v>4574</v>
      </c>
      <c r="D2622" s="284">
        <v>1</v>
      </c>
      <c r="E2622" s="181">
        <v>0</v>
      </c>
      <c r="F2622" s="181">
        <f>59000000*1.85%</f>
        <v>1091500.0000000002</v>
      </c>
      <c r="G2622" s="286"/>
    </row>
    <row r="2623" spans="2:7" x14ac:dyDescent="0.2">
      <c r="B2623" s="200"/>
      <c r="C2623" s="187"/>
      <c r="D2623" s="201"/>
      <c r="E2623" s="202"/>
      <c r="F2623" s="216"/>
      <c r="G2623" s="195"/>
    </row>
    <row r="2624" spans="2:7" x14ac:dyDescent="0.2">
      <c r="B2624" s="29"/>
      <c r="C2624" s="29"/>
      <c r="D2624" s="68"/>
      <c r="E2624" s="13"/>
      <c r="F2624" s="13"/>
      <c r="G2624" s="29"/>
    </row>
    <row r="2625" spans="2:7" x14ac:dyDescent="0.2">
      <c r="E2625" s="9">
        <f>SUM(E2552:E2624)</f>
        <v>6666500</v>
      </c>
      <c r="F2625" s="9">
        <f>SUM(F2552:F2624)</f>
        <v>57373020</v>
      </c>
      <c r="G2625" s="9"/>
    </row>
    <row r="2626" spans="2:7" x14ac:dyDescent="0.2">
      <c r="E2626" s="3">
        <f>6800000-E2625</f>
        <v>133500</v>
      </c>
    </row>
    <row r="2631" spans="2:7" ht="26" x14ac:dyDescent="0.3">
      <c r="B2631" s="12"/>
      <c r="C2631" s="391" t="s">
        <v>4505</v>
      </c>
      <c r="D2631" s="391"/>
      <c r="E2631" s="391"/>
      <c r="F2631" s="391"/>
      <c r="G2631" s="391"/>
    </row>
    <row r="2632" spans="2:7" x14ac:dyDescent="0.2">
      <c r="B2632" s="12"/>
      <c r="C2632" s="29" t="s">
        <v>82</v>
      </c>
      <c r="D2632" s="11">
        <v>1</v>
      </c>
      <c r="E2632" s="12" t="s">
        <v>1</v>
      </c>
      <c r="F2632" s="12" t="s">
        <v>3140</v>
      </c>
      <c r="G2632" s="12" t="s">
        <v>3657</v>
      </c>
    </row>
    <row r="2633" spans="2:7" x14ac:dyDescent="0.2">
      <c r="B2633" s="8"/>
      <c r="C2633" s="5" t="s">
        <v>3525</v>
      </c>
      <c r="D2633" s="62">
        <v>1</v>
      </c>
      <c r="E2633" s="28">
        <v>2000000</v>
      </c>
      <c r="F2633" s="214">
        <v>0</v>
      </c>
      <c r="G2633" s="7"/>
    </row>
    <row r="2634" spans="2:7" x14ac:dyDescent="0.2">
      <c r="B2634" s="8"/>
      <c r="C2634" s="5" t="s">
        <v>3757</v>
      </c>
      <c r="D2634" s="62">
        <v>1</v>
      </c>
      <c r="E2634" s="28">
        <v>750000</v>
      </c>
      <c r="F2634" s="214">
        <v>0</v>
      </c>
      <c r="G2634" s="8"/>
    </row>
    <row r="2635" spans="2:7" x14ac:dyDescent="0.2">
      <c r="B2635" s="8"/>
      <c r="C2635" s="5" t="s">
        <v>3526</v>
      </c>
      <c r="D2635" s="62">
        <v>1</v>
      </c>
      <c r="E2635" s="28">
        <v>350000</v>
      </c>
      <c r="F2635" s="214">
        <v>0</v>
      </c>
      <c r="G2635" s="8"/>
    </row>
    <row r="2636" spans="2:7" x14ac:dyDescent="0.2">
      <c r="B2636" s="8"/>
      <c r="C2636" s="5" t="s">
        <v>3297</v>
      </c>
      <c r="D2636" s="62">
        <v>1</v>
      </c>
      <c r="E2636" s="28">
        <v>45000</v>
      </c>
      <c r="F2636" s="214">
        <v>0</v>
      </c>
      <c r="G2636" s="8"/>
    </row>
    <row r="2637" spans="2:7" x14ac:dyDescent="0.2">
      <c r="B2637" s="173"/>
      <c r="C2637" s="5" t="s">
        <v>3928</v>
      </c>
      <c r="D2637" s="62">
        <v>1</v>
      </c>
      <c r="E2637" s="151">
        <v>925000</v>
      </c>
      <c r="F2637" s="214">
        <v>0</v>
      </c>
      <c r="G2637" s="8"/>
    </row>
    <row r="2638" spans="2:7" x14ac:dyDescent="0.2">
      <c r="B2638" s="200"/>
      <c r="C2638" s="5" t="s">
        <v>4076</v>
      </c>
      <c r="D2638" s="201">
        <v>1</v>
      </c>
      <c r="E2638" s="151">
        <f>21000000*1.85%</f>
        <v>388500.00000000006</v>
      </c>
      <c r="F2638" s="214">
        <v>0</v>
      </c>
      <c r="G2638" s="8"/>
    </row>
    <row r="2639" spans="2:7" x14ac:dyDescent="0.2">
      <c r="B2639" s="200"/>
      <c r="C2639" s="5" t="s">
        <v>4064</v>
      </c>
      <c r="D2639" s="201">
        <v>1</v>
      </c>
      <c r="E2639" s="151">
        <f>1500000*3%</f>
        <v>45000</v>
      </c>
      <c r="F2639" s="203">
        <v>0</v>
      </c>
      <c r="G2639" s="186"/>
    </row>
    <row r="2640" spans="2:7" x14ac:dyDescent="0.2">
      <c r="B2640" s="8"/>
      <c r="C2640" s="5" t="s">
        <v>3942</v>
      </c>
      <c r="D2640" s="62">
        <v>1</v>
      </c>
      <c r="E2640" s="151">
        <v>442000</v>
      </c>
      <c r="F2640" s="214">
        <v>0</v>
      </c>
      <c r="G2640" s="8"/>
    </row>
    <row r="2641" spans="2:8" x14ac:dyDescent="0.2">
      <c r="B2641" s="8"/>
      <c r="C2641" s="5" t="s">
        <v>3941</v>
      </c>
      <c r="D2641" s="62">
        <v>1</v>
      </c>
      <c r="E2641" s="151">
        <v>105000</v>
      </c>
      <c r="F2641" s="214">
        <v>0</v>
      </c>
      <c r="G2641" s="8"/>
    </row>
    <row r="2642" spans="2:8" x14ac:dyDescent="0.2">
      <c r="B2642" s="8"/>
      <c r="C2642" s="5" t="s">
        <v>3940</v>
      </c>
      <c r="D2642" s="62">
        <v>1</v>
      </c>
      <c r="E2642" s="151">
        <v>338000</v>
      </c>
      <c r="F2642" s="214">
        <v>0</v>
      </c>
      <c r="G2642" s="7"/>
    </row>
    <row r="2643" spans="2:8" x14ac:dyDescent="0.2">
      <c r="B2643" s="8"/>
      <c r="C2643" s="5" t="s">
        <v>3939</v>
      </c>
      <c r="D2643" s="62">
        <v>1</v>
      </c>
      <c r="E2643" s="151">
        <v>338000</v>
      </c>
      <c r="F2643" s="214">
        <v>0</v>
      </c>
      <c r="G2643" s="7"/>
    </row>
    <row r="2644" spans="2:8" x14ac:dyDescent="0.2">
      <c r="B2644" s="186"/>
      <c r="C2644" s="5" t="s">
        <v>3938</v>
      </c>
      <c r="D2644" s="201">
        <v>1</v>
      </c>
      <c r="E2644" s="215">
        <v>387000</v>
      </c>
      <c r="F2644" s="203">
        <v>0</v>
      </c>
      <c r="G2644" s="216"/>
    </row>
    <row r="2645" spans="2:8" x14ac:dyDescent="0.2">
      <c r="B2645" s="186"/>
      <c r="C2645" s="187" t="s">
        <v>4403</v>
      </c>
      <c r="D2645" s="201">
        <v>1</v>
      </c>
      <c r="E2645" s="215">
        <v>103000</v>
      </c>
      <c r="F2645" s="203">
        <v>0</v>
      </c>
      <c r="G2645" s="216"/>
    </row>
    <row r="2646" spans="2:8" x14ac:dyDescent="0.2">
      <c r="B2646" s="173"/>
      <c r="C2646" s="5" t="s">
        <v>4573</v>
      </c>
      <c r="D2646" s="62">
        <v>5000</v>
      </c>
      <c r="E2646" s="172">
        <f>D2646*100</f>
        <v>500000</v>
      </c>
      <c r="F2646" s="214">
        <v>0</v>
      </c>
      <c r="G2646" s="51"/>
    </row>
    <row r="2647" spans="2:8" x14ac:dyDescent="0.2">
      <c r="B2647" s="173">
        <v>45677</v>
      </c>
      <c r="C2647" s="187" t="s">
        <v>3944</v>
      </c>
      <c r="D2647" s="62">
        <v>0</v>
      </c>
      <c r="E2647" s="171">
        <v>0</v>
      </c>
      <c r="F2647" s="202">
        <v>0</v>
      </c>
      <c r="G2647" s="212">
        <v>400000</v>
      </c>
      <c r="H2647" s="1" t="s">
        <v>4576</v>
      </c>
    </row>
    <row r="2648" spans="2:8" x14ac:dyDescent="0.2">
      <c r="B2648"/>
      <c r="D2648"/>
      <c r="E2648"/>
      <c r="F2648"/>
      <c r="G2648"/>
    </row>
    <row r="2649" spans="2:8" x14ac:dyDescent="0.2">
      <c r="B2649" s="200">
        <v>45716</v>
      </c>
      <c r="C2649" s="5" t="s">
        <v>3931</v>
      </c>
      <c r="D2649" s="62">
        <v>1</v>
      </c>
      <c r="E2649" s="171">
        <v>0</v>
      </c>
      <c r="F2649" s="171">
        <v>452000</v>
      </c>
      <c r="G2649" s="262" t="s">
        <v>4261</v>
      </c>
    </row>
    <row r="2650" spans="2:8" x14ac:dyDescent="0.2">
      <c r="B2650" s="200">
        <v>45719</v>
      </c>
      <c r="C2650" s="5" t="s">
        <v>3777</v>
      </c>
      <c r="D2650" s="62">
        <v>1</v>
      </c>
      <c r="E2650" s="171">
        <v>0</v>
      </c>
      <c r="F2650" s="171">
        <v>452000</v>
      </c>
      <c r="G2650" s="262" t="s">
        <v>4261</v>
      </c>
    </row>
    <row r="2651" spans="2:8" x14ac:dyDescent="0.2">
      <c r="B2651" s="200">
        <v>45749</v>
      </c>
      <c r="C2651" s="5" t="s">
        <v>3786</v>
      </c>
      <c r="D2651" s="271">
        <v>1</v>
      </c>
      <c r="E2651" s="202">
        <v>0</v>
      </c>
      <c r="F2651" s="203">
        <v>970000</v>
      </c>
      <c r="G2651" s="262" t="s">
        <v>4261</v>
      </c>
    </row>
    <row r="2652" spans="2:8" x14ac:dyDescent="0.2">
      <c r="B2652" s="200">
        <v>45782</v>
      </c>
      <c r="C2652" s="5" t="s">
        <v>4236</v>
      </c>
      <c r="D2652" s="201">
        <v>1</v>
      </c>
      <c r="E2652" s="202">
        <v>0</v>
      </c>
      <c r="F2652" s="203">
        <v>970000</v>
      </c>
      <c r="G2652" s="262" t="s">
        <v>4261</v>
      </c>
    </row>
    <row r="2653" spans="2:8" x14ac:dyDescent="0.2">
      <c r="B2653" s="200">
        <v>45812</v>
      </c>
      <c r="C2653" s="5" t="s">
        <v>3802</v>
      </c>
      <c r="D2653" s="201">
        <v>1</v>
      </c>
      <c r="E2653" s="202">
        <v>0</v>
      </c>
      <c r="F2653" s="203">
        <v>970000</v>
      </c>
      <c r="G2653" s="262" t="s">
        <v>4261</v>
      </c>
    </row>
    <row r="2654" spans="2:8" x14ac:dyDescent="0.2">
      <c r="B2654" s="200">
        <v>45842</v>
      </c>
      <c r="C2654" s="5" t="s">
        <v>4404</v>
      </c>
      <c r="D2654" s="201">
        <v>1</v>
      </c>
      <c r="E2654" s="202">
        <v>0</v>
      </c>
      <c r="F2654" s="203">
        <v>970000</v>
      </c>
      <c r="G2654" s="262" t="s">
        <v>4261</v>
      </c>
    </row>
    <row r="2655" spans="2:8" x14ac:dyDescent="0.2">
      <c r="B2655" s="200">
        <v>45877</v>
      </c>
      <c r="C2655" s="5" t="s">
        <v>3549</v>
      </c>
      <c r="D2655" s="201">
        <v>1</v>
      </c>
      <c r="E2655" s="202">
        <v>0</v>
      </c>
      <c r="F2655" s="203">
        <v>970000</v>
      </c>
      <c r="G2655" s="262" t="s">
        <v>4261</v>
      </c>
    </row>
    <row r="2656" spans="2:8" x14ac:dyDescent="0.2">
      <c r="B2656" s="200">
        <v>45917</v>
      </c>
      <c r="C2656" s="5" t="s">
        <v>4577</v>
      </c>
      <c r="D2656" s="201">
        <v>1</v>
      </c>
      <c r="E2656" s="202">
        <v>0</v>
      </c>
      <c r="F2656" s="203">
        <v>970000</v>
      </c>
      <c r="G2656" s="262" t="s">
        <v>4261</v>
      </c>
    </row>
    <row r="2657" spans="2:8" x14ac:dyDescent="0.2">
      <c r="B2657"/>
      <c r="D2657"/>
      <c r="E2657"/>
      <c r="F2657"/>
      <c r="G2657"/>
    </row>
    <row r="2658" spans="2:8" x14ac:dyDescent="0.2">
      <c r="B2658" s="200">
        <v>45807</v>
      </c>
      <c r="C2658" s="187" t="s">
        <v>4250</v>
      </c>
      <c r="D2658" s="201">
        <v>1</v>
      </c>
      <c r="E2658" s="202">
        <v>0</v>
      </c>
      <c r="F2658" s="246">
        <v>0</v>
      </c>
      <c r="G2658" s="215">
        <v>450000</v>
      </c>
      <c r="H2658" s="158">
        <v>45884</v>
      </c>
    </row>
    <row r="2659" spans="2:8" x14ac:dyDescent="0.2">
      <c r="B2659" s="200">
        <v>45814</v>
      </c>
      <c r="C2659" s="187" t="s">
        <v>4410</v>
      </c>
      <c r="D2659" s="201">
        <v>1</v>
      </c>
      <c r="E2659" s="202">
        <v>0</v>
      </c>
      <c r="F2659" s="246">
        <v>0</v>
      </c>
      <c r="G2659" s="215">
        <v>450000</v>
      </c>
      <c r="H2659" s="158">
        <v>45884</v>
      </c>
    </row>
    <row r="2660" spans="2:8" x14ac:dyDescent="0.2">
      <c r="B2660" s="276">
        <v>45848</v>
      </c>
      <c r="C2660" s="277" t="s">
        <v>4495</v>
      </c>
      <c r="D2660" s="278">
        <v>1</v>
      </c>
      <c r="E2660" s="279">
        <v>0</v>
      </c>
      <c r="F2660" s="246">
        <v>0</v>
      </c>
      <c r="G2660" s="287" t="s">
        <v>4494</v>
      </c>
      <c r="H2660" s="158">
        <v>45884</v>
      </c>
    </row>
    <row r="2661" spans="2:8" x14ac:dyDescent="0.2">
      <c r="B2661" s="276">
        <v>45877</v>
      </c>
      <c r="C2661" s="277" t="s">
        <v>4504</v>
      </c>
      <c r="D2661" s="278">
        <v>1</v>
      </c>
      <c r="E2661" s="279">
        <v>0</v>
      </c>
      <c r="F2661" s="246">
        <v>0</v>
      </c>
      <c r="G2661" s="287" t="s">
        <v>4494</v>
      </c>
      <c r="H2661" s="158">
        <v>45884</v>
      </c>
    </row>
    <row r="2662" spans="2:8" x14ac:dyDescent="0.2">
      <c r="C2662" s="1"/>
      <c r="D2662" s="1"/>
    </row>
    <row r="2663" spans="2:8" x14ac:dyDescent="0.2">
      <c r="B2663" s="276">
        <v>45877</v>
      </c>
      <c r="C2663" s="187" t="s">
        <v>4509</v>
      </c>
      <c r="D2663" s="201">
        <v>1</v>
      </c>
      <c r="E2663" s="218">
        <v>0</v>
      </c>
      <c r="F2663" s="246">
        <v>0</v>
      </c>
      <c r="G2663" s="247">
        <v>1363700</v>
      </c>
      <c r="H2663" s="158">
        <v>45902</v>
      </c>
    </row>
    <row r="2664" spans="2:8" x14ac:dyDescent="0.2">
      <c r="B2664" s="276">
        <v>45877</v>
      </c>
      <c r="C2664" s="187" t="s">
        <v>4509</v>
      </c>
      <c r="D2664" s="201">
        <v>1</v>
      </c>
      <c r="E2664" s="218">
        <v>0</v>
      </c>
      <c r="F2664" s="246">
        <v>0</v>
      </c>
      <c r="G2664" s="247">
        <v>1363700</v>
      </c>
      <c r="H2664" s="158">
        <v>45902</v>
      </c>
    </row>
    <row r="2665" spans="2:8" x14ac:dyDescent="0.2">
      <c r="B2665"/>
      <c r="D2665"/>
      <c r="E2665"/>
      <c r="F2665"/>
      <c r="G2665"/>
    </row>
    <row r="2666" spans="2:8" x14ac:dyDescent="0.2">
      <c r="B2666" s="276">
        <v>45877</v>
      </c>
      <c r="C2666" s="5" t="s">
        <v>4510</v>
      </c>
      <c r="D2666" s="201">
        <v>1</v>
      </c>
      <c r="E2666" s="202">
        <v>0</v>
      </c>
      <c r="F2666" s="246">
        <v>0</v>
      </c>
      <c r="G2666" s="215">
        <v>970000</v>
      </c>
      <c r="H2666" s="158">
        <v>45902</v>
      </c>
    </row>
    <row r="2667" spans="2:8" x14ac:dyDescent="0.2">
      <c r="B2667"/>
      <c r="D2667"/>
      <c r="E2667"/>
      <c r="F2667"/>
      <c r="G2667"/>
    </row>
    <row r="2668" spans="2:8" x14ac:dyDescent="0.2">
      <c r="B2668" s="200">
        <v>45812</v>
      </c>
      <c r="C2668" s="187" t="s">
        <v>4351</v>
      </c>
      <c r="D2668" s="201">
        <v>1</v>
      </c>
      <c r="E2668" s="202">
        <v>0</v>
      </c>
      <c r="F2668" s="203">
        <v>120000</v>
      </c>
      <c r="G2668" s="195" t="s">
        <v>4263</v>
      </c>
    </row>
    <row r="2669" spans="2:8" x14ac:dyDescent="0.2">
      <c r="B2669" s="200">
        <v>45790</v>
      </c>
      <c r="C2669" s="187" t="s">
        <v>4259</v>
      </c>
      <c r="D2669" s="201">
        <v>1</v>
      </c>
      <c r="E2669" s="202">
        <v>0</v>
      </c>
      <c r="F2669" s="203">
        <v>20000000</v>
      </c>
      <c r="G2669" s="195" t="s">
        <v>3251</v>
      </c>
    </row>
    <row r="2670" spans="2:8" x14ac:dyDescent="0.2">
      <c r="B2670" s="200">
        <v>45799</v>
      </c>
      <c r="C2670" s="187" t="s">
        <v>4247</v>
      </c>
      <c r="D2670" s="201">
        <v>1</v>
      </c>
      <c r="E2670" s="202">
        <v>0</v>
      </c>
      <c r="F2670" s="203">
        <v>900000</v>
      </c>
      <c r="G2670" s="195" t="s">
        <v>4498</v>
      </c>
    </row>
    <row r="2671" spans="2:8" x14ac:dyDescent="0.2">
      <c r="B2671" s="200">
        <v>45799</v>
      </c>
      <c r="C2671" s="187" t="s">
        <v>4248</v>
      </c>
      <c r="D2671" s="201">
        <v>1</v>
      </c>
      <c r="E2671" s="202">
        <v>0</v>
      </c>
      <c r="F2671" s="203">
        <v>200000</v>
      </c>
      <c r="G2671" s="195" t="s">
        <v>4498</v>
      </c>
    </row>
    <row r="2672" spans="2:8" x14ac:dyDescent="0.2">
      <c r="B2672" s="200">
        <v>45799</v>
      </c>
      <c r="C2672" s="187" t="s">
        <v>4415</v>
      </c>
      <c r="D2672" s="201">
        <v>1</v>
      </c>
      <c r="E2672" s="202">
        <v>0</v>
      </c>
      <c r="F2672" s="203">
        <v>150000</v>
      </c>
      <c r="G2672" s="195" t="s">
        <v>4498</v>
      </c>
    </row>
    <row r="2673" spans="2:7" x14ac:dyDescent="0.2">
      <c r="B2673" s="200">
        <v>45799</v>
      </c>
      <c r="C2673" s="187" t="s">
        <v>4416</v>
      </c>
      <c r="D2673" s="201">
        <v>2</v>
      </c>
      <c r="E2673" s="202">
        <v>0</v>
      </c>
      <c r="F2673" s="203">
        <v>100000</v>
      </c>
      <c r="G2673" s="195" t="s">
        <v>4498</v>
      </c>
    </row>
    <row r="2674" spans="2:7" x14ac:dyDescent="0.2">
      <c r="B2674" s="200">
        <v>45799</v>
      </c>
      <c r="C2674" s="187" t="s">
        <v>4417</v>
      </c>
      <c r="D2674" s="201">
        <v>1</v>
      </c>
      <c r="E2674" s="202">
        <v>0</v>
      </c>
      <c r="F2674" s="203">
        <v>100000</v>
      </c>
      <c r="G2674" s="195" t="s">
        <v>4498</v>
      </c>
    </row>
    <row r="2675" spans="2:7" x14ac:dyDescent="0.2">
      <c r="B2675" s="200">
        <v>45799</v>
      </c>
      <c r="C2675" s="187" t="s">
        <v>4267</v>
      </c>
      <c r="D2675" s="201">
        <v>1</v>
      </c>
      <c r="E2675" s="202">
        <v>0</v>
      </c>
      <c r="F2675" s="203">
        <v>300000</v>
      </c>
      <c r="G2675" s="195" t="s">
        <v>4498</v>
      </c>
    </row>
    <row r="2676" spans="2:7" x14ac:dyDescent="0.2">
      <c r="B2676" s="200">
        <v>45799</v>
      </c>
      <c r="C2676" s="187" t="s">
        <v>4418</v>
      </c>
      <c r="D2676" s="201">
        <v>1</v>
      </c>
      <c r="E2676" s="202">
        <v>0</v>
      </c>
      <c r="F2676" s="203">
        <v>150000</v>
      </c>
      <c r="G2676" s="195" t="s">
        <v>4498</v>
      </c>
    </row>
    <row r="2677" spans="2:7" x14ac:dyDescent="0.2">
      <c r="B2677" s="200">
        <v>45783</v>
      </c>
      <c r="C2677" s="187" t="s">
        <v>4349</v>
      </c>
      <c r="D2677" s="201">
        <v>1</v>
      </c>
      <c r="E2677" s="202">
        <v>0</v>
      </c>
      <c r="F2677" s="203">
        <v>451300</v>
      </c>
      <c r="G2677" s="195" t="s">
        <v>3650</v>
      </c>
    </row>
    <row r="2678" spans="2:7" x14ac:dyDescent="0.2">
      <c r="B2678" s="200">
        <v>45821</v>
      </c>
      <c r="C2678" s="187" t="s">
        <v>4400</v>
      </c>
      <c r="D2678" s="201">
        <v>1</v>
      </c>
      <c r="E2678" s="202">
        <v>0</v>
      </c>
      <c r="F2678" s="203">
        <v>111000</v>
      </c>
      <c r="G2678" s="195" t="s">
        <v>4499</v>
      </c>
    </row>
    <row r="2679" spans="2:7" x14ac:dyDescent="0.2">
      <c r="B2679" s="200">
        <v>45828</v>
      </c>
      <c r="C2679" s="187" t="s">
        <v>4377</v>
      </c>
      <c r="D2679" s="201">
        <v>1</v>
      </c>
      <c r="E2679" s="202">
        <v>0</v>
      </c>
      <c r="F2679" s="203">
        <v>80000</v>
      </c>
      <c r="G2679" s="195" t="s">
        <v>4498</v>
      </c>
    </row>
    <row r="2680" spans="2:7" x14ac:dyDescent="0.2">
      <c r="B2680" s="200">
        <v>45832</v>
      </c>
      <c r="C2680" s="187" t="s">
        <v>4386</v>
      </c>
      <c r="D2680" s="201">
        <v>1</v>
      </c>
      <c r="E2680" s="202">
        <v>0</v>
      </c>
      <c r="F2680" s="203">
        <v>255000</v>
      </c>
      <c r="G2680" s="195" t="s">
        <v>3653</v>
      </c>
    </row>
    <row r="2681" spans="2:7" x14ac:dyDescent="0.2">
      <c r="B2681" s="200">
        <v>45823</v>
      </c>
      <c r="C2681" s="187" t="s">
        <v>4407</v>
      </c>
      <c r="D2681" s="201">
        <v>1</v>
      </c>
      <c r="E2681" s="202">
        <v>0</v>
      </c>
      <c r="F2681" s="203">
        <v>140000</v>
      </c>
      <c r="G2681" s="195" t="s">
        <v>3653</v>
      </c>
    </row>
    <row r="2682" spans="2:7" x14ac:dyDescent="0.2">
      <c r="B2682" s="200">
        <v>45832</v>
      </c>
      <c r="C2682" s="187" t="s">
        <v>4408</v>
      </c>
      <c r="D2682" s="201">
        <v>1</v>
      </c>
      <c r="E2682" s="202">
        <v>0</v>
      </c>
      <c r="F2682" s="203">
        <v>70000</v>
      </c>
      <c r="G2682" s="195" t="s">
        <v>3653</v>
      </c>
    </row>
    <row r="2683" spans="2:7" x14ac:dyDescent="0.2">
      <c r="B2683" s="200">
        <v>45839</v>
      </c>
      <c r="C2683" s="187" t="s">
        <v>4409</v>
      </c>
      <c r="D2683" s="201">
        <v>1</v>
      </c>
      <c r="E2683" s="202">
        <v>0</v>
      </c>
      <c r="F2683" s="203">
        <v>20000000</v>
      </c>
      <c r="G2683" s="195" t="s">
        <v>3650</v>
      </c>
    </row>
    <row r="2684" spans="2:7" x14ac:dyDescent="0.2">
      <c r="B2684" s="200">
        <v>45812</v>
      </c>
      <c r="C2684" s="187" t="s">
        <v>4414</v>
      </c>
      <c r="D2684" s="201">
        <v>1</v>
      </c>
      <c r="E2684" s="202">
        <v>0</v>
      </c>
      <c r="F2684" s="203" t="s">
        <v>4413</v>
      </c>
      <c r="G2684" s="195" t="s">
        <v>3650</v>
      </c>
    </row>
    <row r="2685" spans="2:7" x14ac:dyDescent="0.2">
      <c r="B2685" s="200"/>
      <c r="C2685" s="187"/>
      <c r="D2685" s="201"/>
      <c r="E2685" s="202"/>
      <c r="F2685" s="203"/>
      <c r="G2685" s="195"/>
    </row>
    <row r="2686" spans="2:7" x14ac:dyDescent="0.2">
      <c r="B2686" s="200">
        <v>45865</v>
      </c>
      <c r="C2686" s="187" t="s">
        <v>4421</v>
      </c>
      <c r="D2686" s="201">
        <v>2</v>
      </c>
      <c r="E2686" s="202">
        <v>0</v>
      </c>
      <c r="F2686" s="203">
        <v>500000</v>
      </c>
      <c r="G2686" s="195" t="s">
        <v>4498</v>
      </c>
    </row>
    <row r="2687" spans="2:7" x14ac:dyDescent="0.2">
      <c r="B2687" s="200">
        <v>45865</v>
      </c>
      <c r="C2687" s="187" t="s">
        <v>4422</v>
      </c>
      <c r="D2687" s="201">
        <v>2</v>
      </c>
      <c r="E2687" s="202">
        <v>0</v>
      </c>
      <c r="F2687" s="203">
        <v>150000</v>
      </c>
      <c r="G2687" s="195" t="s">
        <v>4498</v>
      </c>
    </row>
    <row r="2688" spans="2:7" x14ac:dyDescent="0.2">
      <c r="B2688" s="200">
        <v>45865</v>
      </c>
      <c r="C2688" s="187" t="s">
        <v>4423</v>
      </c>
      <c r="D2688" s="201">
        <v>1</v>
      </c>
      <c r="E2688" s="202">
        <v>0</v>
      </c>
      <c r="F2688" s="203">
        <v>100000</v>
      </c>
      <c r="G2688" s="195" t="s">
        <v>4498</v>
      </c>
    </row>
    <row r="2689" spans="2:8" x14ac:dyDescent="0.2">
      <c r="B2689" s="200">
        <v>45865</v>
      </c>
      <c r="C2689" s="187" t="s">
        <v>4424</v>
      </c>
      <c r="D2689" s="201">
        <v>1</v>
      </c>
      <c r="E2689" s="202">
        <v>0</v>
      </c>
      <c r="F2689" s="203">
        <v>95000</v>
      </c>
      <c r="G2689" s="195" t="s">
        <v>4498</v>
      </c>
    </row>
    <row r="2690" spans="2:8" x14ac:dyDescent="0.2">
      <c r="B2690" s="200">
        <v>45866</v>
      </c>
      <c r="C2690" s="187" t="s">
        <v>4425</v>
      </c>
      <c r="D2690" s="201">
        <v>1</v>
      </c>
      <c r="E2690" s="202">
        <v>0</v>
      </c>
      <c r="F2690" s="203">
        <v>120000</v>
      </c>
      <c r="G2690" s="195" t="s">
        <v>3653</v>
      </c>
    </row>
    <row r="2691" spans="2:8" x14ac:dyDescent="0.2">
      <c r="B2691" s="200"/>
      <c r="C2691" s="187"/>
      <c r="D2691" s="201"/>
      <c r="E2691" s="202"/>
      <c r="F2691" s="203"/>
      <c r="G2691" s="195"/>
    </row>
    <row r="2692" spans="2:8" x14ac:dyDescent="0.2">
      <c r="B2692" s="200">
        <v>45874</v>
      </c>
      <c r="C2692" s="187" t="s">
        <v>4500</v>
      </c>
      <c r="D2692" s="201">
        <v>1</v>
      </c>
      <c r="E2692" s="202">
        <v>0</v>
      </c>
      <c r="F2692" s="203">
        <v>690000</v>
      </c>
      <c r="G2692" s="195" t="s">
        <v>3653</v>
      </c>
    </row>
    <row r="2693" spans="2:8" x14ac:dyDescent="0.2">
      <c r="B2693" s="200">
        <v>45874</v>
      </c>
      <c r="C2693" s="187" t="s">
        <v>4501</v>
      </c>
      <c r="D2693" s="201">
        <v>1</v>
      </c>
      <c r="E2693" s="202">
        <v>0</v>
      </c>
      <c r="F2693" s="203">
        <v>510000</v>
      </c>
      <c r="G2693" s="195" t="s">
        <v>3653</v>
      </c>
    </row>
    <row r="2694" spans="2:8" x14ac:dyDescent="0.2">
      <c r="B2694" s="200"/>
      <c r="C2694" s="187"/>
      <c r="D2694" s="201"/>
      <c r="E2694" s="202"/>
      <c r="F2694" s="203"/>
      <c r="G2694" s="195"/>
    </row>
    <row r="2695" spans="2:8" x14ac:dyDescent="0.2">
      <c r="B2695" s="200">
        <v>45899</v>
      </c>
      <c r="C2695" s="187" t="s">
        <v>4520</v>
      </c>
      <c r="D2695" s="201">
        <v>350</v>
      </c>
      <c r="E2695" s="202">
        <v>0</v>
      </c>
      <c r="F2695" s="203">
        <f>D2695*500</f>
        <v>175000</v>
      </c>
      <c r="G2695" s="195" t="s">
        <v>3653</v>
      </c>
    </row>
    <row r="2696" spans="2:8" x14ac:dyDescent="0.2">
      <c r="B2696" s="200">
        <v>45881</v>
      </c>
      <c r="C2696" s="187" t="s">
        <v>4536</v>
      </c>
      <c r="D2696" s="201">
        <v>1</v>
      </c>
      <c r="E2696" s="1">
        <v>0</v>
      </c>
      <c r="F2696" s="203">
        <v>260000</v>
      </c>
      <c r="G2696" s="195" t="s">
        <v>3650</v>
      </c>
    </row>
    <row r="2697" spans="2:8" x14ac:dyDescent="0.2">
      <c r="B2697" s="200">
        <v>45881</v>
      </c>
      <c r="C2697" s="187" t="s">
        <v>4537</v>
      </c>
      <c r="D2697" s="201">
        <v>1</v>
      </c>
      <c r="E2697" s="202">
        <v>0</v>
      </c>
      <c r="F2697" s="203">
        <v>110000</v>
      </c>
      <c r="G2697" s="195" t="s">
        <v>3650</v>
      </c>
    </row>
    <row r="2698" spans="2:8" x14ac:dyDescent="0.2">
      <c r="B2698" s="200">
        <v>45885</v>
      </c>
      <c r="C2698" s="187" t="s">
        <v>4544</v>
      </c>
      <c r="D2698" s="201">
        <v>1</v>
      </c>
      <c r="E2698" s="202">
        <v>0</v>
      </c>
      <c r="F2698" s="203">
        <v>101000</v>
      </c>
      <c r="G2698" s="195" t="s">
        <v>3653</v>
      </c>
    </row>
    <row r="2699" spans="2:8" x14ac:dyDescent="0.2">
      <c r="B2699" s="200">
        <v>45890</v>
      </c>
      <c r="C2699" s="187" t="s">
        <v>4571</v>
      </c>
      <c r="D2699" s="201">
        <v>1</v>
      </c>
      <c r="E2699" s="202">
        <v>0</v>
      </c>
      <c r="F2699" s="203">
        <v>1000000</v>
      </c>
      <c r="G2699" s="195" t="s">
        <v>3650</v>
      </c>
    </row>
    <row r="2700" spans="2:8" x14ac:dyDescent="0.2">
      <c r="B2700" s="200"/>
      <c r="C2700" s="187"/>
      <c r="D2700" s="201"/>
      <c r="E2700" s="202"/>
      <c r="F2700" s="203"/>
      <c r="G2700" s="195"/>
    </row>
    <row r="2701" spans="2:8" x14ac:dyDescent="0.2">
      <c r="B2701" s="285"/>
      <c r="C2701" s="283" t="s">
        <v>4508</v>
      </c>
      <c r="D2701" s="284">
        <v>1</v>
      </c>
      <c r="E2701" s="151">
        <f>43000000*1.85%</f>
        <v>795500.00000000012</v>
      </c>
      <c r="F2701" s="181">
        <v>0</v>
      </c>
      <c r="G2701" s="151">
        <v>0</v>
      </c>
      <c r="H2701" s="158">
        <v>45902</v>
      </c>
    </row>
    <row r="2702" spans="2:8" x14ac:dyDescent="0.2">
      <c r="B2702" s="285"/>
      <c r="C2702" s="283" t="s">
        <v>4574</v>
      </c>
      <c r="D2702" s="284">
        <v>1</v>
      </c>
      <c r="E2702" s="181">
        <v>0</v>
      </c>
      <c r="F2702" s="181">
        <f>59000000*1.85%</f>
        <v>1091500.0000000002</v>
      </c>
      <c r="G2702" s="286"/>
    </row>
    <row r="2703" spans="2:8" x14ac:dyDescent="0.2">
      <c r="B2703" s="285"/>
      <c r="C2703" s="283" t="s">
        <v>4575</v>
      </c>
      <c r="D2703" s="284">
        <v>1</v>
      </c>
      <c r="E2703" s="181">
        <v>0</v>
      </c>
      <c r="F2703" s="181">
        <f>57000000*1.85%</f>
        <v>1054500.0000000002</v>
      </c>
      <c r="G2703" s="286"/>
    </row>
    <row r="2704" spans="2:8" x14ac:dyDescent="0.2">
      <c r="B2704" s="200"/>
      <c r="C2704" s="187"/>
      <c r="D2704" s="201"/>
      <c r="E2704" s="202"/>
      <c r="F2704" s="216"/>
      <c r="G2704" s="195"/>
    </row>
    <row r="2705" spans="2:7" x14ac:dyDescent="0.2">
      <c r="B2705" s="29"/>
      <c r="C2705" s="29"/>
      <c r="D2705" s="68"/>
      <c r="E2705" s="13"/>
      <c r="F2705" s="13"/>
      <c r="G2705" s="29"/>
    </row>
    <row r="2706" spans="2:7" x14ac:dyDescent="0.2">
      <c r="E2706" s="9">
        <f>SUM(E2633:E2705)</f>
        <v>7512000</v>
      </c>
      <c r="F2706" s="9">
        <f>SUM(F2633:F2705)</f>
        <v>55808300</v>
      </c>
      <c r="G2706" s="9"/>
    </row>
    <row r="2707" spans="2:7" x14ac:dyDescent="0.2">
      <c r="E2707" s="3">
        <f>7500000-E2706</f>
        <v>-12000</v>
      </c>
    </row>
    <row r="2710" spans="2:7" ht="26" x14ac:dyDescent="0.3">
      <c r="B2710" s="12"/>
      <c r="C2710" s="391" t="s">
        <v>4578</v>
      </c>
      <c r="D2710" s="391"/>
      <c r="E2710" s="391"/>
      <c r="F2710" s="391"/>
      <c r="G2710" s="391"/>
    </row>
    <row r="2711" spans="2:7" x14ac:dyDescent="0.2">
      <c r="B2711" s="12"/>
      <c r="C2711" s="29" t="s">
        <v>82</v>
      </c>
      <c r="D2711" s="11">
        <v>1</v>
      </c>
      <c r="E2711" s="12" t="s">
        <v>1</v>
      </c>
      <c r="F2711" s="12" t="s">
        <v>3140</v>
      </c>
      <c r="G2711" s="12" t="s">
        <v>3657</v>
      </c>
    </row>
    <row r="2712" spans="2:7" x14ac:dyDescent="0.2">
      <c r="B2712" s="8"/>
      <c r="C2712" s="5" t="s">
        <v>3525</v>
      </c>
      <c r="D2712" s="62">
        <v>1</v>
      </c>
      <c r="E2712" s="28">
        <v>2000000</v>
      </c>
      <c r="F2712" s="214">
        <v>0</v>
      </c>
      <c r="G2712" s="7"/>
    </row>
    <row r="2713" spans="2:7" x14ac:dyDescent="0.2">
      <c r="B2713" s="8"/>
      <c r="C2713" s="5" t="s">
        <v>3757</v>
      </c>
      <c r="D2713" s="62">
        <v>1</v>
      </c>
      <c r="E2713" s="28">
        <v>750000</v>
      </c>
      <c r="F2713" s="214">
        <v>0</v>
      </c>
      <c r="G2713" s="8"/>
    </row>
    <row r="2714" spans="2:7" x14ac:dyDescent="0.2">
      <c r="B2714" s="8"/>
      <c r="C2714" s="5" t="s">
        <v>3526</v>
      </c>
      <c r="D2714" s="62">
        <v>1</v>
      </c>
      <c r="E2714" s="28">
        <v>350000</v>
      </c>
      <c r="F2714" s="214">
        <v>0</v>
      </c>
      <c r="G2714" s="8"/>
    </row>
    <row r="2715" spans="2:7" x14ac:dyDescent="0.2">
      <c r="B2715" s="8"/>
      <c r="C2715" s="5" t="s">
        <v>3297</v>
      </c>
      <c r="D2715" s="62">
        <v>1</v>
      </c>
      <c r="E2715" s="28">
        <v>45000</v>
      </c>
      <c r="F2715" s="214">
        <v>0</v>
      </c>
      <c r="G2715" s="8"/>
    </row>
    <row r="2716" spans="2:7" x14ac:dyDescent="0.2">
      <c r="B2716" s="173"/>
      <c r="C2716" s="5" t="s">
        <v>3928</v>
      </c>
      <c r="D2716" s="62">
        <v>1</v>
      </c>
      <c r="E2716" s="151">
        <v>925000</v>
      </c>
      <c r="F2716" s="214">
        <v>0</v>
      </c>
      <c r="G2716" s="8"/>
    </row>
    <row r="2717" spans="2:7" x14ac:dyDescent="0.2">
      <c r="B2717" s="200"/>
      <c r="C2717" s="5" t="s">
        <v>4076</v>
      </c>
      <c r="D2717" s="201">
        <v>1</v>
      </c>
      <c r="E2717" s="151">
        <f>21000000*1.85%</f>
        <v>388500.00000000006</v>
      </c>
      <c r="F2717" s="214">
        <v>0</v>
      </c>
      <c r="G2717" s="8"/>
    </row>
    <row r="2718" spans="2:7" x14ac:dyDescent="0.2">
      <c r="B2718" s="200"/>
      <c r="C2718" s="5" t="s">
        <v>4064</v>
      </c>
      <c r="D2718" s="201">
        <v>1</v>
      </c>
      <c r="E2718" s="151">
        <f>1500000*3%</f>
        <v>45000</v>
      </c>
      <c r="F2718" s="203">
        <v>0</v>
      </c>
      <c r="G2718" s="186"/>
    </row>
    <row r="2719" spans="2:7" x14ac:dyDescent="0.2">
      <c r="B2719" s="8"/>
      <c r="C2719" s="5" t="s">
        <v>3942</v>
      </c>
      <c r="D2719" s="62">
        <v>1</v>
      </c>
      <c r="E2719" s="151">
        <v>442000</v>
      </c>
      <c r="F2719" s="214">
        <v>0</v>
      </c>
      <c r="G2719" s="8"/>
    </row>
    <row r="2720" spans="2:7" x14ac:dyDescent="0.2">
      <c r="B2720" s="8"/>
      <c r="C2720" s="5" t="s">
        <v>3941</v>
      </c>
      <c r="D2720" s="62">
        <v>1</v>
      </c>
      <c r="E2720" s="151">
        <v>105000</v>
      </c>
      <c r="F2720" s="214">
        <v>0</v>
      </c>
      <c r="G2720" s="8"/>
    </row>
    <row r="2721" spans="2:7" x14ac:dyDescent="0.2">
      <c r="B2721" s="8"/>
      <c r="C2721" s="5" t="s">
        <v>3940</v>
      </c>
      <c r="D2721" s="62">
        <v>1</v>
      </c>
      <c r="E2721" s="151">
        <v>338000</v>
      </c>
      <c r="F2721" s="214">
        <v>0</v>
      </c>
      <c r="G2721" s="7"/>
    </row>
    <row r="2722" spans="2:7" x14ac:dyDescent="0.2">
      <c r="B2722" s="8"/>
      <c r="C2722" s="5" t="s">
        <v>3939</v>
      </c>
      <c r="D2722" s="62">
        <v>1</v>
      </c>
      <c r="E2722" s="151">
        <v>338000</v>
      </c>
      <c r="F2722" s="214">
        <v>0</v>
      </c>
      <c r="G2722" s="7"/>
    </row>
    <row r="2723" spans="2:7" x14ac:dyDescent="0.2">
      <c r="B2723" s="186"/>
      <c r="C2723" s="5" t="s">
        <v>3938</v>
      </c>
      <c r="D2723" s="201">
        <v>1</v>
      </c>
      <c r="E2723" s="215">
        <v>387000</v>
      </c>
      <c r="F2723" s="203">
        <v>0</v>
      </c>
      <c r="G2723" s="216"/>
    </row>
    <row r="2724" spans="2:7" x14ac:dyDescent="0.2">
      <c r="B2724" s="186"/>
      <c r="C2724" s="187" t="s">
        <v>4403</v>
      </c>
      <c r="D2724" s="201">
        <v>1</v>
      </c>
      <c r="E2724" s="215">
        <v>103000</v>
      </c>
      <c r="F2724" s="203">
        <v>0</v>
      </c>
      <c r="G2724" s="216"/>
    </row>
    <row r="2725" spans="2:7" x14ac:dyDescent="0.2">
      <c r="B2725" s="173"/>
      <c r="C2725" s="5" t="s">
        <v>4591</v>
      </c>
      <c r="D2725" s="62">
        <v>6500</v>
      </c>
      <c r="E2725" s="172">
        <f>D2725*100</f>
        <v>650000</v>
      </c>
      <c r="F2725" s="214">
        <v>0</v>
      </c>
      <c r="G2725" s="51"/>
    </row>
    <row r="2726" spans="2:7" x14ac:dyDescent="0.2">
      <c r="B2726" s="200">
        <v>45881</v>
      </c>
      <c r="C2726" s="187" t="s">
        <v>4536</v>
      </c>
      <c r="D2726" s="201">
        <v>1</v>
      </c>
      <c r="E2726" s="212">
        <v>260000</v>
      </c>
      <c r="F2726" s="203">
        <v>0</v>
      </c>
      <c r="G2726" s="195" t="s">
        <v>3650</v>
      </c>
    </row>
    <row r="2727" spans="2:7" x14ac:dyDescent="0.2">
      <c r="B2727" s="200">
        <v>45930</v>
      </c>
      <c r="C2727" s="187" t="s">
        <v>4588</v>
      </c>
      <c r="D2727" s="201">
        <v>200</v>
      </c>
      <c r="E2727" s="212">
        <v>40000</v>
      </c>
      <c r="F2727" s="203">
        <v>0</v>
      </c>
      <c r="G2727" s="195"/>
    </row>
    <row r="2728" spans="2:7" x14ac:dyDescent="0.2">
      <c r="B2728" s="200">
        <v>45930</v>
      </c>
      <c r="C2728" s="187" t="s">
        <v>4589</v>
      </c>
      <c r="D2728" s="201">
        <v>150</v>
      </c>
      <c r="E2728" s="212">
        <v>75000</v>
      </c>
      <c r="F2728" s="203">
        <v>0</v>
      </c>
      <c r="G2728" s="195"/>
    </row>
    <row r="2729" spans="2:7" x14ac:dyDescent="0.2">
      <c r="B2729" s="200">
        <v>45930</v>
      </c>
      <c r="C2729" s="187" t="s">
        <v>4590</v>
      </c>
      <c r="D2729" s="201">
        <v>520</v>
      </c>
      <c r="E2729" s="212">
        <v>260000</v>
      </c>
      <c r="F2729" s="203">
        <v>0</v>
      </c>
      <c r="G2729" s="195"/>
    </row>
    <row r="2730" spans="2:7" x14ac:dyDescent="0.2">
      <c r="B2730"/>
      <c r="D2730"/>
      <c r="E2730"/>
      <c r="F2730"/>
      <c r="G2730"/>
    </row>
    <row r="2731" spans="2:7" x14ac:dyDescent="0.2">
      <c r="B2731" s="200">
        <v>45716</v>
      </c>
      <c r="C2731" s="5" t="s">
        <v>3931</v>
      </c>
      <c r="D2731" s="62">
        <v>1</v>
      </c>
      <c r="E2731" s="171">
        <v>0</v>
      </c>
      <c r="F2731" s="171">
        <v>452000</v>
      </c>
      <c r="G2731" s="262" t="s">
        <v>4261</v>
      </c>
    </row>
    <row r="2732" spans="2:7" x14ac:dyDescent="0.2">
      <c r="B2732" s="200">
        <v>45719</v>
      </c>
      <c r="C2732" s="5" t="s">
        <v>3777</v>
      </c>
      <c r="D2732" s="62">
        <v>1</v>
      </c>
      <c r="E2732" s="171">
        <v>0</v>
      </c>
      <c r="F2732" s="171">
        <v>452000</v>
      </c>
      <c r="G2732" s="262" t="s">
        <v>4261</v>
      </c>
    </row>
    <row r="2733" spans="2:7" x14ac:dyDescent="0.2">
      <c r="B2733" s="200">
        <v>45749</v>
      </c>
      <c r="C2733" s="5" t="s">
        <v>3786</v>
      </c>
      <c r="D2733" s="271">
        <v>1</v>
      </c>
      <c r="E2733" s="202">
        <v>0</v>
      </c>
      <c r="F2733" s="203">
        <v>970000</v>
      </c>
      <c r="G2733" s="262" t="s">
        <v>4261</v>
      </c>
    </row>
    <row r="2734" spans="2:7" x14ac:dyDescent="0.2">
      <c r="B2734" s="200">
        <v>45782</v>
      </c>
      <c r="C2734" s="5" t="s">
        <v>4236</v>
      </c>
      <c r="D2734" s="201">
        <v>1</v>
      </c>
      <c r="E2734" s="202">
        <v>0</v>
      </c>
      <c r="F2734" s="203">
        <v>970000</v>
      </c>
      <c r="G2734" s="262" t="s">
        <v>4261</v>
      </c>
    </row>
    <row r="2735" spans="2:7" x14ac:dyDescent="0.2">
      <c r="B2735" s="200">
        <v>45812</v>
      </c>
      <c r="C2735" s="5" t="s">
        <v>3802</v>
      </c>
      <c r="D2735" s="201">
        <v>1</v>
      </c>
      <c r="E2735" s="202">
        <v>0</v>
      </c>
      <c r="F2735" s="203">
        <v>970000</v>
      </c>
      <c r="G2735" s="262" t="s">
        <v>4261</v>
      </c>
    </row>
    <row r="2736" spans="2:7" x14ac:dyDescent="0.2">
      <c r="B2736" s="200">
        <v>45842</v>
      </c>
      <c r="C2736" s="5" t="s">
        <v>4404</v>
      </c>
      <c r="D2736" s="201">
        <v>1</v>
      </c>
      <c r="E2736" s="202">
        <v>0</v>
      </c>
      <c r="F2736" s="203">
        <v>970000</v>
      </c>
      <c r="G2736" s="262" t="s">
        <v>4261</v>
      </c>
    </row>
    <row r="2737" spans="2:8" x14ac:dyDescent="0.2">
      <c r="B2737" s="200">
        <v>45877</v>
      </c>
      <c r="C2737" s="5" t="s">
        <v>3549</v>
      </c>
      <c r="D2737" s="201">
        <v>1</v>
      </c>
      <c r="E2737" s="202">
        <v>0</v>
      </c>
      <c r="F2737" s="203">
        <v>970000</v>
      </c>
      <c r="G2737" s="262" t="s">
        <v>4261</v>
      </c>
    </row>
    <row r="2738" spans="2:8" x14ac:dyDescent="0.2">
      <c r="B2738" s="200">
        <v>45917</v>
      </c>
      <c r="C2738" s="5" t="s">
        <v>4577</v>
      </c>
      <c r="D2738" s="201">
        <v>1</v>
      </c>
      <c r="E2738" s="202">
        <v>0</v>
      </c>
      <c r="F2738" s="203">
        <v>970000</v>
      </c>
      <c r="G2738" s="262" t="s">
        <v>4261</v>
      </c>
    </row>
    <row r="2739" spans="2:8" x14ac:dyDescent="0.2">
      <c r="C2739" s="1"/>
      <c r="D2739" s="1"/>
    </row>
    <row r="2740" spans="2:8" x14ac:dyDescent="0.2">
      <c r="B2740" s="200">
        <v>45917</v>
      </c>
      <c r="C2740" s="187" t="s">
        <v>3548</v>
      </c>
      <c r="D2740" s="201">
        <v>1</v>
      </c>
      <c r="E2740" s="218">
        <v>0</v>
      </c>
      <c r="F2740" s="203">
        <v>1365000</v>
      </c>
      <c r="G2740" s="195" t="s">
        <v>3251</v>
      </c>
    </row>
    <row r="2741" spans="2:8" x14ac:dyDescent="0.2">
      <c r="B2741" s="200">
        <v>45917</v>
      </c>
      <c r="C2741" s="5" t="s">
        <v>4579</v>
      </c>
      <c r="D2741" s="201">
        <v>1</v>
      </c>
      <c r="E2741" s="202">
        <v>0</v>
      </c>
      <c r="F2741" s="203">
        <v>970000</v>
      </c>
      <c r="G2741" s="195" t="s">
        <v>3251</v>
      </c>
    </row>
    <row r="2742" spans="2:8" x14ac:dyDescent="0.2">
      <c r="B2742" s="200">
        <v>45917</v>
      </c>
      <c r="C2742" s="187" t="s">
        <v>4580</v>
      </c>
      <c r="D2742" s="201">
        <v>1</v>
      </c>
      <c r="E2742" s="218">
        <v>0</v>
      </c>
      <c r="F2742" s="218">
        <v>0</v>
      </c>
      <c r="G2742" s="215">
        <v>450000</v>
      </c>
      <c r="H2742" s="158">
        <v>45918</v>
      </c>
    </row>
    <row r="2743" spans="2:8" x14ac:dyDescent="0.2">
      <c r="B2743" s="200">
        <v>45917</v>
      </c>
      <c r="C2743" s="5" t="s">
        <v>4581</v>
      </c>
      <c r="D2743" s="201">
        <v>1</v>
      </c>
      <c r="E2743" s="202">
        <v>0</v>
      </c>
      <c r="F2743" s="218">
        <v>0</v>
      </c>
      <c r="G2743" s="215">
        <v>475000</v>
      </c>
      <c r="H2743" s="158">
        <v>45918</v>
      </c>
    </row>
    <row r="2744" spans="2:8" x14ac:dyDescent="0.2">
      <c r="B2744"/>
      <c r="D2744"/>
      <c r="E2744"/>
      <c r="F2744"/>
      <c r="G2744"/>
    </row>
    <row r="2745" spans="2:8" x14ac:dyDescent="0.2">
      <c r="B2745" s="200">
        <v>45812</v>
      </c>
      <c r="C2745" s="187" t="s">
        <v>4351</v>
      </c>
      <c r="D2745" s="201">
        <v>1</v>
      </c>
      <c r="E2745" s="202">
        <v>0</v>
      </c>
      <c r="F2745" s="203">
        <v>120000</v>
      </c>
      <c r="G2745" s="195" t="s">
        <v>4263</v>
      </c>
    </row>
    <row r="2746" spans="2:8" x14ac:dyDescent="0.2">
      <c r="B2746" s="200">
        <v>45790</v>
      </c>
      <c r="C2746" s="187" t="s">
        <v>4259</v>
      </c>
      <c r="D2746" s="201">
        <v>1</v>
      </c>
      <c r="E2746" s="202">
        <v>0</v>
      </c>
      <c r="F2746" s="203">
        <v>20000000</v>
      </c>
      <c r="G2746" s="195" t="s">
        <v>3251</v>
      </c>
    </row>
    <row r="2747" spans="2:8" x14ac:dyDescent="0.2">
      <c r="B2747" s="200">
        <v>45799</v>
      </c>
      <c r="C2747" s="187" t="s">
        <v>4247</v>
      </c>
      <c r="D2747" s="201">
        <v>1</v>
      </c>
      <c r="E2747" s="202">
        <v>0</v>
      </c>
      <c r="F2747" s="203">
        <v>900000</v>
      </c>
      <c r="G2747" s="195" t="s">
        <v>4498</v>
      </c>
    </row>
    <row r="2748" spans="2:8" x14ac:dyDescent="0.2">
      <c r="B2748" s="200">
        <v>45799</v>
      </c>
      <c r="C2748" s="187" t="s">
        <v>4248</v>
      </c>
      <c r="D2748" s="201">
        <v>1</v>
      </c>
      <c r="E2748" s="202">
        <v>0</v>
      </c>
      <c r="F2748" s="203">
        <v>200000</v>
      </c>
      <c r="G2748" s="195" t="s">
        <v>4498</v>
      </c>
    </row>
    <row r="2749" spans="2:8" x14ac:dyDescent="0.2">
      <c r="B2749" s="200">
        <v>45799</v>
      </c>
      <c r="C2749" s="187" t="s">
        <v>4415</v>
      </c>
      <c r="D2749" s="201">
        <v>1</v>
      </c>
      <c r="E2749" s="202">
        <v>0</v>
      </c>
      <c r="F2749" s="203">
        <v>150000</v>
      </c>
      <c r="G2749" s="195" t="s">
        <v>4498</v>
      </c>
    </row>
    <row r="2750" spans="2:8" x14ac:dyDescent="0.2">
      <c r="B2750" s="200">
        <v>45799</v>
      </c>
      <c r="C2750" s="187" t="s">
        <v>4416</v>
      </c>
      <c r="D2750" s="201">
        <v>2</v>
      </c>
      <c r="E2750" s="202">
        <v>0</v>
      </c>
      <c r="F2750" s="203">
        <v>100000</v>
      </c>
      <c r="G2750" s="195" t="s">
        <v>4498</v>
      </c>
    </row>
    <row r="2751" spans="2:8" x14ac:dyDescent="0.2">
      <c r="B2751" s="200">
        <v>45799</v>
      </c>
      <c r="C2751" s="187" t="s">
        <v>4417</v>
      </c>
      <c r="D2751" s="201">
        <v>1</v>
      </c>
      <c r="E2751" s="202">
        <v>0</v>
      </c>
      <c r="F2751" s="203">
        <v>100000</v>
      </c>
      <c r="G2751" s="195" t="s">
        <v>4498</v>
      </c>
    </row>
    <row r="2752" spans="2:8" x14ac:dyDescent="0.2">
      <c r="B2752" s="200">
        <v>45799</v>
      </c>
      <c r="C2752" s="187" t="s">
        <v>4267</v>
      </c>
      <c r="D2752" s="201">
        <v>1</v>
      </c>
      <c r="E2752" s="202">
        <v>0</v>
      </c>
      <c r="F2752" s="203">
        <v>300000</v>
      </c>
      <c r="G2752" s="195" t="s">
        <v>4498</v>
      </c>
    </row>
    <row r="2753" spans="2:7" x14ac:dyDescent="0.2">
      <c r="B2753" s="200">
        <v>45799</v>
      </c>
      <c r="C2753" s="187" t="s">
        <v>4418</v>
      </c>
      <c r="D2753" s="201">
        <v>1</v>
      </c>
      <c r="E2753" s="202">
        <v>0</v>
      </c>
      <c r="F2753" s="203">
        <v>150000</v>
      </c>
      <c r="G2753" s="195" t="s">
        <v>4498</v>
      </c>
    </row>
    <row r="2754" spans="2:7" x14ac:dyDescent="0.2">
      <c r="B2754" s="200">
        <v>45783</v>
      </c>
      <c r="C2754" s="187" t="s">
        <v>4349</v>
      </c>
      <c r="D2754" s="201">
        <v>1</v>
      </c>
      <c r="E2754" s="202">
        <v>0</v>
      </c>
      <c r="F2754" s="203">
        <v>451300</v>
      </c>
      <c r="G2754" s="195" t="s">
        <v>3650</v>
      </c>
    </row>
    <row r="2755" spans="2:7" x14ac:dyDescent="0.2">
      <c r="B2755" s="200">
        <v>45821</v>
      </c>
      <c r="C2755" s="187" t="s">
        <v>4400</v>
      </c>
      <c r="D2755" s="201">
        <v>1</v>
      </c>
      <c r="E2755" s="202">
        <v>0</v>
      </c>
      <c r="F2755" s="203">
        <v>111000</v>
      </c>
      <c r="G2755" s="195" t="s">
        <v>4499</v>
      </c>
    </row>
    <row r="2756" spans="2:7" x14ac:dyDescent="0.2">
      <c r="B2756" s="200">
        <v>45828</v>
      </c>
      <c r="C2756" s="187" t="s">
        <v>4377</v>
      </c>
      <c r="D2756" s="201">
        <v>1</v>
      </c>
      <c r="E2756" s="202">
        <v>0</v>
      </c>
      <c r="F2756" s="203">
        <v>80000</v>
      </c>
      <c r="G2756" s="195" t="s">
        <v>4498</v>
      </c>
    </row>
    <row r="2757" spans="2:7" x14ac:dyDescent="0.2">
      <c r="B2757" s="200">
        <v>45832</v>
      </c>
      <c r="C2757" s="187" t="s">
        <v>4386</v>
      </c>
      <c r="D2757" s="201">
        <v>1</v>
      </c>
      <c r="E2757" s="202">
        <v>0</v>
      </c>
      <c r="F2757" s="203">
        <v>255000</v>
      </c>
      <c r="G2757" s="195" t="s">
        <v>3653</v>
      </c>
    </row>
    <row r="2758" spans="2:7" x14ac:dyDescent="0.2">
      <c r="B2758" s="200">
        <v>45823</v>
      </c>
      <c r="C2758" s="187" t="s">
        <v>4407</v>
      </c>
      <c r="D2758" s="201">
        <v>1</v>
      </c>
      <c r="E2758" s="202">
        <v>0</v>
      </c>
      <c r="F2758" s="203">
        <v>140000</v>
      </c>
      <c r="G2758" s="195" t="s">
        <v>3653</v>
      </c>
    </row>
    <row r="2759" spans="2:7" x14ac:dyDescent="0.2">
      <c r="B2759" s="200">
        <v>45832</v>
      </c>
      <c r="C2759" s="187" t="s">
        <v>4408</v>
      </c>
      <c r="D2759" s="201">
        <v>1</v>
      </c>
      <c r="E2759" s="202">
        <v>0</v>
      </c>
      <c r="F2759" s="203">
        <v>70000</v>
      </c>
      <c r="G2759" s="195" t="s">
        <v>3653</v>
      </c>
    </row>
    <row r="2760" spans="2:7" x14ac:dyDescent="0.2">
      <c r="B2760" s="200">
        <v>45839</v>
      </c>
      <c r="C2760" s="187" t="s">
        <v>4409</v>
      </c>
      <c r="D2760" s="201">
        <v>1</v>
      </c>
      <c r="E2760" s="202">
        <v>0</v>
      </c>
      <c r="F2760" s="203">
        <v>20000000</v>
      </c>
      <c r="G2760" s="195" t="s">
        <v>3650</v>
      </c>
    </row>
    <row r="2761" spans="2:7" x14ac:dyDescent="0.2">
      <c r="B2761" s="200">
        <v>45812</v>
      </c>
      <c r="C2761" s="187" t="s">
        <v>4414</v>
      </c>
      <c r="D2761" s="201">
        <v>1</v>
      </c>
      <c r="E2761" s="202">
        <v>0</v>
      </c>
      <c r="F2761" s="203" t="s">
        <v>4413</v>
      </c>
      <c r="G2761" s="195" t="s">
        <v>3650</v>
      </c>
    </row>
    <row r="2762" spans="2:7" x14ac:dyDescent="0.2">
      <c r="B2762" s="200"/>
      <c r="C2762" s="187"/>
      <c r="D2762" s="201"/>
      <c r="E2762" s="202"/>
      <c r="F2762" s="203"/>
      <c r="G2762" s="195"/>
    </row>
    <row r="2763" spans="2:7" x14ac:dyDescent="0.2">
      <c r="B2763" s="200">
        <v>45865</v>
      </c>
      <c r="C2763" s="187" t="s">
        <v>4421</v>
      </c>
      <c r="D2763" s="201">
        <v>2</v>
      </c>
      <c r="E2763" s="202">
        <v>0</v>
      </c>
      <c r="F2763" s="203">
        <v>500000</v>
      </c>
      <c r="G2763" s="195" t="s">
        <v>4498</v>
      </c>
    </row>
    <row r="2764" spans="2:7" x14ac:dyDescent="0.2">
      <c r="B2764" s="200">
        <v>45865</v>
      </c>
      <c r="C2764" s="187" t="s">
        <v>4422</v>
      </c>
      <c r="D2764" s="201">
        <v>2</v>
      </c>
      <c r="E2764" s="202">
        <v>0</v>
      </c>
      <c r="F2764" s="203">
        <v>150000</v>
      </c>
      <c r="G2764" s="195" t="s">
        <v>4498</v>
      </c>
    </row>
    <row r="2765" spans="2:7" x14ac:dyDescent="0.2">
      <c r="B2765" s="200">
        <v>45865</v>
      </c>
      <c r="C2765" s="187" t="s">
        <v>4423</v>
      </c>
      <c r="D2765" s="201">
        <v>1</v>
      </c>
      <c r="E2765" s="202">
        <v>0</v>
      </c>
      <c r="F2765" s="203">
        <v>100000</v>
      </c>
      <c r="G2765" s="195" t="s">
        <v>4498</v>
      </c>
    </row>
    <row r="2766" spans="2:7" x14ac:dyDescent="0.2">
      <c r="B2766" s="200">
        <v>45865</v>
      </c>
      <c r="C2766" s="187" t="s">
        <v>4424</v>
      </c>
      <c r="D2766" s="201">
        <v>1</v>
      </c>
      <c r="E2766" s="202">
        <v>0</v>
      </c>
      <c r="F2766" s="203">
        <v>95000</v>
      </c>
      <c r="G2766" s="195" t="s">
        <v>4498</v>
      </c>
    </row>
    <row r="2767" spans="2:7" x14ac:dyDescent="0.2">
      <c r="B2767" s="200">
        <v>45866</v>
      </c>
      <c r="C2767" s="187" t="s">
        <v>4425</v>
      </c>
      <c r="D2767" s="201">
        <v>1</v>
      </c>
      <c r="E2767" s="202">
        <v>0</v>
      </c>
      <c r="F2767" s="203">
        <v>120000</v>
      </c>
      <c r="G2767" s="195" t="s">
        <v>3653</v>
      </c>
    </row>
    <row r="2768" spans="2:7" x14ac:dyDescent="0.2">
      <c r="B2768" s="200"/>
      <c r="C2768" s="187"/>
      <c r="D2768" s="201"/>
      <c r="E2768" s="202"/>
      <c r="F2768" s="203"/>
      <c r="G2768" s="195"/>
    </row>
    <row r="2769" spans="2:7" x14ac:dyDescent="0.2">
      <c r="B2769" s="200">
        <v>45874</v>
      </c>
      <c r="C2769" s="187" t="s">
        <v>4500</v>
      </c>
      <c r="D2769" s="201">
        <v>1</v>
      </c>
      <c r="E2769" s="202">
        <v>0</v>
      </c>
      <c r="F2769" s="203">
        <v>690000</v>
      </c>
      <c r="G2769" s="195" t="s">
        <v>3653</v>
      </c>
    </row>
    <row r="2770" spans="2:7" x14ac:dyDescent="0.2">
      <c r="B2770" s="200">
        <v>45874</v>
      </c>
      <c r="C2770" s="187" t="s">
        <v>4501</v>
      </c>
      <c r="D2770" s="201">
        <v>1</v>
      </c>
      <c r="E2770" s="202">
        <v>0</v>
      </c>
      <c r="F2770" s="203">
        <v>510000</v>
      </c>
      <c r="G2770" s="195" t="s">
        <v>3653</v>
      </c>
    </row>
    <row r="2771" spans="2:7" x14ac:dyDescent="0.2">
      <c r="B2771" s="200"/>
      <c r="C2771" s="187"/>
      <c r="D2771" s="201"/>
      <c r="E2771" s="202"/>
      <c r="F2771" s="203"/>
      <c r="G2771" s="195"/>
    </row>
    <row r="2772" spans="2:7" x14ac:dyDescent="0.2">
      <c r="B2772" s="200">
        <v>45899</v>
      </c>
      <c r="C2772" s="187" t="s">
        <v>4520</v>
      </c>
      <c r="D2772" s="201">
        <v>350</v>
      </c>
      <c r="E2772" s="202">
        <v>0</v>
      </c>
      <c r="F2772" s="203">
        <f>D2772*500</f>
        <v>175000</v>
      </c>
      <c r="G2772" s="195" t="s">
        <v>3653</v>
      </c>
    </row>
    <row r="2773" spans="2:7" x14ac:dyDescent="0.2">
      <c r="B2773" s="200">
        <v>45881</v>
      </c>
      <c r="C2773" s="187" t="s">
        <v>4537</v>
      </c>
      <c r="D2773" s="201">
        <v>1</v>
      </c>
      <c r="E2773" s="202">
        <v>0</v>
      </c>
      <c r="F2773" s="203">
        <v>110000</v>
      </c>
      <c r="G2773" s="195" t="s">
        <v>3650</v>
      </c>
    </row>
    <row r="2774" spans="2:7" x14ac:dyDescent="0.2">
      <c r="B2774" s="200">
        <v>45885</v>
      </c>
      <c r="C2774" s="187" t="s">
        <v>4544</v>
      </c>
      <c r="D2774" s="201">
        <v>1</v>
      </c>
      <c r="E2774" s="202">
        <v>0</v>
      </c>
      <c r="F2774" s="203">
        <v>101000</v>
      </c>
      <c r="G2774" s="195" t="s">
        <v>3653</v>
      </c>
    </row>
    <row r="2775" spans="2:7" x14ac:dyDescent="0.2">
      <c r="B2775" s="200">
        <v>45890</v>
      </c>
      <c r="C2775" s="187" t="s">
        <v>4571</v>
      </c>
      <c r="D2775" s="201">
        <v>1</v>
      </c>
      <c r="E2775" s="202">
        <v>0</v>
      </c>
      <c r="F2775" s="203">
        <v>1000000</v>
      </c>
      <c r="G2775" s="195" t="s">
        <v>3650</v>
      </c>
    </row>
    <row r="2776" spans="2:7" x14ac:dyDescent="0.2">
      <c r="B2776" s="200"/>
      <c r="C2776" s="187"/>
      <c r="D2776" s="201"/>
      <c r="E2776" s="202"/>
      <c r="F2776" s="203"/>
      <c r="G2776" s="195"/>
    </row>
    <row r="2777" spans="2:7" x14ac:dyDescent="0.2">
      <c r="B2777" s="200"/>
      <c r="C2777" s="187"/>
      <c r="D2777" s="201"/>
      <c r="E2777" s="202"/>
      <c r="F2777" s="203"/>
      <c r="G2777" s="195"/>
    </row>
    <row r="2778" spans="2:7" x14ac:dyDescent="0.2">
      <c r="B2778" s="285"/>
      <c r="C2778" s="283" t="s">
        <v>4574</v>
      </c>
      <c r="D2778" s="284">
        <v>1</v>
      </c>
      <c r="E2778" s="181">
        <v>0</v>
      </c>
      <c r="F2778" s="181">
        <f>59000000*1.85%</f>
        <v>1091500.0000000002</v>
      </c>
      <c r="G2778" s="286"/>
    </row>
    <row r="2779" spans="2:7" x14ac:dyDescent="0.2">
      <c r="B2779" s="285"/>
      <c r="C2779" s="283" t="s">
        <v>4575</v>
      </c>
      <c r="D2779" s="284">
        <v>1</v>
      </c>
      <c r="E2779" s="181">
        <v>0</v>
      </c>
      <c r="F2779" s="181">
        <f>57000000*1.85%</f>
        <v>1054500.0000000002</v>
      </c>
      <c r="G2779" s="286"/>
    </row>
    <row r="2780" spans="2:7" x14ac:dyDescent="0.2">
      <c r="B2780" s="285"/>
      <c r="C2780" s="283" t="s">
        <v>4582</v>
      </c>
      <c r="D2780" s="284">
        <v>1</v>
      </c>
      <c r="E2780" s="181">
        <v>0</v>
      </c>
      <c r="F2780" s="181">
        <f>55000000*1.85%</f>
        <v>1017500.0000000001</v>
      </c>
      <c r="G2780" s="286"/>
    </row>
    <row r="2781" spans="2:7" x14ac:dyDescent="0.2">
      <c r="B2781" s="285"/>
      <c r="C2781" s="283"/>
      <c r="D2781" s="284"/>
      <c r="E2781" s="297"/>
      <c r="F2781" s="297"/>
      <c r="G2781" s="286"/>
    </row>
    <row r="2782" spans="2:7" x14ac:dyDescent="0.2">
      <c r="B2782" s="200"/>
      <c r="C2782" s="187"/>
      <c r="D2782" s="201"/>
      <c r="E2782" s="202"/>
      <c r="F2782" s="216"/>
      <c r="G2782" s="195"/>
    </row>
    <row r="2783" spans="2:7" x14ac:dyDescent="0.2">
      <c r="B2783" s="29"/>
      <c r="C2783" s="29"/>
      <c r="D2783" s="68"/>
      <c r="E2783" s="13"/>
      <c r="F2783" s="13"/>
      <c r="G2783" s="29"/>
    </row>
    <row r="2784" spans="2:7" x14ac:dyDescent="0.2">
      <c r="E2784" s="9">
        <f>SUM(E2712:E2783)</f>
        <v>7501500</v>
      </c>
      <c r="F2784" s="9">
        <f>SUM(F2712:F2783)</f>
        <v>58900800</v>
      </c>
      <c r="G2784" s="9"/>
    </row>
    <row r="2785" spans="2:7" x14ac:dyDescent="0.2">
      <c r="E2785" s="3">
        <f>7500000-E2784</f>
        <v>-1500</v>
      </c>
    </row>
    <row r="2788" spans="2:7" ht="26" x14ac:dyDescent="0.3">
      <c r="B2788" s="12"/>
      <c r="C2788" s="391" t="s">
        <v>4592</v>
      </c>
      <c r="D2788" s="391"/>
      <c r="E2788" s="391"/>
      <c r="F2788" s="391"/>
      <c r="G2788" s="391"/>
    </row>
    <row r="2789" spans="2:7" x14ac:dyDescent="0.2">
      <c r="B2789" s="12"/>
      <c r="C2789" s="29" t="s">
        <v>82</v>
      </c>
      <c r="D2789" s="11">
        <v>1</v>
      </c>
      <c r="E2789" s="12" t="s">
        <v>1</v>
      </c>
      <c r="F2789" s="12" t="s">
        <v>3140</v>
      </c>
      <c r="G2789" s="12" t="s">
        <v>3657</v>
      </c>
    </row>
    <row r="2790" spans="2:7" x14ac:dyDescent="0.2">
      <c r="B2790" s="8"/>
      <c r="C2790" s="5" t="s">
        <v>3525</v>
      </c>
      <c r="D2790" s="62">
        <v>1</v>
      </c>
      <c r="E2790" s="28">
        <v>2000000</v>
      </c>
      <c r="F2790" s="214">
        <v>0</v>
      </c>
      <c r="G2790" s="7"/>
    </row>
    <row r="2791" spans="2:7" x14ac:dyDescent="0.2">
      <c r="B2791" s="8"/>
      <c r="C2791" s="5" t="s">
        <v>3757</v>
      </c>
      <c r="D2791" s="62">
        <v>1</v>
      </c>
      <c r="E2791" s="28">
        <v>750000</v>
      </c>
      <c r="F2791" s="214">
        <v>0</v>
      </c>
      <c r="G2791" s="8"/>
    </row>
    <row r="2792" spans="2:7" x14ac:dyDescent="0.2">
      <c r="B2792" s="8"/>
      <c r="C2792" s="5" t="s">
        <v>3526</v>
      </c>
      <c r="D2792" s="62">
        <v>1</v>
      </c>
      <c r="E2792" s="28">
        <v>350000</v>
      </c>
      <c r="F2792" s="214">
        <v>0</v>
      </c>
      <c r="G2792" s="8"/>
    </row>
    <row r="2793" spans="2:7" x14ac:dyDescent="0.2">
      <c r="B2793" s="8"/>
      <c r="C2793" s="5" t="s">
        <v>3297</v>
      </c>
      <c r="D2793" s="62">
        <v>1</v>
      </c>
      <c r="E2793" s="28">
        <v>45000</v>
      </c>
      <c r="F2793" s="214">
        <v>0</v>
      </c>
      <c r="G2793" s="8"/>
    </row>
    <row r="2794" spans="2:7" x14ac:dyDescent="0.2">
      <c r="B2794" s="173"/>
      <c r="C2794" s="5" t="s">
        <v>3928</v>
      </c>
      <c r="D2794" s="62">
        <v>1</v>
      </c>
      <c r="E2794" s="305">
        <v>925000</v>
      </c>
      <c r="F2794" s="214">
        <v>0</v>
      </c>
      <c r="G2794" s="8"/>
    </row>
    <row r="2795" spans="2:7" x14ac:dyDescent="0.2">
      <c r="B2795" s="200"/>
      <c r="C2795" s="5" t="s">
        <v>4076</v>
      </c>
      <c r="D2795" s="201">
        <v>1</v>
      </c>
      <c r="E2795" s="305">
        <f>21000000*1.85%</f>
        <v>388500.00000000006</v>
      </c>
      <c r="F2795" s="214">
        <v>0</v>
      </c>
      <c r="G2795" s="8"/>
    </row>
    <row r="2796" spans="2:7" x14ac:dyDescent="0.2">
      <c r="B2796" s="200"/>
      <c r="C2796" s="5" t="s">
        <v>4064</v>
      </c>
      <c r="D2796" s="201">
        <v>1</v>
      </c>
      <c r="E2796" s="305">
        <f>1500000*3%</f>
        <v>45000</v>
      </c>
      <c r="F2796" s="203">
        <v>0</v>
      </c>
      <c r="G2796" s="186"/>
    </row>
    <row r="2797" spans="2:7" x14ac:dyDescent="0.2">
      <c r="B2797" s="8"/>
      <c r="C2797" s="5" t="s">
        <v>3942</v>
      </c>
      <c r="D2797" s="62">
        <v>1</v>
      </c>
      <c r="E2797" s="305">
        <v>442000</v>
      </c>
      <c r="F2797" s="214">
        <v>0</v>
      </c>
      <c r="G2797" s="8"/>
    </row>
    <row r="2798" spans="2:7" x14ac:dyDescent="0.2">
      <c r="B2798" s="8"/>
      <c r="C2798" s="5" t="s">
        <v>3941</v>
      </c>
      <c r="D2798" s="62">
        <v>1</v>
      </c>
      <c r="E2798" s="305">
        <v>105000</v>
      </c>
      <c r="F2798" s="214">
        <v>0</v>
      </c>
      <c r="G2798" s="8"/>
    </row>
    <row r="2799" spans="2:7" x14ac:dyDescent="0.2">
      <c r="B2799" s="8"/>
      <c r="C2799" s="5" t="s">
        <v>3940</v>
      </c>
      <c r="D2799" s="62">
        <v>1</v>
      </c>
      <c r="E2799" s="305">
        <v>338000</v>
      </c>
      <c r="F2799" s="214">
        <v>0</v>
      </c>
      <c r="G2799" s="7"/>
    </row>
    <row r="2800" spans="2:7" x14ac:dyDescent="0.2">
      <c r="B2800" s="8"/>
      <c r="C2800" s="5" t="s">
        <v>3939</v>
      </c>
      <c r="D2800" s="62">
        <v>1</v>
      </c>
      <c r="E2800" s="305">
        <v>338000</v>
      </c>
      <c r="F2800" s="214">
        <v>0</v>
      </c>
      <c r="G2800" s="7"/>
    </row>
    <row r="2801" spans="2:7" x14ac:dyDescent="0.2">
      <c r="B2801" s="186"/>
      <c r="C2801" s="5" t="s">
        <v>3938</v>
      </c>
      <c r="D2801" s="201">
        <v>1</v>
      </c>
      <c r="E2801" s="306">
        <v>387000</v>
      </c>
      <c r="F2801" s="203">
        <v>0</v>
      </c>
      <c r="G2801" s="216"/>
    </row>
    <row r="2802" spans="2:7" x14ac:dyDescent="0.2">
      <c r="B2802" s="186"/>
      <c r="C2802" s="187" t="s">
        <v>4403</v>
      </c>
      <c r="D2802" s="201">
        <v>1</v>
      </c>
      <c r="E2802" s="306">
        <v>103000</v>
      </c>
      <c r="F2802" s="203">
        <v>0</v>
      </c>
      <c r="G2802" s="216"/>
    </row>
    <row r="2803" spans="2:7" x14ac:dyDescent="0.2">
      <c r="B2803" s="186"/>
      <c r="C2803" s="187" t="s">
        <v>4659</v>
      </c>
      <c r="D2803" s="201">
        <v>1</v>
      </c>
      <c r="E2803" s="306">
        <v>120000</v>
      </c>
      <c r="F2803" s="203"/>
      <c r="G2803" s="216"/>
    </row>
    <row r="2804" spans="2:7" x14ac:dyDescent="0.2">
      <c r="B2804" s="186"/>
      <c r="C2804" s="187" t="s">
        <v>4658</v>
      </c>
      <c r="D2804" s="201">
        <v>1</v>
      </c>
      <c r="E2804" s="306">
        <v>330000</v>
      </c>
      <c r="F2804" s="203">
        <v>0</v>
      </c>
      <c r="G2804" s="216"/>
    </row>
    <row r="2805" spans="2:7" x14ac:dyDescent="0.2">
      <c r="B2805" s="173"/>
      <c r="C2805" s="5" t="s">
        <v>4593</v>
      </c>
      <c r="D2805" s="62">
        <v>6500</v>
      </c>
      <c r="E2805" s="307">
        <f>D2805*100</f>
        <v>650000</v>
      </c>
      <c r="F2805" s="214">
        <v>0</v>
      </c>
      <c r="G2805" s="51"/>
    </row>
    <row r="2806" spans="2:7" x14ac:dyDescent="0.2">
      <c r="B2806"/>
      <c r="D2806"/>
      <c r="E2806"/>
      <c r="F2806"/>
      <c r="G2806"/>
    </row>
    <row r="2807" spans="2:7" x14ac:dyDescent="0.2">
      <c r="B2807" s="200">
        <v>45716</v>
      </c>
      <c r="C2807" s="5" t="s">
        <v>3931</v>
      </c>
      <c r="D2807" s="62">
        <v>1</v>
      </c>
      <c r="E2807" s="171">
        <v>0</v>
      </c>
      <c r="F2807" s="171">
        <v>452000</v>
      </c>
      <c r="G2807" s="262" t="s">
        <v>4261</v>
      </c>
    </row>
    <row r="2808" spans="2:7" x14ac:dyDescent="0.2">
      <c r="B2808" s="200">
        <v>45719</v>
      </c>
      <c r="C2808" s="5" t="s">
        <v>3777</v>
      </c>
      <c r="D2808" s="62">
        <v>1</v>
      </c>
      <c r="E2808" s="171">
        <v>0</v>
      </c>
      <c r="F2808" s="171">
        <v>452000</v>
      </c>
      <c r="G2808" s="262" t="s">
        <v>4261</v>
      </c>
    </row>
    <row r="2809" spans="2:7" x14ac:dyDescent="0.2">
      <c r="B2809" s="200">
        <v>45749</v>
      </c>
      <c r="C2809" s="5" t="s">
        <v>3786</v>
      </c>
      <c r="D2809" s="271">
        <v>1</v>
      </c>
      <c r="E2809" s="202">
        <v>0</v>
      </c>
      <c r="F2809" s="203">
        <v>970000</v>
      </c>
      <c r="G2809" s="262" t="s">
        <v>4261</v>
      </c>
    </row>
    <row r="2810" spans="2:7" x14ac:dyDescent="0.2">
      <c r="B2810" s="200">
        <v>45782</v>
      </c>
      <c r="C2810" s="5" t="s">
        <v>4236</v>
      </c>
      <c r="D2810" s="201">
        <v>1</v>
      </c>
      <c r="E2810" s="202">
        <v>0</v>
      </c>
      <c r="F2810" s="203">
        <v>970000</v>
      </c>
      <c r="G2810" s="262" t="s">
        <v>4261</v>
      </c>
    </row>
    <row r="2811" spans="2:7" x14ac:dyDescent="0.2">
      <c r="B2811" s="200">
        <v>45812</v>
      </c>
      <c r="C2811" s="5" t="s">
        <v>3802</v>
      </c>
      <c r="D2811" s="201">
        <v>1</v>
      </c>
      <c r="E2811" s="202">
        <v>0</v>
      </c>
      <c r="F2811" s="203">
        <v>970000</v>
      </c>
      <c r="G2811" s="262" t="s">
        <v>4261</v>
      </c>
    </row>
    <row r="2812" spans="2:7" x14ac:dyDescent="0.2">
      <c r="B2812" s="200">
        <v>45842</v>
      </c>
      <c r="C2812" s="5" t="s">
        <v>4404</v>
      </c>
      <c r="D2812" s="201">
        <v>1</v>
      </c>
      <c r="E2812" s="202">
        <v>0</v>
      </c>
      <c r="F2812" s="203">
        <v>970000</v>
      </c>
      <c r="G2812" s="262" t="s">
        <v>4261</v>
      </c>
    </row>
    <row r="2813" spans="2:7" x14ac:dyDescent="0.2">
      <c r="B2813" s="200">
        <v>45877</v>
      </c>
      <c r="C2813" s="5" t="s">
        <v>3549</v>
      </c>
      <c r="D2813" s="201">
        <v>1</v>
      </c>
      <c r="E2813" s="202">
        <v>0</v>
      </c>
      <c r="F2813" s="203">
        <v>970000</v>
      </c>
      <c r="G2813" s="262" t="s">
        <v>4261</v>
      </c>
    </row>
    <row r="2814" spans="2:7" x14ac:dyDescent="0.2">
      <c r="B2814" s="200">
        <v>45917</v>
      </c>
      <c r="C2814" s="5" t="s">
        <v>4577</v>
      </c>
      <c r="D2814" s="201">
        <v>1</v>
      </c>
      <c r="E2814" s="202">
        <v>0</v>
      </c>
      <c r="F2814" s="203">
        <v>970000</v>
      </c>
      <c r="G2814" s="262" t="s">
        <v>4261</v>
      </c>
    </row>
    <row r="2815" spans="2:7" x14ac:dyDescent="0.2">
      <c r="B2815" s="200">
        <v>45933</v>
      </c>
      <c r="C2815" s="5" t="s">
        <v>4596</v>
      </c>
      <c r="D2815" s="201">
        <v>1</v>
      </c>
      <c r="E2815" s="202">
        <v>0</v>
      </c>
      <c r="F2815" s="203">
        <v>970000</v>
      </c>
      <c r="G2815" s="262" t="s">
        <v>4261</v>
      </c>
    </row>
    <row r="2816" spans="2:7" x14ac:dyDescent="0.2">
      <c r="B2816" s="200">
        <v>45967</v>
      </c>
      <c r="C2816" s="5" t="s">
        <v>4660</v>
      </c>
      <c r="D2816" s="201">
        <v>1</v>
      </c>
      <c r="E2816" s="202">
        <v>0</v>
      </c>
      <c r="F2816" s="203">
        <v>970000</v>
      </c>
      <c r="G2816" s="262" t="s">
        <v>4261</v>
      </c>
    </row>
    <row r="2817" spans="2:8" x14ac:dyDescent="0.2">
      <c r="C2817" s="1"/>
      <c r="D2817" s="1"/>
    </row>
    <row r="2818" spans="2:8" x14ac:dyDescent="0.2">
      <c r="B2818" s="200">
        <v>45917</v>
      </c>
      <c r="C2818" s="187" t="s">
        <v>3548</v>
      </c>
      <c r="D2818" s="201">
        <v>1</v>
      </c>
      <c r="E2818" s="218">
        <v>0</v>
      </c>
      <c r="F2818" s="203">
        <v>0</v>
      </c>
      <c r="G2818" s="215">
        <v>1365000</v>
      </c>
      <c r="H2818" s="158">
        <v>45933</v>
      </c>
    </row>
    <row r="2819" spans="2:8" x14ac:dyDescent="0.2">
      <c r="B2819" s="200">
        <v>45917</v>
      </c>
      <c r="C2819" s="5" t="s">
        <v>4579</v>
      </c>
      <c r="D2819" s="201">
        <v>1</v>
      </c>
      <c r="E2819" s="202">
        <v>0</v>
      </c>
      <c r="F2819" s="203">
        <v>0</v>
      </c>
      <c r="G2819" s="215">
        <v>970000</v>
      </c>
      <c r="H2819" s="158">
        <v>45933</v>
      </c>
    </row>
    <row r="2820" spans="2:8" x14ac:dyDescent="0.2">
      <c r="B2820" s="200">
        <v>45929</v>
      </c>
      <c r="C2820" s="187" t="s">
        <v>4594</v>
      </c>
      <c r="D2820" s="201">
        <v>1</v>
      </c>
      <c r="E2820" s="218">
        <v>0</v>
      </c>
      <c r="F2820" s="203">
        <v>1365000</v>
      </c>
      <c r="G2820" s="195" t="s">
        <v>3251</v>
      </c>
    </row>
    <row r="2821" spans="2:8" x14ac:dyDescent="0.2">
      <c r="B2821" s="200">
        <v>45933</v>
      </c>
      <c r="C2821" s="5" t="s">
        <v>4595</v>
      </c>
      <c r="D2821" s="201">
        <v>1</v>
      </c>
      <c r="E2821" s="202">
        <v>0</v>
      </c>
      <c r="F2821" s="203">
        <v>970000</v>
      </c>
      <c r="G2821" s="195" t="s">
        <v>3251</v>
      </c>
    </row>
    <row r="2822" spans="2:8" x14ac:dyDescent="0.2">
      <c r="B2822" s="200">
        <v>45967</v>
      </c>
      <c r="C2822" s="187" t="s">
        <v>4661</v>
      </c>
      <c r="D2822" s="201">
        <v>1</v>
      </c>
      <c r="E2822" s="218">
        <v>0</v>
      </c>
      <c r="F2822" s="203">
        <v>1365000</v>
      </c>
      <c r="G2822" s="195"/>
    </row>
    <row r="2823" spans="2:8" x14ac:dyDescent="0.2">
      <c r="B2823" s="200">
        <v>45967</v>
      </c>
      <c r="C2823" s="5" t="s">
        <v>4662</v>
      </c>
      <c r="D2823" s="201">
        <v>1</v>
      </c>
      <c r="E2823" s="202">
        <v>0</v>
      </c>
      <c r="F2823" s="203">
        <v>970000</v>
      </c>
      <c r="G2823" s="195"/>
    </row>
    <row r="2824" spans="2:8" x14ac:dyDescent="0.2">
      <c r="B2824" s="200">
        <v>45917</v>
      </c>
      <c r="C2824" s="187" t="s">
        <v>4580</v>
      </c>
      <c r="D2824" s="201">
        <v>1</v>
      </c>
      <c r="E2824" s="218">
        <v>0</v>
      </c>
      <c r="F2824" s="218">
        <v>0</v>
      </c>
      <c r="G2824" s="298">
        <v>450000</v>
      </c>
      <c r="H2824" s="158">
        <v>45934</v>
      </c>
    </row>
    <row r="2825" spans="2:8" x14ac:dyDescent="0.2">
      <c r="B2825" s="200">
        <v>45917</v>
      </c>
      <c r="C2825" s="5" t="s">
        <v>4581</v>
      </c>
      <c r="D2825" s="201">
        <v>1</v>
      </c>
      <c r="E2825" s="202">
        <v>0</v>
      </c>
      <c r="F2825" s="218">
        <v>0</v>
      </c>
      <c r="G2825" s="298">
        <v>472000</v>
      </c>
      <c r="H2825" s="158">
        <v>45934</v>
      </c>
    </row>
    <row r="2826" spans="2:8" x14ac:dyDescent="0.2">
      <c r="B2826" s="200">
        <v>45933</v>
      </c>
      <c r="C2826" s="187" t="s">
        <v>4597</v>
      </c>
      <c r="D2826" s="201">
        <v>1</v>
      </c>
      <c r="E2826" s="202">
        <v>1</v>
      </c>
      <c r="F2826" s="218">
        <v>0</v>
      </c>
      <c r="G2826" s="298">
        <v>845000</v>
      </c>
    </row>
    <row r="2827" spans="2:8" x14ac:dyDescent="0.2">
      <c r="B2827" s="200">
        <v>45967</v>
      </c>
      <c r="C2827" s="187" t="s">
        <v>4597</v>
      </c>
      <c r="D2827" s="201">
        <v>1</v>
      </c>
      <c r="E2827" s="202">
        <v>1</v>
      </c>
      <c r="F2827" s="218">
        <v>845000</v>
      </c>
      <c r="G2827" s="218"/>
    </row>
    <row r="2828" spans="2:8" x14ac:dyDescent="0.2">
      <c r="B2828"/>
      <c r="D2828"/>
      <c r="E2828"/>
      <c r="F2828"/>
      <c r="G2828"/>
    </row>
    <row r="2829" spans="2:8" x14ac:dyDescent="0.2">
      <c r="B2829" s="200">
        <v>45812</v>
      </c>
      <c r="C2829" s="187" t="s">
        <v>4351</v>
      </c>
      <c r="D2829" s="201">
        <v>1</v>
      </c>
      <c r="E2829" s="202">
        <v>0</v>
      </c>
      <c r="F2829" s="203">
        <v>120000</v>
      </c>
      <c r="G2829" s="195" t="s">
        <v>4263</v>
      </c>
    </row>
    <row r="2830" spans="2:8" x14ac:dyDescent="0.2">
      <c r="B2830" s="200">
        <v>45790</v>
      </c>
      <c r="C2830" s="187" t="s">
        <v>4259</v>
      </c>
      <c r="D2830" s="201">
        <v>1</v>
      </c>
      <c r="E2830" s="202">
        <v>0</v>
      </c>
      <c r="F2830" s="203">
        <v>20000000</v>
      </c>
      <c r="G2830" s="195" t="s">
        <v>3251</v>
      </c>
    </row>
    <row r="2831" spans="2:8" x14ac:dyDescent="0.2">
      <c r="B2831" s="200">
        <v>45799</v>
      </c>
      <c r="C2831" s="187" t="s">
        <v>4247</v>
      </c>
      <c r="D2831" s="201">
        <v>1</v>
      </c>
      <c r="E2831" s="202">
        <v>0</v>
      </c>
      <c r="F2831" s="203">
        <v>900000</v>
      </c>
      <c r="G2831" s="195" t="s">
        <v>4498</v>
      </c>
    </row>
    <row r="2832" spans="2:8" x14ac:dyDescent="0.2">
      <c r="B2832" s="200">
        <v>45799</v>
      </c>
      <c r="C2832" s="187" t="s">
        <v>4248</v>
      </c>
      <c r="D2832" s="201">
        <v>1</v>
      </c>
      <c r="E2832" s="202">
        <v>0</v>
      </c>
      <c r="F2832" s="203">
        <v>200000</v>
      </c>
      <c r="G2832" s="195" t="s">
        <v>4498</v>
      </c>
    </row>
    <row r="2833" spans="2:7" x14ac:dyDescent="0.2">
      <c r="B2833" s="200">
        <v>45799</v>
      </c>
      <c r="C2833" s="187" t="s">
        <v>4415</v>
      </c>
      <c r="D2833" s="201">
        <v>1</v>
      </c>
      <c r="E2833" s="202">
        <v>0</v>
      </c>
      <c r="F2833" s="203">
        <v>150000</v>
      </c>
      <c r="G2833" s="195" t="s">
        <v>4498</v>
      </c>
    </row>
    <row r="2834" spans="2:7" x14ac:dyDescent="0.2">
      <c r="B2834" s="200">
        <v>45799</v>
      </c>
      <c r="C2834" s="187" t="s">
        <v>4416</v>
      </c>
      <c r="D2834" s="201">
        <v>2</v>
      </c>
      <c r="E2834" s="202">
        <v>0</v>
      </c>
      <c r="F2834" s="203">
        <v>100000</v>
      </c>
      <c r="G2834" s="195" t="s">
        <v>4498</v>
      </c>
    </row>
    <row r="2835" spans="2:7" x14ac:dyDescent="0.2">
      <c r="B2835" s="200">
        <v>45799</v>
      </c>
      <c r="C2835" s="187" t="s">
        <v>4417</v>
      </c>
      <c r="D2835" s="201">
        <v>1</v>
      </c>
      <c r="E2835" s="202">
        <v>0</v>
      </c>
      <c r="F2835" s="203">
        <v>100000</v>
      </c>
      <c r="G2835" s="195" t="s">
        <v>4498</v>
      </c>
    </row>
    <row r="2836" spans="2:7" x14ac:dyDescent="0.2">
      <c r="B2836" s="200">
        <v>45799</v>
      </c>
      <c r="C2836" s="187" t="s">
        <v>4267</v>
      </c>
      <c r="D2836" s="201">
        <v>1</v>
      </c>
      <c r="E2836" s="202">
        <v>0</v>
      </c>
      <c r="F2836" s="203">
        <v>300000</v>
      </c>
      <c r="G2836" s="195" t="s">
        <v>4498</v>
      </c>
    </row>
    <row r="2837" spans="2:7" x14ac:dyDescent="0.2">
      <c r="B2837" s="200">
        <v>45799</v>
      </c>
      <c r="C2837" s="187" t="s">
        <v>4418</v>
      </c>
      <c r="D2837" s="201">
        <v>1</v>
      </c>
      <c r="E2837" s="202">
        <v>0</v>
      </c>
      <c r="F2837" s="203">
        <v>150000</v>
      </c>
      <c r="G2837" s="195" t="s">
        <v>4498</v>
      </c>
    </row>
    <row r="2838" spans="2:7" x14ac:dyDescent="0.2">
      <c r="B2838" s="200">
        <v>45783</v>
      </c>
      <c r="C2838" s="187" t="s">
        <v>4349</v>
      </c>
      <c r="D2838" s="201">
        <v>1</v>
      </c>
      <c r="E2838" s="202">
        <v>0</v>
      </c>
      <c r="F2838" s="203">
        <v>451300</v>
      </c>
      <c r="G2838" s="195" t="s">
        <v>3650</v>
      </c>
    </row>
    <row r="2839" spans="2:7" x14ac:dyDescent="0.2">
      <c r="B2839" s="200">
        <v>45821</v>
      </c>
      <c r="C2839" s="187" t="s">
        <v>4400</v>
      </c>
      <c r="D2839" s="201">
        <v>1</v>
      </c>
      <c r="E2839" s="202">
        <v>0</v>
      </c>
      <c r="F2839" s="203">
        <v>111000</v>
      </c>
      <c r="G2839" s="195" t="s">
        <v>4499</v>
      </c>
    </row>
    <row r="2840" spans="2:7" x14ac:dyDescent="0.2">
      <c r="B2840" s="200">
        <v>45828</v>
      </c>
      <c r="C2840" s="187" t="s">
        <v>4377</v>
      </c>
      <c r="D2840" s="201">
        <v>1</v>
      </c>
      <c r="E2840" s="202">
        <v>0</v>
      </c>
      <c r="F2840" s="203">
        <v>80000</v>
      </c>
      <c r="G2840" s="195" t="s">
        <v>4498</v>
      </c>
    </row>
    <row r="2841" spans="2:7" x14ac:dyDescent="0.2">
      <c r="B2841" s="200">
        <v>45832</v>
      </c>
      <c r="C2841" s="187" t="s">
        <v>4386</v>
      </c>
      <c r="D2841" s="201">
        <v>1</v>
      </c>
      <c r="E2841" s="202">
        <v>0</v>
      </c>
      <c r="F2841" s="203">
        <v>255000</v>
      </c>
      <c r="G2841" s="195" t="s">
        <v>3653</v>
      </c>
    </row>
    <row r="2842" spans="2:7" x14ac:dyDescent="0.2">
      <c r="B2842" s="200">
        <v>45823</v>
      </c>
      <c r="C2842" s="187" t="s">
        <v>4407</v>
      </c>
      <c r="D2842" s="201">
        <v>1</v>
      </c>
      <c r="E2842" s="202">
        <v>0</v>
      </c>
      <c r="F2842" s="203">
        <v>140000</v>
      </c>
      <c r="G2842" s="195" t="s">
        <v>3653</v>
      </c>
    </row>
    <row r="2843" spans="2:7" x14ac:dyDescent="0.2">
      <c r="B2843" s="200">
        <v>45832</v>
      </c>
      <c r="C2843" s="187" t="s">
        <v>4408</v>
      </c>
      <c r="D2843" s="201">
        <v>1</v>
      </c>
      <c r="E2843" s="202">
        <v>0</v>
      </c>
      <c r="F2843" s="203">
        <v>70000</v>
      </c>
      <c r="G2843" s="195" t="s">
        <v>3653</v>
      </c>
    </row>
    <row r="2844" spans="2:7" x14ac:dyDescent="0.2">
      <c r="B2844" s="200">
        <v>45839</v>
      </c>
      <c r="C2844" s="187" t="s">
        <v>4409</v>
      </c>
      <c r="D2844" s="201">
        <v>1</v>
      </c>
      <c r="E2844" s="202">
        <v>0</v>
      </c>
      <c r="F2844" s="203">
        <v>20000000</v>
      </c>
      <c r="G2844" s="195" t="s">
        <v>3650</v>
      </c>
    </row>
    <row r="2845" spans="2:7" x14ac:dyDescent="0.2">
      <c r="B2845" s="200">
        <v>45812</v>
      </c>
      <c r="C2845" s="187" t="s">
        <v>4414</v>
      </c>
      <c r="D2845" s="201">
        <v>1</v>
      </c>
      <c r="E2845" s="202">
        <v>0</v>
      </c>
      <c r="F2845" s="203" t="s">
        <v>4413</v>
      </c>
      <c r="G2845" s="195" t="s">
        <v>3650</v>
      </c>
    </row>
    <row r="2846" spans="2:7" x14ac:dyDescent="0.2">
      <c r="B2846" s="200"/>
      <c r="C2846" s="187"/>
      <c r="D2846" s="201"/>
      <c r="E2846" s="202"/>
      <c r="F2846" s="203"/>
      <c r="G2846" s="195"/>
    </row>
    <row r="2847" spans="2:7" x14ac:dyDescent="0.2">
      <c r="B2847" s="200">
        <v>45865</v>
      </c>
      <c r="C2847" s="187" t="s">
        <v>4421</v>
      </c>
      <c r="D2847" s="201">
        <v>2</v>
      </c>
      <c r="E2847" s="202">
        <v>0</v>
      </c>
      <c r="F2847" s="203">
        <v>500000</v>
      </c>
      <c r="G2847" s="195" t="s">
        <v>4498</v>
      </c>
    </row>
    <row r="2848" spans="2:7" x14ac:dyDescent="0.2">
      <c r="B2848" s="200">
        <v>45865</v>
      </c>
      <c r="C2848" s="187" t="s">
        <v>4422</v>
      </c>
      <c r="D2848" s="201">
        <v>2</v>
      </c>
      <c r="E2848" s="202">
        <v>0</v>
      </c>
      <c r="F2848" s="203">
        <v>150000</v>
      </c>
      <c r="G2848" s="195" t="s">
        <v>4498</v>
      </c>
    </row>
    <row r="2849" spans="2:7" x14ac:dyDescent="0.2">
      <c r="B2849" s="200">
        <v>45865</v>
      </c>
      <c r="C2849" s="187" t="s">
        <v>4423</v>
      </c>
      <c r="D2849" s="201">
        <v>1</v>
      </c>
      <c r="E2849" s="202">
        <v>0</v>
      </c>
      <c r="F2849" s="203">
        <v>100000</v>
      </c>
      <c r="G2849" s="195" t="s">
        <v>4498</v>
      </c>
    </row>
    <row r="2850" spans="2:7" x14ac:dyDescent="0.2">
      <c r="B2850" s="200">
        <v>45865</v>
      </c>
      <c r="C2850" s="187" t="s">
        <v>4424</v>
      </c>
      <c r="D2850" s="201">
        <v>1</v>
      </c>
      <c r="E2850" s="202">
        <v>0</v>
      </c>
      <c r="F2850" s="203">
        <v>95000</v>
      </c>
      <c r="G2850" s="195" t="s">
        <v>4498</v>
      </c>
    </row>
    <row r="2851" spans="2:7" x14ac:dyDescent="0.2">
      <c r="B2851" s="200">
        <v>45866</v>
      </c>
      <c r="C2851" s="187" t="s">
        <v>4425</v>
      </c>
      <c r="D2851" s="201">
        <v>1</v>
      </c>
      <c r="E2851" s="202">
        <v>0</v>
      </c>
      <c r="F2851" s="203">
        <v>120000</v>
      </c>
      <c r="G2851" s="195" t="s">
        <v>3653</v>
      </c>
    </row>
    <row r="2852" spans="2:7" x14ac:dyDescent="0.2">
      <c r="B2852" s="200"/>
      <c r="C2852" s="187"/>
      <c r="D2852" s="201"/>
      <c r="E2852" s="202"/>
      <c r="F2852" s="203"/>
      <c r="G2852" s="195"/>
    </row>
    <row r="2853" spans="2:7" x14ac:dyDescent="0.2">
      <c r="B2853" s="200">
        <v>45874</v>
      </c>
      <c r="C2853" s="187" t="s">
        <v>4501</v>
      </c>
      <c r="D2853" s="201">
        <v>1</v>
      </c>
      <c r="E2853" s="202">
        <v>0</v>
      </c>
      <c r="F2853" s="203">
        <v>510000</v>
      </c>
      <c r="G2853" s="195" t="s">
        <v>3653</v>
      </c>
    </row>
    <row r="2854" spans="2:7" x14ac:dyDescent="0.2">
      <c r="B2854" s="200"/>
      <c r="C2854" s="187"/>
      <c r="D2854" s="201"/>
      <c r="E2854" s="202"/>
      <c r="F2854" s="203"/>
      <c r="G2854" s="195"/>
    </row>
    <row r="2855" spans="2:7" x14ac:dyDescent="0.2">
      <c r="B2855" s="200">
        <v>45899</v>
      </c>
      <c r="C2855" s="187" t="s">
        <v>4520</v>
      </c>
      <c r="D2855" s="201">
        <v>350</v>
      </c>
      <c r="E2855" s="202">
        <v>0</v>
      </c>
      <c r="F2855" s="203">
        <f>D2855*500</f>
        <v>175000</v>
      </c>
      <c r="G2855" s="195" t="s">
        <v>3653</v>
      </c>
    </row>
    <row r="2856" spans="2:7" x14ac:dyDescent="0.2">
      <c r="B2856" s="200">
        <v>45881</v>
      </c>
      <c r="C2856" s="187" t="s">
        <v>4537</v>
      </c>
      <c r="D2856" s="201">
        <v>1</v>
      </c>
      <c r="E2856" s="202">
        <v>0</v>
      </c>
      <c r="F2856" s="203">
        <v>110000</v>
      </c>
      <c r="G2856" s="195" t="s">
        <v>3650</v>
      </c>
    </row>
    <row r="2857" spans="2:7" x14ac:dyDescent="0.2">
      <c r="B2857" s="200">
        <v>45885</v>
      </c>
      <c r="C2857" s="187" t="s">
        <v>4544</v>
      </c>
      <c r="D2857" s="201">
        <v>1</v>
      </c>
      <c r="E2857" s="202">
        <v>0</v>
      </c>
      <c r="F2857" s="203">
        <v>101000</v>
      </c>
      <c r="G2857" s="195" t="s">
        <v>3653</v>
      </c>
    </row>
    <row r="2858" spans="2:7" x14ac:dyDescent="0.2">
      <c r="B2858" s="200">
        <v>45890</v>
      </c>
      <c r="C2858" s="187" t="s">
        <v>4571</v>
      </c>
      <c r="D2858" s="201">
        <v>1</v>
      </c>
      <c r="E2858" s="202">
        <v>0</v>
      </c>
      <c r="F2858" s="203">
        <v>1000000</v>
      </c>
      <c r="G2858" s="195" t="s">
        <v>3650</v>
      </c>
    </row>
    <row r="2859" spans="2:7" x14ac:dyDescent="0.2">
      <c r="B2859" s="200">
        <v>45902</v>
      </c>
      <c r="C2859" s="187" t="s">
        <v>4600</v>
      </c>
      <c r="D2859" s="201">
        <v>1</v>
      </c>
      <c r="E2859" s="202">
        <v>0</v>
      </c>
      <c r="F2859" s="203">
        <v>210000</v>
      </c>
      <c r="G2859" s="195"/>
    </row>
    <row r="2860" spans="2:7" x14ac:dyDescent="0.2">
      <c r="B2860" s="200">
        <v>45921</v>
      </c>
      <c r="C2860" s="187" t="s">
        <v>4622</v>
      </c>
      <c r="D2860" s="201">
        <v>1</v>
      </c>
      <c r="E2860" s="202">
        <v>0</v>
      </c>
      <c r="F2860" s="203">
        <v>450000</v>
      </c>
      <c r="G2860" s="195"/>
    </row>
    <row r="2861" spans="2:7" x14ac:dyDescent="0.2">
      <c r="B2861" s="200">
        <v>45926</v>
      </c>
      <c r="C2861" s="187" t="s">
        <v>4631</v>
      </c>
      <c r="D2861" s="201">
        <v>1</v>
      </c>
      <c r="E2861" s="202">
        <v>0</v>
      </c>
      <c r="F2861" s="203">
        <v>100000</v>
      </c>
      <c r="G2861" s="195"/>
    </row>
    <row r="2862" spans="2:7" x14ac:dyDescent="0.2">
      <c r="B2862" s="200">
        <v>45932</v>
      </c>
      <c r="C2862" s="187" t="s">
        <v>4653</v>
      </c>
      <c r="D2862" s="201">
        <v>1</v>
      </c>
      <c r="E2862" s="202">
        <v>0</v>
      </c>
      <c r="F2862" s="203">
        <v>3000000</v>
      </c>
      <c r="G2862" s="195"/>
    </row>
    <row r="2863" spans="2:7" x14ac:dyDescent="0.2">
      <c r="B2863" s="200"/>
      <c r="C2863" s="187"/>
      <c r="D2863" s="201"/>
      <c r="E2863" s="202"/>
      <c r="F2863" s="203"/>
      <c r="G2863" s="195"/>
    </row>
    <row r="2864" spans="2:7" x14ac:dyDescent="0.2">
      <c r="B2864" s="200">
        <v>45941</v>
      </c>
      <c r="C2864" s="187" t="s">
        <v>4668</v>
      </c>
      <c r="D2864" s="201">
        <v>1</v>
      </c>
      <c r="E2864" s="202">
        <v>0</v>
      </c>
      <c r="F2864" s="203">
        <v>504000</v>
      </c>
      <c r="G2864" s="195"/>
    </row>
    <row r="2865" spans="2:7" x14ac:dyDescent="0.2">
      <c r="B2865" s="200">
        <v>45958</v>
      </c>
      <c r="C2865" s="187" t="s">
        <v>4686</v>
      </c>
      <c r="D2865" s="201">
        <v>1</v>
      </c>
      <c r="E2865" s="202">
        <v>0</v>
      </c>
      <c r="F2865" s="203">
        <v>150000</v>
      </c>
      <c r="G2865" s="195"/>
    </row>
    <row r="2866" spans="2:7" x14ac:dyDescent="0.2">
      <c r="B2866" s="200">
        <v>45958</v>
      </c>
      <c r="C2866" s="187" t="s">
        <v>4687</v>
      </c>
      <c r="D2866" s="201">
        <v>1</v>
      </c>
      <c r="E2866" s="202">
        <v>0</v>
      </c>
      <c r="F2866" s="203">
        <v>50000</v>
      </c>
      <c r="G2866" s="195"/>
    </row>
    <row r="2867" spans="2:7" x14ac:dyDescent="0.2">
      <c r="B2867" s="200">
        <v>45968</v>
      </c>
      <c r="C2867" s="187" t="s">
        <v>4697</v>
      </c>
      <c r="D2867" s="201">
        <v>1</v>
      </c>
      <c r="E2867" s="202">
        <v>0</v>
      </c>
      <c r="F2867" s="203">
        <v>450000</v>
      </c>
      <c r="G2867" s="195"/>
    </row>
    <row r="2868" spans="2:7" ht="14" customHeight="1" x14ac:dyDescent="0.2">
      <c r="B2868" s="200">
        <v>45969</v>
      </c>
      <c r="C2868" s="187" t="s">
        <v>4706</v>
      </c>
      <c r="D2868" s="201">
        <v>1</v>
      </c>
      <c r="E2868" s="202">
        <v>0</v>
      </c>
      <c r="F2868" s="203">
        <v>1100000</v>
      </c>
      <c r="G2868" s="195"/>
    </row>
    <row r="2869" spans="2:7" x14ac:dyDescent="0.2">
      <c r="B2869" s="200"/>
      <c r="G2869" s="195"/>
    </row>
    <row r="2870" spans="2:7" x14ac:dyDescent="0.2">
      <c r="B2870" s="200">
        <v>45945</v>
      </c>
      <c r="C2870" s="187" t="s">
        <v>4712</v>
      </c>
      <c r="D2870" s="201">
        <v>813</v>
      </c>
      <c r="E2870" s="202">
        <v>0</v>
      </c>
      <c r="F2870" s="203">
        <f>D2870*100</f>
        <v>81300</v>
      </c>
      <c r="G2870" s="195"/>
    </row>
    <row r="2871" spans="2:7" x14ac:dyDescent="0.2">
      <c r="B2871" s="200">
        <v>45945</v>
      </c>
      <c r="C2871" s="187" t="s">
        <v>4708</v>
      </c>
      <c r="D2871" s="201">
        <v>5619</v>
      </c>
      <c r="E2871" s="202">
        <v>0</v>
      </c>
      <c r="F2871" s="203">
        <f>D2871*100</f>
        <v>561900</v>
      </c>
      <c r="G2871" s="195"/>
    </row>
    <row r="2872" spans="2:7" x14ac:dyDescent="0.2">
      <c r="B2872" s="200">
        <v>45945</v>
      </c>
      <c r="C2872" s="187" t="s">
        <v>4709</v>
      </c>
      <c r="D2872" s="201">
        <v>300</v>
      </c>
      <c r="E2872" s="202">
        <v>0</v>
      </c>
      <c r="F2872" s="203">
        <f t="shared" ref="F2872:F2875" si="4">D2872*100</f>
        <v>30000</v>
      </c>
      <c r="G2872" s="195"/>
    </row>
    <row r="2873" spans="2:7" x14ac:dyDescent="0.2">
      <c r="B2873" s="200">
        <v>45945</v>
      </c>
      <c r="C2873" s="187" t="s">
        <v>4710</v>
      </c>
      <c r="D2873" s="201">
        <v>250</v>
      </c>
      <c r="E2873" s="202">
        <v>0</v>
      </c>
      <c r="F2873" s="203">
        <f t="shared" si="4"/>
        <v>25000</v>
      </c>
      <c r="G2873" s="195"/>
    </row>
    <row r="2874" spans="2:7" x14ac:dyDescent="0.2">
      <c r="B2874" s="200">
        <v>45945</v>
      </c>
      <c r="C2874" s="187" t="s">
        <v>4711</v>
      </c>
      <c r="D2874" s="201">
        <v>273</v>
      </c>
      <c r="E2874" s="202">
        <v>0</v>
      </c>
      <c r="F2874" s="203">
        <f t="shared" si="4"/>
        <v>27300</v>
      </c>
      <c r="G2874" s="195"/>
    </row>
    <row r="2875" spans="2:7" x14ac:dyDescent="0.2">
      <c r="B2875" s="200">
        <v>45945</v>
      </c>
      <c r="C2875" s="187" t="s">
        <v>4713</v>
      </c>
      <c r="D2875" s="201">
        <v>1031</v>
      </c>
      <c r="E2875" s="202">
        <v>0</v>
      </c>
      <c r="F2875" s="203">
        <f t="shared" si="4"/>
        <v>103100</v>
      </c>
      <c r="G2875" s="195"/>
    </row>
    <row r="2876" spans="2:7" x14ac:dyDescent="0.2">
      <c r="B2876" s="200"/>
      <c r="C2876" s="187"/>
      <c r="D2876" s="201"/>
      <c r="E2876" s="202"/>
      <c r="F2876" s="203"/>
      <c r="G2876" s="195"/>
    </row>
    <row r="2877" spans="2:7" x14ac:dyDescent="0.2">
      <c r="B2877" s="200">
        <v>45881</v>
      </c>
      <c r="C2877" s="187" t="s">
        <v>4721</v>
      </c>
      <c r="D2877" s="201">
        <v>1</v>
      </c>
      <c r="E2877" s="202">
        <v>0</v>
      </c>
      <c r="F2877" s="203">
        <v>546600</v>
      </c>
      <c r="G2877" s="195"/>
    </row>
    <row r="2878" spans="2:7" x14ac:dyDescent="0.2">
      <c r="B2878" s="200">
        <v>45926</v>
      </c>
      <c r="C2878" s="187" t="s">
        <v>4724</v>
      </c>
      <c r="D2878" s="201">
        <v>1</v>
      </c>
      <c r="E2878" s="202">
        <v>0</v>
      </c>
      <c r="F2878" s="203">
        <v>546600</v>
      </c>
      <c r="G2878" s="195"/>
    </row>
    <row r="2879" spans="2:7" x14ac:dyDescent="0.2">
      <c r="B2879" s="200">
        <v>45883</v>
      </c>
      <c r="C2879" s="187" t="s">
        <v>4722</v>
      </c>
      <c r="D2879" s="201">
        <v>1</v>
      </c>
      <c r="E2879" s="202">
        <v>0</v>
      </c>
      <c r="F2879" s="203">
        <v>450000</v>
      </c>
      <c r="G2879" s="195"/>
    </row>
    <row r="2880" spans="2:7" x14ac:dyDescent="0.2">
      <c r="B2880" s="200">
        <v>45954</v>
      </c>
      <c r="C2880" s="187" t="s">
        <v>4722</v>
      </c>
      <c r="D2880" s="201">
        <v>1</v>
      </c>
      <c r="E2880" s="202">
        <v>0</v>
      </c>
      <c r="F2880" s="203">
        <v>450000</v>
      </c>
      <c r="G2880" s="195"/>
    </row>
    <row r="2881" spans="2:7" x14ac:dyDescent="0.2">
      <c r="B2881" s="200">
        <v>45874</v>
      </c>
      <c r="C2881" s="187" t="s">
        <v>4723</v>
      </c>
      <c r="D2881" s="201">
        <v>1</v>
      </c>
      <c r="E2881" s="202">
        <v>0</v>
      </c>
      <c r="F2881" s="203">
        <v>451000</v>
      </c>
      <c r="G2881" s="195"/>
    </row>
    <row r="2882" spans="2:7" x14ac:dyDescent="0.2">
      <c r="B2882" s="200">
        <v>45944</v>
      </c>
      <c r="C2882" s="187" t="s">
        <v>4725</v>
      </c>
      <c r="D2882" s="201">
        <v>1</v>
      </c>
      <c r="E2882" s="202">
        <v>0</v>
      </c>
      <c r="F2882" s="203">
        <v>300000</v>
      </c>
      <c r="G2882" s="195"/>
    </row>
    <row r="2883" spans="2:7" x14ac:dyDescent="0.2">
      <c r="B2883" s="200"/>
      <c r="C2883" s="187"/>
      <c r="D2883" s="201"/>
      <c r="E2883" s="202"/>
      <c r="F2883" s="203"/>
      <c r="G2883" s="195"/>
    </row>
    <row r="2884" spans="2:7" x14ac:dyDescent="0.2">
      <c r="B2884" s="200"/>
      <c r="C2884" s="187"/>
      <c r="D2884" s="201"/>
      <c r="E2884" s="202"/>
      <c r="F2884" s="203"/>
      <c r="G2884" s="195"/>
    </row>
    <row r="2885" spans="2:7" x14ac:dyDescent="0.2">
      <c r="B2885" s="200"/>
      <c r="C2885" s="187"/>
      <c r="D2885" s="201"/>
      <c r="E2885" s="202"/>
      <c r="F2885" s="203"/>
      <c r="G2885" s="195"/>
    </row>
    <row r="2886" spans="2:7" x14ac:dyDescent="0.2">
      <c r="B2886" s="200"/>
      <c r="C2886" s="187"/>
      <c r="D2886" s="201"/>
      <c r="E2886" s="202"/>
      <c r="F2886" s="203"/>
      <c r="G2886" s="195"/>
    </row>
    <row r="2887" spans="2:7" x14ac:dyDescent="0.2">
      <c r="B2887" s="200"/>
      <c r="C2887" s="187"/>
      <c r="D2887" s="201"/>
      <c r="E2887" s="202"/>
      <c r="F2887" s="203"/>
      <c r="G2887" s="195"/>
    </row>
    <row r="2888" spans="2:7" x14ac:dyDescent="0.2">
      <c r="B2888" s="285"/>
      <c r="C2888" s="283" t="s">
        <v>4574</v>
      </c>
      <c r="D2888" s="284">
        <v>1</v>
      </c>
      <c r="E2888" s="181">
        <v>0</v>
      </c>
      <c r="F2888" s="181">
        <f>59000000*1.85%</f>
        <v>1091500.0000000002</v>
      </c>
      <c r="G2888" s="286"/>
    </row>
    <row r="2889" spans="2:7" x14ac:dyDescent="0.2">
      <c r="B2889" s="285"/>
      <c r="C2889" s="283" t="s">
        <v>4575</v>
      </c>
      <c r="D2889" s="284">
        <v>1</v>
      </c>
      <c r="E2889" s="181">
        <v>0</v>
      </c>
      <c r="F2889" s="181">
        <f>57000000*1.85%</f>
        <v>1054500.0000000002</v>
      </c>
      <c r="G2889" s="286"/>
    </row>
    <row r="2890" spans="2:7" x14ac:dyDescent="0.2">
      <c r="B2890" s="285"/>
      <c r="C2890" s="283" t="s">
        <v>4582</v>
      </c>
      <c r="D2890" s="284">
        <v>1</v>
      </c>
      <c r="E2890" s="181">
        <v>0</v>
      </c>
      <c r="F2890" s="181">
        <f>55000000*1.85%</f>
        <v>1017500.0000000001</v>
      </c>
      <c r="G2890" s="286"/>
    </row>
    <row r="2891" spans="2:7" x14ac:dyDescent="0.2">
      <c r="B2891" s="285"/>
      <c r="C2891" s="283" t="s">
        <v>4719</v>
      </c>
      <c r="D2891" s="284">
        <v>1</v>
      </c>
      <c r="E2891" s="181">
        <v>0</v>
      </c>
      <c r="F2891" s="181">
        <f>59000000*1.85%</f>
        <v>1091500.0000000002</v>
      </c>
      <c r="G2891" s="286"/>
    </row>
    <row r="2892" spans="2:7" x14ac:dyDescent="0.2">
      <c r="B2892" s="285"/>
      <c r="C2892" s="283" t="s">
        <v>4720</v>
      </c>
      <c r="D2892" s="284">
        <v>1</v>
      </c>
      <c r="E2892" s="181">
        <v>0</v>
      </c>
      <c r="F2892" s="181">
        <f>71000000*1.85%</f>
        <v>1313500.0000000002</v>
      </c>
      <c r="G2892" s="286"/>
    </row>
    <row r="2893" spans="2:7" x14ac:dyDescent="0.2">
      <c r="B2893" s="29"/>
      <c r="C2893" s="29"/>
      <c r="D2893" s="68"/>
      <c r="E2893" s="13"/>
      <c r="F2893" s="13"/>
      <c r="G2893" s="29"/>
    </row>
    <row r="2894" spans="2:7" x14ac:dyDescent="0.2">
      <c r="E2894" s="9">
        <f>SUM(E2790:E2893)</f>
        <v>7316502</v>
      </c>
      <c r="F2894" s="9">
        <f>SUM(F2790:F2893)</f>
        <v>75322600</v>
      </c>
      <c r="G2894" s="9"/>
    </row>
    <row r="2895" spans="2:7" x14ac:dyDescent="0.2">
      <c r="E2895" s="3">
        <f>7500000-E2894</f>
        <v>183498</v>
      </c>
    </row>
    <row r="2900" spans="2:7" ht="26" x14ac:dyDescent="0.3">
      <c r="B2900" s="12"/>
      <c r="C2900" s="391" t="s">
        <v>4726</v>
      </c>
      <c r="D2900" s="391"/>
      <c r="E2900" s="391"/>
      <c r="F2900" s="391"/>
      <c r="G2900" s="391"/>
    </row>
    <row r="2901" spans="2:7" x14ac:dyDescent="0.2">
      <c r="B2901" s="12"/>
      <c r="C2901" s="29" t="s">
        <v>82</v>
      </c>
      <c r="D2901" s="11">
        <v>1</v>
      </c>
      <c r="E2901" s="12" t="s">
        <v>1</v>
      </c>
      <c r="F2901" s="12" t="s">
        <v>3140</v>
      </c>
      <c r="G2901" s="12" t="s">
        <v>3657</v>
      </c>
    </row>
    <row r="2902" spans="2:7" x14ac:dyDescent="0.2">
      <c r="B2902" s="8"/>
      <c r="C2902" s="5" t="s">
        <v>3525</v>
      </c>
      <c r="D2902" s="62">
        <v>1</v>
      </c>
      <c r="E2902" s="28">
        <v>2000000</v>
      </c>
      <c r="F2902" s="214">
        <v>0</v>
      </c>
      <c r="G2902" s="7"/>
    </row>
    <row r="2903" spans="2:7" x14ac:dyDescent="0.2">
      <c r="B2903" s="8"/>
      <c r="C2903" s="5" t="s">
        <v>3757</v>
      </c>
      <c r="D2903" s="62">
        <v>1</v>
      </c>
      <c r="E2903" s="28">
        <v>750000</v>
      </c>
      <c r="F2903" s="214">
        <v>0</v>
      </c>
      <c r="G2903" s="8"/>
    </row>
    <row r="2904" spans="2:7" x14ac:dyDescent="0.2">
      <c r="B2904" s="8"/>
      <c r="C2904" s="5" t="s">
        <v>3526</v>
      </c>
      <c r="D2904" s="62">
        <v>1</v>
      </c>
      <c r="E2904" s="28">
        <v>500000</v>
      </c>
      <c r="F2904" s="214">
        <v>0</v>
      </c>
      <c r="G2904" s="8"/>
    </row>
    <row r="2905" spans="2:7" x14ac:dyDescent="0.2">
      <c r="B2905" s="8"/>
      <c r="C2905" s="5" t="s">
        <v>3297</v>
      </c>
      <c r="D2905" s="62">
        <v>1</v>
      </c>
      <c r="E2905" s="28">
        <v>45000</v>
      </c>
      <c r="F2905" s="214">
        <v>0</v>
      </c>
      <c r="G2905" s="8"/>
    </row>
    <row r="2906" spans="2:7" x14ac:dyDescent="0.2">
      <c r="B2906" s="173"/>
      <c r="C2906" s="5" t="s">
        <v>3928</v>
      </c>
      <c r="D2906" s="62">
        <v>1</v>
      </c>
      <c r="E2906" s="305">
        <v>925000</v>
      </c>
      <c r="F2906" s="214">
        <v>0</v>
      </c>
      <c r="G2906" s="8"/>
    </row>
    <row r="2907" spans="2:7" x14ac:dyDescent="0.2">
      <c r="B2907" s="200"/>
      <c r="C2907" s="5" t="s">
        <v>4076</v>
      </c>
      <c r="D2907" s="201">
        <v>1</v>
      </c>
      <c r="E2907" s="305">
        <f>21000000*1.85%</f>
        <v>388500.00000000006</v>
      </c>
      <c r="F2907" s="214">
        <v>0</v>
      </c>
      <c r="G2907" s="8"/>
    </row>
    <row r="2908" spans="2:7" x14ac:dyDescent="0.2">
      <c r="B2908" s="200"/>
      <c r="C2908" s="5" t="s">
        <v>4064</v>
      </c>
      <c r="D2908" s="201">
        <v>1</v>
      </c>
      <c r="E2908" s="305">
        <f>1500000*3%</f>
        <v>45000</v>
      </c>
      <c r="F2908" s="203">
        <v>0</v>
      </c>
      <c r="G2908" s="186"/>
    </row>
    <row r="2909" spans="2:7" x14ac:dyDescent="0.2">
      <c r="B2909" s="8"/>
      <c r="C2909" s="5" t="s">
        <v>3942</v>
      </c>
      <c r="D2909" s="62">
        <v>1</v>
      </c>
      <c r="E2909" s="305">
        <v>442000</v>
      </c>
      <c r="F2909" s="214">
        <v>0</v>
      </c>
      <c r="G2909" s="8"/>
    </row>
    <row r="2910" spans="2:7" x14ac:dyDescent="0.2">
      <c r="B2910" s="8"/>
      <c r="C2910" s="5" t="s">
        <v>3941</v>
      </c>
      <c r="D2910" s="62">
        <v>1</v>
      </c>
      <c r="E2910" s="305">
        <v>105000</v>
      </c>
      <c r="F2910" s="214">
        <v>0</v>
      </c>
      <c r="G2910" s="8"/>
    </row>
    <row r="2911" spans="2:7" x14ac:dyDescent="0.2">
      <c r="B2911" s="8"/>
      <c r="C2911" s="5" t="s">
        <v>3940</v>
      </c>
      <c r="D2911" s="62">
        <v>1</v>
      </c>
      <c r="E2911" s="305">
        <v>338000</v>
      </c>
      <c r="F2911" s="214">
        <v>0</v>
      </c>
      <c r="G2911" s="7"/>
    </row>
    <row r="2912" spans="2:7" x14ac:dyDescent="0.2">
      <c r="B2912" s="8"/>
      <c r="C2912" s="5" t="s">
        <v>3939</v>
      </c>
      <c r="D2912" s="62">
        <v>1</v>
      </c>
      <c r="E2912" s="305">
        <v>338000</v>
      </c>
      <c r="F2912" s="214">
        <v>0</v>
      </c>
      <c r="G2912" s="7"/>
    </row>
    <row r="2913" spans="2:7" x14ac:dyDescent="0.2">
      <c r="B2913" s="186"/>
      <c r="C2913" s="5" t="s">
        <v>3938</v>
      </c>
      <c r="D2913" s="201">
        <v>1</v>
      </c>
      <c r="E2913" s="306">
        <v>387000</v>
      </c>
      <c r="F2913" s="203">
        <v>0</v>
      </c>
      <c r="G2913" s="216"/>
    </row>
    <row r="2914" spans="2:7" x14ac:dyDescent="0.2">
      <c r="B2914" s="186"/>
      <c r="C2914" s="187" t="s">
        <v>4403</v>
      </c>
      <c r="D2914" s="201">
        <v>1</v>
      </c>
      <c r="E2914" s="306">
        <v>103000</v>
      </c>
      <c r="F2914" s="203">
        <v>0</v>
      </c>
      <c r="G2914" s="216"/>
    </row>
    <row r="2915" spans="2:7" x14ac:dyDescent="0.2">
      <c r="B2915" s="186"/>
      <c r="C2915" s="187" t="s">
        <v>4767</v>
      </c>
      <c r="D2915" s="201">
        <v>1</v>
      </c>
      <c r="E2915" s="306">
        <v>330000</v>
      </c>
      <c r="F2915" s="203">
        <v>0</v>
      </c>
      <c r="G2915" s="216"/>
    </row>
    <row r="2916" spans="2:7" x14ac:dyDescent="0.2">
      <c r="B2916" s="173"/>
      <c r="C2916" s="5" t="s">
        <v>4727</v>
      </c>
      <c r="D2916" s="62">
        <v>8500</v>
      </c>
      <c r="E2916" s="307">
        <f>D2916*100</f>
        <v>850000</v>
      </c>
      <c r="F2916" s="214">
        <v>0</v>
      </c>
      <c r="G2916" s="51"/>
    </row>
    <row r="2917" spans="2:7" x14ac:dyDescent="0.2">
      <c r="B2917"/>
      <c r="D2917"/>
      <c r="E2917"/>
      <c r="F2917"/>
      <c r="G2917"/>
    </row>
    <row r="2918" spans="2:7" x14ac:dyDescent="0.2">
      <c r="B2918" s="200">
        <v>45716</v>
      </c>
      <c r="C2918" s="5" t="s">
        <v>3931</v>
      </c>
      <c r="D2918" s="62">
        <v>1</v>
      </c>
      <c r="E2918" s="171">
        <v>0</v>
      </c>
      <c r="F2918" s="171">
        <v>452000</v>
      </c>
      <c r="G2918" s="262" t="s">
        <v>4261</v>
      </c>
    </row>
    <row r="2919" spans="2:7" x14ac:dyDescent="0.2">
      <c r="B2919" s="200">
        <v>45719</v>
      </c>
      <c r="C2919" s="5" t="s">
        <v>3777</v>
      </c>
      <c r="D2919" s="62">
        <v>1</v>
      </c>
      <c r="E2919" s="171">
        <v>0</v>
      </c>
      <c r="F2919" s="171">
        <v>452000</v>
      </c>
      <c r="G2919" s="262" t="s">
        <v>4261</v>
      </c>
    </row>
    <row r="2920" spans="2:7" x14ac:dyDescent="0.2">
      <c r="B2920" s="200">
        <v>45749</v>
      </c>
      <c r="C2920" s="5" t="s">
        <v>3786</v>
      </c>
      <c r="D2920" s="271">
        <v>1</v>
      </c>
      <c r="E2920" s="202">
        <v>0</v>
      </c>
      <c r="F2920" s="203">
        <v>970000</v>
      </c>
      <c r="G2920" s="262" t="s">
        <v>4261</v>
      </c>
    </row>
    <row r="2921" spans="2:7" x14ac:dyDescent="0.2">
      <c r="B2921" s="200">
        <v>45782</v>
      </c>
      <c r="C2921" s="5" t="s">
        <v>4236</v>
      </c>
      <c r="D2921" s="201">
        <v>1</v>
      </c>
      <c r="E2921" s="202">
        <v>0</v>
      </c>
      <c r="F2921" s="203">
        <v>970000</v>
      </c>
      <c r="G2921" s="262" t="s">
        <v>4261</v>
      </c>
    </row>
    <row r="2922" spans="2:7" x14ac:dyDescent="0.2">
      <c r="B2922" s="200">
        <v>45812</v>
      </c>
      <c r="C2922" s="5" t="s">
        <v>3802</v>
      </c>
      <c r="D2922" s="201">
        <v>1</v>
      </c>
      <c r="E2922" s="202">
        <v>0</v>
      </c>
      <c r="F2922" s="203">
        <v>970000</v>
      </c>
      <c r="G2922" s="262" t="s">
        <v>4261</v>
      </c>
    </row>
    <row r="2923" spans="2:7" x14ac:dyDescent="0.2">
      <c r="B2923" s="200">
        <v>45842</v>
      </c>
      <c r="C2923" s="5" t="s">
        <v>4404</v>
      </c>
      <c r="D2923" s="201">
        <v>1</v>
      </c>
      <c r="E2923" s="202">
        <v>0</v>
      </c>
      <c r="F2923" s="203">
        <v>970000</v>
      </c>
      <c r="G2923" s="262" t="s">
        <v>4261</v>
      </c>
    </row>
    <row r="2924" spans="2:7" x14ac:dyDescent="0.2">
      <c r="B2924" s="200">
        <v>45877</v>
      </c>
      <c r="C2924" s="5" t="s">
        <v>3549</v>
      </c>
      <c r="D2924" s="201">
        <v>1</v>
      </c>
      <c r="E2924" s="202">
        <v>0</v>
      </c>
      <c r="F2924" s="203">
        <v>970000</v>
      </c>
      <c r="G2924" s="262" t="s">
        <v>4261</v>
      </c>
    </row>
    <row r="2925" spans="2:7" x14ac:dyDescent="0.2">
      <c r="B2925" s="200">
        <v>45917</v>
      </c>
      <c r="C2925" s="5" t="s">
        <v>4577</v>
      </c>
      <c r="D2925" s="201">
        <v>1</v>
      </c>
      <c r="E2925" s="202">
        <v>0</v>
      </c>
      <c r="F2925" s="203">
        <v>970000</v>
      </c>
      <c r="G2925" s="262" t="s">
        <v>4261</v>
      </c>
    </row>
    <row r="2926" spans="2:7" x14ac:dyDescent="0.2">
      <c r="B2926" s="200">
        <v>45933</v>
      </c>
      <c r="C2926" s="5" t="s">
        <v>4596</v>
      </c>
      <c r="D2926" s="201">
        <v>1</v>
      </c>
      <c r="E2926" s="202">
        <v>0</v>
      </c>
      <c r="F2926" s="203">
        <v>970000</v>
      </c>
      <c r="G2926" s="262" t="s">
        <v>4261</v>
      </c>
    </row>
    <row r="2927" spans="2:7" x14ac:dyDescent="0.2">
      <c r="B2927" s="200">
        <v>45967</v>
      </c>
      <c r="C2927" s="5" t="s">
        <v>4660</v>
      </c>
      <c r="D2927" s="201">
        <v>1</v>
      </c>
      <c r="E2927" s="202">
        <v>0</v>
      </c>
      <c r="F2927" s="203">
        <v>970000</v>
      </c>
      <c r="G2927" s="262" t="s">
        <v>4261</v>
      </c>
    </row>
    <row r="2928" spans="2:7" x14ac:dyDescent="0.2">
      <c r="B2928" s="200">
        <v>45994</v>
      </c>
      <c r="C2928" s="5" t="s">
        <v>4797</v>
      </c>
      <c r="D2928" s="201">
        <v>1</v>
      </c>
      <c r="E2928" s="202">
        <v>0</v>
      </c>
      <c r="F2928" s="203">
        <v>970000</v>
      </c>
      <c r="G2928" s="262" t="s">
        <v>4261</v>
      </c>
    </row>
    <row r="2929" spans="2:8" x14ac:dyDescent="0.2">
      <c r="B2929" s="200">
        <v>45994</v>
      </c>
      <c r="C2929" s="5" t="s">
        <v>4798</v>
      </c>
      <c r="D2929" s="201">
        <v>1</v>
      </c>
      <c r="E2929" s="202">
        <v>0</v>
      </c>
      <c r="F2929" s="203">
        <v>970000</v>
      </c>
      <c r="G2929" s="262" t="s">
        <v>4261</v>
      </c>
    </row>
    <row r="2930" spans="2:8" x14ac:dyDescent="0.2">
      <c r="C2930" s="1"/>
      <c r="D2930" s="1"/>
    </row>
    <row r="2931" spans="2:8" x14ac:dyDescent="0.2">
      <c r="B2931" s="200">
        <v>45929</v>
      </c>
      <c r="C2931" s="187" t="s">
        <v>4594</v>
      </c>
      <c r="D2931" s="201">
        <v>1</v>
      </c>
      <c r="E2931" s="218">
        <v>0</v>
      </c>
      <c r="F2931" s="203">
        <v>0</v>
      </c>
      <c r="G2931" s="215">
        <v>1365000</v>
      </c>
      <c r="H2931" s="158">
        <v>45971</v>
      </c>
    </row>
    <row r="2932" spans="2:8" x14ac:dyDescent="0.2">
      <c r="B2932" s="200">
        <v>45933</v>
      </c>
      <c r="C2932" s="5" t="s">
        <v>4595</v>
      </c>
      <c r="D2932" s="201">
        <v>1</v>
      </c>
      <c r="E2932" s="202">
        <v>0</v>
      </c>
      <c r="F2932" s="203">
        <v>0</v>
      </c>
      <c r="G2932" s="215">
        <v>970000</v>
      </c>
      <c r="H2932" s="158">
        <v>45971</v>
      </c>
    </row>
    <row r="2933" spans="2:8" x14ac:dyDescent="0.2">
      <c r="B2933" s="200">
        <v>45967</v>
      </c>
      <c r="C2933" s="187" t="s">
        <v>4661</v>
      </c>
      <c r="D2933" s="201">
        <v>1</v>
      </c>
      <c r="E2933" s="218">
        <v>0</v>
      </c>
      <c r="F2933" s="203">
        <v>0</v>
      </c>
      <c r="G2933" s="215">
        <v>1365000</v>
      </c>
      <c r="H2933" s="158">
        <v>45992</v>
      </c>
    </row>
    <row r="2934" spans="2:8" x14ac:dyDescent="0.2">
      <c r="B2934" s="200">
        <v>45967</v>
      </c>
      <c r="C2934" s="5" t="s">
        <v>4662</v>
      </c>
      <c r="D2934" s="201">
        <v>1</v>
      </c>
      <c r="E2934" s="202">
        <v>0</v>
      </c>
      <c r="F2934" s="203">
        <v>0</v>
      </c>
      <c r="G2934" s="215">
        <v>970000</v>
      </c>
      <c r="H2934" s="158">
        <v>45992</v>
      </c>
    </row>
    <row r="2935" spans="2:8" x14ac:dyDescent="0.2">
      <c r="B2935" s="200">
        <v>45967</v>
      </c>
      <c r="C2935" s="187" t="s">
        <v>4597</v>
      </c>
      <c r="D2935" s="201">
        <v>1</v>
      </c>
      <c r="E2935" s="202">
        <v>1</v>
      </c>
      <c r="F2935" s="218">
        <v>845000</v>
      </c>
      <c r="G2935" s="218"/>
    </row>
    <row r="2936" spans="2:8" x14ac:dyDescent="0.2">
      <c r="B2936"/>
      <c r="D2936"/>
      <c r="E2936"/>
      <c r="F2936"/>
      <c r="G2936"/>
    </row>
    <row r="2937" spans="2:8" x14ac:dyDescent="0.2">
      <c r="B2937" s="200">
        <v>45812</v>
      </c>
      <c r="C2937" s="187" t="s">
        <v>4351</v>
      </c>
      <c r="D2937" s="201">
        <v>1</v>
      </c>
      <c r="E2937" s="202">
        <v>0</v>
      </c>
      <c r="F2937" s="203">
        <v>120000</v>
      </c>
      <c r="G2937" s="195" t="s">
        <v>4263</v>
      </c>
    </row>
    <row r="2938" spans="2:8" x14ac:dyDescent="0.2">
      <c r="B2938" s="200">
        <v>45790</v>
      </c>
      <c r="C2938" s="187" t="s">
        <v>4259</v>
      </c>
      <c r="D2938" s="201">
        <v>1</v>
      </c>
      <c r="E2938" s="202">
        <v>0</v>
      </c>
      <c r="F2938" s="203">
        <v>20000000</v>
      </c>
      <c r="G2938" s="195" t="s">
        <v>3251</v>
      </c>
    </row>
    <row r="2939" spans="2:8" x14ac:dyDescent="0.2">
      <c r="B2939" s="200">
        <v>45799</v>
      </c>
      <c r="C2939" s="187" t="s">
        <v>4247</v>
      </c>
      <c r="D2939" s="201">
        <v>1</v>
      </c>
      <c r="E2939" s="202">
        <v>0</v>
      </c>
      <c r="F2939" s="203">
        <v>900000</v>
      </c>
      <c r="G2939" s="195" t="s">
        <v>4498</v>
      </c>
    </row>
    <row r="2940" spans="2:8" x14ac:dyDescent="0.2">
      <c r="B2940" s="200">
        <v>45799</v>
      </c>
      <c r="C2940" s="187" t="s">
        <v>4248</v>
      </c>
      <c r="D2940" s="201">
        <v>1</v>
      </c>
      <c r="E2940" s="202">
        <v>0</v>
      </c>
      <c r="F2940" s="203">
        <v>200000</v>
      </c>
      <c r="G2940" s="195" t="s">
        <v>4498</v>
      </c>
    </row>
    <row r="2941" spans="2:8" x14ac:dyDescent="0.2">
      <c r="B2941" s="200">
        <v>45799</v>
      </c>
      <c r="C2941" s="187" t="s">
        <v>4415</v>
      </c>
      <c r="D2941" s="201">
        <v>1</v>
      </c>
      <c r="E2941" s="202">
        <v>0</v>
      </c>
      <c r="F2941" s="203">
        <v>150000</v>
      </c>
      <c r="G2941" s="195" t="s">
        <v>4498</v>
      </c>
    </row>
    <row r="2942" spans="2:8" x14ac:dyDescent="0.2">
      <c r="B2942" s="200">
        <v>45799</v>
      </c>
      <c r="C2942" s="187" t="s">
        <v>4416</v>
      </c>
      <c r="D2942" s="201">
        <v>2</v>
      </c>
      <c r="E2942" s="202">
        <v>0</v>
      </c>
      <c r="F2942" s="203">
        <v>100000</v>
      </c>
      <c r="G2942" s="195" t="s">
        <v>4498</v>
      </c>
    </row>
    <row r="2943" spans="2:8" x14ac:dyDescent="0.2">
      <c r="B2943" s="200">
        <v>45799</v>
      </c>
      <c r="C2943" s="187" t="s">
        <v>4417</v>
      </c>
      <c r="D2943" s="201">
        <v>1</v>
      </c>
      <c r="E2943" s="202">
        <v>0</v>
      </c>
      <c r="F2943" s="203">
        <v>100000</v>
      </c>
      <c r="G2943" s="195" t="s">
        <v>4498</v>
      </c>
    </row>
    <row r="2944" spans="2:8" x14ac:dyDescent="0.2">
      <c r="B2944" s="200">
        <v>45799</v>
      </c>
      <c r="C2944" s="187" t="s">
        <v>4267</v>
      </c>
      <c r="D2944" s="201">
        <v>1</v>
      </c>
      <c r="E2944" s="202">
        <v>0</v>
      </c>
      <c r="F2944" s="203">
        <v>300000</v>
      </c>
      <c r="G2944" s="195" t="s">
        <v>4498</v>
      </c>
    </row>
    <row r="2945" spans="2:7" x14ac:dyDescent="0.2">
      <c r="B2945" s="200">
        <v>45799</v>
      </c>
      <c r="C2945" s="187" t="s">
        <v>4418</v>
      </c>
      <c r="D2945" s="201">
        <v>1</v>
      </c>
      <c r="E2945" s="202">
        <v>0</v>
      </c>
      <c r="F2945" s="203">
        <v>150000</v>
      </c>
      <c r="G2945" s="195" t="s">
        <v>4498</v>
      </c>
    </row>
    <row r="2946" spans="2:7" x14ac:dyDescent="0.2">
      <c r="B2946" s="200">
        <v>45783</v>
      </c>
      <c r="C2946" s="187" t="s">
        <v>4349</v>
      </c>
      <c r="D2946" s="201">
        <v>1</v>
      </c>
      <c r="E2946" s="202">
        <v>0</v>
      </c>
      <c r="F2946" s="203">
        <v>451300</v>
      </c>
      <c r="G2946" s="195" t="s">
        <v>3650</v>
      </c>
    </row>
    <row r="2947" spans="2:7" x14ac:dyDescent="0.2">
      <c r="B2947" s="200">
        <v>45821</v>
      </c>
      <c r="C2947" s="187" t="s">
        <v>4400</v>
      </c>
      <c r="D2947" s="201">
        <v>1</v>
      </c>
      <c r="E2947" s="202">
        <v>0</v>
      </c>
      <c r="F2947" s="203">
        <v>111000</v>
      </c>
      <c r="G2947" s="195" t="s">
        <v>4499</v>
      </c>
    </row>
    <row r="2948" spans="2:7" x14ac:dyDescent="0.2">
      <c r="B2948" s="200">
        <v>45828</v>
      </c>
      <c r="C2948" s="187" t="s">
        <v>4377</v>
      </c>
      <c r="D2948" s="201">
        <v>1</v>
      </c>
      <c r="E2948" s="202">
        <v>0</v>
      </c>
      <c r="F2948" s="203">
        <v>80000</v>
      </c>
      <c r="G2948" s="195" t="s">
        <v>4498</v>
      </c>
    </row>
    <row r="2949" spans="2:7" x14ac:dyDescent="0.2">
      <c r="B2949" s="200">
        <v>45832</v>
      </c>
      <c r="C2949" s="187" t="s">
        <v>4386</v>
      </c>
      <c r="D2949" s="201">
        <v>1</v>
      </c>
      <c r="E2949" s="202">
        <v>0</v>
      </c>
      <c r="F2949" s="203">
        <v>255000</v>
      </c>
      <c r="G2949" s="195" t="s">
        <v>3653</v>
      </c>
    </row>
    <row r="2950" spans="2:7" x14ac:dyDescent="0.2">
      <c r="B2950" s="200">
        <v>45823</v>
      </c>
      <c r="C2950" s="187" t="s">
        <v>4407</v>
      </c>
      <c r="D2950" s="201">
        <v>1</v>
      </c>
      <c r="E2950" s="202">
        <v>0</v>
      </c>
      <c r="F2950" s="203">
        <v>140000</v>
      </c>
      <c r="G2950" s="195" t="s">
        <v>3653</v>
      </c>
    </row>
    <row r="2951" spans="2:7" x14ac:dyDescent="0.2">
      <c r="B2951" s="200">
        <v>45832</v>
      </c>
      <c r="C2951" s="187" t="s">
        <v>4408</v>
      </c>
      <c r="D2951" s="201">
        <v>1</v>
      </c>
      <c r="E2951" s="202">
        <v>0</v>
      </c>
      <c r="F2951" s="203">
        <v>70000</v>
      </c>
      <c r="G2951" s="195" t="s">
        <v>3653</v>
      </c>
    </row>
    <row r="2952" spans="2:7" x14ac:dyDescent="0.2">
      <c r="B2952" s="200">
        <v>45839</v>
      </c>
      <c r="C2952" s="187" t="s">
        <v>4409</v>
      </c>
      <c r="D2952" s="201">
        <v>1</v>
      </c>
      <c r="E2952" s="202">
        <v>0</v>
      </c>
      <c r="F2952" s="203">
        <v>20000000</v>
      </c>
      <c r="G2952" s="195" t="s">
        <v>3650</v>
      </c>
    </row>
    <row r="2953" spans="2:7" x14ac:dyDescent="0.2">
      <c r="B2953" s="200">
        <v>45812</v>
      </c>
      <c r="C2953" s="187" t="s">
        <v>4414</v>
      </c>
      <c r="D2953" s="201">
        <v>1</v>
      </c>
      <c r="E2953" s="202">
        <v>0</v>
      </c>
      <c r="F2953" s="203" t="s">
        <v>4413</v>
      </c>
      <c r="G2953" s="195" t="s">
        <v>3650</v>
      </c>
    </row>
    <row r="2954" spans="2:7" x14ac:dyDescent="0.2">
      <c r="B2954" s="200"/>
      <c r="C2954" s="187"/>
      <c r="D2954" s="201"/>
      <c r="E2954" s="202"/>
      <c r="F2954" s="203"/>
      <c r="G2954" s="195"/>
    </row>
    <row r="2955" spans="2:7" x14ac:dyDescent="0.2">
      <c r="B2955" s="200">
        <v>45865</v>
      </c>
      <c r="C2955" s="187" t="s">
        <v>4421</v>
      </c>
      <c r="D2955" s="201">
        <v>2</v>
      </c>
      <c r="E2955" s="202">
        <v>0</v>
      </c>
      <c r="F2955" s="203">
        <v>500000</v>
      </c>
      <c r="G2955" s="195" t="s">
        <v>4498</v>
      </c>
    </row>
    <row r="2956" spans="2:7" x14ac:dyDescent="0.2">
      <c r="B2956" s="200">
        <v>45865</v>
      </c>
      <c r="C2956" s="187" t="s">
        <v>4422</v>
      </c>
      <c r="D2956" s="201">
        <v>2</v>
      </c>
      <c r="E2956" s="202">
        <v>0</v>
      </c>
      <c r="F2956" s="203">
        <v>150000</v>
      </c>
      <c r="G2956" s="195" t="s">
        <v>4498</v>
      </c>
    </row>
    <row r="2957" spans="2:7" x14ac:dyDescent="0.2">
      <c r="B2957" s="200">
        <v>45865</v>
      </c>
      <c r="C2957" s="187" t="s">
        <v>4423</v>
      </c>
      <c r="D2957" s="201">
        <v>1</v>
      </c>
      <c r="E2957" s="202">
        <v>0</v>
      </c>
      <c r="F2957" s="203">
        <v>100000</v>
      </c>
      <c r="G2957" s="195" t="s">
        <v>4498</v>
      </c>
    </row>
    <row r="2958" spans="2:7" x14ac:dyDescent="0.2">
      <c r="B2958" s="200">
        <v>45865</v>
      </c>
      <c r="C2958" s="187" t="s">
        <v>4424</v>
      </c>
      <c r="D2958" s="201">
        <v>1</v>
      </c>
      <c r="E2958" s="202">
        <v>0</v>
      </c>
      <c r="F2958" s="203">
        <v>95000</v>
      </c>
      <c r="G2958" s="195" t="s">
        <v>4498</v>
      </c>
    </row>
    <row r="2959" spans="2:7" x14ac:dyDescent="0.2">
      <c r="B2959" s="200">
        <v>45866</v>
      </c>
      <c r="C2959" s="187" t="s">
        <v>4425</v>
      </c>
      <c r="D2959" s="201">
        <v>1</v>
      </c>
      <c r="E2959" s="202">
        <v>0</v>
      </c>
      <c r="F2959" s="203">
        <v>120000</v>
      </c>
      <c r="G2959" s="195" t="s">
        <v>3653</v>
      </c>
    </row>
    <row r="2960" spans="2:7" x14ac:dyDescent="0.2">
      <c r="B2960" s="200"/>
      <c r="C2960" s="187"/>
      <c r="D2960" s="201"/>
      <c r="E2960" s="202"/>
      <c r="F2960" s="203"/>
      <c r="G2960" s="195"/>
    </row>
    <row r="2961" spans="2:7" x14ac:dyDescent="0.2">
      <c r="B2961" s="200">
        <v>45874</v>
      </c>
      <c r="C2961" s="187" t="s">
        <v>4501</v>
      </c>
      <c r="D2961" s="201">
        <v>1</v>
      </c>
      <c r="E2961" s="202">
        <v>0</v>
      </c>
      <c r="F2961" s="203">
        <v>510000</v>
      </c>
      <c r="G2961" s="195" t="s">
        <v>3653</v>
      </c>
    </row>
    <row r="2962" spans="2:7" x14ac:dyDescent="0.2">
      <c r="B2962" s="200"/>
      <c r="C2962" s="187"/>
      <c r="D2962" s="201"/>
      <c r="E2962" s="202"/>
      <c r="F2962" s="203"/>
      <c r="G2962" s="195"/>
    </row>
    <row r="2963" spans="2:7" x14ac:dyDescent="0.2">
      <c r="B2963" s="200">
        <v>45899</v>
      </c>
      <c r="C2963" s="187" t="s">
        <v>4520</v>
      </c>
      <c r="D2963" s="201">
        <v>350</v>
      </c>
      <c r="E2963" s="202">
        <v>0</v>
      </c>
      <c r="F2963" s="203">
        <f>D2963*500</f>
        <v>175000</v>
      </c>
      <c r="G2963" s="195" t="s">
        <v>3653</v>
      </c>
    </row>
    <row r="2964" spans="2:7" x14ac:dyDescent="0.2">
      <c r="B2964" s="200">
        <v>45881</v>
      </c>
      <c r="C2964" s="187" t="s">
        <v>4537</v>
      </c>
      <c r="D2964" s="201">
        <v>1</v>
      </c>
      <c r="E2964" s="202">
        <v>0</v>
      </c>
      <c r="F2964" s="203">
        <v>110000</v>
      </c>
      <c r="G2964" s="195" t="s">
        <v>3650</v>
      </c>
    </row>
    <row r="2965" spans="2:7" x14ac:dyDescent="0.2">
      <c r="B2965" s="200">
        <v>45885</v>
      </c>
      <c r="C2965" s="187" t="s">
        <v>4544</v>
      </c>
      <c r="D2965" s="201">
        <v>1</v>
      </c>
      <c r="E2965" s="202">
        <v>0</v>
      </c>
      <c r="F2965" s="203">
        <v>101000</v>
      </c>
      <c r="G2965" s="195" t="s">
        <v>3653</v>
      </c>
    </row>
    <row r="2966" spans="2:7" x14ac:dyDescent="0.2">
      <c r="B2966" s="200">
        <v>45890</v>
      </c>
      <c r="C2966" s="187" t="s">
        <v>4571</v>
      </c>
      <c r="D2966" s="201">
        <v>1</v>
      </c>
      <c r="E2966" s="202">
        <v>0</v>
      </c>
      <c r="F2966" s="203">
        <v>1000000</v>
      </c>
      <c r="G2966" s="195" t="s">
        <v>3650</v>
      </c>
    </row>
    <row r="2967" spans="2:7" x14ac:dyDescent="0.2">
      <c r="B2967" s="200">
        <v>45902</v>
      </c>
      <c r="C2967" s="187" t="s">
        <v>4600</v>
      </c>
      <c r="D2967" s="201">
        <v>1</v>
      </c>
      <c r="E2967" s="202">
        <v>0</v>
      </c>
      <c r="F2967" s="203">
        <v>210000</v>
      </c>
      <c r="G2967" s="195"/>
    </row>
    <row r="2968" spans="2:7" x14ac:dyDescent="0.2">
      <c r="B2968" s="200">
        <v>45921</v>
      </c>
      <c r="C2968" s="187" t="s">
        <v>4622</v>
      </c>
      <c r="D2968" s="201">
        <v>1</v>
      </c>
      <c r="E2968" s="202">
        <v>0</v>
      </c>
      <c r="F2968" s="203">
        <v>450000</v>
      </c>
      <c r="G2968" s="195"/>
    </row>
    <row r="2969" spans="2:7" x14ac:dyDescent="0.2">
      <c r="B2969" s="200">
        <v>45926</v>
      </c>
      <c r="C2969" s="187" t="s">
        <v>4631</v>
      </c>
      <c r="D2969" s="201">
        <v>1</v>
      </c>
      <c r="E2969" s="202">
        <v>0</v>
      </c>
      <c r="F2969" s="203">
        <v>100000</v>
      </c>
      <c r="G2969" s="195"/>
    </row>
    <row r="2970" spans="2:7" x14ac:dyDescent="0.2">
      <c r="B2970" s="200">
        <v>45932</v>
      </c>
      <c r="C2970" s="187" t="s">
        <v>4653</v>
      </c>
      <c r="D2970" s="201">
        <v>1</v>
      </c>
      <c r="E2970" s="202">
        <v>0</v>
      </c>
      <c r="F2970" s="203">
        <v>3000000</v>
      </c>
      <c r="G2970" s="195"/>
    </row>
    <row r="2971" spans="2:7" x14ac:dyDescent="0.2">
      <c r="B2971" s="200"/>
      <c r="C2971" s="187"/>
      <c r="D2971" s="201"/>
      <c r="E2971" s="202"/>
      <c r="F2971" s="203"/>
      <c r="G2971" s="195"/>
    </row>
    <row r="2972" spans="2:7" x14ac:dyDescent="0.2">
      <c r="B2972" s="200">
        <v>45941</v>
      </c>
      <c r="C2972" s="187" t="s">
        <v>4668</v>
      </c>
      <c r="D2972" s="201">
        <v>1</v>
      </c>
      <c r="E2972" s="202">
        <v>0</v>
      </c>
      <c r="F2972" s="203">
        <v>504000</v>
      </c>
      <c r="G2972" s="195"/>
    </row>
    <row r="2973" spans="2:7" x14ac:dyDescent="0.2">
      <c r="B2973" s="200">
        <v>45958</v>
      </c>
      <c r="C2973" s="187" t="s">
        <v>4686</v>
      </c>
      <c r="D2973" s="201">
        <v>1</v>
      </c>
      <c r="E2973" s="202">
        <v>0</v>
      </c>
      <c r="F2973" s="203">
        <v>150000</v>
      </c>
      <c r="G2973" s="195"/>
    </row>
    <row r="2974" spans="2:7" x14ac:dyDescent="0.2">
      <c r="B2974" s="200">
        <v>45958</v>
      </c>
      <c r="C2974" s="187" t="s">
        <v>4687</v>
      </c>
      <c r="D2974" s="201">
        <v>1</v>
      </c>
      <c r="E2974" s="202">
        <v>0</v>
      </c>
      <c r="F2974" s="203">
        <v>50000</v>
      </c>
      <c r="G2974" s="195"/>
    </row>
    <row r="2975" spans="2:7" x14ac:dyDescent="0.2">
      <c r="B2975" s="200">
        <v>45968</v>
      </c>
      <c r="C2975" s="187" t="s">
        <v>4697</v>
      </c>
      <c r="D2975" s="201">
        <v>1</v>
      </c>
      <c r="E2975" s="202">
        <v>0</v>
      </c>
      <c r="F2975" s="203">
        <v>450000</v>
      </c>
      <c r="G2975" s="195"/>
    </row>
    <row r="2976" spans="2:7" x14ac:dyDescent="0.2">
      <c r="B2976" s="200">
        <v>45969</v>
      </c>
      <c r="C2976" s="187" t="s">
        <v>4706</v>
      </c>
      <c r="D2976" s="201">
        <v>1</v>
      </c>
      <c r="E2976" s="202">
        <v>0</v>
      </c>
      <c r="F2976" s="203">
        <v>1100000</v>
      </c>
      <c r="G2976" s="195"/>
    </row>
    <row r="2977" spans="2:7" x14ac:dyDescent="0.2">
      <c r="B2977" s="200"/>
      <c r="G2977" s="195"/>
    </row>
    <row r="2978" spans="2:7" x14ac:dyDescent="0.2">
      <c r="B2978" s="200">
        <v>45945</v>
      </c>
      <c r="C2978" s="187" t="s">
        <v>4712</v>
      </c>
      <c r="D2978" s="201">
        <v>813</v>
      </c>
      <c r="E2978" s="202">
        <v>0</v>
      </c>
      <c r="F2978" s="203">
        <f>D2978*100</f>
        <v>81300</v>
      </c>
      <c r="G2978" s="195"/>
    </row>
    <row r="2979" spans="2:7" x14ac:dyDescent="0.2">
      <c r="B2979" s="200">
        <v>45945</v>
      </c>
      <c r="C2979" s="187" t="s">
        <v>4708</v>
      </c>
      <c r="D2979" s="201">
        <v>5619</v>
      </c>
      <c r="E2979" s="202">
        <v>0</v>
      </c>
      <c r="F2979" s="203">
        <f>D2979*100</f>
        <v>561900</v>
      </c>
      <c r="G2979" s="195"/>
    </row>
    <row r="2980" spans="2:7" x14ac:dyDescent="0.2">
      <c r="B2980" s="200">
        <v>45945</v>
      </c>
      <c r="C2980" s="187" t="s">
        <v>4709</v>
      </c>
      <c r="D2980" s="201">
        <v>300</v>
      </c>
      <c r="E2980" s="202">
        <v>0</v>
      </c>
      <c r="F2980" s="203">
        <f t="shared" ref="F2980:F2983" si="5">D2980*100</f>
        <v>30000</v>
      </c>
      <c r="G2980" s="195"/>
    </row>
    <row r="2981" spans="2:7" x14ac:dyDescent="0.2">
      <c r="B2981" s="200">
        <v>45945</v>
      </c>
      <c r="C2981" s="187" t="s">
        <v>4710</v>
      </c>
      <c r="D2981" s="201">
        <v>250</v>
      </c>
      <c r="E2981" s="202">
        <v>0</v>
      </c>
      <c r="F2981" s="203">
        <f t="shared" si="5"/>
        <v>25000</v>
      </c>
      <c r="G2981" s="195"/>
    </row>
    <row r="2982" spans="2:7" x14ac:dyDescent="0.2">
      <c r="B2982" s="200">
        <v>45945</v>
      </c>
      <c r="C2982" s="187" t="s">
        <v>4711</v>
      </c>
      <c r="D2982" s="201">
        <v>273</v>
      </c>
      <c r="E2982" s="202">
        <v>0</v>
      </c>
      <c r="F2982" s="203">
        <f t="shared" si="5"/>
        <v>27300</v>
      </c>
      <c r="G2982" s="195"/>
    </row>
    <row r="2983" spans="2:7" x14ac:dyDescent="0.2">
      <c r="B2983" s="200">
        <v>45945</v>
      </c>
      <c r="C2983" s="187" t="s">
        <v>4713</v>
      </c>
      <c r="D2983" s="201">
        <v>1031</v>
      </c>
      <c r="E2983" s="202">
        <v>0</v>
      </c>
      <c r="F2983" s="203">
        <f t="shared" si="5"/>
        <v>103100</v>
      </c>
      <c r="G2983" s="195"/>
    </row>
    <row r="2984" spans="2:7" x14ac:dyDescent="0.2">
      <c r="B2984" s="200"/>
      <c r="C2984" s="187"/>
      <c r="D2984" s="201"/>
      <c r="E2984" s="202"/>
      <c r="F2984" s="203"/>
      <c r="G2984" s="195"/>
    </row>
    <row r="2985" spans="2:7" x14ac:dyDescent="0.2">
      <c r="B2985" s="200">
        <v>45881</v>
      </c>
      <c r="C2985" s="187" t="s">
        <v>4721</v>
      </c>
      <c r="D2985" s="201">
        <v>1</v>
      </c>
      <c r="E2985" s="202">
        <v>0</v>
      </c>
      <c r="F2985" s="203">
        <v>546600</v>
      </c>
      <c r="G2985" s="195"/>
    </row>
    <row r="2986" spans="2:7" x14ac:dyDescent="0.2">
      <c r="B2986" s="200">
        <v>45926</v>
      </c>
      <c r="C2986" s="187" t="s">
        <v>4724</v>
      </c>
      <c r="D2986" s="201">
        <v>1</v>
      </c>
      <c r="E2986" s="202">
        <v>0</v>
      </c>
      <c r="F2986" s="203">
        <v>546600</v>
      </c>
      <c r="G2986" s="195"/>
    </row>
    <row r="2987" spans="2:7" x14ac:dyDescent="0.2">
      <c r="B2987" s="200">
        <v>45883</v>
      </c>
      <c r="C2987" s="187" t="s">
        <v>4722</v>
      </c>
      <c r="D2987" s="201">
        <v>1</v>
      </c>
      <c r="E2987" s="202">
        <v>0</v>
      </c>
      <c r="F2987" s="203">
        <v>450000</v>
      </c>
      <c r="G2987" s="195"/>
    </row>
    <row r="2988" spans="2:7" x14ac:dyDescent="0.2">
      <c r="B2988" s="200">
        <v>45954</v>
      </c>
      <c r="C2988" s="187" t="s">
        <v>4722</v>
      </c>
      <c r="D2988" s="201">
        <v>1</v>
      </c>
      <c r="E2988" s="202">
        <v>0</v>
      </c>
      <c r="F2988" s="203">
        <v>450000</v>
      </c>
      <c r="G2988" s="195"/>
    </row>
    <row r="2989" spans="2:7" x14ac:dyDescent="0.2">
      <c r="B2989" s="200">
        <v>45874</v>
      </c>
      <c r="C2989" s="187" t="s">
        <v>4723</v>
      </c>
      <c r="D2989" s="201">
        <v>1</v>
      </c>
      <c r="E2989" s="202">
        <v>0</v>
      </c>
      <c r="F2989" s="203">
        <v>451000</v>
      </c>
      <c r="G2989" s="195"/>
    </row>
    <row r="2990" spans="2:7" x14ac:dyDescent="0.2">
      <c r="B2990" s="200">
        <v>45944</v>
      </c>
      <c r="C2990" s="187" t="s">
        <v>4725</v>
      </c>
      <c r="D2990" s="201">
        <v>1</v>
      </c>
      <c r="E2990" s="202">
        <v>0</v>
      </c>
      <c r="F2990" s="203">
        <v>300000</v>
      </c>
      <c r="G2990" s="195"/>
    </row>
    <row r="2991" spans="2:7" x14ac:dyDescent="0.2">
      <c r="B2991" s="200"/>
      <c r="C2991" s="187"/>
      <c r="D2991" s="201"/>
      <c r="E2991" s="202"/>
      <c r="F2991" s="203"/>
      <c r="G2991" s="195"/>
    </row>
    <row r="2992" spans="2:7" x14ac:dyDescent="0.2">
      <c r="B2992" s="200">
        <v>45971</v>
      </c>
      <c r="C2992" s="187" t="s">
        <v>4768</v>
      </c>
      <c r="D2992" s="201">
        <v>1</v>
      </c>
      <c r="E2992" s="202">
        <v>0</v>
      </c>
      <c r="F2992" s="203">
        <v>350000</v>
      </c>
      <c r="G2992" s="195"/>
    </row>
    <row r="2993" spans="2:7" x14ac:dyDescent="0.2">
      <c r="B2993" s="200">
        <v>45980</v>
      </c>
      <c r="C2993" s="187" t="s">
        <v>4769</v>
      </c>
      <c r="D2993" s="201">
        <v>1</v>
      </c>
      <c r="E2993" s="202">
        <v>0</v>
      </c>
      <c r="F2993" s="203">
        <f>6*85000</f>
        <v>510000</v>
      </c>
      <c r="G2993" s="195"/>
    </row>
    <row r="2994" spans="2:7" x14ac:dyDescent="0.2">
      <c r="B2994" s="200">
        <v>45980</v>
      </c>
      <c r="C2994" s="187" t="s">
        <v>4754</v>
      </c>
      <c r="D2994" s="201">
        <v>1</v>
      </c>
      <c r="E2994" s="202">
        <v>0</v>
      </c>
      <c r="F2994" s="203">
        <v>392000</v>
      </c>
      <c r="G2994" s="195"/>
    </row>
    <row r="2995" spans="2:7" x14ac:dyDescent="0.2">
      <c r="B2995" s="200">
        <v>45973</v>
      </c>
      <c r="C2995" s="187" t="s">
        <v>4770</v>
      </c>
      <c r="D2995" s="201">
        <v>1</v>
      </c>
      <c r="E2995" s="202">
        <v>0</v>
      </c>
      <c r="F2995" s="203">
        <v>140000</v>
      </c>
      <c r="G2995" s="195"/>
    </row>
    <row r="2996" spans="2:7" x14ac:dyDescent="0.2">
      <c r="B2996" s="200">
        <v>45980</v>
      </c>
      <c r="C2996" s="187" t="s">
        <v>4771</v>
      </c>
      <c r="D2996" s="201">
        <v>1</v>
      </c>
      <c r="E2996" s="202">
        <v>0</v>
      </c>
      <c r="F2996" s="203">
        <v>122000</v>
      </c>
      <c r="G2996" s="195"/>
    </row>
    <row r="2997" spans="2:7" x14ac:dyDescent="0.2">
      <c r="B2997" s="200">
        <v>45988</v>
      </c>
      <c r="C2997" s="187" t="s">
        <v>4772</v>
      </c>
      <c r="D2997" s="201">
        <v>1</v>
      </c>
      <c r="E2997" s="202">
        <v>0</v>
      </c>
      <c r="F2997" s="203">
        <v>600000</v>
      </c>
      <c r="G2997" s="195"/>
    </row>
    <row r="2998" spans="2:7" x14ac:dyDescent="0.2">
      <c r="B2998" s="200">
        <v>45991</v>
      </c>
      <c r="C2998" s="187" t="s">
        <v>4795</v>
      </c>
      <c r="D2998" s="201">
        <v>850</v>
      </c>
      <c r="E2998" s="202">
        <v>0</v>
      </c>
      <c r="F2998" s="203">
        <f>D2998*500</f>
        <v>425000</v>
      </c>
      <c r="G2998" s="195"/>
    </row>
    <row r="2999" spans="2:7" x14ac:dyDescent="0.2">
      <c r="B2999" s="200">
        <v>45991</v>
      </c>
      <c r="C2999" s="187" t="s">
        <v>4796</v>
      </c>
      <c r="D2999" s="201">
        <v>230</v>
      </c>
      <c r="E2999" s="202">
        <v>0</v>
      </c>
      <c r="F2999" s="203">
        <f>D2999*500</f>
        <v>115000</v>
      </c>
      <c r="G2999" s="195"/>
    </row>
    <row r="3000" spans="2:7" x14ac:dyDescent="0.2">
      <c r="B3000" s="200"/>
      <c r="C3000" s="187"/>
      <c r="D3000" s="201"/>
      <c r="E3000" s="202"/>
      <c r="F3000" s="203"/>
      <c r="G3000" s="195"/>
    </row>
    <row r="3001" spans="2:7" ht="16" x14ac:dyDescent="0.2">
      <c r="B3001" s="200">
        <v>45974</v>
      </c>
      <c r="C3001" s="304" t="s">
        <v>4788</v>
      </c>
      <c r="D3001" s="303">
        <v>2116</v>
      </c>
      <c r="E3001" s="202">
        <v>0</v>
      </c>
      <c r="F3001" s="203">
        <f>D3001*100</f>
        <v>211600</v>
      </c>
      <c r="G3001" s="195"/>
    </row>
    <row r="3002" spans="2:7" ht="16" x14ac:dyDescent="0.2">
      <c r="B3002" s="200">
        <v>45979</v>
      </c>
      <c r="C3002" s="304" t="s">
        <v>4789</v>
      </c>
      <c r="D3002" s="303">
        <v>9081</v>
      </c>
      <c r="E3002" s="202">
        <v>0</v>
      </c>
      <c r="F3002" s="203">
        <f t="shared" ref="F3002:F3007" si="6">D3002*100</f>
        <v>908100</v>
      </c>
      <c r="G3002" s="195"/>
    </row>
    <row r="3003" spans="2:7" ht="16" x14ac:dyDescent="0.2">
      <c r="B3003" s="200">
        <v>45981</v>
      </c>
      <c r="C3003" s="304" t="s">
        <v>4790</v>
      </c>
      <c r="D3003" s="303">
        <v>34070</v>
      </c>
      <c r="E3003" s="202">
        <v>0</v>
      </c>
      <c r="F3003" s="203">
        <f t="shared" si="6"/>
        <v>3407000</v>
      </c>
      <c r="G3003" s="195"/>
    </row>
    <row r="3004" spans="2:7" ht="16" x14ac:dyDescent="0.2">
      <c r="B3004" s="200">
        <v>45982</v>
      </c>
      <c r="C3004" s="304" t="s">
        <v>4791</v>
      </c>
      <c r="D3004" s="303">
        <v>5794</v>
      </c>
      <c r="E3004" s="202">
        <v>0</v>
      </c>
      <c r="F3004" s="203">
        <f t="shared" si="6"/>
        <v>579400</v>
      </c>
      <c r="G3004" s="195"/>
    </row>
    <row r="3005" spans="2:7" ht="16" x14ac:dyDescent="0.2">
      <c r="B3005" s="200">
        <v>45958</v>
      </c>
      <c r="C3005" s="304" t="s">
        <v>4792</v>
      </c>
      <c r="D3005" s="303">
        <v>1361</v>
      </c>
      <c r="E3005" s="202">
        <v>0</v>
      </c>
      <c r="F3005" s="203">
        <f t="shared" si="6"/>
        <v>136100</v>
      </c>
      <c r="G3005" s="195"/>
    </row>
    <row r="3006" spans="2:7" ht="16" x14ac:dyDescent="0.2">
      <c r="B3006" s="200">
        <v>45959</v>
      </c>
      <c r="C3006" s="302" t="s">
        <v>4793</v>
      </c>
      <c r="D3006" s="303">
        <v>687</v>
      </c>
      <c r="E3006" s="202">
        <v>0</v>
      </c>
      <c r="F3006" s="203">
        <f t="shared" si="6"/>
        <v>68700</v>
      </c>
      <c r="G3006" s="195"/>
    </row>
    <row r="3007" spans="2:7" ht="16" x14ac:dyDescent="0.2">
      <c r="B3007" s="200">
        <v>45991</v>
      </c>
      <c r="C3007" s="304" t="s">
        <v>4794</v>
      </c>
      <c r="D3007" s="303">
        <v>4800</v>
      </c>
      <c r="E3007" s="202">
        <v>0</v>
      </c>
      <c r="F3007" s="203">
        <f t="shared" si="6"/>
        <v>480000</v>
      </c>
      <c r="G3007" s="195"/>
    </row>
    <row r="3008" spans="2:7" x14ac:dyDescent="0.2">
      <c r="B3008" s="200"/>
      <c r="C3008" s="187"/>
      <c r="D3008" s="201"/>
      <c r="E3008" s="202"/>
      <c r="F3008" s="203"/>
      <c r="G3008" s="195"/>
    </row>
    <row r="3009" spans="2:7" x14ac:dyDescent="0.2">
      <c r="B3009" s="200">
        <v>45980.735798611109</v>
      </c>
      <c r="C3009" s="187" t="s">
        <v>4773</v>
      </c>
      <c r="D3009" s="201">
        <v>7400</v>
      </c>
      <c r="E3009" s="202">
        <v>0</v>
      </c>
      <c r="F3009" s="203">
        <f>D3009*85</f>
        <v>629000</v>
      </c>
      <c r="G3009" s="195"/>
    </row>
    <row r="3010" spans="2:7" x14ac:dyDescent="0.2">
      <c r="B3010" s="200">
        <v>45983.724085648151</v>
      </c>
      <c r="C3010" s="187" t="s">
        <v>4774</v>
      </c>
      <c r="D3010" s="201">
        <v>20581</v>
      </c>
      <c r="E3010" s="202">
        <v>0</v>
      </c>
      <c r="F3010" s="203">
        <f t="shared" ref="F3010:F3023" si="7">D3010*85</f>
        <v>1749385</v>
      </c>
      <c r="G3010" s="195"/>
    </row>
    <row r="3011" spans="2:7" x14ac:dyDescent="0.2">
      <c r="B3011" s="200">
        <v>45985.543506944443</v>
      </c>
      <c r="C3011" s="187" t="s">
        <v>4775</v>
      </c>
      <c r="D3011" s="201">
        <v>221.65</v>
      </c>
      <c r="E3011" s="202">
        <v>0</v>
      </c>
      <c r="F3011" s="203">
        <f t="shared" si="7"/>
        <v>18840.25</v>
      </c>
      <c r="G3011" s="195"/>
    </row>
    <row r="3012" spans="2:7" x14ac:dyDescent="0.2">
      <c r="B3012" s="200">
        <v>45985.543946759259</v>
      </c>
      <c r="C3012" s="187" t="s">
        <v>4776</v>
      </c>
      <c r="D3012" s="201">
        <v>159.25</v>
      </c>
      <c r="E3012" s="202">
        <v>0</v>
      </c>
      <c r="F3012" s="203">
        <f t="shared" si="7"/>
        <v>13536.25</v>
      </c>
      <c r="G3012" s="195"/>
    </row>
    <row r="3013" spans="2:7" x14ac:dyDescent="0.2">
      <c r="B3013" s="200">
        <v>45985.544317129628</v>
      </c>
      <c r="C3013" s="187" t="s">
        <v>4777</v>
      </c>
      <c r="D3013" s="201">
        <v>134.55000000000001</v>
      </c>
      <c r="E3013" s="202">
        <v>0</v>
      </c>
      <c r="F3013" s="203">
        <f t="shared" si="7"/>
        <v>11436.750000000002</v>
      </c>
      <c r="G3013" s="195"/>
    </row>
    <row r="3014" spans="2:7" x14ac:dyDescent="0.2">
      <c r="B3014" s="200">
        <v>45985.545266203706</v>
      </c>
      <c r="C3014" s="187" t="s">
        <v>4778</v>
      </c>
      <c r="D3014" s="201">
        <v>79.95</v>
      </c>
      <c r="E3014" s="202">
        <v>0</v>
      </c>
      <c r="F3014" s="203">
        <f t="shared" si="7"/>
        <v>6795.75</v>
      </c>
      <c r="G3014" s="195"/>
    </row>
    <row r="3015" spans="2:7" x14ac:dyDescent="0.2">
      <c r="B3015" s="200">
        <v>45986.705092592594</v>
      </c>
      <c r="C3015" s="187" t="s">
        <v>4779</v>
      </c>
      <c r="D3015" s="201">
        <v>90.350000000000009</v>
      </c>
      <c r="E3015" s="202">
        <v>0</v>
      </c>
      <c r="F3015" s="203">
        <f t="shared" si="7"/>
        <v>7679.7500000000009</v>
      </c>
      <c r="G3015" s="195"/>
    </row>
    <row r="3016" spans="2:7" x14ac:dyDescent="0.2">
      <c r="B3016" s="200">
        <v>45986.705555555556</v>
      </c>
      <c r="C3016" s="187" t="s">
        <v>4780</v>
      </c>
      <c r="D3016" s="201">
        <v>375.7</v>
      </c>
      <c r="E3016" s="202">
        <v>0</v>
      </c>
      <c r="F3016" s="203">
        <f t="shared" si="7"/>
        <v>31934.5</v>
      </c>
      <c r="G3016" s="195"/>
    </row>
    <row r="3017" spans="2:7" x14ac:dyDescent="0.2">
      <c r="B3017" s="200">
        <v>45986.706712962965</v>
      </c>
      <c r="C3017" s="187" t="s">
        <v>4781</v>
      </c>
      <c r="D3017" s="201">
        <v>150.15</v>
      </c>
      <c r="E3017" s="202">
        <v>0</v>
      </c>
      <c r="F3017" s="203">
        <f t="shared" si="7"/>
        <v>12762.75</v>
      </c>
      <c r="G3017" s="195"/>
    </row>
    <row r="3018" spans="2:7" x14ac:dyDescent="0.2">
      <c r="B3018" s="200">
        <v>45987.574143518519</v>
      </c>
      <c r="C3018" s="187" t="s">
        <v>4782</v>
      </c>
      <c r="D3018" s="201">
        <v>1686</v>
      </c>
      <c r="E3018" s="202">
        <v>0</v>
      </c>
      <c r="F3018" s="203">
        <f t="shared" si="7"/>
        <v>143310</v>
      </c>
      <c r="G3018" s="195"/>
    </row>
    <row r="3019" spans="2:7" x14ac:dyDescent="0.2">
      <c r="B3019" s="200">
        <v>45988.495393518519</v>
      </c>
      <c r="C3019" s="187" t="s">
        <v>4783</v>
      </c>
      <c r="D3019" s="201">
        <v>3517</v>
      </c>
      <c r="E3019" s="202">
        <v>0</v>
      </c>
      <c r="F3019" s="203">
        <f t="shared" si="7"/>
        <v>298945</v>
      </c>
      <c r="G3019" s="195"/>
    </row>
    <row r="3020" spans="2:7" x14ac:dyDescent="0.2">
      <c r="B3020" s="200">
        <v>45989.626168981478</v>
      </c>
      <c r="C3020" s="187" t="s">
        <v>4784</v>
      </c>
      <c r="D3020" s="201">
        <v>70.2</v>
      </c>
      <c r="E3020" s="202">
        <v>0</v>
      </c>
      <c r="F3020" s="203">
        <f t="shared" si="7"/>
        <v>5967</v>
      </c>
      <c r="G3020" s="195"/>
    </row>
    <row r="3021" spans="2:7" x14ac:dyDescent="0.2">
      <c r="B3021" s="200">
        <v>45989.626481481479</v>
      </c>
      <c r="C3021" s="187" t="s">
        <v>4785</v>
      </c>
      <c r="D3021" s="201">
        <v>219.05</v>
      </c>
      <c r="E3021" s="202">
        <v>0</v>
      </c>
      <c r="F3021" s="203">
        <f t="shared" si="7"/>
        <v>18619.25</v>
      </c>
      <c r="G3021" s="195"/>
    </row>
    <row r="3022" spans="2:7" x14ac:dyDescent="0.2">
      <c r="B3022" s="200">
        <v>45989.626793981479</v>
      </c>
      <c r="C3022" s="187" t="s">
        <v>4786</v>
      </c>
      <c r="D3022" s="201">
        <v>48.1</v>
      </c>
      <c r="E3022" s="202">
        <v>0</v>
      </c>
      <c r="F3022" s="203">
        <f t="shared" si="7"/>
        <v>4088.5</v>
      </c>
      <c r="G3022" s="195"/>
    </row>
    <row r="3023" spans="2:7" x14ac:dyDescent="0.2">
      <c r="B3023" s="200">
        <v>45989.627071759256</v>
      </c>
      <c r="C3023" s="187" t="s">
        <v>4787</v>
      </c>
      <c r="D3023" s="201">
        <v>10.4</v>
      </c>
      <c r="E3023" s="202">
        <v>0</v>
      </c>
      <c r="F3023" s="203">
        <f t="shared" si="7"/>
        <v>884</v>
      </c>
      <c r="G3023" s="195"/>
    </row>
    <row r="3024" spans="2:7" x14ac:dyDescent="0.2">
      <c r="B3024" s="200"/>
      <c r="C3024" s="187"/>
      <c r="D3024" s="201"/>
      <c r="E3024" s="202"/>
      <c r="F3024" s="203"/>
      <c r="G3024" s="195"/>
    </row>
    <row r="3025" spans="2:7" x14ac:dyDescent="0.2">
      <c r="B3025" s="200"/>
      <c r="C3025" s="187"/>
      <c r="D3025" s="201"/>
      <c r="E3025" s="202"/>
      <c r="F3025" s="203"/>
      <c r="G3025" s="195"/>
    </row>
    <row r="3026" spans="2:7" x14ac:dyDescent="0.2">
      <c r="B3026" s="285"/>
      <c r="C3026" s="283" t="s">
        <v>4574</v>
      </c>
      <c r="D3026" s="284">
        <v>1</v>
      </c>
      <c r="E3026" s="181">
        <v>0</v>
      </c>
      <c r="F3026" s="181">
        <f>59000000*1.85%</f>
        <v>1091500.0000000002</v>
      </c>
      <c r="G3026" s="286"/>
    </row>
    <row r="3027" spans="2:7" x14ac:dyDescent="0.2">
      <c r="B3027" s="285"/>
      <c r="C3027" s="283" t="s">
        <v>4575</v>
      </c>
      <c r="D3027" s="284">
        <v>1</v>
      </c>
      <c r="E3027" s="181">
        <v>0</v>
      </c>
      <c r="F3027" s="181">
        <f>57000000*1.85%</f>
        <v>1054500.0000000002</v>
      </c>
      <c r="G3027" s="286"/>
    </row>
    <row r="3028" spans="2:7" x14ac:dyDescent="0.2">
      <c r="B3028" s="285"/>
      <c r="C3028" s="283" t="s">
        <v>4582</v>
      </c>
      <c r="D3028" s="284">
        <v>1</v>
      </c>
      <c r="E3028" s="181">
        <v>0</v>
      </c>
      <c r="F3028" s="181">
        <f>55000000*1.85%</f>
        <v>1017500.0000000001</v>
      </c>
      <c r="G3028" s="286"/>
    </row>
    <row r="3029" spans="2:7" x14ac:dyDescent="0.2">
      <c r="B3029" s="285"/>
      <c r="C3029" s="283" t="s">
        <v>4719</v>
      </c>
      <c r="D3029" s="284">
        <v>1</v>
      </c>
      <c r="E3029" s="181">
        <v>0</v>
      </c>
      <c r="F3029" s="181">
        <f>59000000*1.85%</f>
        <v>1091500.0000000002</v>
      </c>
      <c r="G3029" s="286"/>
    </row>
    <row r="3030" spans="2:7" x14ac:dyDescent="0.2">
      <c r="B3030" s="285"/>
      <c r="C3030" s="283" t="s">
        <v>4720</v>
      </c>
      <c r="D3030" s="284">
        <v>1</v>
      </c>
      <c r="E3030" s="181">
        <v>0</v>
      </c>
      <c r="F3030" s="181">
        <f>71000000*1.85%</f>
        <v>1313500.0000000002</v>
      </c>
      <c r="G3030" s="286"/>
    </row>
    <row r="3031" spans="2:7" x14ac:dyDescent="0.2">
      <c r="B3031" s="29"/>
      <c r="C3031" s="29"/>
      <c r="D3031" s="68"/>
      <c r="E3031" s="13"/>
      <c r="F3031" s="13"/>
      <c r="G3031" s="29"/>
    </row>
    <row r="3032" spans="2:7" x14ac:dyDescent="0.2">
      <c r="E3032" s="9">
        <f>SUM(E2902:E3031)</f>
        <v>7546501</v>
      </c>
      <c r="F3032" s="9">
        <f>SUM(F2902:F3031)</f>
        <v>83990684.75</v>
      </c>
      <c r="G3032" s="9"/>
    </row>
    <row r="3033" spans="2:7" x14ac:dyDescent="0.2">
      <c r="E3033" s="3">
        <f>7500000-E3032</f>
        <v>-46501</v>
      </c>
    </row>
    <row r="3036" spans="2:7" ht="26" x14ac:dyDescent="0.3">
      <c r="B3036" s="12"/>
      <c r="C3036" s="391" t="s">
        <v>4801</v>
      </c>
      <c r="D3036" s="391"/>
      <c r="E3036" s="391"/>
      <c r="F3036" s="391"/>
      <c r="G3036" s="391"/>
    </row>
    <row r="3037" spans="2:7" x14ac:dyDescent="0.2">
      <c r="B3037" s="12"/>
      <c r="C3037" s="29" t="s">
        <v>82</v>
      </c>
      <c r="D3037" s="11">
        <v>1</v>
      </c>
      <c r="E3037" s="12" t="s">
        <v>1</v>
      </c>
      <c r="F3037" s="12" t="s">
        <v>3140</v>
      </c>
      <c r="G3037" s="12" t="s">
        <v>3657</v>
      </c>
    </row>
    <row r="3038" spans="2:7" x14ac:dyDescent="0.2">
      <c r="B3038" s="8"/>
      <c r="C3038" s="5" t="s">
        <v>3525</v>
      </c>
      <c r="D3038" s="62">
        <v>1</v>
      </c>
      <c r="E3038" s="28">
        <v>2000000</v>
      </c>
      <c r="F3038" s="214">
        <v>0</v>
      </c>
      <c r="G3038" s="7"/>
    </row>
    <row r="3039" spans="2:7" x14ac:dyDescent="0.2">
      <c r="B3039" s="8"/>
      <c r="C3039" s="5" t="s">
        <v>3757</v>
      </c>
      <c r="D3039" s="62">
        <v>1</v>
      </c>
      <c r="E3039" s="28">
        <v>750000</v>
      </c>
      <c r="F3039" s="214">
        <v>0</v>
      </c>
      <c r="G3039" s="8"/>
    </row>
    <row r="3040" spans="2:7" x14ac:dyDescent="0.2">
      <c r="B3040" s="8"/>
      <c r="C3040" s="5" t="s">
        <v>3526</v>
      </c>
      <c r="D3040" s="62">
        <v>1</v>
      </c>
      <c r="E3040" s="28">
        <v>500000</v>
      </c>
      <c r="F3040" s="214">
        <v>0</v>
      </c>
      <c r="G3040" s="8"/>
    </row>
    <row r="3041" spans="2:7" x14ac:dyDescent="0.2">
      <c r="B3041" s="8"/>
      <c r="C3041" s="5" t="s">
        <v>3297</v>
      </c>
      <c r="D3041" s="62">
        <v>1</v>
      </c>
      <c r="E3041" s="28">
        <v>45000</v>
      </c>
      <c r="F3041" s="214">
        <v>0</v>
      </c>
      <c r="G3041" s="8"/>
    </row>
    <row r="3042" spans="2:7" x14ac:dyDescent="0.2">
      <c r="B3042" s="173"/>
      <c r="C3042" s="5" t="s">
        <v>3928</v>
      </c>
      <c r="D3042" s="62">
        <v>1</v>
      </c>
      <c r="E3042" s="308">
        <v>925000</v>
      </c>
      <c r="F3042" s="214">
        <v>0</v>
      </c>
      <c r="G3042" s="8"/>
    </row>
    <row r="3043" spans="2:7" x14ac:dyDescent="0.2">
      <c r="B3043" s="200"/>
      <c r="C3043" s="5" t="s">
        <v>4076</v>
      </c>
      <c r="D3043" s="201">
        <v>1</v>
      </c>
      <c r="E3043" s="308">
        <f>21000000*1.85%</f>
        <v>388500.00000000006</v>
      </c>
      <c r="F3043" s="214">
        <v>0</v>
      </c>
      <c r="G3043" s="8"/>
    </row>
    <row r="3044" spans="2:7" x14ac:dyDescent="0.2">
      <c r="B3044" s="200"/>
      <c r="C3044" s="5" t="s">
        <v>4064</v>
      </c>
      <c r="D3044" s="201">
        <v>1</v>
      </c>
      <c r="E3044" s="308">
        <f>1500000*3%</f>
        <v>45000</v>
      </c>
      <c r="F3044" s="203">
        <v>0</v>
      </c>
      <c r="G3044" s="186"/>
    </row>
    <row r="3045" spans="2:7" x14ac:dyDescent="0.2">
      <c r="B3045" s="8"/>
      <c r="C3045" s="5" t="s">
        <v>3942</v>
      </c>
      <c r="D3045" s="62">
        <v>1</v>
      </c>
      <c r="E3045" s="308">
        <v>442000</v>
      </c>
      <c r="F3045" s="214">
        <v>0</v>
      </c>
      <c r="G3045" s="8"/>
    </row>
    <row r="3046" spans="2:7" x14ac:dyDescent="0.2">
      <c r="B3046" s="8"/>
      <c r="C3046" s="5" t="s">
        <v>3941</v>
      </c>
      <c r="D3046" s="62">
        <v>1</v>
      </c>
      <c r="E3046" s="308">
        <v>105000</v>
      </c>
      <c r="F3046" s="214">
        <v>0</v>
      </c>
      <c r="G3046" s="8"/>
    </row>
    <row r="3047" spans="2:7" x14ac:dyDescent="0.2">
      <c r="B3047" s="8"/>
      <c r="C3047" s="5" t="s">
        <v>3940</v>
      </c>
      <c r="D3047" s="62">
        <v>1</v>
      </c>
      <c r="E3047" s="308">
        <v>338000</v>
      </c>
      <c r="F3047" s="214">
        <v>0</v>
      </c>
      <c r="G3047" s="7"/>
    </row>
    <row r="3048" spans="2:7" x14ac:dyDescent="0.2">
      <c r="B3048" s="8"/>
      <c r="C3048" s="5" t="s">
        <v>3939</v>
      </c>
      <c r="D3048" s="62">
        <v>1</v>
      </c>
      <c r="E3048" s="308">
        <v>338000</v>
      </c>
      <c r="F3048" s="214">
        <v>0</v>
      </c>
      <c r="G3048" s="7"/>
    </row>
    <row r="3049" spans="2:7" x14ac:dyDescent="0.2">
      <c r="B3049" s="186"/>
      <c r="C3049" s="5" t="s">
        <v>3938</v>
      </c>
      <c r="D3049" s="201">
        <v>1</v>
      </c>
      <c r="E3049" s="309">
        <v>387000</v>
      </c>
      <c r="F3049" s="203">
        <v>0</v>
      </c>
      <c r="G3049" s="216"/>
    </row>
    <row r="3050" spans="2:7" x14ac:dyDescent="0.2">
      <c r="B3050" s="186"/>
      <c r="C3050" s="187" t="s">
        <v>4403</v>
      </c>
      <c r="D3050" s="201">
        <v>1</v>
      </c>
      <c r="E3050" s="309">
        <v>103000</v>
      </c>
      <c r="F3050" s="203">
        <v>0</v>
      </c>
      <c r="G3050" s="216"/>
    </row>
    <row r="3051" spans="2:7" x14ac:dyDescent="0.2">
      <c r="B3051" s="173"/>
      <c r="C3051" s="5" t="s">
        <v>4846</v>
      </c>
      <c r="D3051" s="62">
        <v>8500</v>
      </c>
      <c r="E3051" s="310">
        <f>D3051*100</f>
        <v>850000</v>
      </c>
      <c r="F3051" s="214">
        <v>0</v>
      </c>
      <c r="G3051" s="51"/>
    </row>
    <row r="3052" spans="2:7" x14ac:dyDescent="0.2">
      <c r="B3052"/>
      <c r="D3052"/>
      <c r="E3052"/>
      <c r="F3052"/>
      <c r="G3052"/>
    </row>
    <row r="3053" spans="2:7" x14ac:dyDescent="0.2">
      <c r="B3053" s="317">
        <v>45716</v>
      </c>
      <c r="C3053" s="318" t="s">
        <v>3931</v>
      </c>
      <c r="D3053" s="62">
        <v>1</v>
      </c>
      <c r="E3053" s="171">
        <v>0</v>
      </c>
      <c r="F3053" s="171">
        <v>452000</v>
      </c>
      <c r="G3053" s="262" t="s">
        <v>4261</v>
      </c>
    </row>
    <row r="3054" spans="2:7" x14ac:dyDescent="0.2">
      <c r="B3054" s="317">
        <v>45719</v>
      </c>
      <c r="C3054" s="318" t="s">
        <v>3777</v>
      </c>
      <c r="D3054" s="62">
        <v>1</v>
      </c>
      <c r="E3054" s="171">
        <v>0</v>
      </c>
      <c r="F3054" s="171">
        <v>452000</v>
      </c>
      <c r="G3054" s="262" t="s">
        <v>4261</v>
      </c>
    </row>
    <row r="3055" spans="2:7" x14ac:dyDescent="0.2">
      <c r="B3055" s="317">
        <v>45749</v>
      </c>
      <c r="C3055" s="318" t="s">
        <v>3786</v>
      </c>
      <c r="D3055" s="271">
        <v>1</v>
      </c>
      <c r="E3055" s="202">
        <v>0</v>
      </c>
      <c r="F3055" s="203">
        <v>970000</v>
      </c>
      <c r="G3055" s="262" t="s">
        <v>4261</v>
      </c>
    </row>
    <row r="3056" spans="2:7" x14ac:dyDescent="0.2">
      <c r="B3056" s="317">
        <v>45782</v>
      </c>
      <c r="C3056" s="318" t="s">
        <v>4236</v>
      </c>
      <c r="D3056" s="201">
        <v>1</v>
      </c>
      <c r="E3056" s="202">
        <v>0</v>
      </c>
      <c r="F3056" s="203">
        <v>970000</v>
      </c>
      <c r="G3056" s="262" t="s">
        <v>4261</v>
      </c>
    </row>
    <row r="3057" spans="2:8" x14ac:dyDescent="0.2">
      <c r="B3057" s="317">
        <v>45812</v>
      </c>
      <c r="C3057" s="318" t="s">
        <v>3802</v>
      </c>
      <c r="D3057" s="201">
        <v>1</v>
      </c>
      <c r="E3057" s="202">
        <v>0</v>
      </c>
      <c r="F3057" s="203">
        <v>970000</v>
      </c>
      <c r="G3057" s="262" t="s">
        <v>4261</v>
      </c>
    </row>
    <row r="3058" spans="2:8" x14ac:dyDescent="0.2">
      <c r="B3058" s="317">
        <v>45842</v>
      </c>
      <c r="C3058" s="318" t="s">
        <v>4404</v>
      </c>
      <c r="D3058" s="201">
        <v>1</v>
      </c>
      <c r="E3058" s="202">
        <v>0</v>
      </c>
      <c r="F3058" s="203">
        <v>970000</v>
      </c>
      <c r="G3058" s="262" t="s">
        <v>4261</v>
      </c>
    </row>
    <row r="3059" spans="2:8" x14ac:dyDescent="0.2">
      <c r="B3059" s="317">
        <v>45877</v>
      </c>
      <c r="C3059" s="318" t="s">
        <v>3549</v>
      </c>
      <c r="D3059" s="201">
        <v>1</v>
      </c>
      <c r="E3059" s="202">
        <v>0</v>
      </c>
      <c r="F3059" s="203">
        <v>970000</v>
      </c>
      <c r="G3059" s="262" t="s">
        <v>4261</v>
      </c>
    </row>
    <row r="3060" spans="2:8" x14ac:dyDescent="0.2">
      <c r="B3060" s="317">
        <v>45917</v>
      </c>
      <c r="C3060" s="318" t="s">
        <v>4577</v>
      </c>
      <c r="D3060" s="201">
        <v>1</v>
      </c>
      <c r="E3060" s="202">
        <v>0</v>
      </c>
      <c r="F3060" s="203">
        <v>970000</v>
      </c>
      <c r="G3060" s="262" t="s">
        <v>4261</v>
      </c>
    </row>
    <row r="3061" spans="2:8" x14ac:dyDescent="0.2">
      <c r="B3061" s="317">
        <v>45933</v>
      </c>
      <c r="C3061" s="318" t="s">
        <v>4596</v>
      </c>
      <c r="D3061" s="201">
        <v>1</v>
      </c>
      <c r="E3061" s="202">
        <v>0</v>
      </c>
      <c r="F3061" s="203">
        <v>970000</v>
      </c>
      <c r="G3061" s="262" t="s">
        <v>4261</v>
      </c>
    </row>
    <row r="3062" spans="2:8" x14ac:dyDescent="0.2">
      <c r="B3062" s="317">
        <v>45967</v>
      </c>
      <c r="C3062" s="318" t="s">
        <v>4660</v>
      </c>
      <c r="D3062" s="201">
        <v>1</v>
      </c>
      <c r="E3062" s="202">
        <v>0</v>
      </c>
      <c r="F3062" s="203">
        <v>970000</v>
      </c>
      <c r="G3062" s="262" t="s">
        <v>4261</v>
      </c>
    </row>
    <row r="3063" spans="2:8" x14ac:dyDescent="0.2">
      <c r="B3063" s="317">
        <v>45994</v>
      </c>
      <c r="C3063" s="318" t="s">
        <v>4797</v>
      </c>
      <c r="D3063" s="201">
        <v>1</v>
      </c>
      <c r="E3063" s="202">
        <v>0</v>
      </c>
      <c r="F3063" s="203">
        <v>970000</v>
      </c>
      <c r="G3063" s="262" t="s">
        <v>4261</v>
      </c>
    </row>
    <row r="3064" spans="2:8" x14ac:dyDescent="0.2">
      <c r="B3064" s="317">
        <v>45994</v>
      </c>
      <c r="C3064" s="318" t="s">
        <v>4798</v>
      </c>
      <c r="D3064" s="201">
        <v>1</v>
      </c>
      <c r="E3064" s="202">
        <v>0</v>
      </c>
      <c r="F3064" s="203">
        <v>970000</v>
      </c>
      <c r="G3064" s="262" t="s">
        <v>4261</v>
      </c>
    </row>
    <row r="3065" spans="2:8" x14ac:dyDescent="0.2">
      <c r="C3065" s="1"/>
      <c r="D3065" s="1"/>
    </row>
    <row r="3066" spans="2:8" x14ac:dyDescent="0.2">
      <c r="B3066" s="200">
        <v>45994</v>
      </c>
      <c r="C3066" s="187" t="s">
        <v>4799</v>
      </c>
      <c r="D3066" s="201">
        <v>1</v>
      </c>
      <c r="E3066" s="218">
        <v>0</v>
      </c>
      <c r="F3066" s="203">
        <v>0</v>
      </c>
      <c r="G3066" s="313">
        <v>1365000</v>
      </c>
      <c r="H3066" s="158">
        <v>46037</v>
      </c>
    </row>
    <row r="3067" spans="2:8" x14ac:dyDescent="0.2">
      <c r="B3067" s="200">
        <v>45994</v>
      </c>
      <c r="C3067" s="5" t="s">
        <v>4800</v>
      </c>
      <c r="D3067" s="201">
        <v>1</v>
      </c>
      <c r="E3067" s="202">
        <v>0</v>
      </c>
      <c r="F3067" s="203">
        <v>0</v>
      </c>
      <c r="G3067" s="313">
        <v>970000</v>
      </c>
      <c r="H3067" s="158">
        <v>46037</v>
      </c>
    </row>
    <row r="3068" spans="2:8" x14ac:dyDescent="0.2">
      <c r="B3068" s="200">
        <v>45994</v>
      </c>
      <c r="C3068" s="187" t="s">
        <v>4597</v>
      </c>
      <c r="D3068" s="201">
        <v>1</v>
      </c>
      <c r="E3068" s="202">
        <v>1</v>
      </c>
      <c r="F3068" s="218">
        <v>0</v>
      </c>
      <c r="G3068" s="314">
        <v>845000</v>
      </c>
      <c r="H3068" s="158">
        <v>46035</v>
      </c>
    </row>
    <row r="3069" spans="2:8" x14ac:dyDescent="0.2">
      <c r="B3069"/>
      <c r="D3069"/>
      <c r="E3069"/>
      <c r="F3069"/>
      <c r="G3069"/>
      <c r="H3069"/>
    </row>
    <row r="3070" spans="2:8" x14ac:dyDescent="0.2">
      <c r="B3070" s="200">
        <v>45790</v>
      </c>
      <c r="C3070" s="187" t="s">
        <v>4259</v>
      </c>
      <c r="D3070" s="201">
        <v>1</v>
      </c>
      <c r="E3070" s="202">
        <v>0</v>
      </c>
      <c r="F3070" s="203">
        <v>20000000</v>
      </c>
      <c r="G3070" s="195" t="s">
        <v>3251</v>
      </c>
    </row>
    <row r="3071" spans="2:8" x14ac:dyDescent="0.2">
      <c r="B3071" s="200">
        <v>45839</v>
      </c>
      <c r="C3071" s="187" t="s">
        <v>4409</v>
      </c>
      <c r="D3071" s="201">
        <v>1</v>
      </c>
      <c r="E3071" s="202">
        <v>0</v>
      </c>
      <c r="F3071" s="203">
        <v>20000000</v>
      </c>
      <c r="G3071" s="195" t="s">
        <v>3650</v>
      </c>
    </row>
    <row r="3072" spans="2:8" x14ac:dyDescent="0.2">
      <c r="B3072"/>
      <c r="D3072"/>
      <c r="E3072"/>
      <c r="F3072"/>
      <c r="G3072"/>
    </row>
    <row r="3073" spans="2:7" x14ac:dyDescent="0.2">
      <c r="B3073" s="321">
        <v>45812</v>
      </c>
      <c r="C3073" s="322" t="s">
        <v>4351</v>
      </c>
      <c r="D3073" s="201">
        <v>1</v>
      </c>
      <c r="E3073" s="202">
        <v>0</v>
      </c>
      <c r="F3073" s="203">
        <v>120000</v>
      </c>
      <c r="G3073" s="195" t="s">
        <v>4263</v>
      </c>
    </row>
    <row r="3074" spans="2:7" x14ac:dyDescent="0.2">
      <c r="B3074" s="321">
        <v>45799</v>
      </c>
      <c r="C3074" s="322" t="s">
        <v>4247</v>
      </c>
      <c r="D3074" s="201">
        <v>1</v>
      </c>
      <c r="E3074" s="202">
        <v>0</v>
      </c>
      <c r="F3074" s="203">
        <v>900000</v>
      </c>
      <c r="G3074" s="195" t="s">
        <v>4498</v>
      </c>
    </row>
    <row r="3075" spans="2:7" x14ac:dyDescent="0.2">
      <c r="B3075" s="321">
        <v>45799</v>
      </c>
      <c r="C3075" s="322" t="s">
        <v>4248</v>
      </c>
      <c r="D3075" s="201">
        <v>1</v>
      </c>
      <c r="E3075" s="202">
        <v>0</v>
      </c>
      <c r="F3075" s="203">
        <v>200000</v>
      </c>
      <c r="G3075" s="195" t="s">
        <v>4498</v>
      </c>
    </row>
    <row r="3076" spans="2:7" x14ac:dyDescent="0.2">
      <c r="B3076" s="321">
        <v>45799</v>
      </c>
      <c r="C3076" s="322" t="s">
        <v>4415</v>
      </c>
      <c r="D3076" s="201">
        <v>1</v>
      </c>
      <c r="E3076" s="202">
        <v>0</v>
      </c>
      <c r="F3076" s="203">
        <v>150000</v>
      </c>
      <c r="G3076" s="195" t="s">
        <v>4498</v>
      </c>
    </row>
    <row r="3077" spans="2:7" x14ac:dyDescent="0.2">
      <c r="B3077" s="321">
        <v>45799</v>
      </c>
      <c r="C3077" s="322" t="s">
        <v>4416</v>
      </c>
      <c r="D3077" s="201">
        <v>2</v>
      </c>
      <c r="E3077" s="202">
        <v>0</v>
      </c>
      <c r="F3077" s="203">
        <v>100000</v>
      </c>
      <c r="G3077" s="195" t="s">
        <v>4498</v>
      </c>
    </row>
    <row r="3078" spans="2:7" x14ac:dyDescent="0.2">
      <c r="B3078" s="321">
        <v>45799</v>
      </c>
      <c r="C3078" s="322" t="s">
        <v>4417</v>
      </c>
      <c r="D3078" s="201">
        <v>1</v>
      </c>
      <c r="E3078" s="202">
        <v>0</v>
      </c>
      <c r="F3078" s="203">
        <v>100000</v>
      </c>
      <c r="G3078" s="195" t="s">
        <v>4498</v>
      </c>
    </row>
    <row r="3079" spans="2:7" x14ac:dyDescent="0.2">
      <c r="B3079" s="321">
        <v>45799</v>
      </c>
      <c r="C3079" s="322" t="s">
        <v>4267</v>
      </c>
      <c r="D3079" s="201">
        <v>1</v>
      </c>
      <c r="E3079" s="202">
        <v>0</v>
      </c>
      <c r="F3079" s="203">
        <v>300000</v>
      </c>
      <c r="G3079" s="195" t="s">
        <v>4498</v>
      </c>
    </row>
    <row r="3080" spans="2:7" x14ac:dyDescent="0.2">
      <c r="B3080" s="321">
        <v>45799</v>
      </c>
      <c r="C3080" s="322" t="s">
        <v>4418</v>
      </c>
      <c r="D3080" s="201">
        <v>1</v>
      </c>
      <c r="E3080" s="202">
        <v>0</v>
      </c>
      <c r="F3080" s="203">
        <v>150000</v>
      </c>
      <c r="G3080" s="195" t="s">
        <v>4498</v>
      </c>
    </row>
    <row r="3081" spans="2:7" x14ac:dyDescent="0.2">
      <c r="B3081" s="321">
        <v>45783</v>
      </c>
      <c r="C3081" s="322" t="s">
        <v>4349</v>
      </c>
      <c r="D3081" s="201">
        <v>1</v>
      </c>
      <c r="E3081" s="202">
        <v>0</v>
      </c>
      <c r="F3081" s="203">
        <v>451300</v>
      </c>
      <c r="G3081" s="195" t="s">
        <v>3650</v>
      </c>
    </row>
    <row r="3082" spans="2:7" x14ac:dyDescent="0.2">
      <c r="B3082" s="321">
        <v>45821</v>
      </c>
      <c r="C3082" s="322" t="s">
        <v>4400</v>
      </c>
      <c r="D3082" s="201">
        <v>1</v>
      </c>
      <c r="E3082" s="202">
        <v>0</v>
      </c>
      <c r="F3082" s="203">
        <v>111000</v>
      </c>
      <c r="G3082" s="195" t="s">
        <v>4499</v>
      </c>
    </row>
    <row r="3083" spans="2:7" x14ac:dyDescent="0.2">
      <c r="B3083" s="321">
        <v>45828</v>
      </c>
      <c r="C3083" s="322" t="s">
        <v>4377</v>
      </c>
      <c r="D3083" s="201">
        <v>1</v>
      </c>
      <c r="E3083" s="202">
        <v>0</v>
      </c>
      <c r="F3083" s="203">
        <v>80000</v>
      </c>
      <c r="G3083" s="195" t="s">
        <v>4498</v>
      </c>
    </row>
    <row r="3084" spans="2:7" x14ac:dyDescent="0.2">
      <c r="B3084" s="321">
        <v>45832</v>
      </c>
      <c r="C3084" s="322" t="s">
        <v>4386</v>
      </c>
      <c r="D3084" s="201">
        <v>1</v>
      </c>
      <c r="E3084" s="202">
        <v>0</v>
      </c>
      <c r="F3084" s="203">
        <v>255000</v>
      </c>
      <c r="G3084" s="195" t="s">
        <v>3653</v>
      </c>
    </row>
    <row r="3085" spans="2:7" x14ac:dyDescent="0.2">
      <c r="B3085" s="321">
        <v>45823</v>
      </c>
      <c r="C3085" s="322" t="s">
        <v>4407</v>
      </c>
      <c r="D3085" s="201">
        <v>1</v>
      </c>
      <c r="E3085" s="202">
        <v>0</v>
      </c>
      <c r="F3085" s="203">
        <v>140000</v>
      </c>
      <c r="G3085" s="195" t="s">
        <v>3653</v>
      </c>
    </row>
    <row r="3086" spans="2:7" x14ac:dyDescent="0.2">
      <c r="B3086" s="321">
        <v>45832</v>
      </c>
      <c r="C3086" s="322" t="s">
        <v>4408</v>
      </c>
      <c r="D3086" s="201">
        <v>1</v>
      </c>
      <c r="E3086" s="202">
        <v>0</v>
      </c>
      <c r="F3086" s="203">
        <v>70000</v>
      </c>
      <c r="G3086" s="195" t="s">
        <v>3653</v>
      </c>
    </row>
    <row r="3087" spans="2:7" x14ac:dyDescent="0.2">
      <c r="B3087" s="321">
        <v>45812</v>
      </c>
      <c r="C3087" s="322" t="s">
        <v>4414</v>
      </c>
      <c r="D3087" s="201">
        <v>1</v>
      </c>
      <c r="E3087" s="202">
        <v>0</v>
      </c>
      <c r="F3087" s="203" t="s">
        <v>4413</v>
      </c>
      <c r="G3087" s="195" t="s">
        <v>3650</v>
      </c>
    </row>
    <row r="3088" spans="2:7" x14ac:dyDescent="0.2">
      <c r="B3088" s="321"/>
      <c r="C3088" s="322"/>
      <c r="D3088" s="201"/>
      <c r="E3088" s="202"/>
      <c r="F3088" s="203"/>
      <c r="G3088" s="195"/>
    </row>
    <row r="3089" spans="2:11" x14ac:dyDescent="0.2">
      <c r="B3089" s="321">
        <v>45865</v>
      </c>
      <c r="C3089" s="322" t="s">
        <v>4421</v>
      </c>
      <c r="D3089" s="201">
        <v>2</v>
      </c>
      <c r="E3089" s="202">
        <v>0</v>
      </c>
      <c r="F3089" s="203">
        <v>500000</v>
      </c>
      <c r="G3089" s="195" t="s">
        <v>4498</v>
      </c>
    </row>
    <row r="3090" spans="2:11" x14ac:dyDescent="0.2">
      <c r="B3090" s="321">
        <v>45865</v>
      </c>
      <c r="C3090" s="322" t="s">
        <v>4422</v>
      </c>
      <c r="D3090" s="201">
        <v>2</v>
      </c>
      <c r="E3090" s="202">
        <v>0</v>
      </c>
      <c r="F3090" s="203">
        <v>150000</v>
      </c>
      <c r="G3090" s="195" t="s">
        <v>4498</v>
      </c>
    </row>
    <row r="3091" spans="2:11" x14ac:dyDescent="0.2">
      <c r="B3091" s="321">
        <v>45865</v>
      </c>
      <c r="C3091" s="322" t="s">
        <v>4423</v>
      </c>
      <c r="D3091" s="201">
        <v>1</v>
      </c>
      <c r="E3091" s="202">
        <v>0</v>
      </c>
      <c r="F3091" s="203">
        <v>100000</v>
      </c>
      <c r="G3091" s="195" t="s">
        <v>4498</v>
      </c>
    </row>
    <row r="3092" spans="2:11" x14ac:dyDescent="0.2">
      <c r="B3092" s="321">
        <v>45865</v>
      </c>
      <c r="C3092" s="322" t="s">
        <v>4424</v>
      </c>
      <c r="D3092" s="201">
        <v>1</v>
      </c>
      <c r="E3092" s="202">
        <v>0</v>
      </c>
      <c r="F3092" s="203">
        <v>95000</v>
      </c>
      <c r="G3092" s="195" t="s">
        <v>4498</v>
      </c>
    </row>
    <row r="3093" spans="2:11" x14ac:dyDescent="0.2">
      <c r="B3093" s="321">
        <v>45866</v>
      </c>
      <c r="C3093" s="322" t="s">
        <v>4425</v>
      </c>
      <c r="D3093" s="201">
        <v>1</v>
      </c>
      <c r="E3093" s="202">
        <v>0</v>
      </c>
      <c r="F3093" s="203">
        <v>120000</v>
      </c>
      <c r="G3093" s="195" t="s">
        <v>3653</v>
      </c>
    </row>
    <row r="3094" spans="2:11" x14ac:dyDescent="0.2">
      <c r="B3094" s="323"/>
      <c r="C3094" s="323"/>
      <c r="D3094"/>
      <c r="E3094"/>
      <c r="F3094"/>
      <c r="G3094"/>
      <c r="H3094"/>
      <c r="K3094"/>
    </row>
    <row r="3095" spans="2:11" x14ac:dyDescent="0.2">
      <c r="B3095" s="321">
        <v>45874</v>
      </c>
      <c r="C3095" s="322" t="s">
        <v>4501</v>
      </c>
      <c r="D3095" s="201">
        <v>1</v>
      </c>
      <c r="E3095" s="202">
        <v>0</v>
      </c>
      <c r="F3095" s="203">
        <v>510000</v>
      </c>
      <c r="G3095" s="195" t="s">
        <v>3653</v>
      </c>
    </row>
    <row r="3096" spans="2:11" x14ac:dyDescent="0.2">
      <c r="B3096" s="323"/>
      <c r="C3096" s="323"/>
      <c r="D3096"/>
      <c r="E3096"/>
      <c r="F3096"/>
      <c r="G3096"/>
      <c r="H3096"/>
    </row>
    <row r="3097" spans="2:11" x14ac:dyDescent="0.2">
      <c r="B3097" s="321">
        <v>45899</v>
      </c>
      <c r="C3097" s="322" t="s">
        <v>4520</v>
      </c>
      <c r="D3097" s="201">
        <v>350</v>
      </c>
      <c r="E3097" s="202">
        <v>0</v>
      </c>
      <c r="F3097" s="203">
        <f>D3097*500</f>
        <v>175000</v>
      </c>
      <c r="G3097" s="195" t="s">
        <v>3653</v>
      </c>
    </row>
    <row r="3098" spans="2:11" x14ac:dyDescent="0.2">
      <c r="B3098" s="321">
        <v>45881</v>
      </c>
      <c r="C3098" s="322" t="s">
        <v>4537</v>
      </c>
      <c r="D3098" s="201">
        <v>1</v>
      </c>
      <c r="E3098" s="202">
        <v>0</v>
      </c>
      <c r="F3098" s="203">
        <v>110000</v>
      </c>
      <c r="G3098" s="195" t="s">
        <v>3650</v>
      </c>
    </row>
    <row r="3099" spans="2:11" x14ac:dyDescent="0.2">
      <c r="B3099" s="321">
        <v>45885</v>
      </c>
      <c r="C3099" s="322" t="s">
        <v>4544</v>
      </c>
      <c r="D3099" s="201">
        <v>1</v>
      </c>
      <c r="E3099" s="202">
        <v>0</v>
      </c>
      <c r="F3099" s="203">
        <v>101000</v>
      </c>
      <c r="G3099" s="195" t="s">
        <v>3653</v>
      </c>
    </row>
    <row r="3100" spans="2:11" x14ac:dyDescent="0.2">
      <c r="B3100" s="321">
        <v>45890</v>
      </c>
      <c r="C3100" s="322" t="s">
        <v>4571</v>
      </c>
      <c r="D3100" s="201">
        <v>1</v>
      </c>
      <c r="E3100" s="202">
        <v>0</v>
      </c>
      <c r="F3100" s="203">
        <v>1000000</v>
      </c>
      <c r="G3100" s="195" t="s">
        <v>3650</v>
      </c>
    </row>
    <row r="3101" spans="2:11" x14ac:dyDescent="0.2">
      <c r="B3101" s="321">
        <v>45902</v>
      </c>
      <c r="C3101" s="322" t="s">
        <v>4600</v>
      </c>
      <c r="D3101" s="201">
        <v>1</v>
      </c>
      <c r="E3101" s="202">
        <v>0</v>
      </c>
      <c r="F3101" s="203">
        <v>210000</v>
      </c>
      <c r="G3101" s="195"/>
    </row>
    <row r="3102" spans="2:11" x14ac:dyDescent="0.2">
      <c r="B3102" s="321">
        <v>45921</v>
      </c>
      <c r="C3102" s="322" t="s">
        <v>4622</v>
      </c>
      <c r="D3102" s="201">
        <v>1</v>
      </c>
      <c r="E3102" s="202">
        <v>0</v>
      </c>
      <c r="F3102" s="203">
        <v>450000</v>
      </c>
      <c r="G3102" s="195"/>
    </row>
    <row r="3103" spans="2:11" x14ac:dyDescent="0.2">
      <c r="B3103" s="321">
        <v>45926</v>
      </c>
      <c r="C3103" s="322" t="s">
        <v>4631</v>
      </c>
      <c r="D3103" s="201">
        <v>1</v>
      </c>
      <c r="E3103" s="202">
        <v>0</v>
      </c>
      <c r="F3103" s="203">
        <v>100000</v>
      </c>
      <c r="G3103" s="195"/>
    </row>
    <row r="3104" spans="2:11" x14ac:dyDescent="0.2">
      <c r="B3104" s="321">
        <v>45932</v>
      </c>
      <c r="C3104" s="322" t="s">
        <v>4653</v>
      </c>
      <c r="D3104" s="201">
        <v>1</v>
      </c>
      <c r="E3104" s="202">
        <v>0</v>
      </c>
      <c r="F3104" s="203">
        <v>3000000</v>
      </c>
      <c r="G3104" s="195"/>
    </row>
    <row r="3105" spans="2:8" x14ac:dyDescent="0.2">
      <c r="B3105" s="325"/>
      <c r="C3105" s="323"/>
      <c r="D3105" s="271"/>
      <c r="E3105" s="316"/>
      <c r="F3105" s="170"/>
      <c r="G3105" s="50"/>
    </row>
    <row r="3106" spans="2:8" x14ac:dyDescent="0.2">
      <c r="B3106" s="321"/>
      <c r="C3106" s="331" t="s">
        <v>4574</v>
      </c>
      <c r="D3106" s="332">
        <v>1</v>
      </c>
      <c r="E3106" s="333">
        <v>0</v>
      </c>
      <c r="F3106" s="333">
        <f>59000000*1.85%</f>
        <v>1091500.0000000002</v>
      </c>
      <c r="G3106" s="334"/>
    </row>
    <row r="3107" spans="2:8" x14ac:dyDescent="0.2">
      <c r="B3107" s="321"/>
      <c r="C3107" s="331" t="s">
        <v>4575</v>
      </c>
      <c r="D3107" s="332">
        <v>1</v>
      </c>
      <c r="E3107" s="333">
        <v>0</v>
      </c>
      <c r="F3107" s="333">
        <f>57000000*1.85%</f>
        <v>1054500.0000000002</v>
      </c>
      <c r="G3107" s="334"/>
    </row>
    <row r="3108" spans="2:8" x14ac:dyDescent="0.2">
      <c r="B3108" s="321"/>
      <c r="C3108" s="331" t="s">
        <v>4582</v>
      </c>
      <c r="D3108" s="332">
        <v>1</v>
      </c>
      <c r="E3108" s="333">
        <v>0</v>
      </c>
      <c r="F3108" s="333">
        <f>55000000*1.85%</f>
        <v>1017500.0000000001</v>
      </c>
      <c r="G3108" s="334"/>
    </row>
    <row r="3109" spans="2:8" x14ac:dyDescent="0.2">
      <c r="B3109" s="321"/>
      <c r="C3109" s="331" t="s">
        <v>4719</v>
      </c>
      <c r="D3109" s="332">
        <v>1</v>
      </c>
      <c r="E3109" s="333">
        <v>0</v>
      </c>
      <c r="F3109" s="333">
        <f>59000000*1.85%</f>
        <v>1091500.0000000002</v>
      </c>
      <c r="G3109" s="334"/>
    </row>
    <row r="3110" spans="2:8" x14ac:dyDescent="0.2">
      <c r="B3110" s="321"/>
      <c r="C3110" s="331" t="s">
        <v>4720</v>
      </c>
      <c r="D3110" s="332">
        <v>1</v>
      </c>
      <c r="E3110" s="333">
        <v>0</v>
      </c>
      <c r="F3110" s="333">
        <f>71000000*1.85%</f>
        <v>1313500.0000000002</v>
      </c>
      <c r="G3110" s="334"/>
    </row>
    <row r="3111" spans="2:8" x14ac:dyDescent="0.2">
      <c r="B3111" s="321"/>
      <c r="C3111" s="331" t="s">
        <v>4802</v>
      </c>
      <c r="D3111" s="332">
        <v>1</v>
      </c>
      <c r="E3111" s="335">
        <v>0</v>
      </c>
      <c r="F3111" s="333">
        <f>84000000*1.85%</f>
        <v>1554000.0000000002</v>
      </c>
      <c r="G3111" s="334"/>
    </row>
    <row r="3112" spans="2:8" x14ac:dyDescent="0.2">
      <c r="B3112" s="321"/>
      <c r="C3112" s="331" t="s">
        <v>4842</v>
      </c>
      <c r="D3112" s="332">
        <v>1</v>
      </c>
      <c r="E3112" s="335">
        <v>0</v>
      </c>
      <c r="F3112" s="333">
        <f>108000000*1.85%</f>
        <v>1998000.0000000002</v>
      </c>
      <c r="G3112" s="334"/>
    </row>
    <row r="3113" spans="2:8" x14ac:dyDescent="0.2">
      <c r="B3113" s="323"/>
      <c r="C3113" s="323"/>
      <c r="D3113"/>
      <c r="E3113"/>
      <c r="F3113"/>
      <c r="G3113"/>
      <c r="H3113"/>
    </row>
    <row r="3114" spans="2:8" x14ac:dyDescent="0.2">
      <c r="B3114" s="321">
        <v>45874</v>
      </c>
      <c r="C3114" s="322" t="s">
        <v>4723</v>
      </c>
      <c r="D3114" s="201">
        <v>1</v>
      </c>
      <c r="E3114" s="202">
        <v>0</v>
      </c>
      <c r="F3114" s="203">
        <v>451000</v>
      </c>
      <c r="G3114" s="195"/>
    </row>
    <row r="3115" spans="2:8" x14ac:dyDescent="0.2">
      <c r="B3115" s="321">
        <v>45979</v>
      </c>
      <c r="C3115" s="322" t="s">
        <v>4804</v>
      </c>
      <c r="D3115" s="201">
        <v>1</v>
      </c>
      <c r="E3115" s="202">
        <v>0</v>
      </c>
      <c r="F3115" s="203">
        <v>451000</v>
      </c>
      <c r="G3115" s="195"/>
    </row>
    <row r="3116" spans="2:8" x14ac:dyDescent="0.2">
      <c r="B3116" s="321">
        <v>45944</v>
      </c>
      <c r="C3116" s="322" t="s">
        <v>4725</v>
      </c>
      <c r="D3116" s="201">
        <v>1</v>
      </c>
      <c r="E3116" s="202">
        <v>0</v>
      </c>
      <c r="F3116" s="203">
        <v>300000</v>
      </c>
      <c r="G3116" s="195"/>
      <c r="H3116"/>
    </row>
    <row r="3117" spans="2:8" x14ac:dyDescent="0.2">
      <c r="B3117" s="321">
        <v>45941</v>
      </c>
      <c r="C3117" s="322" t="s">
        <v>4668</v>
      </c>
      <c r="D3117" s="201">
        <v>1</v>
      </c>
      <c r="E3117" s="202">
        <v>0</v>
      </c>
      <c r="F3117" s="203">
        <v>504000</v>
      </c>
      <c r="G3117" s="195"/>
    </row>
    <row r="3118" spans="2:8" x14ac:dyDescent="0.2">
      <c r="B3118" s="321">
        <v>45958</v>
      </c>
      <c r="C3118" s="322" t="s">
        <v>4686</v>
      </c>
      <c r="D3118" s="201">
        <v>1</v>
      </c>
      <c r="E3118" s="202">
        <v>0</v>
      </c>
      <c r="F3118" s="203">
        <v>150000</v>
      </c>
      <c r="G3118" s="195"/>
    </row>
    <row r="3119" spans="2:8" x14ac:dyDescent="0.2">
      <c r="B3119" s="321">
        <v>45958</v>
      </c>
      <c r="C3119" s="322" t="s">
        <v>4687</v>
      </c>
      <c r="D3119" s="201">
        <v>1</v>
      </c>
      <c r="E3119" s="202">
        <v>0</v>
      </c>
      <c r="F3119" s="203">
        <v>50000</v>
      </c>
      <c r="G3119" s="195"/>
    </row>
    <row r="3120" spans="2:8" x14ac:dyDescent="0.2">
      <c r="B3120" s="321">
        <v>45968</v>
      </c>
      <c r="C3120" s="322" t="s">
        <v>4697</v>
      </c>
      <c r="D3120" s="201">
        <v>1</v>
      </c>
      <c r="E3120" s="202">
        <v>0</v>
      </c>
      <c r="F3120" s="203">
        <v>450000</v>
      </c>
      <c r="G3120" s="195"/>
    </row>
    <row r="3121" spans="2:8" x14ac:dyDescent="0.2">
      <c r="B3121" s="321">
        <v>45991</v>
      </c>
      <c r="C3121" s="322" t="s">
        <v>4796</v>
      </c>
      <c r="D3121" s="201">
        <v>230</v>
      </c>
      <c r="E3121" s="202">
        <v>0</v>
      </c>
      <c r="F3121" s="203">
        <f>D3121*500</f>
        <v>115000</v>
      </c>
      <c r="G3121" s="195"/>
    </row>
    <row r="3122" spans="2:8" x14ac:dyDescent="0.2">
      <c r="B3122" s="321">
        <v>45987</v>
      </c>
      <c r="C3122" s="322" t="s">
        <v>4927</v>
      </c>
      <c r="D3122" s="201">
        <v>1</v>
      </c>
      <c r="E3122" s="202">
        <v>0</v>
      </c>
      <c r="F3122" s="203">
        <v>450000</v>
      </c>
      <c r="G3122" s="195"/>
    </row>
    <row r="3123" spans="2:8" x14ac:dyDescent="0.2">
      <c r="B3123"/>
      <c r="D3123"/>
      <c r="E3123"/>
      <c r="F3123"/>
      <c r="G3123"/>
    </row>
    <row r="3124" spans="2:8" x14ac:dyDescent="0.2">
      <c r="B3124" s="327">
        <v>45881</v>
      </c>
      <c r="C3124" s="328" t="s">
        <v>4721</v>
      </c>
      <c r="D3124" s="201">
        <v>1</v>
      </c>
      <c r="E3124" s="202">
        <v>0</v>
      </c>
      <c r="F3124" s="203">
        <v>546600</v>
      </c>
      <c r="G3124" s="195"/>
    </row>
    <row r="3125" spans="2:8" x14ac:dyDescent="0.2">
      <c r="B3125" s="327">
        <v>45926</v>
      </c>
      <c r="C3125" s="328" t="s">
        <v>4724</v>
      </c>
      <c r="D3125" s="201">
        <v>1</v>
      </c>
      <c r="E3125" s="202">
        <v>0</v>
      </c>
      <c r="F3125" s="203">
        <v>546600</v>
      </c>
      <c r="G3125" s="195"/>
    </row>
    <row r="3126" spans="2:8" x14ac:dyDescent="0.2">
      <c r="B3126" s="327">
        <v>45989</v>
      </c>
      <c r="C3126" s="328" t="s">
        <v>4803</v>
      </c>
      <c r="D3126" s="201">
        <v>1</v>
      </c>
      <c r="E3126" s="202">
        <v>0</v>
      </c>
      <c r="F3126" s="203">
        <v>546600</v>
      </c>
      <c r="G3126" s="195"/>
    </row>
    <row r="3127" spans="2:8" x14ac:dyDescent="0.2">
      <c r="B3127"/>
      <c r="D3127"/>
      <c r="E3127"/>
      <c r="F3127"/>
      <c r="G3127"/>
      <c r="H3127"/>
    </row>
    <row r="3128" spans="2:8" x14ac:dyDescent="0.2">
      <c r="B3128" s="326">
        <v>45883</v>
      </c>
      <c r="C3128" s="245" t="s">
        <v>4722</v>
      </c>
      <c r="D3128" s="201">
        <v>1</v>
      </c>
      <c r="E3128" s="202">
        <v>0</v>
      </c>
      <c r="F3128" s="203">
        <v>450000</v>
      </c>
      <c r="G3128" s="195"/>
    </row>
    <row r="3129" spans="2:8" x14ac:dyDescent="0.2">
      <c r="B3129" s="326">
        <v>45917</v>
      </c>
      <c r="C3129" s="245" t="s">
        <v>4722</v>
      </c>
      <c r="D3129" s="201">
        <v>1</v>
      </c>
      <c r="E3129" s="202">
        <v>0</v>
      </c>
      <c r="F3129" s="203">
        <v>450000</v>
      </c>
      <c r="G3129" s="195"/>
    </row>
    <row r="3130" spans="2:8" x14ac:dyDescent="0.2">
      <c r="B3130" s="326">
        <v>45954</v>
      </c>
      <c r="C3130" s="245" t="s">
        <v>4722</v>
      </c>
      <c r="D3130" s="201">
        <v>1</v>
      </c>
      <c r="E3130" s="202">
        <v>0</v>
      </c>
      <c r="F3130" s="203">
        <v>450000</v>
      </c>
      <c r="G3130" s="195"/>
    </row>
    <row r="3131" spans="2:8" x14ac:dyDescent="0.2">
      <c r="B3131" s="326">
        <v>45995</v>
      </c>
      <c r="C3131" s="245" t="s">
        <v>4722</v>
      </c>
      <c r="D3131" s="201">
        <v>1</v>
      </c>
      <c r="E3131" s="202">
        <v>0</v>
      </c>
      <c r="F3131" s="203">
        <v>450000</v>
      </c>
      <c r="G3131" s="195"/>
    </row>
    <row r="3132" spans="2:8" x14ac:dyDescent="0.2">
      <c r="B3132" s="326">
        <v>46000</v>
      </c>
      <c r="C3132" s="245" t="s">
        <v>4722</v>
      </c>
      <c r="D3132" s="201">
        <v>1</v>
      </c>
      <c r="E3132" s="202">
        <v>0</v>
      </c>
      <c r="F3132" s="203">
        <v>450000</v>
      </c>
      <c r="G3132" s="195"/>
    </row>
    <row r="3133" spans="2:8" x14ac:dyDescent="0.2">
      <c r="B3133" s="326">
        <v>46046</v>
      </c>
      <c r="C3133" s="245" t="s">
        <v>4722</v>
      </c>
      <c r="D3133" s="201">
        <v>1</v>
      </c>
      <c r="E3133" s="202">
        <v>0</v>
      </c>
      <c r="F3133" s="203">
        <v>450000</v>
      </c>
      <c r="G3133" s="195"/>
    </row>
    <row r="3134" spans="2:8" x14ac:dyDescent="0.2">
      <c r="B3134" s="200"/>
      <c r="C3134" s="187"/>
      <c r="D3134" s="201"/>
      <c r="E3134" s="202"/>
      <c r="F3134" s="203"/>
      <c r="G3134" s="195"/>
    </row>
    <row r="3135" spans="2:8" x14ac:dyDescent="0.2">
      <c r="B3135"/>
      <c r="D3135"/>
      <c r="E3135"/>
      <c r="F3135"/>
      <c r="G3135"/>
    </row>
    <row r="3136" spans="2:8" x14ac:dyDescent="0.2">
      <c r="B3136" s="321">
        <v>45971</v>
      </c>
      <c r="C3136" s="322" t="s">
        <v>4768</v>
      </c>
      <c r="D3136" s="201">
        <v>1</v>
      </c>
      <c r="E3136" s="202">
        <v>0</v>
      </c>
      <c r="F3136" s="203">
        <v>350000</v>
      </c>
      <c r="G3136" s="195"/>
    </row>
    <row r="3137" spans="2:8" x14ac:dyDescent="0.2">
      <c r="B3137" s="321">
        <v>45980</v>
      </c>
      <c r="C3137" s="322" t="s">
        <v>4769</v>
      </c>
      <c r="D3137" s="201">
        <v>1</v>
      </c>
      <c r="E3137" s="202">
        <v>0</v>
      </c>
      <c r="F3137" s="203">
        <f>6*85000</f>
        <v>510000</v>
      </c>
      <c r="G3137" s="195"/>
    </row>
    <row r="3138" spans="2:8" x14ac:dyDescent="0.2">
      <c r="B3138" s="321">
        <v>45980</v>
      </c>
      <c r="C3138" s="322" t="s">
        <v>4754</v>
      </c>
      <c r="D3138" s="201">
        <v>1</v>
      </c>
      <c r="E3138" s="202">
        <v>0</v>
      </c>
      <c r="F3138" s="203">
        <v>392000</v>
      </c>
      <c r="G3138" s="195"/>
    </row>
    <row r="3139" spans="2:8" x14ac:dyDescent="0.2">
      <c r="B3139" s="321">
        <v>45973</v>
      </c>
      <c r="C3139" s="322" t="s">
        <v>4770</v>
      </c>
      <c r="D3139" s="201">
        <v>1</v>
      </c>
      <c r="E3139" s="202">
        <v>0</v>
      </c>
      <c r="F3139" s="203">
        <v>140000</v>
      </c>
      <c r="G3139" s="195"/>
    </row>
    <row r="3140" spans="2:8" x14ac:dyDescent="0.2">
      <c r="B3140" s="321">
        <v>45980</v>
      </c>
      <c r="C3140" s="322" t="s">
        <v>4771</v>
      </c>
      <c r="D3140" s="201">
        <v>1</v>
      </c>
      <c r="E3140" s="202">
        <v>0</v>
      </c>
      <c r="F3140" s="203">
        <v>122000</v>
      </c>
      <c r="G3140" s="195"/>
    </row>
    <row r="3141" spans="2:8" x14ac:dyDescent="0.2">
      <c r="B3141" s="321">
        <v>45988</v>
      </c>
      <c r="C3141" s="322" t="s">
        <v>4772</v>
      </c>
      <c r="D3141" s="201">
        <v>1</v>
      </c>
      <c r="E3141" s="202">
        <v>0</v>
      </c>
      <c r="F3141" s="203">
        <v>600000</v>
      </c>
      <c r="G3141" s="195"/>
    </row>
    <row r="3142" spans="2:8" x14ac:dyDescent="0.2">
      <c r="B3142" s="321">
        <v>45991</v>
      </c>
      <c r="C3142" s="322" t="s">
        <v>4795</v>
      </c>
      <c r="D3142" s="201">
        <v>850</v>
      </c>
      <c r="E3142" s="202">
        <v>0</v>
      </c>
      <c r="F3142" s="203">
        <f>D3142*500</f>
        <v>425000</v>
      </c>
      <c r="G3142" s="195"/>
    </row>
    <row r="3143" spans="2:8" x14ac:dyDescent="0.2">
      <c r="B3143" s="321">
        <v>45969</v>
      </c>
      <c r="C3143" s="322" t="s">
        <v>4706</v>
      </c>
      <c r="D3143" s="201">
        <v>1</v>
      </c>
      <c r="E3143" s="202">
        <v>0</v>
      </c>
      <c r="F3143" s="203">
        <v>1100000</v>
      </c>
      <c r="G3143" s="195"/>
      <c r="H3143" s="1">
        <f>15400000*40%</f>
        <v>6160000</v>
      </c>
    </row>
    <row r="3144" spans="2:8" x14ac:dyDescent="0.2">
      <c r="B3144" s="321">
        <v>46356</v>
      </c>
      <c r="C3144" s="322" t="s">
        <v>4917</v>
      </c>
      <c r="D3144" s="201">
        <v>1</v>
      </c>
      <c r="E3144" s="202">
        <v>0</v>
      </c>
      <c r="F3144" s="203">
        <v>2400000</v>
      </c>
      <c r="G3144" s="195"/>
    </row>
    <row r="3145" spans="2:8" x14ac:dyDescent="0.2">
      <c r="B3145" s="321">
        <v>45991</v>
      </c>
      <c r="C3145" s="322" t="s">
        <v>4807</v>
      </c>
      <c r="D3145" s="201">
        <v>1</v>
      </c>
      <c r="E3145" s="202">
        <v>0</v>
      </c>
      <c r="F3145" s="203">
        <v>800000</v>
      </c>
      <c r="G3145" s="195"/>
    </row>
    <row r="3146" spans="2:8" x14ac:dyDescent="0.2">
      <c r="B3146" s="321">
        <v>46020</v>
      </c>
      <c r="C3146" s="322" t="s">
        <v>4808</v>
      </c>
      <c r="D3146" s="201">
        <v>1</v>
      </c>
      <c r="E3146" s="202">
        <v>0</v>
      </c>
      <c r="F3146" s="203">
        <v>1500000</v>
      </c>
      <c r="G3146" s="195"/>
    </row>
    <row r="3147" spans="2:8" x14ac:dyDescent="0.2">
      <c r="B3147" s="321">
        <v>46021</v>
      </c>
      <c r="C3147" s="322" t="s">
        <v>4844</v>
      </c>
      <c r="D3147" s="201">
        <v>80000</v>
      </c>
      <c r="E3147" s="202">
        <v>0</v>
      </c>
      <c r="F3147" s="203">
        <f>D3147*75</f>
        <v>6000000</v>
      </c>
      <c r="G3147" s="195"/>
    </row>
    <row r="3148" spans="2:8" x14ac:dyDescent="0.2">
      <c r="B3148" s="321">
        <v>46021</v>
      </c>
      <c r="C3148" s="322" t="s">
        <v>4845</v>
      </c>
      <c r="D3148" s="201"/>
      <c r="E3148" s="202"/>
      <c r="F3148" s="203">
        <v>1200000</v>
      </c>
      <c r="G3148" s="195"/>
    </row>
    <row r="3149" spans="2:8" x14ac:dyDescent="0.2">
      <c r="B3149"/>
      <c r="D3149"/>
      <c r="E3149"/>
      <c r="F3149"/>
      <c r="G3149"/>
      <c r="H3149"/>
    </row>
    <row r="3150" spans="2:8" x14ac:dyDescent="0.2">
      <c r="B3150" s="336">
        <v>45945</v>
      </c>
      <c r="C3150" s="337" t="s">
        <v>4712</v>
      </c>
      <c r="D3150" s="201">
        <v>813</v>
      </c>
      <c r="E3150" s="202">
        <v>0</v>
      </c>
      <c r="F3150" s="203">
        <f t="shared" ref="F3150:F3156" si="8">D3150*100</f>
        <v>81300</v>
      </c>
      <c r="G3150" s="195"/>
    </row>
    <row r="3151" spans="2:8" x14ac:dyDescent="0.2">
      <c r="B3151" s="336">
        <v>45945</v>
      </c>
      <c r="C3151" s="337" t="s">
        <v>4708</v>
      </c>
      <c r="D3151" s="201">
        <v>5619</v>
      </c>
      <c r="E3151" s="202">
        <v>0</v>
      </c>
      <c r="F3151" s="203">
        <f t="shared" si="8"/>
        <v>561900</v>
      </c>
      <c r="G3151" s="195"/>
    </row>
    <row r="3152" spans="2:8" x14ac:dyDescent="0.2">
      <c r="B3152" s="336">
        <v>45945</v>
      </c>
      <c r="C3152" s="337" t="s">
        <v>4709</v>
      </c>
      <c r="D3152" s="201">
        <v>300</v>
      </c>
      <c r="E3152" s="202">
        <v>0</v>
      </c>
      <c r="F3152" s="203">
        <f t="shared" si="8"/>
        <v>30000</v>
      </c>
      <c r="G3152" s="195"/>
    </row>
    <row r="3153" spans="2:7" x14ac:dyDescent="0.2">
      <c r="B3153" s="336">
        <v>45945</v>
      </c>
      <c r="C3153" s="337" t="s">
        <v>4710</v>
      </c>
      <c r="D3153" s="201">
        <v>250</v>
      </c>
      <c r="E3153" s="202">
        <v>0</v>
      </c>
      <c r="F3153" s="203">
        <f t="shared" si="8"/>
        <v>25000</v>
      </c>
      <c r="G3153" s="195"/>
    </row>
    <row r="3154" spans="2:7" x14ac:dyDescent="0.2">
      <c r="B3154" s="336">
        <v>45945</v>
      </c>
      <c r="C3154" s="337" t="s">
        <v>4711</v>
      </c>
      <c r="D3154" s="201">
        <v>273</v>
      </c>
      <c r="E3154" s="202">
        <v>0</v>
      </c>
      <c r="F3154" s="203">
        <f t="shared" si="8"/>
        <v>27300</v>
      </c>
      <c r="G3154" s="195"/>
    </row>
    <row r="3155" spans="2:7" x14ac:dyDescent="0.2">
      <c r="B3155" s="336">
        <v>45945</v>
      </c>
      <c r="C3155" s="337" t="s">
        <v>4713</v>
      </c>
      <c r="D3155" s="201">
        <v>1031</v>
      </c>
      <c r="E3155" s="202">
        <v>0</v>
      </c>
      <c r="F3155" s="203">
        <f t="shared" si="8"/>
        <v>103100</v>
      </c>
      <c r="G3155" s="195"/>
    </row>
    <row r="3156" spans="2:7" ht="16" x14ac:dyDescent="0.2">
      <c r="B3156" s="336">
        <v>45974</v>
      </c>
      <c r="C3156" s="338" t="s">
        <v>4788</v>
      </c>
      <c r="D3156" s="303">
        <v>2116</v>
      </c>
      <c r="E3156" s="202">
        <v>0</v>
      </c>
      <c r="F3156" s="203">
        <f t="shared" si="8"/>
        <v>211600</v>
      </c>
      <c r="G3156" s="195"/>
    </row>
    <row r="3157" spans="2:7" ht="16" x14ac:dyDescent="0.2">
      <c r="B3157" s="336">
        <v>45979</v>
      </c>
      <c r="C3157" s="338" t="s">
        <v>4789</v>
      </c>
      <c r="D3157" s="303">
        <v>9081</v>
      </c>
      <c r="E3157" s="202">
        <v>0</v>
      </c>
      <c r="F3157" s="203">
        <f t="shared" ref="F3157:F3173" si="9">D3157*100</f>
        <v>908100</v>
      </c>
      <c r="G3157" s="195"/>
    </row>
    <row r="3158" spans="2:7" ht="16" x14ac:dyDescent="0.2">
      <c r="B3158" s="336">
        <v>45981</v>
      </c>
      <c r="C3158" s="338" t="s">
        <v>4790</v>
      </c>
      <c r="D3158" s="303">
        <v>34070</v>
      </c>
      <c r="E3158" s="202">
        <v>0</v>
      </c>
      <c r="F3158" s="312">
        <f t="shared" si="9"/>
        <v>3407000</v>
      </c>
      <c r="G3158" s="195"/>
    </row>
    <row r="3159" spans="2:7" ht="16" x14ac:dyDescent="0.2">
      <c r="B3159" s="336">
        <v>45982</v>
      </c>
      <c r="C3159" s="338" t="s">
        <v>4791</v>
      </c>
      <c r="D3159" s="303">
        <v>15425</v>
      </c>
      <c r="E3159" s="202">
        <v>0</v>
      </c>
      <c r="F3159" s="203">
        <f t="shared" si="9"/>
        <v>1542500</v>
      </c>
      <c r="G3159" s="195"/>
    </row>
    <row r="3160" spans="2:7" ht="16" x14ac:dyDescent="0.2">
      <c r="B3160" s="336">
        <v>45989</v>
      </c>
      <c r="C3160" s="338" t="s">
        <v>4792</v>
      </c>
      <c r="D3160" s="303">
        <v>1361</v>
      </c>
      <c r="E3160" s="202">
        <v>0</v>
      </c>
      <c r="F3160" s="203">
        <f t="shared" si="9"/>
        <v>136100</v>
      </c>
      <c r="G3160" s="195"/>
    </row>
    <row r="3161" spans="2:7" ht="16" x14ac:dyDescent="0.2">
      <c r="B3161" s="336">
        <v>45990</v>
      </c>
      <c r="C3161" s="339" t="s">
        <v>4793</v>
      </c>
      <c r="D3161" s="303">
        <v>687</v>
      </c>
      <c r="E3161" s="202">
        <v>0</v>
      </c>
      <c r="F3161" s="203">
        <f t="shared" si="9"/>
        <v>68700</v>
      </c>
      <c r="G3161" s="195"/>
    </row>
    <row r="3162" spans="2:7" ht="16" x14ac:dyDescent="0.2">
      <c r="B3162" s="336">
        <v>45991</v>
      </c>
      <c r="C3162" s="338" t="s">
        <v>4794</v>
      </c>
      <c r="D3162" s="303">
        <v>4800</v>
      </c>
      <c r="E3162" s="202">
        <v>0</v>
      </c>
      <c r="F3162" s="312">
        <f t="shared" si="9"/>
        <v>480000</v>
      </c>
      <c r="G3162" s="195"/>
    </row>
    <row r="3163" spans="2:7" ht="16" x14ac:dyDescent="0.2">
      <c r="B3163" s="336">
        <v>45991</v>
      </c>
      <c r="C3163" s="338" t="s">
        <v>4843</v>
      </c>
      <c r="D3163" s="303">
        <v>55448</v>
      </c>
      <c r="E3163" s="202">
        <v>0</v>
      </c>
      <c r="F3163" s="312">
        <f t="shared" si="9"/>
        <v>5544800</v>
      </c>
      <c r="G3163" s="195"/>
    </row>
    <row r="3164" spans="2:7" ht="16" x14ac:dyDescent="0.2">
      <c r="B3164" s="336">
        <v>45992</v>
      </c>
      <c r="C3164" s="338" t="s">
        <v>4832</v>
      </c>
      <c r="D3164" s="303">
        <v>10058</v>
      </c>
      <c r="E3164" s="202">
        <v>0</v>
      </c>
      <c r="F3164" s="203">
        <f t="shared" si="9"/>
        <v>1005800</v>
      </c>
      <c r="G3164" s="195"/>
    </row>
    <row r="3165" spans="2:7" ht="16" x14ac:dyDescent="0.2">
      <c r="B3165" s="336">
        <v>45996</v>
      </c>
      <c r="C3165" s="338" t="s">
        <v>4833</v>
      </c>
      <c r="D3165" s="303">
        <v>276</v>
      </c>
      <c r="E3165" s="202">
        <v>0</v>
      </c>
      <c r="F3165" s="203">
        <f t="shared" si="9"/>
        <v>27600</v>
      </c>
      <c r="G3165" s="195"/>
    </row>
    <row r="3166" spans="2:7" ht="16" x14ac:dyDescent="0.2">
      <c r="B3166" s="336">
        <v>45996</v>
      </c>
      <c r="C3166" s="338" t="s">
        <v>4834</v>
      </c>
      <c r="D3166" s="303">
        <v>1010</v>
      </c>
      <c r="E3166" s="202">
        <v>0</v>
      </c>
      <c r="F3166" s="203">
        <f t="shared" si="9"/>
        <v>101000</v>
      </c>
      <c r="G3166" s="195"/>
    </row>
    <row r="3167" spans="2:7" ht="16" x14ac:dyDescent="0.2">
      <c r="B3167" s="336">
        <v>46000</v>
      </c>
      <c r="C3167" s="338" t="s">
        <v>4835</v>
      </c>
      <c r="D3167" s="303">
        <v>742</v>
      </c>
      <c r="E3167" s="202">
        <v>0</v>
      </c>
      <c r="F3167" s="203">
        <f t="shared" si="9"/>
        <v>74200</v>
      </c>
      <c r="G3167" s="195"/>
    </row>
    <row r="3168" spans="2:7" ht="16" x14ac:dyDescent="0.2">
      <c r="B3168" s="336">
        <v>46007</v>
      </c>
      <c r="C3168" s="338" t="s">
        <v>4836</v>
      </c>
      <c r="D3168" s="303">
        <v>21500</v>
      </c>
      <c r="E3168" s="202">
        <v>0</v>
      </c>
      <c r="F3168" s="203">
        <f t="shared" si="9"/>
        <v>2150000</v>
      </c>
      <c r="G3168" s="195"/>
    </row>
    <row r="3169" spans="2:8" ht="16" x14ac:dyDescent="0.2">
      <c r="B3169" s="336">
        <v>46006</v>
      </c>
      <c r="C3169" s="338" t="s">
        <v>4837</v>
      </c>
      <c r="D3169" s="303">
        <v>8278</v>
      </c>
      <c r="E3169" s="202">
        <v>0</v>
      </c>
      <c r="F3169" s="312">
        <f t="shared" si="9"/>
        <v>827800</v>
      </c>
      <c r="G3169" s="195"/>
    </row>
    <row r="3170" spans="2:8" ht="16" x14ac:dyDescent="0.2">
      <c r="B3170" s="336">
        <v>46007</v>
      </c>
      <c r="C3170" s="338" t="s">
        <v>4838</v>
      </c>
      <c r="D3170" s="303">
        <v>1048</v>
      </c>
      <c r="E3170" s="202">
        <v>0</v>
      </c>
      <c r="F3170" s="312">
        <f t="shared" si="9"/>
        <v>104800</v>
      </c>
      <c r="G3170" s="195"/>
    </row>
    <row r="3171" spans="2:8" ht="16" x14ac:dyDescent="0.2">
      <c r="B3171" s="336">
        <v>46007</v>
      </c>
      <c r="C3171" s="338" t="s">
        <v>4839</v>
      </c>
      <c r="D3171" s="303">
        <v>1993</v>
      </c>
      <c r="E3171" s="202">
        <v>0</v>
      </c>
      <c r="F3171" s="312">
        <f t="shared" si="9"/>
        <v>199300</v>
      </c>
      <c r="G3171" s="195"/>
    </row>
    <row r="3172" spans="2:8" ht="16" x14ac:dyDescent="0.2">
      <c r="B3172" s="336">
        <v>46013</v>
      </c>
      <c r="C3172" s="338" t="s">
        <v>4840</v>
      </c>
      <c r="D3172" s="303">
        <v>533</v>
      </c>
      <c r="E3172" s="202">
        <v>0</v>
      </c>
      <c r="F3172" s="203">
        <f t="shared" si="9"/>
        <v>53300</v>
      </c>
      <c r="G3172" s="195"/>
    </row>
    <row r="3173" spans="2:8" ht="16" x14ac:dyDescent="0.2">
      <c r="B3173" s="336">
        <v>46014</v>
      </c>
      <c r="C3173" s="338" t="s">
        <v>4841</v>
      </c>
      <c r="D3173" s="303">
        <v>6854</v>
      </c>
      <c r="E3173" s="202">
        <v>0</v>
      </c>
      <c r="F3173" s="312">
        <f t="shared" si="9"/>
        <v>685400</v>
      </c>
      <c r="G3173" s="195"/>
    </row>
    <row r="3174" spans="2:8" x14ac:dyDescent="0.2">
      <c r="B3174"/>
      <c r="D3174"/>
      <c r="E3174"/>
      <c r="F3174"/>
      <c r="G3174"/>
      <c r="H3174"/>
    </row>
    <row r="3175" spans="2:8" x14ac:dyDescent="0.2">
      <c r="B3175" s="341">
        <v>45980.735798611109</v>
      </c>
      <c r="C3175" s="342" t="s">
        <v>4773</v>
      </c>
      <c r="D3175" s="201">
        <v>7400</v>
      </c>
      <c r="E3175" s="202">
        <v>0</v>
      </c>
      <c r="F3175" s="203">
        <f>D3175*85</f>
        <v>629000</v>
      </c>
      <c r="G3175" s="195"/>
    </row>
    <row r="3176" spans="2:8" x14ac:dyDescent="0.2">
      <c r="B3176" s="341">
        <v>45983.724085648151</v>
      </c>
      <c r="C3176" s="342" t="s">
        <v>4774</v>
      </c>
      <c r="D3176" s="201">
        <v>20581</v>
      </c>
      <c r="E3176" s="202">
        <v>0</v>
      </c>
      <c r="F3176" s="203">
        <f t="shared" ref="F3176:F3212" si="10">D3176*85</f>
        <v>1749385</v>
      </c>
      <c r="G3176" s="195"/>
    </row>
    <row r="3177" spans="2:8" x14ac:dyDescent="0.2">
      <c r="B3177" s="341">
        <v>45985.543506944443</v>
      </c>
      <c r="C3177" s="342" t="s">
        <v>4775</v>
      </c>
      <c r="D3177" s="201">
        <v>221.65</v>
      </c>
      <c r="E3177" s="202">
        <v>0</v>
      </c>
      <c r="F3177" s="203">
        <f t="shared" si="10"/>
        <v>18840.25</v>
      </c>
      <c r="G3177" s="195"/>
    </row>
    <row r="3178" spans="2:8" x14ac:dyDescent="0.2">
      <c r="B3178" s="341">
        <v>45985.543946759259</v>
      </c>
      <c r="C3178" s="342" t="s">
        <v>4776</v>
      </c>
      <c r="D3178" s="201">
        <v>159.25</v>
      </c>
      <c r="E3178" s="202">
        <v>0</v>
      </c>
      <c r="F3178" s="203">
        <f t="shared" si="10"/>
        <v>13536.25</v>
      </c>
      <c r="G3178" s="195"/>
    </row>
    <row r="3179" spans="2:8" x14ac:dyDescent="0.2">
      <c r="B3179" s="341">
        <v>45985.544317129628</v>
      </c>
      <c r="C3179" s="342" t="s">
        <v>4777</v>
      </c>
      <c r="D3179" s="201">
        <v>134.55000000000001</v>
      </c>
      <c r="E3179" s="202">
        <v>0</v>
      </c>
      <c r="F3179" s="203">
        <f t="shared" si="10"/>
        <v>11436.750000000002</v>
      </c>
      <c r="G3179" s="195"/>
    </row>
    <row r="3180" spans="2:8" x14ac:dyDescent="0.2">
      <c r="B3180" s="341">
        <v>45985.545266203706</v>
      </c>
      <c r="C3180" s="342" t="s">
        <v>4778</v>
      </c>
      <c r="D3180" s="201">
        <v>79.95</v>
      </c>
      <c r="E3180" s="202">
        <v>0</v>
      </c>
      <c r="F3180" s="203">
        <f t="shared" si="10"/>
        <v>6795.75</v>
      </c>
      <c r="G3180" s="195"/>
    </row>
    <row r="3181" spans="2:8" x14ac:dyDescent="0.2">
      <c r="B3181" s="341">
        <v>45986.705092592594</v>
      </c>
      <c r="C3181" s="342" t="s">
        <v>4779</v>
      </c>
      <c r="D3181" s="201">
        <v>90.350000000000009</v>
      </c>
      <c r="E3181" s="202">
        <v>0</v>
      </c>
      <c r="F3181" s="203">
        <f t="shared" si="10"/>
        <v>7679.7500000000009</v>
      </c>
      <c r="G3181" s="195"/>
    </row>
    <row r="3182" spans="2:8" x14ac:dyDescent="0.2">
      <c r="B3182" s="341">
        <v>45986.705555555556</v>
      </c>
      <c r="C3182" s="342" t="s">
        <v>4780</v>
      </c>
      <c r="D3182" s="201">
        <v>375.7</v>
      </c>
      <c r="E3182" s="202">
        <v>0</v>
      </c>
      <c r="F3182" s="203">
        <f t="shared" si="10"/>
        <v>31934.5</v>
      </c>
      <c r="G3182" s="195"/>
    </row>
    <row r="3183" spans="2:8" x14ac:dyDescent="0.2">
      <c r="B3183" s="341">
        <v>45986.706712962965</v>
      </c>
      <c r="C3183" s="342" t="s">
        <v>4781</v>
      </c>
      <c r="D3183" s="201">
        <v>150.15</v>
      </c>
      <c r="E3183" s="202">
        <v>0</v>
      </c>
      <c r="F3183" s="203">
        <f t="shared" si="10"/>
        <v>12762.75</v>
      </c>
      <c r="G3183" s="195"/>
    </row>
    <row r="3184" spans="2:8" x14ac:dyDescent="0.2">
      <c r="B3184" s="341">
        <v>45987.574143518519</v>
      </c>
      <c r="C3184" s="342" t="s">
        <v>4782</v>
      </c>
      <c r="D3184" s="201">
        <v>1686</v>
      </c>
      <c r="E3184" s="202">
        <v>0</v>
      </c>
      <c r="F3184" s="203">
        <f t="shared" si="10"/>
        <v>143310</v>
      </c>
      <c r="G3184" s="195"/>
    </row>
    <row r="3185" spans="2:7" x14ac:dyDescent="0.2">
      <c r="B3185" s="341">
        <v>45988.495393518519</v>
      </c>
      <c r="C3185" s="342" t="s">
        <v>4783</v>
      </c>
      <c r="D3185" s="201">
        <v>3517</v>
      </c>
      <c r="E3185" s="202">
        <v>0</v>
      </c>
      <c r="F3185" s="203">
        <f t="shared" si="10"/>
        <v>298945</v>
      </c>
      <c r="G3185" s="195"/>
    </row>
    <row r="3186" spans="2:7" x14ac:dyDescent="0.2">
      <c r="B3186" s="341">
        <v>45989.626168981478</v>
      </c>
      <c r="C3186" s="342" t="s">
        <v>4784</v>
      </c>
      <c r="D3186" s="201">
        <v>70.2</v>
      </c>
      <c r="E3186" s="202">
        <v>0</v>
      </c>
      <c r="F3186" s="203">
        <f t="shared" si="10"/>
        <v>5967</v>
      </c>
      <c r="G3186" s="195"/>
    </row>
    <row r="3187" spans="2:7" x14ac:dyDescent="0.2">
      <c r="B3187" s="341">
        <v>45989.626481481479</v>
      </c>
      <c r="C3187" s="342" t="s">
        <v>4785</v>
      </c>
      <c r="D3187" s="201">
        <v>219.05</v>
      </c>
      <c r="E3187" s="202">
        <v>0</v>
      </c>
      <c r="F3187" s="203">
        <f t="shared" si="10"/>
        <v>18619.25</v>
      </c>
      <c r="G3187" s="195"/>
    </row>
    <row r="3188" spans="2:7" x14ac:dyDescent="0.2">
      <c r="B3188" s="341">
        <v>45989.626793981479</v>
      </c>
      <c r="C3188" s="342" t="s">
        <v>4786</v>
      </c>
      <c r="D3188" s="201">
        <v>48.1</v>
      </c>
      <c r="E3188" s="202">
        <v>0</v>
      </c>
      <c r="F3188" s="203">
        <f t="shared" si="10"/>
        <v>4088.5</v>
      </c>
      <c r="G3188" s="195"/>
    </row>
    <row r="3189" spans="2:7" x14ac:dyDescent="0.2">
      <c r="B3189" s="341">
        <v>45989.627071759256</v>
      </c>
      <c r="C3189" s="342" t="s">
        <v>4787</v>
      </c>
      <c r="D3189" s="201">
        <v>10.4</v>
      </c>
      <c r="E3189" s="202">
        <v>0</v>
      </c>
      <c r="F3189" s="203">
        <f t="shared" si="10"/>
        <v>884</v>
      </c>
      <c r="G3189" s="195"/>
    </row>
    <row r="3190" spans="2:7" x14ac:dyDescent="0.2">
      <c r="B3190" s="341">
        <v>45992</v>
      </c>
      <c r="C3190" s="342" t="s">
        <v>4825</v>
      </c>
      <c r="D3190" s="201">
        <v>1035</v>
      </c>
      <c r="E3190" s="202">
        <v>0</v>
      </c>
      <c r="F3190" s="203">
        <f t="shared" si="10"/>
        <v>87975</v>
      </c>
      <c r="G3190" s="195"/>
    </row>
    <row r="3191" spans="2:7" x14ac:dyDescent="0.2">
      <c r="B3191" s="341">
        <v>45992</v>
      </c>
      <c r="C3191" s="342" t="s">
        <v>4826</v>
      </c>
      <c r="D3191" s="201">
        <v>418</v>
      </c>
      <c r="E3191" s="202">
        <v>0</v>
      </c>
      <c r="F3191" s="203">
        <f t="shared" si="10"/>
        <v>35530</v>
      </c>
      <c r="G3191" s="195"/>
    </row>
    <row r="3192" spans="2:7" x14ac:dyDescent="0.2">
      <c r="B3192" s="341">
        <v>45992</v>
      </c>
      <c r="C3192" s="342" t="s">
        <v>4827</v>
      </c>
      <c r="D3192" s="201">
        <v>380</v>
      </c>
      <c r="E3192" s="202">
        <v>0</v>
      </c>
      <c r="F3192" s="203">
        <f t="shared" si="10"/>
        <v>32300</v>
      </c>
      <c r="G3192" s="195"/>
    </row>
    <row r="3193" spans="2:7" x14ac:dyDescent="0.2">
      <c r="B3193" s="341">
        <v>45992</v>
      </c>
      <c r="C3193" s="342" t="s">
        <v>4828</v>
      </c>
      <c r="D3193" s="201">
        <v>752</v>
      </c>
      <c r="E3193" s="202">
        <v>0</v>
      </c>
      <c r="F3193" s="203">
        <f t="shared" si="10"/>
        <v>63920</v>
      </c>
      <c r="G3193" s="195"/>
    </row>
    <row r="3194" spans="2:7" x14ac:dyDescent="0.2">
      <c r="B3194" s="341">
        <v>45992</v>
      </c>
      <c r="C3194" s="342" t="s">
        <v>4829</v>
      </c>
      <c r="D3194" s="201">
        <v>491</v>
      </c>
      <c r="E3194" s="202">
        <v>0</v>
      </c>
      <c r="F3194" s="203">
        <f t="shared" si="10"/>
        <v>41735</v>
      </c>
      <c r="G3194" s="195"/>
    </row>
    <row r="3195" spans="2:7" x14ac:dyDescent="0.2">
      <c r="B3195" s="341">
        <v>45992</v>
      </c>
      <c r="C3195" s="342" t="s">
        <v>4830</v>
      </c>
      <c r="D3195" s="201">
        <v>728</v>
      </c>
      <c r="E3195" s="202">
        <v>0</v>
      </c>
      <c r="F3195" s="203">
        <f t="shared" si="10"/>
        <v>61880</v>
      </c>
      <c r="G3195" s="195"/>
    </row>
    <row r="3196" spans="2:7" x14ac:dyDescent="0.2">
      <c r="B3196" s="341">
        <v>45992</v>
      </c>
      <c r="C3196" s="342" t="s">
        <v>4831</v>
      </c>
      <c r="D3196" s="201">
        <v>388</v>
      </c>
      <c r="E3196" s="202">
        <v>0</v>
      </c>
      <c r="F3196" s="203">
        <f t="shared" si="10"/>
        <v>32980</v>
      </c>
      <c r="G3196" s="195"/>
    </row>
    <row r="3197" spans="2:7" x14ac:dyDescent="0.2">
      <c r="B3197" s="341">
        <v>45996</v>
      </c>
      <c r="C3197" s="342" t="s">
        <v>4824</v>
      </c>
      <c r="D3197" s="201">
        <v>318</v>
      </c>
      <c r="E3197" s="202">
        <v>0</v>
      </c>
      <c r="F3197" s="203">
        <f t="shared" si="10"/>
        <v>27030</v>
      </c>
      <c r="G3197" s="195"/>
    </row>
    <row r="3198" spans="2:7" x14ac:dyDescent="0.2">
      <c r="B3198" s="341">
        <v>46000</v>
      </c>
      <c r="C3198" s="342" t="s">
        <v>4823</v>
      </c>
      <c r="D3198" s="201">
        <v>7258</v>
      </c>
      <c r="E3198" s="202">
        <v>0</v>
      </c>
      <c r="F3198" s="203">
        <f t="shared" si="10"/>
        <v>616930</v>
      </c>
      <c r="G3198" s="195"/>
    </row>
    <row r="3199" spans="2:7" x14ac:dyDescent="0.2">
      <c r="B3199" s="341">
        <v>46001</v>
      </c>
      <c r="C3199" s="342" t="s">
        <v>4822</v>
      </c>
      <c r="D3199" s="201">
        <v>7671</v>
      </c>
      <c r="E3199" s="202">
        <v>0</v>
      </c>
      <c r="F3199" s="203">
        <f t="shared" si="10"/>
        <v>652035</v>
      </c>
      <c r="G3199" s="195"/>
    </row>
    <row r="3200" spans="2:7" x14ac:dyDescent="0.2">
      <c r="B3200" s="341">
        <v>46004</v>
      </c>
      <c r="C3200" s="342" t="s">
        <v>4816</v>
      </c>
      <c r="D3200" s="201">
        <v>1339</v>
      </c>
      <c r="E3200" s="202">
        <v>0</v>
      </c>
      <c r="F3200" s="203">
        <f t="shared" si="10"/>
        <v>113815</v>
      </c>
      <c r="G3200" s="195"/>
    </row>
    <row r="3201" spans="2:7" x14ac:dyDescent="0.2">
      <c r="B3201" s="341">
        <v>46004</v>
      </c>
      <c r="C3201" s="342" t="s">
        <v>4817</v>
      </c>
      <c r="D3201" s="201">
        <v>580</v>
      </c>
      <c r="E3201" s="202">
        <v>0</v>
      </c>
      <c r="F3201" s="203">
        <f t="shared" si="10"/>
        <v>49300</v>
      </c>
      <c r="G3201" s="195"/>
    </row>
    <row r="3202" spans="2:7" x14ac:dyDescent="0.2">
      <c r="B3202" s="341">
        <v>46004</v>
      </c>
      <c r="C3202" s="342" t="s">
        <v>4818</v>
      </c>
      <c r="D3202" s="201">
        <v>856</v>
      </c>
      <c r="E3202" s="202">
        <v>0</v>
      </c>
      <c r="F3202" s="203">
        <f t="shared" si="10"/>
        <v>72760</v>
      </c>
      <c r="G3202" s="195"/>
    </row>
    <row r="3203" spans="2:7" x14ac:dyDescent="0.2">
      <c r="B3203" s="341">
        <v>46004</v>
      </c>
      <c r="C3203" s="342" t="s">
        <v>4819</v>
      </c>
      <c r="D3203" s="201">
        <v>837</v>
      </c>
      <c r="E3203" s="202">
        <v>0</v>
      </c>
      <c r="F3203" s="203">
        <f t="shared" si="10"/>
        <v>71145</v>
      </c>
      <c r="G3203" s="195"/>
    </row>
    <row r="3204" spans="2:7" x14ac:dyDescent="0.2">
      <c r="B3204" s="341">
        <v>46004</v>
      </c>
      <c r="C3204" s="342" t="s">
        <v>4820</v>
      </c>
      <c r="D3204" s="201">
        <v>1009</v>
      </c>
      <c r="E3204" s="202">
        <v>0</v>
      </c>
      <c r="F3204" s="203">
        <f t="shared" si="10"/>
        <v>85765</v>
      </c>
      <c r="G3204" s="195"/>
    </row>
    <row r="3205" spans="2:7" x14ac:dyDescent="0.2">
      <c r="B3205" s="341">
        <v>46004</v>
      </c>
      <c r="C3205" s="342" t="s">
        <v>4821</v>
      </c>
      <c r="D3205" s="201">
        <v>486</v>
      </c>
      <c r="E3205" s="202">
        <v>0</v>
      </c>
      <c r="F3205" s="203">
        <f t="shared" si="10"/>
        <v>41310</v>
      </c>
      <c r="G3205" s="195"/>
    </row>
    <row r="3206" spans="2:7" x14ac:dyDescent="0.2">
      <c r="B3206" s="341">
        <v>46006</v>
      </c>
      <c r="C3206" s="342" t="s">
        <v>4814</v>
      </c>
      <c r="D3206" s="201">
        <v>13309</v>
      </c>
      <c r="E3206" s="202">
        <v>0</v>
      </c>
      <c r="F3206" s="203">
        <f>D3206*85</f>
        <v>1131265</v>
      </c>
      <c r="G3206" s="195"/>
    </row>
    <row r="3207" spans="2:7" x14ac:dyDescent="0.2">
      <c r="B3207" s="341">
        <v>46006</v>
      </c>
      <c r="C3207" s="342" t="s">
        <v>4815</v>
      </c>
      <c r="D3207" s="201">
        <v>8936</v>
      </c>
      <c r="E3207" s="202">
        <v>0</v>
      </c>
      <c r="F3207" s="203">
        <f t="shared" si="10"/>
        <v>759560</v>
      </c>
      <c r="G3207" s="195"/>
    </row>
    <row r="3208" spans="2:7" x14ac:dyDescent="0.2">
      <c r="B3208" s="341">
        <v>46009</v>
      </c>
      <c r="C3208" s="342" t="s">
        <v>4809</v>
      </c>
      <c r="D3208" s="201">
        <v>271</v>
      </c>
      <c r="E3208" s="202">
        <v>0</v>
      </c>
      <c r="F3208" s="203">
        <f t="shared" si="10"/>
        <v>23035</v>
      </c>
      <c r="G3208" s="195"/>
    </row>
    <row r="3209" spans="2:7" x14ac:dyDescent="0.2">
      <c r="B3209" s="341">
        <v>46009</v>
      </c>
      <c r="C3209" s="342" t="s">
        <v>4810</v>
      </c>
      <c r="D3209" s="201">
        <v>648</v>
      </c>
      <c r="E3209" s="202">
        <v>0</v>
      </c>
      <c r="F3209" s="203">
        <f t="shared" si="10"/>
        <v>55080</v>
      </c>
      <c r="G3209" s="195"/>
    </row>
    <row r="3210" spans="2:7" x14ac:dyDescent="0.2">
      <c r="B3210" s="341">
        <v>46009</v>
      </c>
      <c r="C3210" s="342" t="s">
        <v>4811</v>
      </c>
      <c r="D3210" s="201">
        <v>1376</v>
      </c>
      <c r="E3210" s="202">
        <v>0</v>
      </c>
      <c r="F3210" s="203">
        <f t="shared" si="10"/>
        <v>116960</v>
      </c>
      <c r="G3210" s="195"/>
    </row>
    <row r="3211" spans="2:7" x14ac:dyDescent="0.2">
      <c r="B3211" s="341">
        <v>46009</v>
      </c>
      <c r="C3211" s="342" t="s">
        <v>4812</v>
      </c>
      <c r="D3211" s="201">
        <v>969</v>
      </c>
      <c r="E3211" s="202">
        <v>0</v>
      </c>
      <c r="F3211" s="203">
        <f t="shared" si="10"/>
        <v>82365</v>
      </c>
      <c r="G3211" s="195"/>
    </row>
    <row r="3212" spans="2:7" x14ac:dyDescent="0.2">
      <c r="B3212" s="341">
        <v>46009</v>
      </c>
      <c r="C3212" s="342" t="s">
        <v>4813</v>
      </c>
      <c r="D3212" s="201">
        <v>895</v>
      </c>
      <c r="E3212" s="202">
        <v>0</v>
      </c>
      <c r="F3212" s="203">
        <f t="shared" si="10"/>
        <v>76075</v>
      </c>
      <c r="G3212" s="195"/>
    </row>
    <row r="3213" spans="2:7" x14ac:dyDescent="0.2">
      <c r="B3213" s="200"/>
      <c r="C3213" s="187"/>
      <c r="D3213" s="201"/>
      <c r="E3213" s="202"/>
      <c r="F3213" s="203"/>
      <c r="G3213" s="195"/>
    </row>
    <row r="3214" spans="2:7" x14ac:dyDescent="0.2">
      <c r="B3214" s="200"/>
      <c r="C3214" s="187"/>
      <c r="D3214" s="201"/>
      <c r="E3214" s="202"/>
      <c r="F3214" s="203"/>
      <c r="G3214" s="195"/>
    </row>
    <row r="3215" spans="2:7" x14ac:dyDescent="0.2">
      <c r="B3215" s="200"/>
      <c r="C3215" s="187"/>
      <c r="D3215" s="201"/>
      <c r="E3215" s="202"/>
      <c r="F3215" s="203"/>
      <c r="G3215" s="195"/>
    </row>
    <row r="3216" spans="2:7" x14ac:dyDescent="0.2">
      <c r="B3216" s="29"/>
      <c r="C3216" s="29"/>
      <c r="D3216" s="68"/>
      <c r="E3216" s="13"/>
      <c r="F3216" s="13"/>
      <c r="G3216" s="29"/>
    </row>
    <row r="3217" spans="2:7" x14ac:dyDescent="0.2">
      <c r="E3217" s="9">
        <f>SUM(E3038:E3216)</f>
        <v>7216501</v>
      </c>
      <c r="F3217" s="9">
        <f>SUM(F3038:F3216)</f>
        <v>117913134.75</v>
      </c>
      <c r="G3217" s="9"/>
    </row>
    <row r="3218" spans="2:7" x14ac:dyDescent="0.2">
      <c r="E3218" s="3">
        <f>7500000-E3217</f>
        <v>283499</v>
      </c>
    </row>
    <row r="3224" spans="2:7" ht="26" x14ac:dyDescent="0.3">
      <c r="B3224" s="12"/>
      <c r="C3224" s="388" t="s">
        <v>4936</v>
      </c>
      <c r="D3224" s="389"/>
      <c r="E3224" s="389"/>
      <c r="F3224" s="389"/>
      <c r="G3224" s="390"/>
    </row>
    <row r="3225" spans="2:7" x14ac:dyDescent="0.2">
      <c r="B3225" s="12"/>
      <c r="C3225" s="29" t="s">
        <v>82</v>
      </c>
      <c r="D3225" s="11">
        <v>1</v>
      </c>
      <c r="E3225" s="12" t="s">
        <v>1</v>
      </c>
      <c r="F3225" s="12" t="s">
        <v>3140</v>
      </c>
      <c r="G3225" s="12" t="s">
        <v>3657</v>
      </c>
    </row>
    <row r="3226" spans="2:7" x14ac:dyDescent="0.2">
      <c r="B3226" s="8"/>
      <c r="C3226" s="5" t="s">
        <v>3525</v>
      </c>
      <c r="D3226" s="62">
        <v>1</v>
      </c>
      <c r="E3226" s="28">
        <v>2000000</v>
      </c>
      <c r="F3226" s="214">
        <v>0</v>
      </c>
      <c r="G3226" s="7"/>
    </row>
    <row r="3227" spans="2:7" x14ac:dyDescent="0.2">
      <c r="B3227" s="8"/>
      <c r="C3227" s="5" t="s">
        <v>3757</v>
      </c>
      <c r="D3227" s="62">
        <v>1</v>
      </c>
      <c r="E3227" s="28">
        <v>750000</v>
      </c>
      <c r="F3227" s="214">
        <v>0</v>
      </c>
      <c r="G3227" s="8"/>
    </row>
    <row r="3228" spans="2:7" x14ac:dyDescent="0.2">
      <c r="B3228" s="8"/>
      <c r="C3228" s="5" t="s">
        <v>3526</v>
      </c>
      <c r="D3228" s="62">
        <v>1</v>
      </c>
      <c r="E3228" s="28">
        <v>500000</v>
      </c>
      <c r="F3228" s="214">
        <v>0</v>
      </c>
      <c r="G3228" s="8"/>
    </row>
    <row r="3229" spans="2:7" x14ac:dyDescent="0.2">
      <c r="B3229" s="8"/>
      <c r="C3229" s="5" t="s">
        <v>3942</v>
      </c>
      <c r="D3229" s="62">
        <v>1</v>
      </c>
      <c r="E3229" s="308">
        <v>543000</v>
      </c>
      <c r="F3229" s="214">
        <v>0</v>
      </c>
      <c r="G3229" s="8"/>
    </row>
    <row r="3230" spans="2:7" x14ac:dyDescent="0.2">
      <c r="B3230" s="8"/>
      <c r="C3230" s="5" t="s">
        <v>3941</v>
      </c>
      <c r="D3230" s="62">
        <v>1</v>
      </c>
      <c r="E3230" s="308">
        <v>126000</v>
      </c>
      <c r="F3230" s="214">
        <v>0</v>
      </c>
      <c r="G3230" s="8"/>
    </row>
    <row r="3231" spans="2:7" x14ac:dyDescent="0.2">
      <c r="B3231" s="8"/>
      <c r="C3231" s="5" t="s">
        <v>3940</v>
      </c>
      <c r="D3231" s="62">
        <v>1</v>
      </c>
      <c r="E3231" s="308">
        <v>415000</v>
      </c>
      <c r="F3231" s="214">
        <v>0</v>
      </c>
      <c r="G3231" s="7"/>
    </row>
    <row r="3232" spans="2:7" x14ac:dyDescent="0.2">
      <c r="B3232" s="8"/>
      <c r="C3232" s="5" t="s">
        <v>3939</v>
      </c>
      <c r="D3232" s="62">
        <v>1</v>
      </c>
      <c r="E3232" s="308">
        <v>415000</v>
      </c>
      <c r="F3232" s="214">
        <v>0</v>
      </c>
      <c r="G3232" s="7"/>
    </row>
    <row r="3233" spans="2:8" x14ac:dyDescent="0.2">
      <c r="B3233" s="186"/>
      <c r="C3233" s="5" t="s">
        <v>3938</v>
      </c>
      <c r="D3233" s="201">
        <v>1</v>
      </c>
      <c r="E3233" s="309">
        <v>905000</v>
      </c>
      <c r="F3233" s="203">
        <v>0</v>
      </c>
      <c r="G3233" s="216"/>
    </row>
    <row r="3234" spans="2:8" x14ac:dyDescent="0.2">
      <c r="B3234" s="186"/>
      <c r="C3234" s="187" t="s">
        <v>4403</v>
      </c>
      <c r="D3234" s="201">
        <v>1</v>
      </c>
      <c r="E3234" s="309">
        <v>126000</v>
      </c>
      <c r="F3234" s="203">
        <v>0</v>
      </c>
      <c r="G3234" s="216"/>
    </row>
    <row r="3235" spans="2:8" x14ac:dyDescent="0.2">
      <c r="B3235" s="186"/>
      <c r="C3235" s="187" t="s">
        <v>4921</v>
      </c>
      <c r="D3235" s="201">
        <v>1</v>
      </c>
      <c r="E3235" s="309">
        <f>F3266*1.85%</f>
        <v>3674340.5000000005</v>
      </c>
      <c r="F3235" s="203">
        <v>0</v>
      </c>
      <c r="G3235" s="216"/>
    </row>
    <row r="3236" spans="2:8" x14ac:dyDescent="0.2">
      <c r="B3236"/>
      <c r="D3236"/>
      <c r="E3236"/>
      <c r="F3236"/>
      <c r="G3236"/>
    </row>
    <row r="3237" spans="2:8" x14ac:dyDescent="0.2">
      <c r="B3237" s="173"/>
      <c r="C3237" s="5" t="s">
        <v>3928</v>
      </c>
      <c r="D3237" s="62">
        <v>1</v>
      </c>
      <c r="E3237" s="202">
        <v>0</v>
      </c>
      <c r="F3237" s="214">
        <v>50000000</v>
      </c>
      <c r="G3237" s="8"/>
    </row>
    <row r="3238" spans="2:8" x14ac:dyDescent="0.2">
      <c r="B3238" s="200"/>
      <c r="C3238" s="5" t="s">
        <v>4076</v>
      </c>
      <c r="D3238" s="201">
        <v>1</v>
      </c>
      <c r="E3238" s="202">
        <v>0</v>
      </c>
      <c r="F3238" s="214">
        <v>21000000</v>
      </c>
      <c r="G3238" s="8"/>
    </row>
    <row r="3239" spans="2:8" x14ac:dyDescent="0.2">
      <c r="B3239" s="200"/>
      <c r="C3239" s="5" t="s">
        <v>4064</v>
      </c>
      <c r="D3239" s="201">
        <v>1</v>
      </c>
      <c r="E3239" s="202">
        <v>0</v>
      </c>
      <c r="F3239" s="203">
        <v>3000000</v>
      </c>
      <c r="G3239" s="186"/>
    </row>
    <row r="3240" spans="2:8" x14ac:dyDescent="0.2">
      <c r="B3240" s="319">
        <v>45790</v>
      </c>
      <c r="C3240" s="187" t="s">
        <v>4924</v>
      </c>
      <c r="D3240" s="201">
        <v>1</v>
      </c>
      <c r="E3240" s="202">
        <v>0</v>
      </c>
      <c r="F3240" s="203">
        <v>20000000</v>
      </c>
      <c r="G3240" s="195" t="s">
        <v>3251</v>
      </c>
    </row>
    <row r="3241" spans="2:8" x14ac:dyDescent="0.2">
      <c r="B3241" s="319">
        <v>45839</v>
      </c>
      <c r="C3241" s="187" t="s">
        <v>4925</v>
      </c>
      <c r="D3241" s="201">
        <v>1</v>
      </c>
      <c r="E3241" s="202">
        <v>0</v>
      </c>
      <c r="F3241" s="203">
        <v>20000000</v>
      </c>
      <c r="G3241" s="195" t="s">
        <v>3650</v>
      </c>
    </row>
    <row r="3242" spans="2:8" x14ac:dyDescent="0.2">
      <c r="B3242" s="319">
        <v>46023</v>
      </c>
      <c r="C3242" s="320" t="s">
        <v>4913</v>
      </c>
      <c r="D3242" s="201">
        <v>1</v>
      </c>
      <c r="E3242" s="202">
        <v>0</v>
      </c>
      <c r="F3242" s="203">
        <v>10605000</v>
      </c>
      <c r="G3242" s="187"/>
    </row>
    <row r="3243" spans="2:8" x14ac:dyDescent="0.2">
      <c r="B3243" s="324">
        <v>46023</v>
      </c>
      <c r="C3243" s="322" t="s">
        <v>4914</v>
      </c>
      <c r="D3243" s="201">
        <v>1</v>
      </c>
      <c r="E3243" s="202">
        <v>0</v>
      </c>
      <c r="F3243" s="203">
        <v>21790000</v>
      </c>
      <c r="G3243" s="187"/>
    </row>
    <row r="3244" spans="2:8" x14ac:dyDescent="0.2">
      <c r="B3244" s="329">
        <v>46023</v>
      </c>
      <c r="C3244" s="328" t="s">
        <v>4915</v>
      </c>
      <c r="D3244" s="201">
        <v>1</v>
      </c>
      <c r="E3244" s="202">
        <v>0</v>
      </c>
      <c r="F3244" s="203">
        <v>1640000</v>
      </c>
      <c r="G3244" s="187"/>
    </row>
    <row r="3245" spans="2:8" x14ac:dyDescent="0.2">
      <c r="B3245" s="330">
        <v>46023</v>
      </c>
      <c r="C3245" s="245" t="s">
        <v>4916</v>
      </c>
      <c r="D3245" s="201">
        <v>1</v>
      </c>
      <c r="E3245" s="202">
        <v>0</v>
      </c>
      <c r="F3245" s="203">
        <v>0</v>
      </c>
      <c r="G3245" s="344">
        <v>2700000</v>
      </c>
      <c r="H3245" s="345">
        <v>46049</v>
      </c>
    </row>
    <row r="3246" spans="2:8" x14ac:dyDescent="0.2">
      <c r="B3246" s="324">
        <v>46023</v>
      </c>
      <c r="C3246" s="322" t="s">
        <v>4918</v>
      </c>
      <c r="D3246" s="201">
        <v>1</v>
      </c>
      <c r="E3246" s="202">
        <v>0</v>
      </c>
      <c r="F3246" s="203">
        <v>15539000</v>
      </c>
      <c r="G3246" s="187"/>
    </row>
    <row r="3247" spans="2:8" x14ac:dyDescent="0.2">
      <c r="B3247" s="340">
        <v>46023</v>
      </c>
      <c r="C3247" s="337" t="s">
        <v>4920</v>
      </c>
      <c r="D3247" s="201">
        <v>1</v>
      </c>
      <c r="E3247" s="202">
        <v>0</v>
      </c>
      <c r="F3247" s="203">
        <v>18360000</v>
      </c>
      <c r="G3247" s="187"/>
    </row>
    <row r="3248" spans="2:8" x14ac:dyDescent="0.2">
      <c r="B3248" s="343">
        <v>46023</v>
      </c>
      <c r="C3248" s="342" t="s">
        <v>4919</v>
      </c>
      <c r="D3248" s="201">
        <v>1</v>
      </c>
      <c r="E3248" s="202">
        <v>0</v>
      </c>
      <c r="F3248" s="203">
        <v>7300000</v>
      </c>
      <c r="G3248" s="187"/>
    </row>
    <row r="3249" spans="2:7" x14ac:dyDescent="0.2">
      <c r="B3249" s="315"/>
      <c r="C3249" s="187"/>
      <c r="D3249" s="201"/>
      <c r="E3249" s="202"/>
      <c r="F3249" s="203"/>
      <c r="G3249" s="187"/>
    </row>
    <row r="3250" spans="2:7" x14ac:dyDescent="0.2">
      <c r="B3250" s="200">
        <v>46048</v>
      </c>
      <c r="C3250" s="187" t="s">
        <v>3767</v>
      </c>
      <c r="D3250" s="201">
        <v>1</v>
      </c>
      <c r="E3250" s="218">
        <v>0</v>
      </c>
      <c r="F3250" s="203">
        <v>1932000</v>
      </c>
      <c r="G3250" s="203"/>
    </row>
    <row r="3251" spans="2:7" x14ac:dyDescent="0.2">
      <c r="B3251" s="200">
        <v>46048</v>
      </c>
      <c r="C3251" s="5" t="s">
        <v>4922</v>
      </c>
      <c r="D3251" s="201">
        <v>1</v>
      </c>
      <c r="E3251" s="202">
        <v>0</v>
      </c>
      <c r="F3251" s="203">
        <v>1932000</v>
      </c>
      <c r="G3251" s="203"/>
    </row>
    <row r="3252" spans="2:7" x14ac:dyDescent="0.2">
      <c r="B3252" s="200">
        <v>46048</v>
      </c>
      <c r="C3252" s="187" t="s">
        <v>4926</v>
      </c>
      <c r="D3252" s="201">
        <v>1</v>
      </c>
      <c r="E3252" s="202">
        <v>0</v>
      </c>
      <c r="F3252" s="203">
        <v>885000</v>
      </c>
      <c r="G3252" s="203"/>
    </row>
    <row r="3253" spans="2:7" x14ac:dyDescent="0.2">
      <c r="B3253" s="200">
        <v>46042</v>
      </c>
      <c r="C3253" s="187" t="s">
        <v>4923</v>
      </c>
      <c r="D3253" s="201">
        <v>1</v>
      </c>
      <c r="E3253" s="202">
        <v>0</v>
      </c>
      <c r="F3253" s="203">
        <v>450000</v>
      </c>
      <c r="G3253" s="203"/>
    </row>
    <row r="3254" spans="2:7" x14ac:dyDescent="0.2">
      <c r="B3254" s="200">
        <v>46031</v>
      </c>
      <c r="C3254" s="187" t="s">
        <v>4597</v>
      </c>
      <c r="D3254" s="201">
        <v>1</v>
      </c>
      <c r="E3254" s="202">
        <v>1</v>
      </c>
      <c r="F3254" s="203">
        <v>845000</v>
      </c>
      <c r="G3254" s="195"/>
    </row>
    <row r="3255" spans="2:7" x14ac:dyDescent="0.2">
      <c r="B3255"/>
      <c r="D3255"/>
      <c r="E3255"/>
      <c r="F3255"/>
      <c r="G3255"/>
    </row>
    <row r="3256" spans="2:7" x14ac:dyDescent="0.2">
      <c r="B3256" s="200">
        <v>46037</v>
      </c>
      <c r="C3256" s="187" t="s">
        <v>4933</v>
      </c>
      <c r="D3256" s="201">
        <v>22</v>
      </c>
      <c r="E3256" s="202">
        <v>0</v>
      </c>
      <c r="F3256" s="203">
        <f>D3256*100000</f>
        <v>2200000</v>
      </c>
      <c r="G3256" s="195"/>
    </row>
    <row r="3257" spans="2:7" x14ac:dyDescent="0.2">
      <c r="B3257" s="200">
        <v>46037</v>
      </c>
      <c r="C3257" s="187" t="s">
        <v>4934</v>
      </c>
      <c r="D3257" s="201">
        <v>15</v>
      </c>
      <c r="E3257" s="202">
        <v>0</v>
      </c>
      <c r="F3257" s="203">
        <f>D3257*50000</f>
        <v>750000</v>
      </c>
      <c r="G3257" s="195"/>
    </row>
    <row r="3258" spans="2:7" x14ac:dyDescent="0.2">
      <c r="B3258" s="200"/>
      <c r="C3258" s="187" t="s">
        <v>4932</v>
      </c>
      <c r="D3258" s="201">
        <v>1</v>
      </c>
      <c r="E3258" s="202">
        <v>0</v>
      </c>
      <c r="F3258" s="203">
        <v>385000</v>
      </c>
      <c r="G3258" s="195"/>
    </row>
    <row r="3259" spans="2:7" x14ac:dyDescent="0.2">
      <c r="B3259" s="200"/>
      <c r="C3259" s="187"/>
      <c r="D3259" s="201"/>
      <c r="E3259" s="202"/>
      <c r="F3259" s="203"/>
      <c r="G3259" s="195"/>
    </row>
    <row r="3260" spans="2:7" x14ac:dyDescent="0.2">
      <c r="B3260" s="200"/>
      <c r="C3260" s="187"/>
      <c r="D3260" s="201"/>
      <c r="E3260" s="202"/>
      <c r="F3260" s="203"/>
      <c r="G3260" s="195"/>
    </row>
    <row r="3261" spans="2:7" x14ac:dyDescent="0.2">
      <c r="B3261" s="200"/>
      <c r="C3261" s="187"/>
      <c r="D3261" s="201"/>
      <c r="E3261" s="202"/>
      <c r="F3261" s="203"/>
      <c r="G3261" s="195"/>
    </row>
    <row r="3262" spans="2:7" x14ac:dyDescent="0.2">
      <c r="B3262" s="200"/>
      <c r="C3262" s="187"/>
      <c r="D3262" s="201"/>
      <c r="E3262" s="202"/>
      <c r="F3262" s="203"/>
      <c r="G3262" s="195"/>
    </row>
    <row r="3263" spans="2:7" x14ac:dyDescent="0.2">
      <c r="B3263" s="200"/>
      <c r="C3263" s="187"/>
      <c r="D3263" s="201"/>
      <c r="E3263" s="202"/>
      <c r="F3263" s="203"/>
      <c r="G3263" s="195"/>
    </row>
    <row r="3264" spans="2:7" x14ac:dyDescent="0.2">
      <c r="B3264"/>
      <c r="D3264"/>
      <c r="E3264"/>
      <c r="F3264"/>
      <c r="G3264"/>
    </row>
    <row r="3265" spans="2:7" x14ac:dyDescent="0.2">
      <c r="B3265" s="29"/>
      <c r="C3265" s="29"/>
      <c r="D3265" s="68"/>
      <c r="E3265" s="13"/>
      <c r="F3265" s="13"/>
      <c r="G3265" s="29"/>
    </row>
    <row r="3266" spans="2:7" x14ac:dyDescent="0.2">
      <c r="E3266" s="9">
        <f>SUM(E3226:E3265)</f>
        <v>9454341.5</v>
      </c>
      <c r="F3266" s="9">
        <f>SUM(F3226:F3265)</f>
        <v>198613000</v>
      </c>
      <c r="G3266" s="9"/>
    </row>
    <row r="3267" spans="2:7" x14ac:dyDescent="0.2">
      <c r="C3267" t="s">
        <v>4942</v>
      </c>
      <c r="E3267" s="3">
        <f>7500000-E3266</f>
        <v>-1954341.5</v>
      </c>
    </row>
    <row r="3268" spans="2:7" x14ac:dyDescent="0.2">
      <c r="C3268" s="347" t="s">
        <v>4941</v>
      </c>
      <c r="E3268" s="1">
        <v>1955000</v>
      </c>
    </row>
    <row r="3269" spans="2:7" x14ac:dyDescent="0.2">
      <c r="E3269" s="3">
        <f>E3268+E3267</f>
        <v>658.5</v>
      </c>
    </row>
    <row r="3273" spans="2:7" ht="26" x14ac:dyDescent="0.3">
      <c r="B3273" s="12"/>
      <c r="C3273" s="388" t="s">
        <v>4935</v>
      </c>
      <c r="D3273" s="389"/>
      <c r="E3273" s="389"/>
      <c r="F3273" s="389"/>
      <c r="G3273" s="390"/>
    </row>
    <row r="3274" spans="2:7" x14ac:dyDescent="0.2">
      <c r="B3274" s="12"/>
      <c r="C3274" s="29" t="s">
        <v>82</v>
      </c>
      <c r="D3274" s="11">
        <v>1</v>
      </c>
      <c r="E3274" s="12" t="s">
        <v>1</v>
      </c>
      <c r="F3274" s="12" t="s">
        <v>3140</v>
      </c>
      <c r="G3274" s="12" t="s">
        <v>3657</v>
      </c>
    </row>
    <row r="3275" spans="2:7" x14ac:dyDescent="0.2">
      <c r="B3275" s="8"/>
      <c r="C3275" s="5" t="s">
        <v>3525</v>
      </c>
      <c r="D3275" s="62">
        <v>1</v>
      </c>
      <c r="E3275" s="28">
        <v>2000000</v>
      </c>
      <c r="F3275" s="214">
        <v>0</v>
      </c>
      <c r="G3275" s="7"/>
    </row>
    <row r="3276" spans="2:7" x14ac:dyDescent="0.2">
      <c r="B3276" s="8"/>
      <c r="C3276" s="5" t="s">
        <v>3757</v>
      </c>
      <c r="D3276" s="62">
        <v>1</v>
      </c>
      <c r="E3276" s="28">
        <v>750000</v>
      </c>
      <c r="F3276" s="214">
        <v>0</v>
      </c>
      <c r="G3276" s="8"/>
    </row>
    <row r="3277" spans="2:7" x14ac:dyDescent="0.2">
      <c r="B3277" s="8"/>
      <c r="C3277" s="5" t="s">
        <v>3526</v>
      </c>
      <c r="D3277" s="62">
        <v>1</v>
      </c>
      <c r="E3277" s="28">
        <v>500000</v>
      </c>
      <c r="F3277" s="214">
        <v>0</v>
      </c>
      <c r="G3277" s="8"/>
    </row>
    <row r="3278" spans="2:7" x14ac:dyDescent="0.2">
      <c r="B3278" s="8"/>
      <c r="C3278" s="5" t="s">
        <v>3942</v>
      </c>
      <c r="D3278" s="62">
        <v>1</v>
      </c>
      <c r="E3278" s="308">
        <v>543000</v>
      </c>
      <c r="F3278" s="214">
        <v>0</v>
      </c>
      <c r="G3278" s="8"/>
    </row>
    <row r="3279" spans="2:7" x14ac:dyDescent="0.2">
      <c r="B3279" s="8"/>
      <c r="C3279" s="5" t="s">
        <v>3941</v>
      </c>
      <c r="D3279" s="62">
        <v>1</v>
      </c>
      <c r="E3279" s="308">
        <v>126000</v>
      </c>
      <c r="F3279" s="214">
        <v>0</v>
      </c>
      <c r="G3279" s="8"/>
    </row>
    <row r="3280" spans="2:7" x14ac:dyDescent="0.2">
      <c r="B3280" s="8"/>
      <c r="C3280" s="5" t="s">
        <v>3940</v>
      </c>
      <c r="D3280" s="62">
        <v>1</v>
      </c>
      <c r="E3280" s="308">
        <v>415000</v>
      </c>
      <c r="F3280" s="214">
        <v>0</v>
      </c>
      <c r="G3280" s="7"/>
    </row>
    <row r="3281" spans="2:7" x14ac:dyDescent="0.2">
      <c r="B3281" s="8"/>
      <c r="C3281" s="5" t="s">
        <v>3939</v>
      </c>
      <c r="D3281" s="62">
        <v>1</v>
      </c>
      <c r="E3281" s="308">
        <v>415000</v>
      </c>
      <c r="F3281" s="214">
        <v>0</v>
      </c>
      <c r="G3281" s="7"/>
    </row>
    <row r="3282" spans="2:7" x14ac:dyDescent="0.2">
      <c r="B3282" s="186"/>
      <c r="C3282" s="5" t="s">
        <v>3938</v>
      </c>
      <c r="D3282" s="201">
        <v>1</v>
      </c>
      <c r="E3282" s="309">
        <v>905000</v>
      </c>
      <c r="F3282" s="203">
        <v>0</v>
      </c>
      <c r="G3282" s="216"/>
    </row>
    <row r="3283" spans="2:7" x14ac:dyDescent="0.2">
      <c r="B3283" s="186"/>
      <c r="C3283" s="187" t="s">
        <v>4403</v>
      </c>
      <c r="D3283" s="201">
        <v>1</v>
      </c>
      <c r="E3283" s="309">
        <v>126000</v>
      </c>
      <c r="F3283" s="203">
        <v>0</v>
      </c>
      <c r="G3283" s="216"/>
    </row>
    <row r="3284" spans="2:7" x14ac:dyDescent="0.2">
      <c r="B3284" s="186"/>
      <c r="C3284" s="187" t="s">
        <v>4921</v>
      </c>
      <c r="D3284" s="201">
        <v>1</v>
      </c>
      <c r="E3284" s="309">
        <f>F3321*1.85%</f>
        <v>3514704.0000000005</v>
      </c>
      <c r="F3284" s="203">
        <v>0</v>
      </c>
      <c r="G3284" s="216"/>
    </row>
    <row r="3285" spans="2:7" x14ac:dyDescent="0.2">
      <c r="B3285"/>
      <c r="D3285"/>
      <c r="E3285"/>
      <c r="F3285"/>
      <c r="G3285"/>
    </row>
    <row r="3286" spans="2:7" x14ac:dyDescent="0.2">
      <c r="B3286" s="173"/>
      <c r="C3286" s="5" t="s">
        <v>3928</v>
      </c>
      <c r="D3286" s="62">
        <v>1</v>
      </c>
      <c r="E3286" s="202">
        <v>0</v>
      </c>
      <c r="F3286" s="361">
        <f>50000000-10000000</f>
        <v>40000000</v>
      </c>
      <c r="G3286" s="362" t="s">
        <v>4975</v>
      </c>
    </row>
    <row r="3287" spans="2:7" x14ac:dyDescent="0.2">
      <c r="B3287" s="200"/>
      <c r="C3287" s="5" t="s">
        <v>4076</v>
      </c>
      <c r="D3287" s="201">
        <v>1</v>
      </c>
      <c r="E3287" s="202">
        <v>0</v>
      </c>
      <c r="F3287" s="214">
        <v>21000000</v>
      </c>
      <c r="G3287" s="8"/>
    </row>
    <row r="3288" spans="2:7" x14ac:dyDescent="0.2">
      <c r="B3288" s="200"/>
      <c r="C3288" s="5" t="s">
        <v>4064</v>
      </c>
      <c r="D3288" s="201">
        <v>1</v>
      </c>
      <c r="E3288" s="202">
        <v>0</v>
      </c>
      <c r="F3288" s="203">
        <v>3000000</v>
      </c>
      <c r="G3288" s="186"/>
    </row>
    <row r="3289" spans="2:7" x14ac:dyDescent="0.2">
      <c r="B3289" s="319">
        <v>45790</v>
      </c>
      <c r="C3289" s="187" t="s">
        <v>4924</v>
      </c>
      <c r="D3289" s="201">
        <v>1</v>
      </c>
      <c r="E3289" s="202">
        <v>0</v>
      </c>
      <c r="F3289" s="203">
        <v>20000000</v>
      </c>
      <c r="G3289" s="195" t="s">
        <v>3251</v>
      </c>
    </row>
    <row r="3290" spans="2:7" x14ac:dyDescent="0.2">
      <c r="B3290" s="319">
        <v>45839</v>
      </c>
      <c r="C3290" s="187" t="s">
        <v>4925</v>
      </c>
      <c r="D3290" s="201">
        <v>1</v>
      </c>
      <c r="E3290" s="202">
        <v>0</v>
      </c>
      <c r="F3290" s="203">
        <v>20000000</v>
      </c>
      <c r="G3290" s="195" t="s">
        <v>3650</v>
      </c>
    </row>
    <row r="3291" spans="2:7" x14ac:dyDescent="0.2">
      <c r="B3291" s="319">
        <v>46023</v>
      </c>
      <c r="C3291" s="320" t="s">
        <v>4913</v>
      </c>
      <c r="D3291" s="201">
        <v>1</v>
      </c>
      <c r="E3291" s="202">
        <v>0</v>
      </c>
      <c r="F3291" s="203">
        <v>10605000</v>
      </c>
      <c r="G3291" s="187"/>
    </row>
    <row r="3292" spans="2:7" x14ac:dyDescent="0.2">
      <c r="B3292" s="324">
        <v>46023</v>
      </c>
      <c r="C3292" s="322" t="s">
        <v>4914</v>
      </c>
      <c r="D3292" s="201">
        <v>1</v>
      </c>
      <c r="E3292" s="202">
        <v>0</v>
      </c>
      <c r="F3292" s="203">
        <v>21790000</v>
      </c>
      <c r="G3292" s="187"/>
    </row>
    <row r="3293" spans="2:7" x14ac:dyDescent="0.2">
      <c r="B3293" s="329">
        <v>46023</v>
      </c>
      <c r="C3293" s="328" t="s">
        <v>4915</v>
      </c>
      <c r="D3293" s="201">
        <v>1</v>
      </c>
      <c r="E3293" s="202">
        <v>0</v>
      </c>
      <c r="F3293" s="203">
        <v>1640000</v>
      </c>
      <c r="G3293" s="187"/>
    </row>
    <row r="3294" spans="2:7" x14ac:dyDescent="0.2">
      <c r="B3294" s="330">
        <v>46023</v>
      </c>
      <c r="C3294" s="245" t="s">
        <v>4916</v>
      </c>
      <c r="D3294" s="201">
        <v>1</v>
      </c>
      <c r="E3294" s="202">
        <v>0</v>
      </c>
      <c r="F3294" s="203">
        <v>0</v>
      </c>
      <c r="G3294" s="344">
        <v>2700000</v>
      </c>
    </row>
    <row r="3295" spans="2:7" x14ac:dyDescent="0.2">
      <c r="B3295" s="324">
        <v>46023</v>
      </c>
      <c r="C3295" s="322" t="s">
        <v>4918</v>
      </c>
      <c r="D3295" s="201">
        <v>1</v>
      </c>
      <c r="E3295" s="202">
        <v>0</v>
      </c>
      <c r="F3295" s="203">
        <v>15539000</v>
      </c>
      <c r="G3295" s="187"/>
    </row>
    <row r="3296" spans="2:7" x14ac:dyDescent="0.2">
      <c r="B3296" s="340">
        <v>46023</v>
      </c>
      <c r="C3296" s="337" t="s">
        <v>4920</v>
      </c>
      <c r="D3296" s="201">
        <v>1</v>
      </c>
      <c r="E3296" s="202">
        <v>0</v>
      </c>
      <c r="F3296" s="203">
        <v>18360000</v>
      </c>
      <c r="G3296" s="187"/>
    </row>
    <row r="3297" spans="2:8" x14ac:dyDescent="0.2">
      <c r="B3297" s="343">
        <v>46023</v>
      </c>
      <c r="C3297" s="342" t="s">
        <v>4919</v>
      </c>
      <c r="D3297" s="201">
        <v>1</v>
      </c>
      <c r="E3297" s="202">
        <v>0</v>
      </c>
      <c r="F3297" s="203">
        <v>7300000</v>
      </c>
      <c r="G3297" s="187"/>
    </row>
    <row r="3298" spans="2:8" x14ac:dyDescent="0.2">
      <c r="B3298" s="315"/>
      <c r="C3298" s="187"/>
      <c r="D3298" s="201"/>
      <c r="E3298" s="202"/>
      <c r="F3298" s="203"/>
      <c r="G3298" s="187"/>
    </row>
    <row r="3299" spans="2:8" x14ac:dyDescent="0.2">
      <c r="B3299" s="200">
        <v>46048</v>
      </c>
      <c r="C3299" s="187" t="s">
        <v>3767</v>
      </c>
      <c r="D3299" s="201">
        <v>1</v>
      </c>
      <c r="E3299" s="218">
        <v>0</v>
      </c>
      <c r="F3299" s="218">
        <v>0</v>
      </c>
      <c r="G3299" s="313">
        <v>1932000</v>
      </c>
      <c r="H3299" s="363">
        <v>46063</v>
      </c>
    </row>
    <row r="3300" spans="2:8" x14ac:dyDescent="0.2">
      <c r="B3300" s="200">
        <v>46048</v>
      </c>
      <c r="C3300" s="5" t="s">
        <v>4922</v>
      </c>
      <c r="D3300" s="201">
        <v>1</v>
      </c>
      <c r="E3300" s="202">
        <v>0</v>
      </c>
      <c r="F3300" s="218">
        <v>0</v>
      </c>
      <c r="G3300" s="313">
        <v>1932000</v>
      </c>
      <c r="H3300" s="363">
        <v>46063</v>
      </c>
    </row>
    <row r="3301" spans="2:8" x14ac:dyDescent="0.2">
      <c r="B3301" s="200">
        <v>46048</v>
      </c>
      <c r="C3301" s="187" t="s">
        <v>4926</v>
      </c>
      <c r="D3301" s="201">
        <v>1</v>
      </c>
      <c r="E3301" s="202">
        <v>0</v>
      </c>
      <c r="F3301" s="218">
        <v>0</v>
      </c>
      <c r="G3301" s="313">
        <v>885000</v>
      </c>
      <c r="H3301" s="363">
        <v>46063</v>
      </c>
    </row>
    <row r="3302" spans="2:8" x14ac:dyDescent="0.2">
      <c r="B3302" s="200">
        <v>46042</v>
      </c>
      <c r="C3302" s="187" t="s">
        <v>4923</v>
      </c>
      <c r="D3302" s="201">
        <v>1</v>
      </c>
      <c r="E3302" s="202">
        <v>0</v>
      </c>
      <c r="F3302" s="218">
        <v>0</v>
      </c>
      <c r="G3302" s="313">
        <v>450000</v>
      </c>
      <c r="H3302" s="363">
        <v>46063</v>
      </c>
    </row>
    <row r="3303" spans="2:8" x14ac:dyDescent="0.2">
      <c r="B3303" s="200">
        <v>46031</v>
      </c>
      <c r="C3303" s="187" t="s">
        <v>4597</v>
      </c>
      <c r="D3303" s="201">
        <v>1</v>
      </c>
      <c r="E3303" s="202">
        <v>1</v>
      </c>
      <c r="F3303" s="218">
        <v>0</v>
      </c>
      <c r="G3303" s="313">
        <v>845000</v>
      </c>
      <c r="H3303" s="363">
        <v>46058</v>
      </c>
    </row>
    <row r="3304" spans="2:8" x14ac:dyDescent="0.2">
      <c r="B3304"/>
      <c r="D3304"/>
      <c r="E3304"/>
      <c r="F3304"/>
      <c r="G3304"/>
    </row>
    <row r="3305" spans="2:8" x14ac:dyDescent="0.2">
      <c r="B3305" s="200"/>
      <c r="C3305" s="187" t="s">
        <v>4932</v>
      </c>
      <c r="D3305" s="201">
        <v>1</v>
      </c>
      <c r="E3305" s="202">
        <v>0</v>
      </c>
      <c r="F3305" s="203">
        <v>0</v>
      </c>
      <c r="G3305" s="313">
        <v>385000</v>
      </c>
      <c r="H3305" s="363">
        <v>46100</v>
      </c>
    </row>
    <row r="3306" spans="2:8" x14ac:dyDescent="0.2">
      <c r="B3306" s="200"/>
      <c r="C3306" s="187"/>
      <c r="D3306" s="201"/>
      <c r="E3306" s="202"/>
      <c r="F3306" s="203"/>
      <c r="G3306" s="195"/>
    </row>
    <row r="3307" spans="2:8" x14ac:dyDescent="0.2">
      <c r="B3307" s="200">
        <v>46063</v>
      </c>
      <c r="C3307" s="187" t="s">
        <v>4937</v>
      </c>
      <c r="D3307" s="201">
        <v>1</v>
      </c>
      <c r="E3307" s="202">
        <v>0</v>
      </c>
      <c r="F3307" s="203">
        <v>0</v>
      </c>
      <c r="G3307" s="313">
        <v>940000</v>
      </c>
      <c r="H3307" s="363">
        <v>46100</v>
      </c>
    </row>
    <row r="3308" spans="2:8" x14ac:dyDescent="0.2">
      <c r="B3308" s="200">
        <v>46063</v>
      </c>
      <c r="C3308" s="5" t="s">
        <v>4938</v>
      </c>
      <c r="D3308" s="201">
        <v>1</v>
      </c>
      <c r="E3308" s="202">
        <v>0</v>
      </c>
      <c r="F3308" s="203">
        <v>0</v>
      </c>
      <c r="G3308" s="313">
        <v>940000</v>
      </c>
      <c r="H3308" s="363">
        <v>46100</v>
      </c>
    </row>
    <row r="3309" spans="2:8" x14ac:dyDescent="0.2">
      <c r="B3309" s="200">
        <v>46063</v>
      </c>
      <c r="C3309" s="187" t="s">
        <v>4939</v>
      </c>
      <c r="D3309" s="201">
        <v>1</v>
      </c>
      <c r="E3309" s="202">
        <v>0</v>
      </c>
      <c r="F3309" s="203">
        <v>0</v>
      </c>
      <c r="G3309" s="313">
        <v>465000</v>
      </c>
      <c r="H3309" s="363">
        <v>46100</v>
      </c>
    </row>
    <row r="3310" spans="2:8" x14ac:dyDescent="0.2">
      <c r="B3310" s="200">
        <v>46063</v>
      </c>
      <c r="C3310" s="187" t="s">
        <v>4943</v>
      </c>
      <c r="D3310" s="201">
        <v>1</v>
      </c>
      <c r="E3310" s="202">
        <v>0</v>
      </c>
      <c r="F3310" s="203">
        <v>0</v>
      </c>
      <c r="G3310" s="313">
        <v>940000</v>
      </c>
      <c r="H3310" s="363">
        <v>46100</v>
      </c>
    </row>
    <row r="3311" spans="2:8" x14ac:dyDescent="0.2">
      <c r="B3311" s="200">
        <v>46063</v>
      </c>
      <c r="C3311" s="187" t="s">
        <v>4940</v>
      </c>
      <c r="D3311" s="201">
        <v>1</v>
      </c>
      <c r="E3311" s="202">
        <v>0</v>
      </c>
      <c r="F3311" s="203">
        <v>0</v>
      </c>
      <c r="G3311" s="313">
        <v>1037000</v>
      </c>
      <c r="H3311" s="359" t="s">
        <v>4973</v>
      </c>
    </row>
    <row r="3312" spans="2:8" x14ac:dyDescent="0.2">
      <c r="B3312" s="200"/>
      <c r="C3312" s="187" t="s">
        <v>4960</v>
      </c>
      <c r="D3312" s="201">
        <v>1</v>
      </c>
      <c r="E3312" s="202"/>
      <c r="F3312" s="203">
        <v>3000000</v>
      </c>
      <c r="G3312" s="195"/>
    </row>
    <row r="3313" spans="2:7" x14ac:dyDescent="0.2">
      <c r="B3313" s="200"/>
      <c r="C3313" s="187"/>
      <c r="D3313" s="201"/>
      <c r="E3313" s="202"/>
      <c r="F3313" s="203"/>
      <c r="G3313" s="195"/>
    </row>
    <row r="3314" spans="2:7" x14ac:dyDescent="0.2">
      <c r="B3314" s="200">
        <v>46037</v>
      </c>
      <c r="C3314" s="187" t="s">
        <v>4933</v>
      </c>
      <c r="D3314" s="201">
        <v>22</v>
      </c>
      <c r="E3314" s="202">
        <v>0</v>
      </c>
      <c r="F3314" s="203">
        <f>D3314*100000</f>
        <v>2200000</v>
      </c>
      <c r="G3314" s="195"/>
    </row>
    <row r="3315" spans="2:7" x14ac:dyDescent="0.2">
      <c r="B3315" s="200">
        <v>46037</v>
      </c>
      <c r="C3315" s="187" t="s">
        <v>4934</v>
      </c>
      <c r="D3315" s="201">
        <v>15</v>
      </c>
      <c r="E3315" s="202">
        <v>0</v>
      </c>
      <c r="F3315" s="203">
        <f>D3315*50000</f>
        <v>750000</v>
      </c>
      <c r="G3315" s="195"/>
    </row>
    <row r="3316" spans="2:7" x14ac:dyDescent="0.2">
      <c r="B3316" s="200">
        <v>46068</v>
      </c>
      <c r="C3316" s="187" t="s">
        <v>4953</v>
      </c>
      <c r="D3316" s="201">
        <v>24</v>
      </c>
      <c r="E3316" s="202">
        <v>0</v>
      </c>
      <c r="F3316" s="203">
        <f>D3316*100000</f>
        <v>2400000</v>
      </c>
      <c r="G3316" s="195"/>
    </row>
    <row r="3317" spans="2:7" x14ac:dyDescent="0.2">
      <c r="B3317" s="200">
        <v>46068</v>
      </c>
      <c r="C3317" s="187" t="s">
        <v>4954</v>
      </c>
      <c r="D3317" s="201">
        <v>24</v>
      </c>
      <c r="E3317" s="202">
        <v>0</v>
      </c>
      <c r="F3317" s="203">
        <f>D3317*100000</f>
        <v>2400000</v>
      </c>
      <c r="G3317" s="195"/>
    </row>
    <row r="3318" spans="2:7" x14ac:dyDescent="0.2">
      <c r="B3318" s="200"/>
      <c r="C3318" s="187"/>
      <c r="D3318" s="201"/>
      <c r="E3318" s="202"/>
      <c r="F3318" s="203"/>
      <c r="G3318" s="195"/>
    </row>
    <row r="3319" spans="2:7" x14ac:dyDescent="0.2">
      <c r="B3319"/>
      <c r="D3319"/>
      <c r="E3319"/>
      <c r="F3319"/>
      <c r="G3319"/>
    </row>
    <row r="3320" spans="2:7" x14ac:dyDescent="0.2">
      <c r="B3320" s="29"/>
      <c r="C3320" s="29"/>
      <c r="D3320" s="68"/>
      <c r="E3320" s="13"/>
      <c r="F3320" s="13"/>
      <c r="G3320" s="29"/>
    </row>
    <row r="3321" spans="2:7" x14ac:dyDescent="0.2">
      <c r="E3321" s="9">
        <f>SUM(E3275:E3320)</f>
        <v>9294705</v>
      </c>
      <c r="F3321" s="9">
        <f>SUM(F3275:F3320)</f>
        <v>189984000</v>
      </c>
      <c r="G3321" s="9"/>
    </row>
    <row r="3322" spans="2:7" x14ac:dyDescent="0.2">
      <c r="E3322" s="3">
        <f>9140000-E3321</f>
        <v>-154705</v>
      </c>
    </row>
    <row r="3323" spans="2:7" x14ac:dyDescent="0.2">
      <c r="C3323" s="347"/>
      <c r="E3323" s="3"/>
    </row>
    <row r="3324" spans="2:7" x14ac:dyDescent="0.2">
      <c r="E3324" s="3"/>
    </row>
    <row r="3325" spans="2:7" x14ac:dyDescent="0.2">
      <c r="E3325" s="3"/>
    </row>
    <row r="3328" spans="2:7" ht="26" x14ac:dyDescent="0.3">
      <c r="B3328" s="12"/>
      <c r="C3328" s="388" t="s">
        <v>4965</v>
      </c>
      <c r="D3328" s="389"/>
      <c r="E3328" s="389"/>
      <c r="F3328" s="389"/>
      <c r="G3328" s="390"/>
    </row>
    <row r="3329" spans="2:7" x14ac:dyDescent="0.2">
      <c r="B3329" s="12"/>
      <c r="C3329" s="29" t="s">
        <v>82</v>
      </c>
      <c r="D3329" s="11">
        <v>1</v>
      </c>
      <c r="E3329" s="12" t="s">
        <v>1</v>
      </c>
      <c r="F3329" s="12" t="s">
        <v>3140</v>
      </c>
      <c r="G3329" s="12" t="s">
        <v>3657</v>
      </c>
    </row>
    <row r="3330" spans="2:7" x14ac:dyDescent="0.2">
      <c r="B3330" s="8"/>
      <c r="C3330" s="5" t="s">
        <v>3525</v>
      </c>
      <c r="D3330" s="62">
        <v>1</v>
      </c>
      <c r="E3330" s="28">
        <v>2000000</v>
      </c>
      <c r="F3330" s="214">
        <v>0</v>
      </c>
      <c r="G3330" s="7"/>
    </row>
    <row r="3331" spans="2:7" x14ac:dyDescent="0.2">
      <c r="B3331" s="8"/>
      <c r="C3331" s="5" t="s">
        <v>3757</v>
      </c>
      <c r="D3331" s="62">
        <v>1</v>
      </c>
      <c r="E3331" s="28">
        <v>750000</v>
      </c>
      <c r="F3331" s="214">
        <v>0</v>
      </c>
      <c r="G3331" s="8"/>
    </row>
    <row r="3332" spans="2:7" x14ac:dyDescent="0.2">
      <c r="B3332" s="8"/>
      <c r="C3332" s="5" t="s">
        <v>3526</v>
      </c>
      <c r="D3332" s="62">
        <v>1</v>
      </c>
      <c r="E3332" s="28">
        <v>500000</v>
      </c>
      <c r="F3332" s="214">
        <v>0</v>
      </c>
      <c r="G3332" s="8"/>
    </row>
    <row r="3333" spans="2:7" x14ac:dyDescent="0.2">
      <c r="B3333" s="8"/>
      <c r="C3333" s="5" t="s">
        <v>3942</v>
      </c>
      <c r="D3333" s="62">
        <v>1</v>
      </c>
      <c r="E3333" s="356">
        <v>543000</v>
      </c>
      <c r="F3333" s="214">
        <v>0</v>
      </c>
      <c r="G3333" s="8"/>
    </row>
    <row r="3334" spans="2:7" x14ac:dyDescent="0.2">
      <c r="B3334" s="8"/>
      <c r="C3334" s="5" t="s">
        <v>3941</v>
      </c>
      <c r="D3334" s="62">
        <v>1</v>
      </c>
      <c r="E3334" s="356">
        <v>126000</v>
      </c>
      <c r="F3334" s="214">
        <v>0</v>
      </c>
      <c r="G3334" s="8"/>
    </row>
    <row r="3335" spans="2:7" x14ac:dyDescent="0.2">
      <c r="B3335" s="8"/>
      <c r="C3335" s="5" t="s">
        <v>3940</v>
      </c>
      <c r="D3335" s="62">
        <v>1</v>
      </c>
      <c r="E3335" s="356">
        <v>415000</v>
      </c>
      <c r="F3335" s="214">
        <v>0</v>
      </c>
      <c r="G3335" s="7"/>
    </row>
    <row r="3336" spans="2:7" x14ac:dyDescent="0.2">
      <c r="B3336" s="8"/>
      <c r="C3336" s="5" t="s">
        <v>3939</v>
      </c>
      <c r="D3336" s="62">
        <v>1</v>
      </c>
      <c r="E3336" s="356">
        <v>415000</v>
      </c>
      <c r="F3336" s="214">
        <v>0</v>
      </c>
      <c r="G3336" s="7"/>
    </row>
    <row r="3337" spans="2:7" x14ac:dyDescent="0.2">
      <c r="B3337" s="186"/>
      <c r="C3337" s="5" t="s">
        <v>3938</v>
      </c>
      <c r="D3337" s="201">
        <v>1</v>
      </c>
      <c r="E3337" s="357">
        <v>905000</v>
      </c>
      <c r="F3337" s="203">
        <v>0</v>
      </c>
      <c r="G3337" s="216"/>
    </row>
    <row r="3338" spans="2:7" x14ac:dyDescent="0.2">
      <c r="B3338" s="186"/>
      <c r="C3338" s="187" t="s">
        <v>4403</v>
      </c>
      <c r="D3338" s="201">
        <v>1</v>
      </c>
      <c r="E3338" s="357">
        <v>126000</v>
      </c>
      <c r="F3338" s="203">
        <v>0</v>
      </c>
      <c r="G3338" s="216"/>
    </row>
    <row r="3339" spans="2:7" x14ac:dyDescent="0.2">
      <c r="B3339" s="186"/>
      <c r="C3339" s="187" t="s">
        <v>4921</v>
      </c>
      <c r="D3339" s="201">
        <v>1</v>
      </c>
      <c r="E3339" s="309">
        <f>F3390*1.85%</f>
        <v>3817399.1500000004</v>
      </c>
      <c r="F3339" s="203">
        <v>0</v>
      </c>
      <c r="G3339" s="216"/>
    </row>
    <row r="3340" spans="2:7" x14ac:dyDescent="0.2">
      <c r="B3340"/>
      <c r="D3340"/>
      <c r="E3340"/>
      <c r="F3340"/>
      <c r="G3340"/>
    </row>
    <row r="3341" spans="2:7" x14ac:dyDescent="0.2">
      <c r="B3341" s="173"/>
      <c r="C3341" s="5" t="s">
        <v>3928</v>
      </c>
      <c r="D3341" s="62">
        <v>1</v>
      </c>
      <c r="E3341" s="202">
        <v>0</v>
      </c>
      <c r="F3341" s="361">
        <f>50000000-10000000</f>
        <v>40000000</v>
      </c>
      <c r="G3341" s="362" t="s">
        <v>4974</v>
      </c>
    </row>
    <row r="3342" spans="2:7" x14ac:dyDescent="0.2">
      <c r="B3342" s="200"/>
      <c r="C3342" s="5" t="s">
        <v>4076</v>
      </c>
      <c r="D3342" s="201">
        <v>1</v>
      </c>
      <c r="E3342" s="202">
        <v>0</v>
      </c>
      <c r="F3342" s="214">
        <v>21000000</v>
      </c>
      <c r="G3342" s="8"/>
    </row>
    <row r="3343" spans="2:7" x14ac:dyDescent="0.2">
      <c r="B3343" s="200"/>
      <c r="C3343" s="5" t="s">
        <v>4064</v>
      </c>
      <c r="D3343" s="201">
        <v>1</v>
      </c>
      <c r="E3343" s="202">
        <v>0</v>
      </c>
      <c r="F3343" s="203">
        <v>3000000</v>
      </c>
      <c r="G3343" s="186"/>
    </row>
    <row r="3344" spans="2:7" x14ac:dyDescent="0.2">
      <c r="B3344" s="319">
        <v>45790</v>
      </c>
      <c r="C3344" s="187" t="s">
        <v>4924</v>
      </c>
      <c r="D3344" s="201">
        <v>1</v>
      </c>
      <c r="E3344" s="202">
        <v>0</v>
      </c>
      <c r="F3344" s="203">
        <v>20000000</v>
      </c>
      <c r="G3344" s="195" t="s">
        <v>3251</v>
      </c>
    </row>
    <row r="3345" spans="2:8" x14ac:dyDescent="0.2">
      <c r="B3345" s="319">
        <v>45839</v>
      </c>
      <c r="C3345" s="187" t="s">
        <v>4925</v>
      </c>
      <c r="D3345" s="201">
        <v>1</v>
      </c>
      <c r="E3345" s="202">
        <v>0</v>
      </c>
      <c r="F3345" s="203">
        <v>20000000</v>
      </c>
      <c r="G3345" s="195" t="s">
        <v>3650</v>
      </c>
    </row>
    <row r="3346" spans="2:8" x14ac:dyDescent="0.2">
      <c r="B3346" s="319">
        <v>46023</v>
      </c>
      <c r="C3346" s="320" t="s">
        <v>4913</v>
      </c>
      <c r="D3346" s="201">
        <v>1</v>
      </c>
      <c r="E3346" s="202">
        <v>0</v>
      </c>
      <c r="F3346" s="203">
        <v>10605000</v>
      </c>
      <c r="G3346" s="187"/>
    </row>
    <row r="3347" spans="2:8" x14ac:dyDescent="0.2">
      <c r="B3347" s="324">
        <v>46023</v>
      </c>
      <c r="C3347" s="322" t="s">
        <v>4914</v>
      </c>
      <c r="D3347" s="201">
        <v>1</v>
      </c>
      <c r="E3347" s="202">
        <v>0</v>
      </c>
      <c r="F3347" s="203">
        <v>21790000</v>
      </c>
      <c r="G3347" s="187"/>
    </row>
    <row r="3348" spans="2:8" x14ac:dyDescent="0.2">
      <c r="B3348" s="329">
        <v>46023</v>
      </c>
      <c r="C3348" s="328" t="s">
        <v>4915</v>
      </c>
      <c r="D3348" s="201">
        <v>1</v>
      </c>
      <c r="E3348" s="202">
        <v>0</v>
      </c>
      <c r="F3348" s="203">
        <v>1640000</v>
      </c>
      <c r="G3348" s="187"/>
    </row>
    <row r="3349" spans="2:8" x14ac:dyDescent="0.2">
      <c r="B3349" s="324">
        <v>46023</v>
      </c>
      <c r="C3349" s="322" t="s">
        <v>4918</v>
      </c>
      <c r="D3349" s="201">
        <v>1</v>
      </c>
      <c r="E3349" s="202">
        <v>0</v>
      </c>
      <c r="F3349" s="360">
        <v>15539000</v>
      </c>
      <c r="G3349" s="187"/>
    </row>
    <row r="3350" spans="2:8" x14ac:dyDescent="0.2">
      <c r="B3350" s="340">
        <v>46023</v>
      </c>
      <c r="C3350" s="337" t="s">
        <v>4920</v>
      </c>
      <c r="D3350" s="201">
        <v>1</v>
      </c>
      <c r="E3350" s="202">
        <v>0</v>
      </c>
      <c r="F3350" s="360">
        <v>18360000</v>
      </c>
      <c r="G3350" s="187"/>
    </row>
    <row r="3351" spans="2:8" x14ac:dyDescent="0.2">
      <c r="B3351" s="343">
        <v>46023</v>
      </c>
      <c r="C3351" s="342" t="s">
        <v>4919</v>
      </c>
      <c r="D3351" s="201">
        <v>1</v>
      </c>
      <c r="E3351" s="202">
        <v>0</v>
      </c>
      <c r="F3351" s="360">
        <v>7300000</v>
      </c>
      <c r="G3351" s="187"/>
    </row>
    <row r="3352" spans="2:8" x14ac:dyDescent="0.2">
      <c r="B3352" s="315"/>
      <c r="C3352" s="187"/>
      <c r="D3352" s="201"/>
      <c r="E3352" s="202"/>
      <c r="F3352" s="203"/>
      <c r="G3352" s="187"/>
    </row>
    <row r="3353" spans="2:8" x14ac:dyDescent="0.2">
      <c r="B3353"/>
      <c r="D3353"/>
      <c r="E3353"/>
      <c r="F3353"/>
      <c r="G3353"/>
    </row>
    <row r="3354" spans="2:8" x14ac:dyDescent="0.2">
      <c r="B3354" s="200"/>
      <c r="C3354" s="187" t="s">
        <v>4932</v>
      </c>
      <c r="D3354" s="201">
        <v>1</v>
      </c>
      <c r="E3354" s="202">
        <v>0</v>
      </c>
      <c r="F3354" s="203">
        <v>0</v>
      </c>
      <c r="G3354" s="313">
        <v>385000</v>
      </c>
      <c r="H3354" s="363">
        <v>46100</v>
      </c>
    </row>
    <row r="3355" spans="2:8" x14ac:dyDescent="0.2">
      <c r="B3355" s="200"/>
      <c r="C3355" s="187"/>
      <c r="D3355" s="201"/>
      <c r="E3355" s="202"/>
      <c r="F3355" s="203"/>
      <c r="G3355" s="195"/>
    </row>
    <row r="3356" spans="2:8" x14ac:dyDescent="0.2">
      <c r="B3356" s="200">
        <v>46063</v>
      </c>
      <c r="C3356" s="187" t="s">
        <v>4937</v>
      </c>
      <c r="D3356" s="201">
        <v>1</v>
      </c>
      <c r="E3356" s="202">
        <v>0</v>
      </c>
      <c r="F3356" s="203">
        <v>0</v>
      </c>
      <c r="G3356" s="313">
        <v>940000</v>
      </c>
      <c r="H3356" s="363">
        <v>46100</v>
      </c>
    </row>
    <row r="3357" spans="2:8" x14ac:dyDescent="0.2">
      <c r="B3357" s="200">
        <v>46063</v>
      </c>
      <c r="C3357" s="5" t="s">
        <v>4938</v>
      </c>
      <c r="D3357" s="201">
        <v>1</v>
      </c>
      <c r="E3357" s="202">
        <v>0</v>
      </c>
      <c r="F3357" s="203">
        <v>0</v>
      </c>
      <c r="G3357" s="313">
        <v>940000</v>
      </c>
      <c r="H3357" s="363">
        <v>46100</v>
      </c>
    </row>
    <row r="3358" spans="2:8" x14ac:dyDescent="0.2">
      <c r="B3358" s="200">
        <v>46063</v>
      </c>
      <c r="C3358" s="187" t="s">
        <v>4939</v>
      </c>
      <c r="D3358" s="201">
        <v>1</v>
      </c>
      <c r="E3358" s="202">
        <v>0</v>
      </c>
      <c r="F3358" s="203">
        <v>0</v>
      </c>
      <c r="G3358" s="313">
        <v>465000</v>
      </c>
      <c r="H3358" s="363">
        <v>46100</v>
      </c>
    </row>
    <row r="3359" spans="2:8" x14ac:dyDescent="0.2">
      <c r="B3359" s="200">
        <v>46063</v>
      </c>
      <c r="C3359" s="187" t="s">
        <v>4943</v>
      </c>
      <c r="D3359" s="201">
        <v>1</v>
      </c>
      <c r="E3359" s="202">
        <v>0</v>
      </c>
      <c r="F3359" s="203">
        <v>0</v>
      </c>
      <c r="G3359" s="313">
        <v>940000</v>
      </c>
      <c r="H3359" s="363">
        <v>46100</v>
      </c>
    </row>
    <row r="3360" spans="2:8" x14ac:dyDescent="0.2">
      <c r="B3360" s="200">
        <v>46092</v>
      </c>
      <c r="C3360" s="187" t="s">
        <v>4967</v>
      </c>
      <c r="D3360" s="201">
        <v>1</v>
      </c>
      <c r="E3360" s="202">
        <v>0</v>
      </c>
      <c r="F3360" s="202">
        <v>0</v>
      </c>
      <c r="G3360" s="364">
        <v>1037000</v>
      </c>
      <c r="H3360" s="365">
        <v>46113</v>
      </c>
    </row>
    <row r="3361" spans="2:8" x14ac:dyDescent="0.2">
      <c r="B3361" s="200">
        <v>46085</v>
      </c>
      <c r="C3361" s="187" t="s">
        <v>4968</v>
      </c>
      <c r="D3361" s="201">
        <v>1</v>
      </c>
      <c r="E3361" s="202">
        <v>0</v>
      </c>
      <c r="F3361" s="203">
        <v>940000</v>
      </c>
      <c r="G3361" s="195"/>
    </row>
    <row r="3362" spans="2:8" x14ac:dyDescent="0.2">
      <c r="B3362" s="200">
        <v>46085</v>
      </c>
      <c r="C3362" s="5" t="s">
        <v>4969</v>
      </c>
      <c r="D3362" s="201">
        <v>1</v>
      </c>
      <c r="E3362" s="202">
        <v>0</v>
      </c>
      <c r="F3362" s="203">
        <v>940000</v>
      </c>
      <c r="G3362" s="195"/>
    </row>
    <row r="3363" spans="2:8" x14ac:dyDescent="0.2">
      <c r="B3363" s="200">
        <v>46085</v>
      </c>
      <c r="C3363" s="187" t="s">
        <v>4970</v>
      </c>
      <c r="D3363" s="201">
        <v>1</v>
      </c>
      <c r="E3363" s="202">
        <v>0</v>
      </c>
      <c r="F3363" s="203">
        <v>940000</v>
      </c>
      <c r="G3363" s="195"/>
    </row>
    <row r="3364" spans="2:8" x14ac:dyDescent="0.2">
      <c r="B3364" s="200">
        <v>46085</v>
      </c>
      <c r="C3364" s="187" t="s">
        <v>4971</v>
      </c>
      <c r="D3364" s="201">
        <v>1</v>
      </c>
      <c r="E3364" s="202">
        <v>0</v>
      </c>
      <c r="F3364" s="203">
        <v>465000</v>
      </c>
      <c r="G3364" s="195"/>
    </row>
    <row r="3365" spans="2:8" x14ac:dyDescent="0.2">
      <c r="B3365" s="200">
        <v>46085</v>
      </c>
      <c r="C3365" s="187" t="s">
        <v>4972</v>
      </c>
      <c r="D3365" s="201">
        <v>2</v>
      </c>
      <c r="E3365" s="202">
        <v>0</v>
      </c>
      <c r="F3365" s="203">
        <v>0</v>
      </c>
      <c r="G3365" s="353">
        <v>1144000</v>
      </c>
      <c r="H3365" s="365">
        <v>46113</v>
      </c>
    </row>
    <row r="3366" spans="2:8" x14ac:dyDescent="0.2">
      <c r="B3366" s="200">
        <v>46085</v>
      </c>
      <c r="C3366" s="187" t="s">
        <v>4960</v>
      </c>
      <c r="D3366" s="201">
        <v>1</v>
      </c>
      <c r="E3366" s="202">
        <v>0</v>
      </c>
      <c r="F3366" s="203">
        <v>3000000</v>
      </c>
      <c r="G3366" s="195"/>
    </row>
    <row r="3367" spans="2:8" x14ac:dyDescent="0.2">
      <c r="B3367" s="200">
        <v>46059</v>
      </c>
      <c r="C3367" s="187" t="s">
        <v>4976</v>
      </c>
      <c r="D3367" s="201">
        <v>1</v>
      </c>
      <c r="E3367" s="202">
        <v>0</v>
      </c>
      <c r="F3367" s="203">
        <v>870700</v>
      </c>
      <c r="G3367" s="195"/>
    </row>
    <row r="3368" spans="2:8" x14ac:dyDescent="0.2">
      <c r="B3368" s="200">
        <v>46112</v>
      </c>
      <c r="C3368" s="187" t="s">
        <v>4977</v>
      </c>
      <c r="D3368" s="201">
        <v>1</v>
      </c>
      <c r="E3368" s="202">
        <v>0</v>
      </c>
      <c r="F3368" s="203">
        <v>870700</v>
      </c>
      <c r="G3368" s="195"/>
    </row>
    <row r="3369" spans="2:8" x14ac:dyDescent="0.2">
      <c r="B3369" s="200"/>
      <c r="C3369" s="187"/>
      <c r="D3369" s="201"/>
      <c r="E3369" s="202"/>
      <c r="F3369" s="203"/>
      <c r="G3369" s="195"/>
    </row>
    <row r="3370" spans="2:8" x14ac:dyDescent="0.2">
      <c r="B3370" s="200">
        <v>46037</v>
      </c>
      <c r="C3370" s="187" t="s">
        <v>4933</v>
      </c>
      <c r="D3370" s="201">
        <v>22</v>
      </c>
      <c r="E3370" s="202">
        <v>0</v>
      </c>
      <c r="F3370" s="203">
        <v>0</v>
      </c>
      <c r="G3370" s="353">
        <v>2200000</v>
      </c>
      <c r="H3370" s="354" t="s">
        <v>4966</v>
      </c>
    </row>
    <row r="3371" spans="2:8" x14ac:dyDescent="0.2">
      <c r="B3371" s="200">
        <v>46037</v>
      </c>
      <c r="C3371" s="187" t="s">
        <v>4934</v>
      </c>
      <c r="D3371" s="201">
        <v>15</v>
      </c>
      <c r="E3371" s="202">
        <v>0</v>
      </c>
      <c r="F3371" s="203">
        <v>0</v>
      </c>
      <c r="G3371" s="353">
        <v>750000</v>
      </c>
      <c r="H3371" s="354" t="s">
        <v>4966</v>
      </c>
    </row>
    <row r="3372" spans="2:8" x14ac:dyDescent="0.2">
      <c r="B3372" s="200">
        <v>46068</v>
      </c>
      <c r="C3372" s="187" t="s">
        <v>4953</v>
      </c>
      <c r="D3372" s="201">
        <v>24</v>
      </c>
      <c r="E3372" s="202">
        <v>0</v>
      </c>
      <c r="F3372" s="203">
        <v>0</v>
      </c>
      <c r="G3372" s="353">
        <v>2400000</v>
      </c>
      <c r="H3372" s="354" t="s">
        <v>4966</v>
      </c>
    </row>
    <row r="3373" spans="2:8" x14ac:dyDescent="0.2">
      <c r="B3373" s="200">
        <v>46068</v>
      </c>
      <c r="C3373" s="187" t="s">
        <v>4954</v>
      </c>
      <c r="D3373" s="201">
        <v>24</v>
      </c>
      <c r="E3373" s="202">
        <v>0</v>
      </c>
      <c r="F3373" s="203">
        <v>0</v>
      </c>
      <c r="G3373" s="353">
        <v>2400000</v>
      </c>
      <c r="H3373" s="354" t="s">
        <v>4966</v>
      </c>
    </row>
    <row r="3374" spans="2:8" x14ac:dyDescent="0.2">
      <c r="B3374" s="200">
        <v>46096</v>
      </c>
      <c r="C3374" s="187" t="s">
        <v>4964</v>
      </c>
      <c r="D3374" s="201">
        <v>24</v>
      </c>
      <c r="E3374" s="202">
        <v>0</v>
      </c>
      <c r="F3374" s="203">
        <v>0</v>
      </c>
      <c r="G3374" s="353">
        <v>2400000</v>
      </c>
      <c r="H3374" s="354" t="s">
        <v>4966</v>
      </c>
    </row>
    <row r="3375" spans="2:8" x14ac:dyDescent="0.2">
      <c r="B3375" s="200">
        <v>46096</v>
      </c>
      <c r="C3375" s="187" t="s">
        <v>4962</v>
      </c>
      <c r="D3375" s="201">
        <v>1</v>
      </c>
      <c r="E3375" s="202">
        <v>0</v>
      </c>
      <c r="F3375" s="203">
        <v>0</v>
      </c>
      <c r="G3375" s="353">
        <v>1000000</v>
      </c>
      <c r="H3375" s="354" t="s">
        <v>4966</v>
      </c>
    </row>
    <row r="3376" spans="2:8" x14ac:dyDescent="0.2">
      <c r="B3376" s="200">
        <v>46096</v>
      </c>
      <c r="C3376" s="187" t="s">
        <v>4961</v>
      </c>
      <c r="D3376" s="201">
        <v>1</v>
      </c>
      <c r="E3376" s="202">
        <v>0</v>
      </c>
      <c r="F3376" s="203">
        <v>0</v>
      </c>
      <c r="G3376" s="353">
        <v>500000</v>
      </c>
      <c r="H3376" s="354" t="s">
        <v>4966</v>
      </c>
    </row>
    <row r="3377" spans="2:8" x14ac:dyDescent="0.2">
      <c r="B3377" s="200">
        <v>46096</v>
      </c>
      <c r="C3377" s="187" t="s">
        <v>4963</v>
      </c>
      <c r="D3377" s="201">
        <v>1</v>
      </c>
      <c r="E3377" s="202">
        <v>0</v>
      </c>
      <c r="F3377" s="203">
        <v>0</v>
      </c>
      <c r="G3377" s="353">
        <v>1000000</v>
      </c>
      <c r="H3377" s="354" t="s">
        <v>4966</v>
      </c>
    </row>
    <row r="3378" spans="2:8" x14ac:dyDescent="0.2">
      <c r="B3378" s="200">
        <v>46096</v>
      </c>
      <c r="C3378" s="187" t="s">
        <v>4955</v>
      </c>
      <c r="D3378" s="201">
        <v>95784</v>
      </c>
      <c r="E3378" s="202">
        <v>0</v>
      </c>
      <c r="F3378" s="203">
        <v>0</v>
      </c>
      <c r="G3378" s="353">
        <v>7662720</v>
      </c>
      <c r="H3378" s="354" t="s">
        <v>4966</v>
      </c>
    </row>
    <row r="3379" spans="2:8" x14ac:dyDescent="0.2">
      <c r="B3379" s="200">
        <v>46096</v>
      </c>
      <c r="C3379" s="187" t="s">
        <v>4956</v>
      </c>
      <c r="D3379" s="201">
        <v>65579</v>
      </c>
      <c r="E3379" s="202">
        <v>0</v>
      </c>
      <c r="F3379" s="203">
        <v>0</v>
      </c>
      <c r="G3379" s="353">
        <v>5574215</v>
      </c>
      <c r="H3379" s="354" t="s">
        <v>4966</v>
      </c>
    </row>
    <row r="3380" spans="2:8" x14ac:dyDescent="0.2">
      <c r="B3380" s="200">
        <v>46096</v>
      </c>
      <c r="C3380" s="187" t="s">
        <v>4957</v>
      </c>
      <c r="D3380" s="201">
        <v>136855</v>
      </c>
      <c r="E3380" s="202">
        <v>0</v>
      </c>
      <c r="F3380" s="360">
        <f>D3380*100</f>
        <v>13685500</v>
      </c>
      <c r="G3380" s="355"/>
      <c r="H3380" s="355"/>
    </row>
    <row r="3381" spans="2:8" x14ac:dyDescent="0.2">
      <c r="B3381" s="200">
        <v>46096</v>
      </c>
      <c r="C3381" s="187" t="s">
        <v>4958</v>
      </c>
      <c r="D3381" s="201">
        <v>93911</v>
      </c>
      <c r="E3381" s="202">
        <v>0</v>
      </c>
      <c r="F3381" s="203">
        <v>0</v>
      </c>
      <c r="G3381" s="358">
        <v>9391100</v>
      </c>
      <c r="H3381" s="354" t="s">
        <v>4966</v>
      </c>
    </row>
    <row r="3382" spans="2:8" x14ac:dyDescent="0.2">
      <c r="B3382" s="200">
        <v>46089</v>
      </c>
      <c r="C3382" s="187" t="s">
        <v>4959</v>
      </c>
      <c r="D3382" s="201">
        <v>54000</v>
      </c>
      <c r="E3382" s="202">
        <v>0</v>
      </c>
      <c r="F3382" s="360">
        <f>D3382*100</f>
        <v>5400000</v>
      </c>
      <c r="G3382" s="195"/>
    </row>
    <row r="3383" spans="2:8" x14ac:dyDescent="0.2">
      <c r="B3383" s="200"/>
      <c r="C3383" s="187"/>
      <c r="D3383" s="201"/>
      <c r="E3383" s="202"/>
      <c r="F3383" s="203"/>
      <c r="G3383" s="195"/>
    </row>
    <row r="3384" spans="2:8" x14ac:dyDescent="0.2">
      <c r="B3384" s="200"/>
      <c r="C3384" s="187"/>
      <c r="D3384" s="201"/>
      <c r="E3384" s="202"/>
      <c r="F3384" s="203"/>
      <c r="G3384" s="195"/>
    </row>
    <row r="3385" spans="2:8" x14ac:dyDescent="0.2">
      <c r="B3385" s="200"/>
      <c r="C3385" s="187"/>
      <c r="D3385" s="201"/>
      <c r="E3385" s="202"/>
      <c r="F3385" s="203"/>
      <c r="G3385" s="195"/>
    </row>
    <row r="3386" spans="2:8" x14ac:dyDescent="0.2">
      <c r="B3386" s="200"/>
      <c r="C3386" s="187"/>
      <c r="D3386" s="201"/>
      <c r="E3386" s="202"/>
      <c r="F3386" s="203"/>
      <c r="G3386" s="195"/>
    </row>
    <row r="3387" spans="2:8" x14ac:dyDescent="0.2">
      <c r="B3387" s="200"/>
      <c r="C3387" s="187"/>
      <c r="D3387" s="201"/>
      <c r="E3387" s="202"/>
      <c r="F3387" s="203"/>
      <c r="G3387" s="195"/>
    </row>
    <row r="3388" spans="2:8" x14ac:dyDescent="0.2">
      <c r="B3388"/>
      <c r="D3388"/>
      <c r="E3388"/>
      <c r="F3388"/>
      <c r="G3388"/>
    </row>
    <row r="3389" spans="2:8" x14ac:dyDescent="0.2">
      <c r="B3389" s="29"/>
      <c r="C3389" s="29"/>
      <c r="D3389" s="68"/>
      <c r="E3389" s="13"/>
      <c r="F3389" s="13"/>
      <c r="G3389" s="29"/>
    </row>
    <row r="3390" spans="2:8" x14ac:dyDescent="0.2">
      <c r="E3390" s="9">
        <f>SUM(E3330:E3389)</f>
        <v>9597399.1500000004</v>
      </c>
      <c r="F3390" s="9">
        <f>SUM(F3330:F3389)</f>
        <v>206345900</v>
      </c>
      <c r="G3390" s="9"/>
    </row>
    <row r="3391" spans="2:8" x14ac:dyDescent="0.2">
      <c r="E3391" s="3">
        <f>9140000-E3390</f>
        <v>-457399.15000000037</v>
      </c>
    </row>
    <row r="3395" spans="2:7" ht="26" x14ac:dyDescent="0.3">
      <c r="B3395" s="12"/>
      <c r="C3395" s="388" t="s">
        <v>4978</v>
      </c>
      <c r="D3395" s="389"/>
      <c r="E3395" s="389"/>
      <c r="F3395" s="389"/>
      <c r="G3395" s="390"/>
    </row>
    <row r="3396" spans="2:7" x14ac:dyDescent="0.2">
      <c r="B3396" s="12"/>
      <c r="C3396" s="29" t="s">
        <v>82</v>
      </c>
      <c r="D3396" s="11">
        <v>1</v>
      </c>
      <c r="E3396" s="12" t="s">
        <v>1</v>
      </c>
      <c r="F3396" s="12" t="s">
        <v>3140</v>
      </c>
      <c r="G3396" s="12" t="s">
        <v>3657</v>
      </c>
    </row>
    <row r="3397" spans="2:7" x14ac:dyDescent="0.2">
      <c r="B3397" s="8"/>
      <c r="C3397" s="5" t="s">
        <v>3525</v>
      </c>
      <c r="D3397" s="62">
        <v>1</v>
      </c>
      <c r="E3397" s="28">
        <v>2000000</v>
      </c>
      <c r="F3397" s="214">
        <v>0</v>
      </c>
      <c r="G3397" s="7"/>
    </row>
    <row r="3398" spans="2:7" x14ac:dyDescent="0.2">
      <c r="B3398" s="8"/>
      <c r="C3398" s="5" t="s">
        <v>3757</v>
      </c>
      <c r="D3398" s="62">
        <v>1</v>
      </c>
      <c r="E3398" s="28">
        <v>750000</v>
      </c>
      <c r="F3398" s="214">
        <v>0</v>
      </c>
      <c r="G3398" s="8"/>
    </row>
    <row r="3399" spans="2:7" x14ac:dyDescent="0.2">
      <c r="B3399" s="8"/>
      <c r="C3399" s="5" t="s">
        <v>3526</v>
      </c>
      <c r="D3399" s="62">
        <v>1</v>
      </c>
      <c r="E3399" s="28">
        <v>500000</v>
      </c>
      <c r="F3399" s="214">
        <v>0</v>
      </c>
      <c r="G3399" s="8"/>
    </row>
    <row r="3400" spans="2:7" x14ac:dyDescent="0.2">
      <c r="B3400" s="8"/>
      <c r="C3400" s="5" t="s">
        <v>3942</v>
      </c>
      <c r="D3400" s="62">
        <v>1</v>
      </c>
      <c r="E3400" s="356">
        <v>543000</v>
      </c>
      <c r="F3400" s="214">
        <v>0</v>
      </c>
      <c r="G3400" s="8"/>
    </row>
    <row r="3401" spans="2:7" x14ac:dyDescent="0.2">
      <c r="B3401" s="8"/>
      <c r="C3401" s="5" t="s">
        <v>3941</v>
      </c>
      <c r="D3401" s="62">
        <v>1</v>
      </c>
      <c r="E3401" s="356">
        <v>126000</v>
      </c>
      <c r="F3401" s="214">
        <v>0</v>
      </c>
      <c r="G3401" s="8"/>
    </row>
    <row r="3402" spans="2:7" x14ac:dyDescent="0.2">
      <c r="B3402" s="8"/>
      <c r="C3402" s="5" t="s">
        <v>3940</v>
      </c>
      <c r="D3402" s="62">
        <v>1</v>
      </c>
      <c r="E3402" s="356">
        <v>415000</v>
      </c>
      <c r="F3402" s="214">
        <v>0</v>
      </c>
      <c r="G3402" s="7"/>
    </row>
    <row r="3403" spans="2:7" x14ac:dyDescent="0.2">
      <c r="B3403" s="8"/>
      <c r="C3403" s="5" t="s">
        <v>3939</v>
      </c>
      <c r="D3403" s="62">
        <v>1</v>
      </c>
      <c r="E3403" s="356">
        <v>415000</v>
      </c>
      <c r="F3403" s="214">
        <v>0</v>
      </c>
      <c r="G3403" s="7"/>
    </row>
    <row r="3404" spans="2:7" x14ac:dyDescent="0.2">
      <c r="B3404" s="186"/>
      <c r="C3404" s="5" t="s">
        <v>3938</v>
      </c>
      <c r="D3404" s="201">
        <v>1</v>
      </c>
      <c r="E3404" s="357">
        <v>905000</v>
      </c>
      <c r="F3404" s="203">
        <v>0</v>
      </c>
      <c r="G3404" s="216"/>
    </row>
    <row r="3405" spans="2:7" x14ac:dyDescent="0.2">
      <c r="B3405" s="186"/>
      <c r="C3405" s="187" t="s">
        <v>4403</v>
      </c>
      <c r="D3405" s="201">
        <v>1</v>
      </c>
      <c r="E3405" s="357">
        <v>126000</v>
      </c>
      <c r="F3405" s="203">
        <v>0</v>
      </c>
      <c r="G3405" s="216"/>
    </row>
    <row r="3406" spans="2:7" x14ac:dyDescent="0.2">
      <c r="B3406" s="186"/>
      <c r="C3406" s="187" t="s">
        <v>4921</v>
      </c>
      <c r="D3406" s="201">
        <v>1</v>
      </c>
      <c r="E3406" s="309">
        <f>(F3443*1.85%)-F3406</f>
        <v>3168719.1500000004</v>
      </c>
      <c r="F3406" s="203">
        <v>1143000</v>
      </c>
      <c r="G3406" s="216"/>
    </row>
    <row r="3407" spans="2:7" x14ac:dyDescent="0.2">
      <c r="B3407"/>
      <c r="D3407"/>
      <c r="E3407"/>
      <c r="F3407"/>
      <c r="G3407"/>
    </row>
    <row r="3408" spans="2:7" x14ac:dyDescent="0.2">
      <c r="B3408" s="173"/>
      <c r="C3408" s="5" t="s">
        <v>3928</v>
      </c>
      <c r="D3408" s="62">
        <v>1</v>
      </c>
      <c r="E3408" s="202">
        <v>0</v>
      </c>
      <c r="F3408" s="361">
        <f>50000000-10000000</f>
        <v>40000000</v>
      </c>
      <c r="G3408" s="362" t="s">
        <v>4974</v>
      </c>
    </row>
    <row r="3409" spans="2:8" x14ac:dyDescent="0.2">
      <c r="B3409" s="200"/>
      <c r="C3409" s="5" t="s">
        <v>4076</v>
      </c>
      <c r="D3409" s="201">
        <v>1</v>
      </c>
      <c r="E3409" s="202">
        <v>0</v>
      </c>
      <c r="F3409" s="214">
        <v>21000000</v>
      </c>
      <c r="G3409" s="8"/>
    </row>
    <row r="3410" spans="2:8" x14ac:dyDescent="0.2">
      <c r="B3410" s="200"/>
      <c r="C3410" s="5" t="s">
        <v>4064</v>
      </c>
      <c r="D3410" s="201">
        <v>1</v>
      </c>
      <c r="E3410" s="202">
        <v>0</v>
      </c>
      <c r="F3410" s="203">
        <v>3000000</v>
      </c>
      <c r="G3410" s="186"/>
    </row>
    <row r="3411" spans="2:8" x14ac:dyDescent="0.2">
      <c r="B3411" s="319">
        <v>45790</v>
      </c>
      <c r="C3411" s="187" t="s">
        <v>4924</v>
      </c>
      <c r="D3411" s="201">
        <v>1</v>
      </c>
      <c r="E3411" s="202">
        <v>0</v>
      </c>
      <c r="F3411" s="203">
        <v>20000000</v>
      </c>
      <c r="G3411" s="195" t="s">
        <v>3251</v>
      </c>
    </row>
    <row r="3412" spans="2:8" x14ac:dyDescent="0.2">
      <c r="B3412" s="319">
        <v>45839</v>
      </c>
      <c r="C3412" s="187" t="s">
        <v>4925</v>
      </c>
      <c r="D3412" s="201">
        <v>1</v>
      </c>
      <c r="E3412" s="202">
        <v>0</v>
      </c>
      <c r="F3412" s="203">
        <v>20000000</v>
      </c>
      <c r="G3412" s="195" t="s">
        <v>3650</v>
      </c>
    </row>
    <row r="3413" spans="2:8" x14ac:dyDescent="0.2">
      <c r="B3413" s="319">
        <v>46023</v>
      </c>
      <c r="C3413" s="320" t="s">
        <v>4913</v>
      </c>
      <c r="D3413" s="201">
        <v>1</v>
      </c>
      <c r="E3413" s="202">
        <v>0</v>
      </c>
      <c r="F3413" s="203">
        <v>10605000</v>
      </c>
      <c r="G3413" s="187"/>
    </row>
    <row r="3414" spans="2:8" x14ac:dyDescent="0.2">
      <c r="B3414" s="324">
        <v>46023</v>
      </c>
      <c r="C3414" s="322" t="s">
        <v>4914</v>
      </c>
      <c r="D3414" s="201">
        <v>1</v>
      </c>
      <c r="E3414" s="202">
        <v>0</v>
      </c>
      <c r="F3414" s="203">
        <v>21790000</v>
      </c>
      <c r="G3414" s="187"/>
    </row>
    <row r="3415" spans="2:8" x14ac:dyDescent="0.2">
      <c r="B3415" s="329">
        <v>46023</v>
      </c>
      <c r="C3415" s="328" t="s">
        <v>4915</v>
      </c>
      <c r="D3415" s="201">
        <v>1</v>
      </c>
      <c r="E3415" s="202">
        <v>0</v>
      </c>
      <c r="F3415" s="203">
        <v>1640000</v>
      </c>
      <c r="G3415" s="187"/>
    </row>
    <row r="3416" spans="2:8" x14ac:dyDescent="0.2">
      <c r="B3416" s="324">
        <v>46023</v>
      </c>
      <c r="C3416" s="322" t="s">
        <v>4918</v>
      </c>
      <c r="D3416" s="201">
        <v>1</v>
      </c>
      <c r="E3416" s="202">
        <v>0</v>
      </c>
      <c r="F3416" s="360">
        <v>15539000</v>
      </c>
      <c r="G3416" s="187"/>
    </row>
    <row r="3417" spans="2:8" x14ac:dyDescent="0.2">
      <c r="B3417" s="340">
        <v>46023</v>
      </c>
      <c r="C3417" s="337" t="s">
        <v>4920</v>
      </c>
      <c r="D3417" s="201">
        <v>1</v>
      </c>
      <c r="E3417" s="202">
        <v>0</v>
      </c>
      <c r="F3417" s="360">
        <v>18360000</v>
      </c>
      <c r="G3417" s="187"/>
    </row>
    <row r="3418" spans="2:8" x14ac:dyDescent="0.2">
      <c r="B3418" s="343">
        <v>46023</v>
      </c>
      <c r="C3418" s="342" t="s">
        <v>4919</v>
      </c>
      <c r="D3418" s="201">
        <v>1</v>
      </c>
      <c r="E3418" s="202">
        <v>0</v>
      </c>
      <c r="F3418" s="360">
        <v>7300000</v>
      </c>
      <c r="G3418" s="187"/>
    </row>
    <row r="3419" spans="2:8" x14ac:dyDescent="0.2">
      <c r="B3419" s="343">
        <v>46117</v>
      </c>
      <c r="C3419" s="342" t="s">
        <v>4981</v>
      </c>
      <c r="D3419" s="201">
        <v>2</v>
      </c>
      <c r="E3419" s="202">
        <v>0</v>
      </c>
      <c r="F3419" s="360">
        <v>20000000</v>
      </c>
      <c r="G3419" s="187"/>
    </row>
    <row r="3420" spans="2:8" x14ac:dyDescent="0.2">
      <c r="B3420" s="315"/>
      <c r="C3420" s="187"/>
      <c r="D3420" s="201"/>
      <c r="E3420" s="202"/>
      <c r="F3420" s="203"/>
      <c r="G3420" s="187"/>
    </row>
    <row r="3421" spans="2:8" x14ac:dyDescent="0.2">
      <c r="B3421"/>
      <c r="D3421"/>
      <c r="E3421"/>
      <c r="F3421"/>
      <c r="G3421"/>
    </row>
    <row r="3422" spans="2:8" x14ac:dyDescent="0.2">
      <c r="B3422" s="200">
        <v>46113</v>
      </c>
      <c r="C3422" s="187" t="s">
        <v>4979</v>
      </c>
      <c r="D3422" s="201">
        <v>1</v>
      </c>
      <c r="E3422" s="202">
        <v>0</v>
      </c>
      <c r="F3422" s="202">
        <v>1037000</v>
      </c>
      <c r="G3422" s="195"/>
    </row>
    <row r="3423" spans="2:8" x14ac:dyDescent="0.2">
      <c r="B3423" s="200">
        <v>46085</v>
      </c>
      <c r="C3423" s="187" t="s">
        <v>4968</v>
      </c>
      <c r="D3423" s="201">
        <v>1</v>
      </c>
      <c r="E3423" s="202">
        <v>0</v>
      </c>
      <c r="F3423" s="203">
        <v>0</v>
      </c>
      <c r="G3423" s="313">
        <v>940000</v>
      </c>
      <c r="H3423" s="363">
        <v>46118</v>
      </c>
    </row>
    <row r="3424" spans="2:8" x14ac:dyDescent="0.2">
      <c r="B3424" s="200">
        <v>46085</v>
      </c>
      <c r="C3424" s="5" t="s">
        <v>4969</v>
      </c>
      <c r="D3424" s="201">
        <v>1</v>
      </c>
      <c r="E3424" s="202">
        <v>0</v>
      </c>
      <c r="F3424" s="203">
        <v>0</v>
      </c>
      <c r="G3424" s="313">
        <v>940000</v>
      </c>
      <c r="H3424" s="363">
        <v>46118</v>
      </c>
    </row>
    <row r="3425" spans="2:8" x14ac:dyDescent="0.2">
      <c r="B3425" s="200">
        <v>46085</v>
      </c>
      <c r="C3425" s="187" t="s">
        <v>4970</v>
      </c>
      <c r="D3425" s="201">
        <v>1</v>
      </c>
      <c r="E3425" s="202">
        <v>0</v>
      </c>
      <c r="F3425" s="203">
        <v>0</v>
      </c>
      <c r="G3425" s="313">
        <v>940000</v>
      </c>
      <c r="H3425" s="363">
        <v>46118</v>
      </c>
    </row>
    <row r="3426" spans="2:8" x14ac:dyDescent="0.2">
      <c r="B3426" s="200">
        <v>46085</v>
      </c>
      <c r="C3426" s="187" t="s">
        <v>4971</v>
      </c>
      <c r="D3426" s="201">
        <v>1</v>
      </c>
      <c r="E3426" s="202">
        <v>0</v>
      </c>
      <c r="F3426" s="203">
        <v>0</v>
      </c>
      <c r="G3426" s="313">
        <v>465000</v>
      </c>
      <c r="H3426" s="363">
        <v>46118</v>
      </c>
    </row>
    <row r="3427" spans="2:8" x14ac:dyDescent="0.2">
      <c r="B3427" s="200"/>
      <c r="C3427" s="187" t="s">
        <v>4980</v>
      </c>
      <c r="D3427" s="201">
        <v>2</v>
      </c>
      <c r="E3427" s="202">
        <v>0</v>
      </c>
      <c r="F3427" s="203">
        <v>0</v>
      </c>
      <c r="G3427" s="203">
        <v>1137000</v>
      </c>
      <c r="H3427" s="158">
        <v>46143</v>
      </c>
    </row>
    <row r="3428" spans="2:8" x14ac:dyDescent="0.2">
      <c r="B3428" s="200">
        <v>46085</v>
      </c>
      <c r="C3428" s="187" t="s">
        <v>4960</v>
      </c>
      <c r="D3428" s="201">
        <v>1</v>
      </c>
      <c r="E3428" s="202">
        <v>0</v>
      </c>
      <c r="F3428" s="203">
        <v>3000000</v>
      </c>
      <c r="G3428" s="195"/>
    </row>
    <row r="3429" spans="2:8" x14ac:dyDescent="0.2">
      <c r="B3429" s="200">
        <v>46059</v>
      </c>
      <c r="C3429" s="187" t="s">
        <v>4976</v>
      </c>
      <c r="D3429" s="201">
        <v>1</v>
      </c>
      <c r="E3429" s="202">
        <v>0</v>
      </c>
      <c r="F3429" s="203">
        <v>870700</v>
      </c>
      <c r="G3429" s="195"/>
    </row>
    <row r="3430" spans="2:8" x14ac:dyDescent="0.2">
      <c r="B3430" s="200">
        <v>46112</v>
      </c>
      <c r="C3430" s="187" t="s">
        <v>4977</v>
      </c>
      <c r="D3430" s="201">
        <v>1</v>
      </c>
      <c r="E3430" s="202">
        <v>0</v>
      </c>
      <c r="F3430" s="203">
        <v>870700</v>
      </c>
      <c r="G3430" s="195"/>
    </row>
    <row r="3431" spans="2:8" x14ac:dyDescent="0.2">
      <c r="B3431" s="200"/>
      <c r="C3431" s="187"/>
      <c r="D3431" s="201"/>
      <c r="E3431" s="202"/>
      <c r="F3431" s="203"/>
      <c r="G3431" s="195"/>
    </row>
    <row r="3432" spans="2:8" x14ac:dyDescent="0.2">
      <c r="B3432" s="200">
        <v>46096</v>
      </c>
      <c r="C3432" s="187" t="s">
        <v>4957</v>
      </c>
      <c r="D3432" s="201">
        <v>136855</v>
      </c>
      <c r="E3432" s="202">
        <v>0</v>
      </c>
      <c r="F3432" s="360">
        <f>D3432*100</f>
        <v>13685500</v>
      </c>
      <c r="G3432" s="355"/>
      <c r="H3432" s="355"/>
    </row>
    <row r="3433" spans="2:8" x14ac:dyDescent="0.2">
      <c r="B3433" s="200">
        <v>46089</v>
      </c>
      <c r="C3433" s="187" t="s">
        <v>4959</v>
      </c>
      <c r="D3433" s="201">
        <v>54000</v>
      </c>
      <c r="E3433" s="202">
        <v>0</v>
      </c>
      <c r="F3433" s="360">
        <f>D3433*100</f>
        <v>5400000</v>
      </c>
      <c r="G3433" s="195"/>
    </row>
    <row r="3434" spans="2:8" x14ac:dyDescent="0.2">
      <c r="B3434" s="200">
        <v>46117</v>
      </c>
      <c r="C3434" s="187" t="s">
        <v>4982</v>
      </c>
      <c r="D3434" s="201">
        <v>2</v>
      </c>
      <c r="E3434" s="212">
        <v>160000</v>
      </c>
      <c r="F3434" s="203"/>
      <c r="G3434" s="195"/>
    </row>
    <row r="3435" spans="2:8" x14ac:dyDescent="0.2">
      <c r="B3435" s="200"/>
      <c r="C3435" s="187"/>
      <c r="D3435" s="201"/>
      <c r="E3435" s="202"/>
      <c r="F3435" s="203"/>
      <c r="G3435" s="195"/>
    </row>
    <row r="3436" spans="2:8" x14ac:dyDescent="0.2">
      <c r="B3436" s="200">
        <v>46120</v>
      </c>
      <c r="C3436" s="187" t="s">
        <v>4998</v>
      </c>
      <c r="D3436" s="201">
        <v>1</v>
      </c>
      <c r="E3436" s="357">
        <v>0</v>
      </c>
      <c r="F3436" s="203">
        <v>1190000</v>
      </c>
      <c r="G3436" s="216"/>
    </row>
    <row r="3437" spans="2:8" x14ac:dyDescent="0.2">
      <c r="B3437" s="200">
        <v>46120</v>
      </c>
      <c r="C3437" s="187" t="s">
        <v>4999</v>
      </c>
      <c r="D3437" s="201">
        <v>1</v>
      </c>
      <c r="E3437" s="357">
        <v>0</v>
      </c>
      <c r="F3437" s="203">
        <v>400000</v>
      </c>
      <c r="G3437" s="216"/>
    </row>
    <row r="3438" spans="2:8" x14ac:dyDescent="0.2">
      <c r="B3438" s="200">
        <v>46101</v>
      </c>
      <c r="C3438" s="187" t="s">
        <v>5174</v>
      </c>
      <c r="D3438" s="201">
        <v>1</v>
      </c>
      <c r="E3438" s="202">
        <v>0</v>
      </c>
      <c r="F3438" s="203">
        <v>3535000</v>
      </c>
      <c r="G3438" s="195"/>
    </row>
    <row r="3439" spans="2:8" x14ac:dyDescent="0.2">
      <c r="B3439" s="200">
        <v>46101</v>
      </c>
      <c r="C3439" s="187" t="s">
        <v>5175</v>
      </c>
      <c r="D3439" s="201"/>
      <c r="E3439" s="202"/>
      <c r="F3439" s="203">
        <f>60000000*4.5%</f>
        <v>2700000</v>
      </c>
      <c r="G3439" s="195"/>
    </row>
    <row r="3440" spans="2:8" x14ac:dyDescent="0.2">
      <c r="B3440" s="200"/>
      <c r="C3440" s="187"/>
      <c r="D3440" s="201"/>
      <c r="E3440" s="202"/>
      <c r="F3440" s="203"/>
      <c r="G3440" s="195"/>
    </row>
    <row r="3441" spans="2:7" x14ac:dyDescent="0.2">
      <c r="B3441"/>
      <c r="D3441"/>
      <c r="E3441"/>
      <c r="F3441"/>
      <c r="G3441"/>
    </row>
    <row r="3442" spans="2:7" x14ac:dyDescent="0.2">
      <c r="B3442" s="29"/>
      <c r="C3442" s="29"/>
      <c r="D3442" s="68"/>
      <c r="E3442" s="13"/>
      <c r="F3442" s="13"/>
      <c r="G3442" s="29"/>
    </row>
    <row r="3443" spans="2:7" x14ac:dyDescent="0.2">
      <c r="E3443" s="9">
        <f>SUM(E3397:E3442)</f>
        <v>9108719.1500000004</v>
      </c>
      <c r="F3443" s="9">
        <f>SUM(F3397:F3442)</f>
        <v>233065900</v>
      </c>
      <c r="G3443" s="9"/>
    </row>
    <row r="3444" spans="2:7" x14ac:dyDescent="0.2">
      <c r="E3444" s="3">
        <f>9140000-E3443</f>
        <v>31280.849999999627</v>
      </c>
    </row>
    <row r="3448" spans="2:7" ht="26" x14ac:dyDescent="0.3">
      <c r="B3448" s="12"/>
      <c r="C3448" s="388" t="s">
        <v>5000</v>
      </c>
      <c r="D3448" s="389"/>
      <c r="E3448" s="389"/>
      <c r="F3448" s="389"/>
      <c r="G3448" s="390"/>
    </row>
    <row r="3449" spans="2:7" x14ac:dyDescent="0.2">
      <c r="B3449" s="12"/>
      <c r="C3449" s="29" t="s">
        <v>82</v>
      </c>
      <c r="D3449" s="11">
        <v>1</v>
      </c>
      <c r="E3449" s="12" t="s">
        <v>1</v>
      </c>
      <c r="F3449" s="12" t="s">
        <v>3140</v>
      </c>
      <c r="G3449" s="12" t="s">
        <v>3657</v>
      </c>
    </row>
    <row r="3450" spans="2:7" x14ac:dyDescent="0.2">
      <c r="B3450" s="8"/>
      <c r="C3450" s="5" t="s">
        <v>3525</v>
      </c>
      <c r="D3450" s="62">
        <v>1</v>
      </c>
      <c r="E3450" s="28">
        <v>2000000</v>
      </c>
      <c r="F3450" s="214">
        <v>0</v>
      </c>
      <c r="G3450" s="7"/>
    </row>
    <row r="3451" spans="2:7" x14ac:dyDescent="0.2">
      <c r="B3451" s="8"/>
      <c r="C3451" s="5" t="s">
        <v>3757</v>
      </c>
      <c r="D3451" s="62">
        <v>1</v>
      </c>
      <c r="E3451" s="28">
        <v>750000</v>
      </c>
      <c r="F3451" s="214">
        <v>0</v>
      </c>
      <c r="G3451" s="8"/>
    </row>
    <row r="3452" spans="2:7" x14ac:dyDescent="0.2">
      <c r="B3452" s="8"/>
      <c r="C3452" s="5" t="s">
        <v>3526</v>
      </c>
      <c r="D3452" s="62">
        <v>1</v>
      </c>
      <c r="E3452" s="28">
        <v>500000</v>
      </c>
      <c r="F3452" s="214">
        <v>0</v>
      </c>
      <c r="G3452" s="8"/>
    </row>
    <row r="3453" spans="2:7" x14ac:dyDescent="0.2">
      <c r="B3453" s="8"/>
      <c r="C3453" s="5" t="s">
        <v>3942</v>
      </c>
      <c r="D3453" s="62">
        <v>1</v>
      </c>
      <c r="E3453" s="356">
        <v>543000</v>
      </c>
      <c r="F3453" s="214">
        <v>0</v>
      </c>
      <c r="G3453" s="8"/>
    </row>
    <row r="3454" spans="2:7" x14ac:dyDescent="0.2">
      <c r="B3454" s="8"/>
      <c r="C3454" s="5" t="s">
        <v>3941</v>
      </c>
      <c r="D3454" s="62">
        <v>1</v>
      </c>
      <c r="E3454" s="356">
        <v>126000</v>
      </c>
      <c r="F3454" s="214">
        <v>0</v>
      </c>
      <c r="G3454" s="8"/>
    </row>
    <row r="3455" spans="2:7" x14ac:dyDescent="0.2">
      <c r="B3455" s="8"/>
      <c r="C3455" s="5" t="s">
        <v>3940</v>
      </c>
      <c r="D3455" s="62">
        <v>1</v>
      </c>
      <c r="E3455" s="356">
        <v>415000</v>
      </c>
      <c r="F3455" s="214">
        <v>0</v>
      </c>
      <c r="G3455" s="7"/>
    </row>
    <row r="3456" spans="2:7" x14ac:dyDescent="0.2">
      <c r="B3456" s="8"/>
      <c r="C3456" s="5" t="s">
        <v>3939</v>
      </c>
      <c r="D3456" s="62">
        <v>1</v>
      </c>
      <c r="E3456" s="356">
        <v>415000</v>
      </c>
      <c r="F3456" s="214">
        <v>0</v>
      </c>
      <c r="G3456" s="7"/>
    </row>
    <row r="3457" spans="2:8" x14ac:dyDescent="0.2">
      <c r="B3457" s="186"/>
      <c r="C3457" s="5" t="s">
        <v>3938</v>
      </c>
      <c r="D3457" s="201">
        <v>1</v>
      </c>
      <c r="E3457" s="357">
        <v>905000</v>
      </c>
      <c r="F3457" s="203">
        <v>0</v>
      </c>
      <c r="G3457" s="216"/>
    </row>
    <row r="3458" spans="2:8" x14ac:dyDescent="0.2">
      <c r="B3458" s="186"/>
      <c r="C3458" s="187" t="s">
        <v>4403</v>
      </c>
      <c r="D3458" s="201">
        <v>1</v>
      </c>
      <c r="E3458" s="357">
        <v>126000</v>
      </c>
      <c r="F3458" s="203">
        <v>0</v>
      </c>
      <c r="G3458" s="216"/>
    </row>
    <row r="3459" spans="2:8" x14ac:dyDescent="0.2">
      <c r="B3459" s="186"/>
      <c r="C3459" s="187" t="s">
        <v>4921</v>
      </c>
      <c r="D3459" s="201">
        <v>1</v>
      </c>
      <c r="E3459" s="309">
        <f>F3506*1.85%</f>
        <v>3997522.5500000007</v>
      </c>
      <c r="F3459" s="203">
        <v>0</v>
      </c>
      <c r="G3459" s="216"/>
    </row>
    <row r="3460" spans="2:8" x14ac:dyDescent="0.2">
      <c r="B3460"/>
      <c r="D3460"/>
      <c r="E3460"/>
      <c r="F3460"/>
      <c r="G3460"/>
    </row>
    <row r="3461" spans="2:8" x14ac:dyDescent="0.2">
      <c r="B3461" s="173"/>
      <c r="C3461" s="5" t="s">
        <v>3928</v>
      </c>
      <c r="D3461" s="62">
        <v>1</v>
      </c>
      <c r="E3461" s="202">
        <v>0</v>
      </c>
      <c r="F3461" s="361">
        <f>50000000-10000000-(21330000-958500)</f>
        <v>19628500</v>
      </c>
      <c r="G3461" s="126" t="s">
        <v>5177</v>
      </c>
      <c r="H3461" s="76"/>
    </row>
    <row r="3462" spans="2:8" x14ac:dyDescent="0.2">
      <c r="B3462" s="200"/>
      <c r="C3462" s="5" t="s">
        <v>4076</v>
      </c>
      <c r="D3462" s="201">
        <v>1</v>
      </c>
      <c r="E3462" s="202">
        <v>0</v>
      </c>
      <c r="F3462" s="214">
        <v>21000000</v>
      </c>
      <c r="G3462" s="8"/>
    </row>
    <row r="3463" spans="2:8" x14ac:dyDescent="0.2">
      <c r="B3463" s="200"/>
      <c r="C3463" s="5" t="s">
        <v>5186</v>
      </c>
      <c r="D3463" s="201">
        <v>1</v>
      </c>
      <c r="E3463" s="202">
        <v>0</v>
      </c>
      <c r="F3463" s="203">
        <v>3000000</v>
      </c>
      <c r="G3463" s="186"/>
    </row>
    <row r="3464" spans="2:8" x14ac:dyDescent="0.2">
      <c r="B3464" s="319">
        <v>45790</v>
      </c>
      <c r="C3464" s="187" t="s">
        <v>4924</v>
      </c>
      <c r="D3464" s="201">
        <v>1</v>
      </c>
      <c r="E3464" s="202">
        <v>0</v>
      </c>
      <c r="F3464" s="203">
        <v>20000000</v>
      </c>
      <c r="G3464" s="195" t="s">
        <v>3251</v>
      </c>
    </row>
    <row r="3465" spans="2:8" x14ac:dyDescent="0.2">
      <c r="B3465" s="319">
        <v>45839</v>
      </c>
      <c r="C3465" s="187" t="s">
        <v>4925</v>
      </c>
      <c r="D3465" s="201">
        <v>1</v>
      </c>
      <c r="E3465" s="202">
        <v>0</v>
      </c>
      <c r="F3465" s="203">
        <v>20000000</v>
      </c>
      <c r="G3465" s="195"/>
    </row>
    <row r="3466" spans="2:8" x14ac:dyDescent="0.2">
      <c r="B3466" s="319">
        <v>46023</v>
      </c>
      <c r="C3466" s="320" t="s">
        <v>4913</v>
      </c>
      <c r="D3466" s="201">
        <v>1</v>
      </c>
      <c r="E3466" s="202">
        <v>0</v>
      </c>
      <c r="F3466" s="203">
        <v>10605000</v>
      </c>
      <c r="G3466" s="187"/>
    </row>
    <row r="3467" spans="2:8" x14ac:dyDescent="0.2">
      <c r="B3467" s="324">
        <v>46023</v>
      </c>
      <c r="C3467" s="322" t="s">
        <v>4914</v>
      </c>
      <c r="D3467" s="201">
        <v>1</v>
      </c>
      <c r="E3467" s="202">
        <v>0</v>
      </c>
      <c r="F3467" s="203">
        <v>21790000</v>
      </c>
      <c r="G3467" s="187"/>
    </row>
    <row r="3468" spans="2:8" x14ac:dyDescent="0.2">
      <c r="B3468" s="329">
        <v>46023</v>
      </c>
      <c r="C3468" s="328" t="s">
        <v>4915</v>
      </c>
      <c r="D3468" s="201">
        <v>1</v>
      </c>
      <c r="E3468" s="202">
        <v>0</v>
      </c>
      <c r="F3468" s="203">
        <v>1640000</v>
      </c>
      <c r="G3468" s="187"/>
    </row>
    <row r="3469" spans="2:8" x14ac:dyDescent="0.2">
      <c r="B3469" s="324">
        <v>46023</v>
      </c>
      <c r="C3469" s="322" t="s">
        <v>4918</v>
      </c>
      <c r="D3469" s="201">
        <v>1</v>
      </c>
      <c r="E3469" s="202">
        <v>0</v>
      </c>
      <c r="F3469" s="360">
        <v>15539000</v>
      </c>
      <c r="G3469" s="187"/>
    </row>
    <row r="3470" spans="2:8" x14ac:dyDescent="0.2">
      <c r="B3470" s="340">
        <v>46023</v>
      </c>
      <c r="C3470" s="337" t="s">
        <v>4920</v>
      </c>
      <c r="D3470" s="201">
        <v>1</v>
      </c>
      <c r="E3470" s="202">
        <v>0</v>
      </c>
      <c r="F3470" s="360">
        <v>18360000</v>
      </c>
      <c r="G3470" s="187"/>
    </row>
    <row r="3471" spans="2:8" x14ac:dyDescent="0.2">
      <c r="B3471" s="343">
        <v>46023</v>
      </c>
      <c r="C3471" s="342" t="s">
        <v>4919</v>
      </c>
      <c r="D3471" s="201">
        <v>1</v>
      </c>
      <c r="E3471" s="202">
        <v>0</v>
      </c>
      <c r="F3471" s="360">
        <v>7300000</v>
      </c>
      <c r="G3471" s="187"/>
    </row>
    <row r="3472" spans="2:8" x14ac:dyDescent="0.2">
      <c r="B3472" s="200">
        <v>46096</v>
      </c>
      <c r="C3472" s="187" t="s">
        <v>4957</v>
      </c>
      <c r="D3472" s="201">
        <v>136855</v>
      </c>
      <c r="E3472" s="202">
        <v>0</v>
      </c>
      <c r="F3472" s="360">
        <f>D3472*100</f>
        <v>13685500</v>
      </c>
      <c r="G3472" s="355"/>
      <c r="H3472" s="355"/>
    </row>
    <row r="3473" spans="1:8" x14ac:dyDescent="0.2">
      <c r="B3473" s="200">
        <v>46089</v>
      </c>
      <c r="C3473" s="187" t="s">
        <v>4959</v>
      </c>
      <c r="D3473" s="201">
        <v>54000</v>
      </c>
      <c r="E3473" s="202">
        <v>0</v>
      </c>
      <c r="F3473" s="360">
        <f>D3473*100</f>
        <v>5400000</v>
      </c>
      <c r="G3473" s="195"/>
    </row>
    <row r="3474" spans="1:8" x14ac:dyDescent="0.2">
      <c r="B3474" s="343">
        <v>46117</v>
      </c>
      <c r="C3474" s="342" t="s">
        <v>4981</v>
      </c>
      <c r="D3474" s="201">
        <v>2</v>
      </c>
      <c r="E3474" s="202">
        <v>0</v>
      </c>
      <c r="F3474" s="360">
        <v>20000000</v>
      </c>
      <c r="G3474" s="187"/>
    </row>
    <row r="3475" spans="1:8" x14ac:dyDescent="0.2">
      <c r="B3475" s="200">
        <v>46117</v>
      </c>
      <c r="C3475" s="187" t="s">
        <v>4982</v>
      </c>
      <c r="D3475" s="201">
        <v>2</v>
      </c>
      <c r="E3475" s="1">
        <v>0</v>
      </c>
      <c r="F3475" s="202">
        <v>160000</v>
      </c>
      <c r="G3475" s="195"/>
    </row>
    <row r="3476" spans="1:8" x14ac:dyDescent="0.2">
      <c r="B3476" s="200">
        <v>46085</v>
      </c>
      <c r="C3476" s="187" t="s">
        <v>4960</v>
      </c>
      <c r="D3476" s="201">
        <v>1</v>
      </c>
      <c r="E3476" s="202">
        <v>0</v>
      </c>
      <c r="F3476" s="203">
        <v>3000000</v>
      </c>
      <c r="G3476" s="195"/>
    </row>
    <row r="3477" spans="1:8" x14ac:dyDescent="0.2">
      <c r="B3477" s="200">
        <v>46101</v>
      </c>
      <c r="C3477" s="187" t="s">
        <v>5174</v>
      </c>
      <c r="D3477" s="201">
        <v>1</v>
      </c>
      <c r="E3477" s="202">
        <v>0</v>
      </c>
      <c r="F3477" s="203">
        <v>3535000</v>
      </c>
      <c r="G3477" s="195"/>
    </row>
    <row r="3478" spans="1:8" x14ac:dyDescent="0.2">
      <c r="B3478" s="200">
        <v>46101</v>
      </c>
      <c r="C3478" s="187" t="s">
        <v>5175</v>
      </c>
      <c r="D3478" s="201">
        <v>1</v>
      </c>
      <c r="E3478" s="202">
        <v>0</v>
      </c>
      <c r="F3478" s="203">
        <f>60000000*4.5%</f>
        <v>2700000</v>
      </c>
      <c r="G3478" s="195"/>
    </row>
    <row r="3479" spans="1:8" x14ac:dyDescent="0.2">
      <c r="A3479" t="s">
        <v>5176</v>
      </c>
      <c r="B3479" s="315"/>
      <c r="C3479" s="187"/>
      <c r="D3479" s="201"/>
      <c r="E3479" s="202"/>
      <c r="F3479" s="203"/>
      <c r="G3479" s="187"/>
    </row>
    <row r="3480" spans="1:8" x14ac:dyDescent="0.2">
      <c r="B3480"/>
      <c r="D3480"/>
      <c r="E3480"/>
      <c r="F3480"/>
      <c r="G3480"/>
    </row>
    <row r="3481" spans="1:8" x14ac:dyDescent="0.2">
      <c r="B3481" s="200">
        <v>46059</v>
      </c>
      <c r="C3481" s="187" t="s">
        <v>4976</v>
      </c>
      <c r="D3481" s="201">
        <v>1</v>
      </c>
      <c r="E3481" s="202">
        <v>0</v>
      </c>
      <c r="F3481" s="203">
        <v>870700</v>
      </c>
      <c r="G3481" s="195"/>
    </row>
    <row r="3482" spans="1:8" x14ac:dyDescent="0.2">
      <c r="B3482" s="200">
        <v>46112</v>
      </c>
      <c r="C3482" s="187" t="s">
        <v>4977</v>
      </c>
      <c r="D3482" s="201">
        <v>1</v>
      </c>
      <c r="E3482" s="202">
        <v>0</v>
      </c>
      <c r="F3482" s="203">
        <v>870700</v>
      </c>
      <c r="G3482" s="195"/>
    </row>
    <row r="3483" spans="1:8" x14ac:dyDescent="0.2">
      <c r="B3483" s="200">
        <v>46113</v>
      </c>
      <c r="C3483" s="187" t="s">
        <v>4979</v>
      </c>
      <c r="D3483" s="201">
        <v>1</v>
      </c>
      <c r="E3483" s="202">
        <v>0</v>
      </c>
      <c r="F3483" s="203">
        <v>0</v>
      </c>
      <c r="G3483" s="367">
        <v>1037000</v>
      </c>
      <c r="H3483" s="363">
        <v>46170</v>
      </c>
    </row>
    <row r="3484" spans="1:8" x14ac:dyDescent="0.2">
      <c r="B3484" s="200">
        <v>46118</v>
      </c>
      <c r="C3484" s="187" t="s">
        <v>4968</v>
      </c>
      <c r="D3484" s="201">
        <v>1</v>
      </c>
      <c r="E3484" s="202">
        <v>0</v>
      </c>
      <c r="F3484" s="203">
        <v>0</v>
      </c>
      <c r="G3484" s="313">
        <v>940000</v>
      </c>
      <c r="H3484" s="363">
        <v>46146</v>
      </c>
    </row>
    <row r="3485" spans="1:8" x14ac:dyDescent="0.2">
      <c r="B3485" s="200">
        <v>46118</v>
      </c>
      <c r="C3485" s="5" t="s">
        <v>4969</v>
      </c>
      <c r="D3485" s="201">
        <v>1</v>
      </c>
      <c r="E3485" s="202">
        <v>0</v>
      </c>
      <c r="F3485" s="203">
        <v>0</v>
      </c>
      <c r="G3485" s="313">
        <v>940000</v>
      </c>
      <c r="H3485" s="363">
        <v>46146</v>
      </c>
    </row>
    <row r="3486" spans="1:8" x14ac:dyDescent="0.2">
      <c r="B3486" s="200">
        <v>46118</v>
      </c>
      <c r="C3486" s="187" t="s">
        <v>4970</v>
      </c>
      <c r="D3486" s="201">
        <v>1</v>
      </c>
      <c r="E3486" s="202">
        <v>0</v>
      </c>
      <c r="F3486" s="203">
        <v>0</v>
      </c>
      <c r="G3486" s="313">
        <v>940000</v>
      </c>
      <c r="H3486" s="363">
        <v>46146</v>
      </c>
    </row>
    <row r="3487" spans="1:8" x14ac:dyDescent="0.2">
      <c r="B3487" s="200">
        <v>46118</v>
      </c>
      <c r="C3487" s="187" t="s">
        <v>4971</v>
      </c>
      <c r="D3487" s="201">
        <v>1</v>
      </c>
      <c r="E3487" s="202">
        <v>0</v>
      </c>
      <c r="F3487" s="203">
        <v>0</v>
      </c>
      <c r="G3487" s="313">
        <v>465000</v>
      </c>
      <c r="H3487" s="363">
        <v>46146</v>
      </c>
    </row>
    <row r="3488" spans="1:8" x14ac:dyDescent="0.2">
      <c r="B3488" s="200">
        <v>46157</v>
      </c>
      <c r="C3488" s="187" t="s">
        <v>5178</v>
      </c>
      <c r="D3488" s="201">
        <v>1</v>
      </c>
      <c r="E3488" s="202">
        <v>0</v>
      </c>
      <c r="F3488" s="203">
        <v>940000</v>
      </c>
      <c r="G3488" s="195"/>
    </row>
    <row r="3489" spans="2:8" x14ac:dyDescent="0.2">
      <c r="B3489" s="200">
        <v>46157</v>
      </c>
      <c r="C3489" s="5" t="s">
        <v>4969</v>
      </c>
      <c r="D3489" s="201">
        <v>1</v>
      </c>
      <c r="E3489" s="202">
        <v>0</v>
      </c>
      <c r="F3489" s="203">
        <v>940000</v>
      </c>
      <c r="G3489" s="195"/>
    </row>
    <row r="3490" spans="2:8" x14ac:dyDescent="0.2">
      <c r="B3490" s="200">
        <v>46157</v>
      </c>
      <c r="C3490" s="187" t="s">
        <v>4971</v>
      </c>
      <c r="D3490" s="201">
        <v>1</v>
      </c>
      <c r="E3490" s="202">
        <v>0</v>
      </c>
      <c r="F3490" s="203">
        <v>465000</v>
      </c>
      <c r="G3490" s="195"/>
    </row>
    <row r="3491" spans="2:8" x14ac:dyDescent="0.2">
      <c r="B3491" s="200">
        <v>46157</v>
      </c>
      <c r="C3491" s="187" t="s">
        <v>4980</v>
      </c>
      <c r="D3491" s="201">
        <v>2</v>
      </c>
      <c r="E3491" s="202">
        <v>0</v>
      </c>
      <c r="F3491" s="203">
        <v>0</v>
      </c>
      <c r="G3491" s="313">
        <v>1137000</v>
      </c>
      <c r="H3491" s="363">
        <v>46174</v>
      </c>
    </row>
    <row r="3492" spans="2:8" x14ac:dyDescent="0.2">
      <c r="B3492" s="200"/>
      <c r="C3492" s="187"/>
      <c r="D3492" s="201"/>
      <c r="E3492" s="202"/>
      <c r="F3492" s="203"/>
      <c r="G3492" s="195"/>
    </row>
    <row r="3493" spans="2:8" x14ac:dyDescent="0.2">
      <c r="B3493" s="200"/>
      <c r="C3493" s="187"/>
      <c r="D3493" s="201"/>
      <c r="E3493" s="202"/>
      <c r="F3493" s="203"/>
      <c r="G3493" s="195"/>
    </row>
    <row r="3494" spans="2:8" x14ac:dyDescent="0.2">
      <c r="B3494" s="200">
        <v>46157</v>
      </c>
      <c r="C3494" s="187" t="s">
        <v>5001</v>
      </c>
      <c r="D3494" s="201">
        <v>1</v>
      </c>
      <c r="E3494" s="202">
        <v>0</v>
      </c>
      <c r="F3494" s="202">
        <f>(4*120000)+(1*300000)+(1*350000)</f>
        <v>1130000</v>
      </c>
      <c r="G3494" s="195"/>
    </row>
    <row r="3495" spans="2:8" x14ac:dyDescent="0.2">
      <c r="B3495" s="200"/>
      <c r="C3495" s="187" t="s">
        <v>5003</v>
      </c>
      <c r="D3495" s="201">
        <v>1</v>
      </c>
      <c r="E3495" s="202">
        <v>0</v>
      </c>
      <c r="F3495" s="202">
        <v>0</v>
      </c>
      <c r="G3495" s="366">
        <v>960000</v>
      </c>
      <c r="H3495" s="363">
        <v>46169</v>
      </c>
    </row>
    <row r="3496" spans="2:8" x14ac:dyDescent="0.2">
      <c r="B3496" s="200"/>
      <c r="C3496" s="187" t="s">
        <v>5002</v>
      </c>
      <c r="D3496" s="201">
        <v>1</v>
      </c>
      <c r="E3496" s="202">
        <v>0</v>
      </c>
      <c r="F3496" s="202">
        <v>1142900</v>
      </c>
      <c r="G3496" s="195"/>
    </row>
    <row r="3497" spans="2:8" x14ac:dyDescent="0.2">
      <c r="B3497" s="200">
        <v>46120</v>
      </c>
      <c r="C3497" s="187" t="s">
        <v>5170</v>
      </c>
      <c r="D3497" s="201">
        <v>1</v>
      </c>
      <c r="E3497" s="202">
        <v>0</v>
      </c>
      <c r="F3497" s="203">
        <v>1190000</v>
      </c>
      <c r="G3497" s="216"/>
    </row>
    <row r="3498" spans="2:8" x14ac:dyDescent="0.2">
      <c r="B3498" s="200">
        <v>46120</v>
      </c>
      <c r="C3498" s="187" t="s">
        <v>5172</v>
      </c>
      <c r="D3498" s="201">
        <v>1</v>
      </c>
      <c r="E3498" s="202">
        <v>0</v>
      </c>
      <c r="F3498" s="203" t="s">
        <v>4121</v>
      </c>
      <c r="G3498" s="216"/>
    </row>
    <row r="3499" spans="2:8" x14ac:dyDescent="0.2">
      <c r="B3499" s="200">
        <v>46150</v>
      </c>
      <c r="C3499" s="187" t="s">
        <v>5171</v>
      </c>
      <c r="D3499" s="201">
        <v>1</v>
      </c>
      <c r="E3499" s="202">
        <v>0</v>
      </c>
      <c r="F3499" s="203">
        <v>1190000</v>
      </c>
      <c r="G3499" s="216"/>
    </row>
    <row r="3500" spans="2:8" x14ac:dyDescent="0.2">
      <c r="B3500" s="200">
        <v>46150</v>
      </c>
      <c r="C3500" s="187" t="s">
        <v>5173</v>
      </c>
      <c r="D3500" s="201">
        <v>1</v>
      </c>
      <c r="E3500" s="202">
        <v>0</v>
      </c>
      <c r="F3500" s="203">
        <v>0</v>
      </c>
      <c r="G3500" s="366">
        <v>195000</v>
      </c>
      <c r="H3500" s="363">
        <v>46169</v>
      </c>
    </row>
    <row r="3501" spans="2:8" x14ac:dyDescent="0.2">
      <c r="B3501" s="200"/>
      <c r="C3501" s="187"/>
      <c r="D3501" s="201"/>
      <c r="E3501" s="202"/>
      <c r="F3501" s="203"/>
      <c r="G3501" s="195"/>
    </row>
    <row r="3502" spans="2:8" x14ac:dyDescent="0.2">
      <c r="B3502" s="200"/>
      <c r="C3502" s="187"/>
      <c r="D3502" s="201"/>
      <c r="E3502" s="202"/>
      <c r="F3502" s="203"/>
      <c r="G3502" s="195"/>
    </row>
    <row r="3503" spans="2:8" x14ac:dyDescent="0.2">
      <c r="B3503" s="200"/>
      <c r="C3503" s="187"/>
      <c r="D3503" s="201"/>
      <c r="E3503" s="202"/>
      <c r="F3503" s="203"/>
      <c r="G3503" s="195"/>
    </row>
    <row r="3504" spans="2:8" x14ac:dyDescent="0.2">
      <c r="B3504"/>
      <c r="D3504"/>
      <c r="E3504"/>
      <c r="F3504"/>
      <c r="G3504"/>
    </row>
    <row r="3505" spans="2:7" x14ac:dyDescent="0.2">
      <c r="B3505" s="29"/>
      <c r="C3505" s="29"/>
      <c r="D3505" s="68"/>
      <c r="E3505" s="13"/>
      <c r="F3505" s="13"/>
      <c r="G3505" s="29"/>
    </row>
    <row r="3506" spans="2:7" x14ac:dyDescent="0.2">
      <c r="E3506" s="9">
        <f>SUM(E3450:E3505)</f>
        <v>9777522.5500000007</v>
      </c>
      <c r="F3506" s="9">
        <f>SUM(F3450:F3505)</f>
        <v>216082300</v>
      </c>
      <c r="G3506" s="120" t="s">
        <v>5004</v>
      </c>
    </row>
    <row r="3507" spans="2:7" x14ac:dyDescent="0.2">
      <c r="E3507" s="3">
        <f>9140000-E3506</f>
        <v>-637522.55000000075</v>
      </c>
    </row>
    <row r="3512" spans="2:7" ht="26" x14ac:dyDescent="0.3">
      <c r="B3512" s="12"/>
      <c r="C3512" s="388" t="s">
        <v>5179</v>
      </c>
      <c r="D3512" s="389"/>
      <c r="E3512" s="389"/>
      <c r="F3512" s="389"/>
      <c r="G3512" s="390"/>
    </row>
    <row r="3513" spans="2:7" x14ac:dyDescent="0.2">
      <c r="B3513" s="12"/>
      <c r="C3513" s="29" t="s">
        <v>82</v>
      </c>
      <c r="D3513" s="11">
        <v>1</v>
      </c>
      <c r="E3513" s="12" t="s">
        <v>1</v>
      </c>
      <c r="F3513" s="12" t="s">
        <v>3140</v>
      </c>
      <c r="G3513" s="12" t="s">
        <v>3657</v>
      </c>
    </row>
    <row r="3514" spans="2:7" x14ac:dyDescent="0.2">
      <c r="B3514" s="8"/>
      <c r="C3514" s="5" t="s">
        <v>3525</v>
      </c>
      <c r="D3514" s="62">
        <v>1</v>
      </c>
      <c r="E3514" s="28">
        <v>2000000</v>
      </c>
      <c r="F3514" s="214">
        <v>0</v>
      </c>
      <c r="G3514" s="7"/>
    </row>
    <row r="3515" spans="2:7" x14ac:dyDescent="0.2">
      <c r="B3515" s="8"/>
      <c r="C3515" s="5" t="s">
        <v>3757</v>
      </c>
      <c r="D3515" s="62">
        <v>1</v>
      </c>
      <c r="E3515" s="28">
        <v>750000</v>
      </c>
      <c r="F3515" s="214">
        <v>0</v>
      </c>
      <c r="G3515" s="8"/>
    </row>
    <row r="3516" spans="2:7" x14ac:dyDescent="0.2">
      <c r="B3516" s="8"/>
      <c r="C3516" s="5" t="s">
        <v>3526</v>
      </c>
      <c r="D3516" s="62">
        <v>1</v>
      </c>
      <c r="E3516" s="28">
        <v>500000</v>
      </c>
      <c r="F3516" s="214">
        <v>0</v>
      </c>
      <c r="G3516" s="8"/>
    </row>
    <row r="3517" spans="2:7" x14ac:dyDescent="0.2">
      <c r="B3517" s="8"/>
      <c r="C3517" s="5" t="s">
        <v>3942</v>
      </c>
      <c r="D3517" s="62">
        <v>1</v>
      </c>
      <c r="E3517" s="356">
        <v>543000</v>
      </c>
      <c r="F3517" s="214">
        <v>0</v>
      </c>
      <c r="G3517" s="8"/>
    </row>
    <row r="3518" spans="2:7" x14ac:dyDescent="0.2">
      <c r="B3518" s="8"/>
      <c r="C3518" s="5" t="s">
        <v>3941</v>
      </c>
      <c r="D3518" s="62">
        <v>1</v>
      </c>
      <c r="E3518" s="356">
        <v>126000</v>
      </c>
      <c r="F3518" s="214">
        <v>0</v>
      </c>
      <c r="G3518" s="8"/>
    </row>
    <row r="3519" spans="2:7" x14ac:dyDescent="0.2">
      <c r="B3519" s="8"/>
      <c r="C3519" s="5" t="s">
        <v>3940</v>
      </c>
      <c r="D3519" s="62">
        <v>1</v>
      </c>
      <c r="E3519" s="356">
        <v>415000</v>
      </c>
      <c r="F3519" s="214">
        <v>0</v>
      </c>
      <c r="G3519" s="7"/>
    </row>
    <row r="3520" spans="2:7" x14ac:dyDescent="0.2">
      <c r="B3520" s="8"/>
      <c r="C3520" s="5" t="s">
        <v>3939</v>
      </c>
      <c r="D3520" s="62">
        <v>1</v>
      </c>
      <c r="E3520" s="356">
        <v>415000</v>
      </c>
      <c r="F3520" s="214">
        <v>0</v>
      </c>
      <c r="G3520" s="7"/>
    </row>
    <row r="3521" spans="2:8" x14ac:dyDescent="0.2">
      <c r="B3521" s="186"/>
      <c r="C3521" s="5" t="s">
        <v>3938</v>
      </c>
      <c r="D3521" s="201">
        <v>1</v>
      </c>
      <c r="E3521" s="357">
        <v>905000</v>
      </c>
      <c r="F3521" s="203">
        <v>0</v>
      </c>
      <c r="G3521" s="216"/>
    </row>
    <row r="3522" spans="2:8" x14ac:dyDescent="0.2">
      <c r="B3522" s="186"/>
      <c r="C3522" s="187" t="s">
        <v>4403</v>
      </c>
      <c r="D3522" s="201">
        <v>1</v>
      </c>
      <c r="E3522" s="357">
        <v>126000</v>
      </c>
      <c r="F3522" s="203">
        <v>0</v>
      </c>
      <c r="G3522" s="216"/>
    </row>
    <row r="3523" spans="2:8" x14ac:dyDescent="0.2">
      <c r="B3523" s="186"/>
      <c r="C3523" s="187" t="s">
        <v>4921</v>
      </c>
      <c r="D3523" s="201">
        <v>1</v>
      </c>
      <c r="E3523" s="309">
        <f>F3568*1.85%</f>
        <v>3670229.8000000003</v>
      </c>
      <c r="F3523" s="203">
        <v>0</v>
      </c>
      <c r="G3523" s="216"/>
    </row>
    <row r="3524" spans="2:8" x14ac:dyDescent="0.2">
      <c r="B3524"/>
      <c r="D3524"/>
      <c r="E3524"/>
      <c r="F3524"/>
      <c r="G3524"/>
    </row>
    <row r="3525" spans="2:8" x14ac:dyDescent="0.2">
      <c r="B3525" s="173"/>
      <c r="C3525" s="5" t="s">
        <v>3928</v>
      </c>
      <c r="D3525" s="62">
        <v>1</v>
      </c>
      <c r="E3525" s="202">
        <v>0</v>
      </c>
      <c r="F3525" s="361">
        <f>50000000-10000000-(21330000-958500)-(21330000-958500)</f>
        <v>-743000</v>
      </c>
      <c r="G3525" s="126" t="s">
        <v>5177</v>
      </c>
      <c r="H3525" s="76"/>
    </row>
    <row r="3526" spans="2:8" x14ac:dyDescent="0.2">
      <c r="B3526" s="200"/>
      <c r="C3526" s="5" t="s">
        <v>4076</v>
      </c>
      <c r="D3526" s="201">
        <v>1</v>
      </c>
      <c r="E3526" s="202">
        <v>0</v>
      </c>
      <c r="F3526" s="214">
        <v>21000000</v>
      </c>
      <c r="G3526" s="8"/>
    </row>
    <row r="3527" spans="2:8" x14ac:dyDescent="0.2">
      <c r="B3527" s="200"/>
      <c r="C3527" s="5" t="s">
        <v>4064</v>
      </c>
      <c r="D3527" s="201">
        <v>1</v>
      </c>
      <c r="E3527" s="202">
        <v>0</v>
      </c>
      <c r="F3527" s="203">
        <v>3000000</v>
      </c>
      <c r="G3527" s="186"/>
    </row>
    <row r="3528" spans="2:8" x14ac:dyDescent="0.2">
      <c r="B3528" s="319">
        <v>45790</v>
      </c>
      <c r="C3528" s="187" t="s">
        <v>4924</v>
      </c>
      <c r="D3528" s="201">
        <v>1</v>
      </c>
      <c r="E3528" s="202">
        <v>0</v>
      </c>
      <c r="F3528" s="203">
        <v>20000000</v>
      </c>
      <c r="G3528" s="195" t="s">
        <v>3251</v>
      </c>
    </row>
    <row r="3529" spans="2:8" x14ac:dyDescent="0.2">
      <c r="B3529" s="319">
        <v>45839</v>
      </c>
      <c r="C3529" s="187" t="s">
        <v>4925</v>
      </c>
      <c r="D3529" s="201">
        <v>1</v>
      </c>
      <c r="E3529" s="202">
        <v>0</v>
      </c>
      <c r="F3529" s="203">
        <v>20000000</v>
      </c>
      <c r="G3529" s="195" t="s">
        <v>3650</v>
      </c>
    </row>
    <row r="3530" spans="2:8" x14ac:dyDescent="0.2">
      <c r="B3530" s="200">
        <v>46085</v>
      </c>
      <c r="C3530" s="187" t="s">
        <v>4960</v>
      </c>
      <c r="D3530" s="201">
        <v>1</v>
      </c>
      <c r="E3530" s="202">
        <v>0</v>
      </c>
      <c r="F3530" s="203">
        <v>3000000</v>
      </c>
      <c r="G3530" s="195"/>
    </row>
    <row r="3531" spans="2:8" x14ac:dyDescent="0.2">
      <c r="B3531" s="319">
        <v>46023</v>
      </c>
      <c r="C3531" s="320" t="s">
        <v>4913</v>
      </c>
      <c r="D3531" s="201">
        <v>1</v>
      </c>
      <c r="E3531" s="202">
        <v>0</v>
      </c>
      <c r="F3531" s="203">
        <v>10605000</v>
      </c>
      <c r="G3531" s="187"/>
    </row>
    <row r="3532" spans="2:8" x14ac:dyDescent="0.2">
      <c r="B3532" s="324">
        <v>46023</v>
      </c>
      <c r="C3532" s="322" t="s">
        <v>4914</v>
      </c>
      <c r="D3532" s="201">
        <v>1</v>
      </c>
      <c r="E3532" s="202">
        <v>0</v>
      </c>
      <c r="F3532" s="203">
        <v>21790000</v>
      </c>
      <c r="G3532" s="187"/>
    </row>
    <row r="3533" spans="2:8" x14ac:dyDescent="0.2">
      <c r="B3533" s="329">
        <v>46023</v>
      </c>
      <c r="C3533" s="328" t="s">
        <v>4915</v>
      </c>
      <c r="D3533" s="201">
        <v>1</v>
      </c>
      <c r="E3533" s="202">
        <v>0</v>
      </c>
      <c r="F3533" s="203">
        <v>1640000</v>
      </c>
      <c r="G3533" s="187"/>
    </row>
    <row r="3534" spans="2:8" x14ac:dyDescent="0.2">
      <c r="B3534" s="324">
        <v>46023</v>
      </c>
      <c r="C3534" s="322" t="s">
        <v>4918</v>
      </c>
      <c r="D3534" s="201">
        <v>1</v>
      </c>
      <c r="E3534" s="202">
        <v>0</v>
      </c>
      <c r="F3534" s="360">
        <v>15539000</v>
      </c>
      <c r="G3534" s="187"/>
    </row>
    <row r="3535" spans="2:8" x14ac:dyDescent="0.2">
      <c r="B3535" s="340">
        <v>46023</v>
      </c>
      <c r="C3535" s="337" t="s">
        <v>4920</v>
      </c>
      <c r="D3535" s="201">
        <v>1</v>
      </c>
      <c r="E3535" s="202">
        <v>0</v>
      </c>
      <c r="F3535" s="360">
        <v>18360000</v>
      </c>
      <c r="G3535" s="187"/>
    </row>
    <row r="3536" spans="2:8" x14ac:dyDescent="0.2">
      <c r="B3536" s="343">
        <v>46023</v>
      </c>
      <c r="C3536" s="342" t="s">
        <v>4919</v>
      </c>
      <c r="D3536" s="201">
        <v>1</v>
      </c>
      <c r="E3536" s="202">
        <v>0</v>
      </c>
      <c r="F3536" s="360">
        <v>7300000</v>
      </c>
      <c r="G3536" s="187"/>
    </row>
    <row r="3537" spans="2:8" x14ac:dyDescent="0.2">
      <c r="B3537" s="200">
        <v>46096</v>
      </c>
      <c r="C3537" s="187" t="s">
        <v>4957</v>
      </c>
      <c r="D3537" s="201">
        <v>136855</v>
      </c>
      <c r="E3537" s="202">
        <v>0</v>
      </c>
      <c r="F3537" s="360">
        <f>D3537*100</f>
        <v>13685500</v>
      </c>
      <c r="G3537" s="355"/>
      <c r="H3537" s="355"/>
    </row>
    <row r="3538" spans="2:8" x14ac:dyDescent="0.2">
      <c r="B3538" s="200">
        <v>46089</v>
      </c>
      <c r="C3538" s="187" t="s">
        <v>4959</v>
      </c>
      <c r="D3538" s="201">
        <v>54000</v>
      </c>
      <c r="E3538" s="202">
        <v>0</v>
      </c>
      <c r="F3538" s="360">
        <f>D3538*100</f>
        <v>5400000</v>
      </c>
      <c r="G3538" s="195"/>
    </row>
    <row r="3539" spans="2:8" x14ac:dyDescent="0.2">
      <c r="B3539" s="343">
        <v>46117</v>
      </c>
      <c r="C3539" s="342" t="s">
        <v>4981</v>
      </c>
      <c r="D3539" s="201">
        <v>2</v>
      </c>
      <c r="E3539" s="202">
        <v>0</v>
      </c>
      <c r="F3539" s="360">
        <v>20000000</v>
      </c>
      <c r="G3539" s="187"/>
    </row>
    <row r="3540" spans="2:8" x14ac:dyDescent="0.2">
      <c r="B3540" s="200">
        <v>46117</v>
      </c>
      <c r="C3540" s="187" t="s">
        <v>4982</v>
      </c>
      <c r="D3540" s="201">
        <v>2</v>
      </c>
      <c r="E3540" s="1">
        <v>0</v>
      </c>
      <c r="F3540" s="202">
        <v>160000</v>
      </c>
      <c r="G3540" s="195"/>
    </row>
    <row r="3541" spans="2:8" x14ac:dyDescent="0.2">
      <c r="B3541" s="200">
        <v>46101</v>
      </c>
      <c r="C3541" s="187" t="s">
        <v>5174</v>
      </c>
      <c r="D3541" s="201">
        <v>1</v>
      </c>
      <c r="E3541" s="202">
        <v>0</v>
      </c>
      <c r="F3541" s="203">
        <v>3535000</v>
      </c>
      <c r="G3541" s="195"/>
    </row>
    <row r="3542" spans="2:8" x14ac:dyDescent="0.2">
      <c r="B3542" s="200">
        <v>46101</v>
      </c>
      <c r="C3542" s="187" t="s">
        <v>5175</v>
      </c>
      <c r="D3542" s="201">
        <v>1</v>
      </c>
      <c r="E3542" s="202">
        <v>0</v>
      </c>
      <c r="F3542" s="203">
        <f>60000000*4.5%</f>
        <v>2700000</v>
      </c>
      <c r="G3542" s="195"/>
    </row>
    <row r="3543" spans="2:8" x14ac:dyDescent="0.2">
      <c r="B3543" s="315"/>
      <c r="C3543" s="187"/>
      <c r="D3543" s="201"/>
      <c r="E3543" s="202"/>
      <c r="F3543" s="203"/>
      <c r="G3543" s="187"/>
    </row>
    <row r="3544" spans="2:8" x14ac:dyDescent="0.2">
      <c r="B3544"/>
      <c r="D3544"/>
      <c r="E3544"/>
      <c r="F3544"/>
      <c r="G3544"/>
    </row>
    <row r="3545" spans="2:8" x14ac:dyDescent="0.2">
      <c r="B3545" s="200">
        <v>46059</v>
      </c>
      <c r="C3545" s="187" t="s">
        <v>4976</v>
      </c>
      <c r="D3545" s="201">
        <v>1</v>
      </c>
      <c r="E3545" s="202">
        <v>0</v>
      </c>
      <c r="F3545" s="203">
        <v>870700</v>
      </c>
      <c r="G3545" s="195"/>
    </row>
    <row r="3546" spans="2:8" x14ac:dyDescent="0.2">
      <c r="B3546" s="200">
        <v>46112</v>
      </c>
      <c r="C3546" s="187" t="s">
        <v>4977</v>
      </c>
      <c r="D3546" s="201">
        <v>1</v>
      </c>
      <c r="E3546" s="202">
        <v>0</v>
      </c>
      <c r="F3546" s="203">
        <v>870700</v>
      </c>
      <c r="G3546" s="195"/>
    </row>
    <row r="3547" spans="2:8" x14ac:dyDescent="0.2">
      <c r="B3547" s="200">
        <v>46157</v>
      </c>
      <c r="C3547" s="187" t="s">
        <v>5178</v>
      </c>
      <c r="D3547" s="201">
        <v>1</v>
      </c>
      <c r="E3547" s="202">
        <v>0</v>
      </c>
      <c r="F3547" s="203">
        <v>940000</v>
      </c>
      <c r="G3547" s="195"/>
    </row>
    <row r="3548" spans="2:8" x14ac:dyDescent="0.2">
      <c r="B3548" s="200">
        <v>46157</v>
      </c>
      <c r="C3548" s="5" t="s">
        <v>4969</v>
      </c>
      <c r="D3548" s="201">
        <v>1</v>
      </c>
      <c r="E3548" s="202">
        <v>0</v>
      </c>
      <c r="F3548" s="203">
        <v>940000</v>
      </c>
      <c r="G3548" s="195"/>
    </row>
    <row r="3549" spans="2:8" x14ac:dyDescent="0.2">
      <c r="B3549" s="200">
        <v>46157</v>
      </c>
      <c r="C3549" s="187" t="s">
        <v>4971</v>
      </c>
      <c r="D3549" s="201">
        <v>1</v>
      </c>
      <c r="E3549" s="202">
        <v>0</v>
      </c>
      <c r="F3549" s="203">
        <v>465000</v>
      </c>
      <c r="G3549" s="195"/>
    </row>
    <row r="3550" spans="2:8" x14ac:dyDescent="0.2">
      <c r="B3550" s="200"/>
      <c r="C3550" s="187"/>
      <c r="D3550" s="201"/>
      <c r="E3550" s="202"/>
      <c r="F3550" s="203"/>
      <c r="G3550" s="195"/>
    </row>
    <row r="3551" spans="2:8" x14ac:dyDescent="0.2">
      <c r="B3551" s="200">
        <v>46174</v>
      </c>
      <c r="C3551" s="187" t="s">
        <v>5240</v>
      </c>
      <c r="D3551" s="201">
        <v>1</v>
      </c>
      <c r="E3551" s="202">
        <v>0</v>
      </c>
      <c r="F3551" s="202">
        <v>0</v>
      </c>
      <c r="G3551" s="313">
        <v>1037000</v>
      </c>
      <c r="H3551" s="363">
        <v>46203</v>
      </c>
    </row>
    <row r="3552" spans="2:8" x14ac:dyDescent="0.2">
      <c r="B3552" s="200"/>
      <c r="C3552" s="187" t="s">
        <v>5183</v>
      </c>
      <c r="D3552" s="201">
        <v>2</v>
      </c>
      <c r="E3552" s="202">
        <v>0</v>
      </c>
      <c r="F3552" s="203">
        <v>1140000</v>
      </c>
      <c r="G3552" s="195"/>
    </row>
    <row r="3553" spans="2:8" x14ac:dyDescent="0.2">
      <c r="B3553" s="200"/>
      <c r="C3553" s="187" t="s">
        <v>5185</v>
      </c>
      <c r="D3553" s="201">
        <v>1</v>
      </c>
      <c r="E3553" s="202">
        <v>0</v>
      </c>
      <c r="F3553" s="203">
        <v>0</v>
      </c>
      <c r="G3553" s="313">
        <v>2345000</v>
      </c>
      <c r="H3553" s="363">
        <v>46176</v>
      </c>
    </row>
    <row r="3554" spans="2:8" x14ac:dyDescent="0.2">
      <c r="B3554" s="200"/>
      <c r="C3554" s="187"/>
      <c r="D3554" s="201"/>
      <c r="E3554" s="202"/>
      <c r="F3554" s="203"/>
      <c r="G3554" s="195"/>
    </row>
    <row r="3555" spans="2:8" x14ac:dyDescent="0.2">
      <c r="B3555" s="200"/>
      <c r="C3555" s="187"/>
      <c r="D3555" s="201"/>
      <c r="E3555" s="202"/>
      <c r="F3555" s="203"/>
      <c r="G3555" s="195"/>
    </row>
    <row r="3556" spans="2:8" x14ac:dyDescent="0.2">
      <c r="B3556" s="200">
        <v>46157</v>
      </c>
      <c r="C3556" s="187" t="s">
        <v>5001</v>
      </c>
      <c r="D3556" s="201">
        <v>1</v>
      </c>
      <c r="E3556" s="202">
        <v>0</v>
      </c>
      <c r="F3556" s="202">
        <f>(4*120000)+(1*300000)+(1*350000)</f>
        <v>1130000</v>
      </c>
      <c r="G3556" s="195"/>
    </row>
    <row r="3557" spans="2:8" x14ac:dyDescent="0.2">
      <c r="B3557" s="200">
        <v>46142</v>
      </c>
      <c r="C3557" s="187" t="s">
        <v>5002</v>
      </c>
      <c r="D3557" s="201">
        <v>1</v>
      </c>
      <c r="E3557" s="202">
        <v>0</v>
      </c>
      <c r="F3557" s="202">
        <v>1142900</v>
      </c>
      <c r="G3557" s="195"/>
    </row>
    <row r="3558" spans="2:8" x14ac:dyDescent="0.2">
      <c r="B3558" s="200">
        <v>46172</v>
      </c>
      <c r="C3558" s="187" t="s">
        <v>5182</v>
      </c>
      <c r="D3558" s="201">
        <v>1</v>
      </c>
      <c r="E3558" s="202">
        <v>0</v>
      </c>
      <c r="F3558" s="202">
        <v>0</v>
      </c>
      <c r="G3558" s="367">
        <v>637000</v>
      </c>
      <c r="H3558" s="359" t="s">
        <v>5225</v>
      </c>
    </row>
    <row r="3559" spans="2:8" x14ac:dyDescent="0.2">
      <c r="B3559" s="200">
        <v>46120</v>
      </c>
      <c r="C3559" s="187" t="s">
        <v>5170</v>
      </c>
      <c r="D3559" s="201">
        <v>1</v>
      </c>
      <c r="E3559" s="202">
        <v>0</v>
      </c>
      <c r="F3559" s="203">
        <v>1190000</v>
      </c>
      <c r="G3559" s="216"/>
    </row>
    <row r="3560" spans="2:8" x14ac:dyDescent="0.2">
      <c r="B3560" s="200">
        <v>46150</v>
      </c>
      <c r="C3560" s="187" t="s">
        <v>5171</v>
      </c>
      <c r="D3560" s="201">
        <v>1</v>
      </c>
      <c r="E3560" s="202">
        <v>0</v>
      </c>
      <c r="F3560" s="203">
        <v>1190000</v>
      </c>
      <c r="G3560" s="216"/>
    </row>
    <row r="3561" spans="2:8" x14ac:dyDescent="0.2">
      <c r="B3561" s="200">
        <v>46181</v>
      </c>
      <c r="C3561" s="187" t="s">
        <v>5180</v>
      </c>
      <c r="D3561" s="201">
        <v>1</v>
      </c>
      <c r="E3561" s="202">
        <v>0</v>
      </c>
      <c r="F3561" s="203">
        <v>1190000</v>
      </c>
      <c r="G3561" s="216"/>
    </row>
    <row r="3562" spans="2:8" x14ac:dyDescent="0.2">
      <c r="B3562" s="200">
        <v>46181</v>
      </c>
      <c r="C3562" s="187" t="s">
        <v>5181</v>
      </c>
      <c r="D3562" s="201">
        <v>1</v>
      </c>
      <c r="E3562" s="202">
        <v>0</v>
      </c>
      <c r="F3562" s="203">
        <v>350000</v>
      </c>
      <c r="G3562" s="216"/>
    </row>
    <row r="3563" spans="2:8" x14ac:dyDescent="0.2">
      <c r="B3563" s="200"/>
      <c r="C3563" s="187"/>
      <c r="D3563" s="201"/>
      <c r="E3563" s="202"/>
      <c r="F3563" s="203"/>
      <c r="G3563" s="216"/>
    </row>
    <row r="3564" spans="2:8" x14ac:dyDescent="0.2">
      <c r="B3564" s="200"/>
      <c r="C3564" s="187"/>
      <c r="D3564" s="201"/>
      <c r="E3564" s="202"/>
      <c r="F3564" s="203"/>
      <c r="G3564" s="216"/>
    </row>
    <row r="3565" spans="2:8" x14ac:dyDescent="0.2">
      <c r="B3565" s="200"/>
      <c r="C3565" s="187"/>
      <c r="D3565" s="201"/>
      <c r="E3565" s="202"/>
      <c r="F3565" s="203"/>
      <c r="G3565" s="195"/>
    </row>
    <row r="3566" spans="2:8" x14ac:dyDescent="0.2">
      <c r="B3566"/>
      <c r="D3566"/>
      <c r="E3566"/>
      <c r="F3566"/>
      <c r="G3566"/>
    </row>
    <row r="3567" spans="2:8" x14ac:dyDescent="0.2">
      <c r="B3567" s="29"/>
      <c r="C3567" s="29"/>
      <c r="D3567" s="68"/>
      <c r="E3567" s="13"/>
      <c r="F3567" s="13"/>
      <c r="G3567" s="29"/>
    </row>
    <row r="3568" spans="2:8" x14ac:dyDescent="0.2">
      <c r="E3568" s="9">
        <f>SUM(E3514:E3567)</f>
        <v>9450229.8000000007</v>
      </c>
      <c r="F3568" s="9">
        <f>SUM(F3514:F3567)</f>
        <v>198390800</v>
      </c>
      <c r="G3568" s="120"/>
    </row>
    <row r="3569" spans="2:7" x14ac:dyDescent="0.2">
      <c r="E3569" s="380">
        <f>9140000-E3568</f>
        <v>-310229.80000000075</v>
      </c>
      <c r="F3569" s="158">
        <v>46206</v>
      </c>
    </row>
    <row r="3573" spans="2:7" ht="26" x14ac:dyDescent="0.3">
      <c r="B3573" s="12"/>
      <c r="C3573" s="388" t="s">
        <v>5238</v>
      </c>
      <c r="D3573" s="389"/>
      <c r="E3573" s="389"/>
      <c r="F3573" s="389"/>
      <c r="G3573" s="390"/>
    </row>
    <row r="3574" spans="2:7" x14ac:dyDescent="0.2">
      <c r="B3574" s="12"/>
      <c r="C3574" s="29" t="s">
        <v>82</v>
      </c>
      <c r="D3574" s="11">
        <v>1</v>
      </c>
      <c r="E3574" s="12" t="s">
        <v>1</v>
      </c>
      <c r="F3574" s="12" t="s">
        <v>3140</v>
      </c>
      <c r="G3574" s="12" t="s">
        <v>3657</v>
      </c>
    </row>
    <row r="3575" spans="2:7" x14ac:dyDescent="0.2">
      <c r="B3575" s="8"/>
      <c r="C3575" s="5" t="s">
        <v>3525</v>
      </c>
      <c r="D3575" s="62">
        <v>1</v>
      </c>
      <c r="E3575" s="28">
        <v>2000000</v>
      </c>
      <c r="F3575" s="214">
        <v>0</v>
      </c>
      <c r="G3575" s="7"/>
    </row>
    <row r="3576" spans="2:7" x14ac:dyDescent="0.2">
      <c r="B3576" s="8"/>
      <c r="C3576" s="5" t="s">
        <v>3757</v>
      </c>
      <c r="D3576" s="62">
        <v>1</v>
      </c>
      <c r="E3576" s="28">
        <v>750000</v>
      </c>
      <c r="F3576" s="214">
        <v>0</v>
      </c>
      <c r="G3576" s="8"/>
    </row>
    <row r="3577" spans="2:7" x14ac:dyDescent="0.2">
      <c r="B3577" s="8"/>
      <c r="C3577" s="5" t="s">
        <v>3526</v>
      </c>
      <c r="D3577" s="62">
        <v>1</v>
      </c>
      <c r="E3577" s="28">
        <v>500000</v>
      </c>
      <c r="F3577" s="214">
        <v>0</v>
      </c>
      <c r="G3577" s="8"/>
    </row>
    <row r="3578" spans="2:7" x14ac:dyDescent="0.2">
      <c r="B3578" s="8"/>
      <c r="C3578" s="5" t="s">
        <v>3942</v>
      </c>
      <c r="D3578" s="62">
        <v>1</v>
      </c>
      <c r="E3578" s="356">
        <v>543000</v>
      </c>
      <c r="F3578" s="214">
        <v>0</v>
      </c>
      <c r="G3578" s="8"/>
    </row>
    <row r="3579" spans="2:7" x14ac:dyDescent="0.2">
      <c r="B3579" s="8"/>
      <c r="C3579" s="5" t="s">
        <v>3941</v>
      </c>
      <c r="D3579" s="62">
        <v>1</v>
      </c>
      <c r="E3579" s="356">
        <v>126000</v>
      </c>
      <c r="F3579" s="214">
        <v>0</v>
      </c>
      <c r="G3579" s="8"/>
    </row>
    <row r="3580" spans="2:7" x14ac:dyDescent="0.2">
      <c r="B3580" s="8"/>
      <c r="C3580" s="5" t="s">
        <v>3940</v>
      </c>
      <c r="D3580" s="62">
        <v>1</v>
      </c>
      <c r="E3580" s="356">
        <v>415000</v>
      </c>
      <c r="F3580" s="214">
        <v>0</v>
      </c>
      <c r="G3580" s="7"/>
    </row>
    <row r="3581" spans="2:7" x14ac:dyDescent="0.2">
      <c r="B3581" s="8"/>
      <c r="C3581" s="5" t="s">
        <v>3939</v>
      </c>
      <c r="D3581" s="62">
        <v>1</v>
      </c>
      <c r="E3581" s="356">
        <v>415000</v>
      </c>
      <c r="F3581" s="214">
        <v>0</v>
      </c>
      <c r="G3581" s="7"/>
    </row>
    <row r="3582" spans="2:7" x14ac:dyDescent="0.2">
      <c r="B3582" s="186"/>
      <c r="C3582" s="5" t="s">
        <v>3938</v>
      </c>
      <c r="D3582" s="201">
        <v>1</v>
      </c>
      <c r="E3582" s="357">
        <v>905000</v>
      </c>
      <c r="F3582" s="203">
        <v>0</v>
      </c>
      <c r="G3582" s="216"/>
    </row>
    <row r="3583" spans="2:7" x14ac:dyDescent="0.2">
      <c r="B3583" s="186"/>
      <c r="C3583" s="187" t="s">
        <v>4403</v>
      </c>
      <c r="D3583" s="201">
        <v>1</v>
      </c>
      <c r="E3583" s="357">
        <v>126000</v>
      </c>
      <c r="F3583" s="203">
        <v>0</v>
      </c>
      <c r="G3583" s="216"/>
    </row>
    <row r="3584" spans="2:7" x14ac:dyDescent="0.2">
      <c r="B3584" s="186"/>
      <c r="C3584" s="187" t="s">
        <v>4921</v>
      </c>
      <c r="D3584" s="201">
        <v>1</v>
      </c>
      <c r="E3584" s="309">
        <f>F3627*1.85%</f>
        <v>4218157.2500000009</v>
      </c>
      <c r="F3584" s="203">
        <v>0</v>
      </c>
      <c r="G3584" s="216"/>
    </row>
    <row r="3585" spans="2:8" x14ac:dyDescent="0.2">
      <c r="B3585"/>
      <c r="D3585"/>
      <c r="E3585"/>
      <c r="F3585"/>
      <c r="G3585"/>
    </row>
    <row r="3586" spans="2:8" x14ac:dyDescent="0.2">
      <c r="B3586" s="173"/>
      <c r="C3586" s="5" t="s">
        <v>3928</v>
      </c>
      <c r="D3586" s="62">
        <v>1</v>
      </c>
      <c r="E3586" s="202">
        <v>0</v>
      </c>
      <c r="F3586" s="361">
        <f>50000000-10000000-(21330000-958500)-(21330000-958500)</f>
        <v>-743000</v>
      </c>
      <c r="G3586" s="126" t="s">
        <v>5177</v>
      </c>
      <c r="H3586" s="76"/>
    </row>
    <row r="3587" spans="2:8" x14ac:dyDescent="0.2">
      <c r="B3587" s="200"/>
      <c r="C3587" s="5" t="s">
        <v>4076</v>
      </c>
      <c r="D3587" s="201">
        <v>1</v>
      </c>
      <c r="E3587" s="202">
        <v>0</v>
      </c>
      <c r="F3587" s="214">
        <f>21000000-20000000</f>
        <v>1000000</v>
      </c>
      <c r="G3587" s="56" t="s">
        <v>5239</v>
      </c>
    </row>
    <row r="3588" spans="2:8" x14ac:dyDescent="0.2">
      <c r="B3588" s="200"/>
      <c r="C3588" s="5" t="s">
        <v>4064</v>
      </c>
      <c r="D3588" s="201">
        <v>1</v>
      </c>
      <c r="E3588" s="202">
        <v>0</v>
      </c>
      <c r="F3588" s="203">
        <v>3000000</v>
      </c>
      <c r="G3588" s="186"/>
    </row>
    <row r="3589" spans="2:8" x14ac:dyDescent="0.2">
      <c r="B3589" s="319">
        <v>45790</v>
      </c>
      <c r="C3589" s="187" t="s">
        <v>4924</v>
      </c>
      <c r="D3589" s="201">
        <v>1</v>
      </c>
      <c r="E3589" s="202">
        <v>0</v>
      </c>
      <c r="F3589" s="203">
        <v>20000000</v>
      </c>
      <c r="G3589" s="195" t="s">
        <v>3251</v>
      </c>
    </row>
    <row r="3590" spans="2:8" x14ac:dyDescent="0.2">
      <c r="B3590" s="319">
        <v>45839</v>
      </c>
      <c r="C3590" s="187" t="s">
        <v>4925</v>
      </c>
      <c r="D3590" s="201">
        <v>1</v>
      </c>
      <c r="E3590" s="202">
        <v>0</v>
      </c>
      <c r="F3590" s="203">
        <v>20000000</v>
      </c>
      <c r="G3590" s="195" t="s">
        <v>3650</v>
      </c>
    </row>
    <row r="3591" spans="2:8" x14ac:dyDescent="0.2">
      <c r="B3591" s="200">
        <v>46085</v>
      </c>
      <c r="C3591" s="187" t="s">
        <v>4960</v>
      </c>
      <c r="D3591" s="201">
        <v>1</v>
      </c>
      <c r="E3591" s="202">
        <v>0</v>
      </c>
      <c r="F3591" s="203">
        <v>3000000</v>
      </c>
      <c r="G3591" s="195"/>
    </row>
    <row r="3592" spans="2:8" x14ac:dyDescent="0.2">
      <c r="B3592" s="319">
        <v>46023</v>
      </c>
      <c r="C3592" s="320" t="s">
        <v>4913</v>
      </c>
      <c r="D3592" s="201">
        <v>1</v>
      </c>
      <c r="E3592" s="202">
        <v>0</v>
      </c>
      <c r="F3592" s="203">
        <v>10605000</v>
      </c>
      <c r="G3592" s="187"/>
    </row>
    <row r="3593" spans="2:8" x14ac:dyDescent="0.2">
      <c r="B3593" s="324">
        <v>46023</v>
      </c>
      <c r="C3593" s="322" t="s">
        <v>4914</v>
      </c>
      <c r="D3593" s="201">
        <v>1</v>
      </c>
      <c r="E3593" s="202">
        <v>0</v>
      </c>
      <c r="F3593" s="203">
        <v>21790000</v>
      </c>
      <c r="G3593" s="187"/>
    </row>
    <row r="3594" spans="2:8" x14ac:dyDescent="0.2">
      <c r="B3594" s="329">
        <v>46023</v>
      </c>
      <c r="C3594" s="328" t="s">
        <v>4915</v>
      </c>
      <c r="D3594" s="201">
        <v>1</v>
      </c>
      <c r="E3594" s="202">
        <v>0</v>
      </c>
      <c r="F3594" s="203">
        <v>1640000</v>
      </c>
      <c r="G3594" s="187"/>
    </row>
    <row r="3595" spans="2:8" x14ac:dyDescent="0.2">
      <c r="B3595" s="324">
        <v>46023</v>
      </c>
      <c r="C3595" s="322" t="s">
        <v>4918</v>
      </c>
      <c r="D3595" s="201">
        <v>1</v>
      </c>
      <c r="E3595" s="202">
        <v>0</v>
      </c>
      <c r="F3595" s="360">
        <v>15539000</v>
      </c>
      <c r="G3595" s="187"/>
    </row>
    <row r="3596" spans="2:8" x14ac:dyDescent="0.2">
      <c r="B3596" s="340">
        <v>46023</v>
      </c>
      <c r="C3596" s="337" t="s">
        <v>4920</v>
      </c>
      <c r="D3596" s="201">
        <v>1</v>
      </c>
      <c r="E3596" s="202">
        <v>0</v>
      </c>
      <c r="F3596" s="360">
        <v>18360000</v>
      </c>
      <c r="G3596" s="187"/>
    </row>
    <row r="3597" spans="2:8" x14ac:dyDescent="0.2">
      <c r="B3597" s="343">
        <v>46023</v>
      </c>
      <c r="C3597" s="342" t="s">
        <v>4919</v>
      </c>
      <c r="D3597" s="201">
        <v>1</v>
      </c>
      <c r="E3597" s="202">
        <v>0</v>
      </c>
      <c r="F3597" s="360">
        <v>7300000</v>
      </c>
      <c r="G3597" s="187"/>
    </row>
    <row r="3598" spans="2:8" x14ac:dyDescent="0.2">
      <c r="B3598" s="200">
        <v>46096</v>
      </c>
      <c r="C3598" s="187" t="s">
        <v>4957</v>
      </c>
      <c r="D3598" s="201">
        <v>136855</v>
      </c>
      <c r="E3598" s="202">
        <v>0</v>
      </c>
      <c r="F3598" s="360">
        <f>D3598*100</f>
        <v>13685500</v>
      </c>
      <c r="G3598" s="355"/>
      <c r="H3598" s="355"/>
    </row>
    <row r="3599" spans="2:8" x14ac:dyDescent="0.2">
      <c r="B3599" s="200">
        <v>46089</v>
      </c>
      <c r="C3599" s="187" t="s">
        <v>4959</v>
      </c>
      <c r="D3599" s="201">
        <v>54000</v>
      </c>
      <c r="E3599" s="202">
        <v>0</v>
      </c>
      <c r="F3599" s="360">
        <f>D3599*100</f>
        <v>5400000</v>
      </c>
      <c r="G3599" s="195"/>
    </row>
    <row r="3600" spans="2:8" x14ac:dyDescent="0.2">
      <c r="B3600" s="343">
        <v>46117</v>
      </c>
      <c r="C3600" s="342" t="s">
        <v>4981</v>
      </c>
      <c r="D3600" s="201">
        <v>2</v>
      </c>
      <c r="E3600" s="202">
        <v>0</v>
      </c>
      <c r="F3600" s="360">
        <v>20000000</v>
      </c>
      <c r="G3600" s="187"/>
    </row>
    <row r="3601" spans="2:8" x14ac:dyDescent="0.2">
      <c r="B3601" s="200">
        <v>46117</v>
      </c>
      <c r="C3601" s="187" t="s">
        <v>4982</v>
      </c>
      <c r="D3601" s="201">
        <v>2</v>
      </c>
      <c r="E3601" s="1">
        <v>0</v>
      </c>
      <c r="F3601" s="202">
        <v>160000</v>
      </c>
      <c r="G3601" s="195"/>
    </row>
    <row r="3602" spans="2:8" x14ac:dyDescent="0.2">
      <c r="B3602" s="200">
        <v>46101</v>
      </c>
      <c r="C3602" s="187" t="s">
        <v>5174</v>
      </c>
      <c r="D3602" s="201">
        <v>1</v>
      </c>
      <c r="E3602" s="202">
        <v>0</v>
      </c>
      <c r="F3602" s="203">
        <v>3535000</v>
      </c>
      <c r="G3602" s="195"/>
    </row>
    <row r="3603" spans="2:8" x14ac:dyDescent="0.2">
      <c r="B3603" s="200">
        <v>46101</v>
      </c>
      <c r="C3603" s="187" t="s">
        <v>5175</v>
      </c>
      <c r="D3603" s="201">
        <v>1</v>
      </c>
      <c r="E3603" s="202">
        <v>0</v>
      </c>
      <c r="F3603" s="203">
        <f>60000000*4.5%</f>
        <v>2700000</v>
      </c>
      <c r="G3603" s="195"/>
    </row>
    <row r="3604" spans="2:8" x14ac:dyDescent="0.2">
      <c r="B3604" s="381">
        <v>46204</v>
      </c>
      <c r="C3604" s="187" t="s">
        <v>5243</v>
      </c>
      <c r="D3604" s="201"/>
      <c r="E3604" s="202"/>
      <c r="F3604" s="203">
        <v>60000000</v>
      </c>
      <c r="G3604" s="187"/>
    </row>
    <row r="3605" spans="2:8" x14ac:dyDescent="0.2">
      <c r="B3605"/>
      <c r="D3605"/>
      <c r="E3605"/>
      <c r="F3605"/>
      <c r="G3605"/>
    </row>
    <row r="3606" spans="2:8" x14ac:dyDescent="0.2">
      <c r="B3606" s="200">
        <v>46059</v>
      </c>
      <c r="C3606" s="187" t="s">
        <v>4976</v>
      </c>
      <c r="D3606" s="201">
        <v>1</v>
      </c>
      <c r="E3606" s="202">
        <v>0</v>
      </c>
      <c r="F3606" s="203">
        <v>0</v>
      </c>
      <c r="G3606" s="313">
        <v>870700</v>
      </c>
      <c r="H3606" s="363">
        <v>46206</v>
      </c>
    </row>
    <row r="3607" spans="2:8" x14ac:dyDescent="0.2">
      <c r="B3607" s="200">
        <v>46112</v>
      </c>
      <c r="C3607" s="187" t="s">
        <v>4977</v>
      </c>
      <c r="D3607" s="201">
        <v>1</v>
      </c>
      <c r="E3607" s="202">
        <v>0</v>
      </c>
      <c r="F3607" s="203">
        <v>0</v>
      </c>
      <c r="G3607" s="313">
        <v>870700</v>
      </c>
      <c r="H3607" s="363">
        <v>46206</v>
      </c>
    </row>
    <row r="3608" spans="2:8" x14ac:dyDescent="0.2">
      <c r="B3608" s="200">
        <v>46157</v>
      </c>
      <c r="C3608" s="187" t="s">
        <v>5178</v>
      </c>
      <c r="D3608" s="201">
        <v>1</v>
      </c>
      <c r="E3608" s="202">
        <v>0</v>
      </c>
      <c r="F3608" s="203">
        <v>0</v>
      </c>
      <c r="G3608" s="313">
        <v>940000</v>
      </c>
      <c r="H3608" s="363">
        <v>46206</v>
      </c>
    </row>
    <row r="3609" spans="2:8" x14ac:dyDescent="0.2">
      <c r="B3609" s="200">
        <v>46157</v>
      </c>
      <c r="C3609" s="5" t="s">
        <v>4969</v>
      </c>
      <c r="D3609" s="201">
        <v>1</v>
      </c>
      <c r="E3609" s="202">
        <v>0</v>
      </c>
      <c r="F3609" s="203">
        <v>0</v>
      </c>
      <c r="G3609" s="313">
        <v>940000</v>
      </c>
      <c r="H3609" s="363">
        <v>46206</v>
      </c>
    </row>
    <row r="3610" spans="2:8" x14ac:dyDescent="0.2">
      <c r="B3610" s="200">
        <v>46157</v>
      </c>
      <c r="C3610" s="187" t="s">
        <v>4971</v>
      </c>
      <c r="D3610" s="201">
        <v>1</v>
      </c>
      <c r="E3610" s="202">
        <v>0</v>
      </c>
      <c r="F3610" s="203">
        <v>0</v>
      </c>
      <c r="G3610" s="313">
        <v>465000</v>
      </c>
      <c r="H3610" s="363">
        <v>46206</v>
      </c>
    </row>
    <row r="3611" spans="2:8" x14ac:dyDescent="0.2">
      <c r="B3611" s="200"/>
      <c r="C3611" s="187"/>
      <c r="D3611" s="201"/>
      <c r="E3611" s="202"/>
      <c r="F3611" s="203"/>
      <c r="G3611" s="195"/>
    </row>
    <row r="3612" spans="2:8" x14ac:dyDescent="0.2">
      <c r="B3612" s="200">
        <v>46208</v>
      </c>
      <c r="C3612" s="187" t="s">
        <v>5184</v>
      </c>
      <c r="D3612" s="201">
        <v>1</v>
      </c>
      <c r="E3612" s="202">
        <v>0</v>
      </c>
      <c r="F3612" s="202">
        <v>1037000</v>
      </c>
      <c r="G3612" s="186"/>
    </row>
    <row r="3613" spans="2:8" x14ac:dyDescent="0.2">
      <c r="B3613" s="200"/>
      <c r="C3613" s="187"/>
      <c r="D3613" s="201"/>
      <c r="E3613" s="202"/>
      <c r="F3613" s="203"/>
      <c r="G3613" s="195"/>
    </row>
    <row r="3614" spans="2:8" x14ac:dyDescent="0.2">
      <c r="B3614" s="200">
        <v>46157</v>
      </c>
      <c r="C3614" s="187" t="s">
        <v>5001</v>
      </c>
      <c r="D3614" s="201">
        <v>1</v>
      </c>
      <c r="E3614" s="202">
        <v>0</v>
      </c>
      <c r="F3614" s="202">
        <v>0</v>
      </c>
      <c r="G3614" s="367">
        <f>(4*120000)+(1*300000)+(1*350000)</f>
        <v>1130000</v>
      </c>
      <c r="H3614" s="363">
        <v>46206</v>
      </c>
    </row>
    <row r="3615" spans="2:8" x14ac:dyDescent="0.2">
      <c r="B3615" s="200">
        <v>46142</v>
      </c>
      <c r="C3615" s="187" t="s">
        <v>5002</v>
      </c>
      <c r="D3615" s="201">
        <v>1</v>
      </c>
      <c r="E3615" s="202">
        <v>0</v>
      </c>
      <c r="F3615" s="202">
        <v>0</v>
      </c>
      <c r="G3615" s="367">
        <v>1142900</v>
      </c>
      <c r="H3615" s="363">
        <v>46206</v>
      </c>
    </row>
    <row r="3616" spans="2:8" x14ac:dyDescent="0.2">
      <c r="B3616" s="200">
        <v>46120</v>
      </c>
      <c r="C3616" s="187" t="s">
        <v>5170</v>
      </c>
      <c r="D3616" s="201">
        <v>1</v>
      </c>
      <c r="E3616" s="202">
        <v>0</v>
      </c>
      <c r="F3616" s="203">
        <v>0</v>
      </c>
      <c r="G3616" s="313">
        <v>1190000</v>
      </c>
      <c r="H3616" s="363">
        <v>46206</v>
      </c>
    </row>
    <row r="3617" spans="2:8" x14ac:dyDescent="0.2">
      <c r="B3617" s="200">
        <v>46150</v>
      </c>
      <c r="C3617" s="187" t="s">
        <v>5171</v>
      </c>
      <c r="D3617" s="201">
        <v>1</v>
      </c>
      <c r="E3617" s="202">
        <v>0</v>
      </c>
      <c r="F3617" s="203">
        <v>0</v>
      </c>
      <c r="G3617" s="313">
        <v>1190000</v>
      </c>
      <c r="H3617" s="363">
        <v>46206</v>
      </c>
    </row>
    <row r="3618" spans="2:8" x14ac:dyDescent="0.2">
      <c r="B3618" s="200">
        <v>46181</v>
      </c>
      <c r="C3618" s="187" t="s">
        <v>5180</v>
      </c>
      <c r="D3618" s="201">
        <v>1</v>
      </c>
      <c r="E3618" s="202">
        <v>0</v>
      </c>
      <c r="F3618" s="203">
        <v>0</v>
      </c>
      <c r="G3618" s="313">
        <v>1190000</v>
      </c>
      <c r="H3618" s="363">
        <v>46206</v>
      </c>
    </row>
    <row r="3619" spans="2:8" x14ac:dyDescent="0.2">
      <c r="B3619" s="200">
        <v>46181</v>
      </c>
      <c r="C3619" s="187" t="s">
        <v>5181</v>
      </c>
      <c r="D3619" s="201">
        <v>1</v>
      </c>
      <c r="E3619" s="202">
        <v>0</v>
      </c>
      <c r="F3619" s="203">
        <v>0</v>
      </c>
      <c r="G3619" s="313">
        <v>350000</v>
      </c>
      <c r="H3619" s="363">
        <v>46206</v>
      </c>
    </row>
    <row r="3620" spans="2:8" x14ac:dyDescent="0.2">
      <c r="B3620" s="200">
        <v>46208</v>
      </c>
      <c r="C3620" s="187" t="s">
        <v>5241</v>
      </c>
      <c r="D3620" s="201">
        <v>1</v>
      </c>
      <c r="E3620" s="202">
        <v>0</v>
      </c>
      <c r="F3620" s="203">
        <v>0</v>
      </c>
      <c r="G3620" s="313">
        <v>1190000</v>
      </c>
      <c r="H3620" s="363">
        <v>46206</v>
      </c>
    </row>
    <row r="3621" spans="2:8" x14ac:dyDescent="0.2">
      <c r="B3621" s="200">
        <v>46208</v>
      </c>
      <c r="C3621" s="187" t="s">
        <v>5242</v>
      </c>
      <c r="D3621" s="201">
        <v>1</v>
      </c>
      <c r="E3621" s="202">
        <v>0</v>
      </c>
      <c r="F3621" s="203">
        <v>0</v>
      </c>
      <c r="G3621" s="313">
        <v>350000</v>
      </c>
      <c r="H3621" s="363">
        <v>46206</v>
      </c>
    </row>
    <row r="3622" spans="2:8" x14ac:dyDescent="0.2">
      <c r="B3622" s="200"/>
      <c r="C3622" s="187"/>
      <c r="D3622" s="201"/>
      <c r="E3622" s="202"/>
      <c r="F3622" s="203"/>
      <c r="G3622" s="216"/>
    </row>
    <row r="3623" spans="2:8" x14ac:dyDescent="0.2">
      <c r="B3623" s="200"/>
      <c r="C3623" s="187"/>
      <c r="D3623" s="201"/>
      <c r="E3623" s="202"/>
      <c r="F3623" s="203"/>
      <c r="G3623" s="216"/>
    </row>
    <row r="3624" spans="2:8" x14ac:dyDescent="0.2">
      <c r="B3624" s="200"/>
      <c r="C3624" s="187"/>
      <c r="D3624" s="201"/>
      <c r="E3624" s="202"/>
      <c r="F3624" s="203"/>
      <c r="G3624" s="195"/>
    </row>
    <row r="3625" spans="2:8" x14ac:dyDescent="0.2">
      <c r="B3625"/>
      <c r="D3625"/>
      <c r="E3625"/>
      <c r="F3625"/>
      <c r="G3625"/>
    </row>
    <row r="3626" spans="2:8" x14ac:dyDescent="0.2">
      <c r="B3626" s="29"/>
      <c r="C3626" s="29"/>
      <c r="D3626" s="68"/>
      <c r="E3626" s="13"/>
      <c r="F3626" s="13"/>
      <c r="G3626" s="29"/>
    </row>
    <row r="3627" spans="2:8" x14ac:dyDescent="0.2">
      <c r="E3627" s="9">
        <f>SUM(E3575:E3626)</f>
        <v>9998157.25</v>
      </c>
      <c r="F3627" s="9">
        <f>SUM(F3575:F3626)</f>
        <v>228008500</v>
      </c>
      <c r="G3627" s="120"/>
    </row>
    <row r="3628" spans="2:8" x14ac:dyDescent="0.2">
      <c r="E3628" s="3">
        <f>9140000-E3627</f>
        <v>-858157.25</v>
      </c>
    </row>
  </sheetData>
  <mergeCells count="104">
    <mergeCell ref="C3512:G3512"/>
    <mergeCell ref="C1652:G1652"/>
    <mergeCell ref="C1849:G1849"/>
    <mergeCell ref="C1435:G1435"/>
    <mergeCell ref="C1317:G1317"/>
    <mergeCell ref="C1346:G1346"/>
    <mergeCell ref="C1379:G1379"/>
    <mergeCell ref="C1476:G1476"/>
    <mergeCell ref="C1564:G1564"/>
    <mergeCell ref="C1535:G1535"/>
    <mergeCell ref="C1508:G1508"/>
    <mergeCell ref="C1618:G1618"/>
    <mergeCell ref="C1588:G1588"/>
    <mergeCell ref="C1695:G1695"/>
    <mergeCell ref="C1404:G1404"/>
    <mergeCell ref="C1681:G1681"/>
    <mergeCell ref="C1724:G1724"/>
    <mergeCell ref="C1753:G1753"/>
    <mergeCell ref="C3448:G3448"/>
    <mergeCell ref="C3328:G3328"/>
    <mergeCell ref="C2710:G2710"/>
    <mergeCell ref="C2550:G2550"/>
    <mergeCell ref="C3036:G3036"/>
    <mergeCell ref="C3273:G3273"/>
    <mergeCell ref="C1265:G1265"/>
    <mergeCell ref="C1298:G1298"/>
    <mergeCell ref="C906:G906"/>
    <mergeCell ref="C1001:G1001"/>
    <mergeCell ref="C920:G920"/>
    <mergeCell ref="C952:G952"/>
    <mergeCell ref="C1038:G1038"/>
    <mergeCell ref="C1172:G1172"/>
    <mergeCell ref="C977:G977"/>
    <mergeCell ref="C1234:G1234"/>
    <mergeCell ref="C1203:G1203"/>
    <mergeCell ref="C1132:G1132"/>
    <mergeCell ref="C1106:G1106"/>
    <mergeCell ref="C1075:G1075"/>
    <mergeCell ref="C471:G471"/>
    <mergeCell ref="C434:F434"/>
    <mergeCell ref="C414:F414"/>
    <mergeCell ref="C389:F389"/>
    <mergeCell ref="C61:F61"/>
    <mergeCell ref="C82:F82"/>
    <mergeCell ref="C103:F103"/>
    <mergeCell ref="C129:F129"/>
    <mergeCell ref="C156:F156"/>
    <mergeCell ref="J217:M217"/>
    <mergeCell ref="C363:F363"/>
    <mergeCell ref="C337:F337"/>
    <mergeCell ref="C290:F290"/>
    <mergeCell ref="C263:F263"/>
    <mergeCell ref="C235:F235"/>
    <mergeCell ref="C178:F178"/>
    <mergeCell ref="C308:F308"/>
    <mergeCell ref="C207:F207"/>
    <mergeCell ref="C2123:G2123"/>
    <mergeCell ref="C2245:G2245"/>
    <mergeCell ref="C1914:G1914"/>
    <mergeCell ref="C1888:G1888"/>
    <mergeCell ref="C1875:G1875"/>
    <mergeCell ref="C1939:G1939"/>
    <mergeCell ref="C498:G498"/>
    <mergeCell ref="C530:G530"/>
    <mergeCell ref="C652:G652"/>
    <mergeCell ref="C627:G627"/>
    <mergeCell ref="C604:G604"/>
    <mergeCell ref="C582:G582"/>
    <mergeCell ref="C555:G555"/>
    <mergeCell ref="C515:G515"/>
    <mergeCell ref="C704:G704"/>
    <mergeCell ref="C690:G690"/>
    <mergeCell ref="C668:G668"/>
    <mergeCell ref="C876:G876"/>
    <mergeCell ref="C890:G890"/>
    <mergeCell ref="C849:G849"/>
    <mergeCell ref="C729:G729"/>
    <mergeCell ref="C759:G759"/>
    <mergeCell ref="C802:G802"/>
    <mergeCell ref="C825:G825"/>
    <mergeCell ref="C3395:G3395"/>
    <mergeCell ref="C2538:G2538"/>
    <mergeCell ref="C2631:G2631"/>
    <mergeCell ref="C3224:G3224"/>
    <mergeCell ref="C2900:G2900"/>
    <mergeCell ref="C2788:G2788"/>
    <mergeCell ref="C2467:G2467"/>
    <mergeCell ref="C3573:G3573"/>
    <mergeCell ref="J1783:N1783"/>
    <mergeCell ref="C2395:G2395"/>
    <mergeCell ref="C1970:G1970"/>
    <mergeCell ref="C2339:G2339"/>
    <mergeCell ref="C2197:G2197"/>
    <mergeCell ref="C1783:G1783"/>
    <mergeCell ref="C2072:G2072"/>
    <mergeCell ref="C2049:G2049"/>
    <mergeCell ref="C2019:G2019"/>
    <mergeCell ref="C1995:G1995"/>
    <mergeCell ref="C2104:G2104"/>
    <mergeCell ref="C2149:G2149"/>
    <mergeCell ref="C2085:G2085"/>
    <mergeCell ref="C2293:G2293"/>
    <mergeCell ref="C2222:G2222"/>
    <mergeCell ref="C2172:G2172"/>
  </mergeCells>
  <phoneticPr fontId="10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2660A4F9-D71B-4667-8DEC-551C1F6162A3}">
          <x14:formula1>
            <xm:f>'INFORME GASTOS'!$A$4:$A$21</xm:f>
          </x14:formula1>
          <xm:sqref>H2287 H2279:H2280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0"/>
  <dimension ref="A1:X136"/>
  <sheetViews>
    <sheetView zoomScaleNormal="100" workbookViewId="0">
      <selection activeCell="L73" sqref="L73"/>
    </sheetView>
  </sheetViews>
  <sheetFormatPr baseColWidth="10" defaultColWidth="10.6640625" defaultRowHeight="15" x14ac:dyDescent="0.2"/>
  <cols>
    <col min="2" max="2" width="13.33203125" customWidth="1"/>
    <col min="3" max="3" width="12.33203125" bestFit="1" customWidth="1"/>
    <col min="4" max="4" width="10.6640625" bestFit="1" customWidth="1"/>
    <col min="5" max="5" width="12.33203125" bestFit="1" customWidth="1"/>
    <col min="6" max="6" width="3" customWidth="1"/>
    <col min="7" max="7" width="12.33203125" customWidth="1"/>
    <col min="8" max="8" width="12.33203125" bestFit="1" customWidth="1"/>
    <col min="10" max="10" width="13" customWidth="1"/>
    <col min="11" max="13" width="13.33203125" bestFit="1" customWidth="1"/>
    <col min="14" max="14" width="1.33203125" customWidth="1"/>
    <col min="15" max="15" width="12" customWidth="1"/>
    <col min="16" max="16" width="11.33203125" bestFit="1" customWidth="1"/>
    <col min="17" max="18" width="14.33203125" customWidth="1"/>
    <col min="19" max="19" width="11.33203125" bestFit="1" customWidth="1"/>
    <col min="21" max="21" width="11.33203125" bestFit="1" customWidth="1"/>
    <col min="22" max="22" width="2" customWidth="1"/>
    <col min="24" max="24" width="11.33203125" bestFit="1" customWidth="1"/>
  </cols>
  <sheetData>
    <row r="1" spans="1:24" x14ac:dyDescent="0.2">
      <c r="S1" s="72"/>
      <c r="T1" s="72"/>
      <c r="U1" s="72"/>
      <c r="W1" s="72"/>
      <c r="X1" s="72"/>
    </row>
    <row r="2" spans="1:24" x14ac:dyDescent="0.2">
      <c r="B2" s="383" t="s">
        <v>2974</v>
      </c>
      <c r="C2" s="383"/>
      <c r="D2" s="383"/>
      <c r="E2" s="383"/>
      <c r="F2" s="383"/>
      <c r="G2" s="383"/>
      <c r="H2" s="383"/>
      <c r="J2" s="383" t="s">
        <v>2974</v>
      </c>
      <c r="K2" s="383"/>
      <c r="L2" s="383"/>
      <c r="M2" s="383"/>
      <c r="N2" s="383"/>
      <c r="O2" s="383"/>
      <c r="P2" s="383"/>
      <c r="R2" s="383" t="s">
        <v>3848</v>
      </c>
      <c r="S2" s="383"/>
      <c r="T2" s="383"/>
      <c r="U2" s="383"/>
      <c r="V2" s="383"/>
      <c r="W2" s="383"/>
      <c r="X2" s="383"/>
    </row>
    <row r="3" spans="1:24" ht="6" customHeight="1" x14ac:dyDescent="0.2"/>
    <row r="4" spans="1:24" x14ac:dyDescent="0.2">
      <c r="B4" s="190" t="s">
        <v>2997</v>
      </c>
      <c r="C4" s="190" t="s">
        <v>92</v>
      </c>
      <c r="D4" s="190" t="s">
        <v>3849</v>
      </c>
      <c r="E4" s="190" t="s">
        <v>14</v>
      </c>
      <c r="F4" s="190"/>
      <c r="G4" s="190" t="s">
        <v>163</v>
      </c>
      <c r="H4" s="190" t="s">
        <v>2998</v>
      </c>
      <c r="J4" s="190" t="s">
        <v>2997</v>
      </c>
      <c r="K4" s="190" t="s">
        <v>92</v>
      </c>
      <c r="L4" s="190" t="s">
        <v>3849</v>
      </c>
      <c r="M4" s="190" t="s">
        <v>14</v>
      </c>
      <c r="N4" s="190"/>
      <c r="O4" s="190" t="s">
        <v>163</v>
      </c>
      <c r="P4" s="190" t="s">
        <v>2998</v>
      </c>
      <c r="R4" s="190" t="s">
        <v>2997</v>
      </c>
      <c r="S4" s="190" t="s">
        <v>92</v>
      </c>
      <c r="T4" s="190" t="s">
        <v>3849</v>
      </c>
      <c r="U4" s="190" t="s">
        <v>14</v>
      </c>
      <c r="V4" s="190"/>
      <c r="W4" s="190" t="s">
        <v>163</v>
      </c>
      <c r="X4" s="190" t="s">
        <v>2998</v>
      </c>
    </row>
    <row r="5" spans="1:24" x14ac:dyDescent="0.2">
      <c r="A5">
        <v>2020</v>
      </c>
      <c r="B5" s="71" t="s">
        <v>4</v>
      </c>
      <c r="C5" s="191">
        <v>1000000</v>
      </c>
      <c r="D5" s="192">
        <f>C5*3.5%</f>
        <v>35000</v>
      </c>
      <c r="E5" s="192">
        <f>C5+D5</f>
        <v>1035000</v>
      </c>
      <c r="F5" s="186"/>
      <c r="G5" s="193">
        <v>0</v>
      </c>
      <c r="H5" s="192">
        <f>E5-G5</f>
        <v>1035000</v>
      </c>
      <c r="I5">
        <v>2020</v>
      </c>
      <c r="J5" s="71" t="s">
        <v>3</v>
      </c>
      <c r="K5" s="191">
        <v>2060000</v>
      </c>
      <c r="L5" s="192">
        <f t="shared" ref="L5:L34" si="0">K5*3.5%</f>
        <v>72100</v>
      </c>
      <c r="M5" s="192">
        <f t="shared" ref="M5:M34" si="1">K5+L5</f>
        <v>2132100</v>
      </c>
      <c r="N5" s="186"/>
      <c r="O5" s="193">
        <v>60000</v>
      </c>
      <c r="P5" s="192">
        <f t="shared" ref="P5:P34" si="2">M5-O5</f>
        <v>2072100</v>
      </c>
      <c r="Q5">
        <v>2020</v>
      </c>
      <c r="R5" s="71" t="s">
        <v>10</v>
      </c>
      <c r="S5" s="191">
        <v>2200000</v>
      </c>
      <c r="T5" s="192">
        <f>S5*3.5%</f>
        <v>77000.000000000015</v>
      </c>
      <c r="U5" s="192">
        <f>S5+T5</f>
        <v>2277000</v>
      </c>
      <c r="V5" s="186"/>
      <c r="W5" s="193">
        <v>300000</v>
      </c>
      <c r="X5" s="192">
        <f>U5-W5</f>
        <v>1977000</v>
      </c>
    </row>
    <row r="6" spans="1:24" x14ac:dyDescent="0.2">
      <c r="A6">
        <v>2020</v>
      </c>
      <c r="B6" s="190" t="s">
        <v>5</v>
      </c>
      <c r="C6" s="192">
        <f t="shared" ref="C6:C12" si="3">H5</f>
        <v>1035000</v>
      </c>
      <c r="D6" s="192">
        <f>C6*3.5%</f>
        <v>36225</v>
      </c>
      <c r="E6" s="192">
        <f t="shared" ref="E6:E12" si="4">C6+D6</f>
        <v>1071225</v>
      </c>
      <c r="F6" s="186"/>
      <c r="G6" s="193">
        <v>0</v>
      </c>
      <c r="H6" s="192">
        <f>E6-G6</f>
        <v>1071225</v>
      </c>
      <c r="I6">
        <v>2020</v>
      </c>
      <c r="J6" s="71" t="s">
        <v>4</v>
      </c>
      <c r="K6" s="192">
        <f t="shared" ref="K6:K34" si="5">P5</f>
        <v>2072100</v>
      </c>
      <c r="L6" s="192">
        <f t="shared" si="0"/>
        <v>72523.5</v>
      </c>
      <c r="M6" s="192">
        <f t="shared" si="1"/>
        <v>2144623.5</v>
      </c>
      <c r="N6" s="186"/>
      <c r="O6" s="193">
        <v>120000</v>
      </c>
      <c r="P6" s="192">
        <f t="shared" si="2"/>
        <v>2024623.5</v>
      </c>
      <c r="Q6">
        <v>2020</v>
      </c>
      <c r="R6" s="71" t="s">
        <v>11</v>
      </c>
      <c r="S6" s="192">
        <f t="shared" ref="S6:S11" si="6">X5</f>
        <v>1977000</v>
      </c>
      <c r="T6" s="192">
        <f>S6*3.5%</f>
        <v>69195</v>
      </c>
      <c r="U6" s="192">
        <f t="shared" ref="U6:U11" si="7">S6+T6</f>
        <v>2046195</v>
      </c>
      <c r="V6" s="186"/>
      <c r="W6" s="193">
        <v>300000</v>
      </c>
      <c r="X6" s="192">
        <f>U6-W6</f>
        <v>1746195</v>
      </c>
    </row>
    <row r="7" spans="1:24" x14ac:dyDescent="0.2">
      <c r="A7">
        <v>2020</v>
      </c>
      <c r="B7" s="71" t="s">
        <v>6</v>
      </c>
      <c r="C7" s="192">
        <f t="shared" si="3"/>
        <v>1071225</v>
      </c>
      <c r="D7" s="192">
        <f t="shared" ref="D7:D12" si="8">C7*3.5%</f>
        <v>37492.875</v>
      </c>
      <c r="E7" s="192">
        <f t="shared" si="4"/>
        <v>1108717.875</v>
      </c>
      <c r="F7" s="186"/>
      <c r="G7" s="193">
        <v>0</v>
      </c>
      <c r="H7" s="192">
        <f t="shared" ref="H7:H16" si="9">E7-G7</f>
        <v>1108717.875</v>
      </c>
      <c r="I7">
        <v>2020</v>
      </c>
      <c r="J7" s="71" t="s">
        <v>5</v>
      </c>
      <c r="K7" s="192">
        <f t="shared" si="5"/>
        <v>2024623.5</v>
      </c>
      <c r="L7" s="192">
        <f t="shared" si="0"/>
        <v>70861.822500000009</v>
      </c>
      <c r="M7" s="192">
        <f t="shared" si="1"/>
        <v>2095485.3225</v>
      </c>
      <c r="N7" s="186"/>
      <c r="O7" s="193">
        <v>0</v>
      </c>
      <c r="P7" s="192">
        <f t="shared" si="2"/>
        <v>2095485.3225</v>
      </c>
      <c r="Q7">
        <v>2020</v>
      </c>
      <c r="R7" s="71" t="s">
        <v>12</v>
      </c>
      <c r="S7" s="193">
        <f>X6+200000</f>
        <v>1946195</v>
      </c>
      <c r="T7" s="192">
        <f t="shared" ref="T7:T13" si="10">S7*3.5%</f>
        <v>68116.825000000012</v>
      </c>
      <c r="U7" s="192">
        <f t="shared" si="7"/>
        <v>2014311.825</v>
      </c>
      <c r="V7" s="186"/>
      <c r="W7" s="193">
        <v>300000</v>
      </c>
      <c r="X7" s="192">
        <f t="shared" ref="X7:X16" si="11">U7-W7</f>
        <v>1714311.825</v>
      </c>
    </row>
    <row r="8" spans="1:24" x14ac:dyDescent="0.2">
      <c r="A8">
        <v>2020</v>
      </c>
      <c r="B8" s="190" t="s">
        <v>7</v>
      </c>
      <c r="C8" s="192">
        <f t="shared" si="3"/>
        <v>1108717.875</v>
      </c>
      <c r="D8" s="192">
        <f t="shared" si="8"/>
        <v>38805.125625000001</v>
      </c>
      <c r="E8" s="192">
        <f t="shared" si="4"/>
        <v>1147523.0006250001</v>
      </c>
      <c r="F8" s="186"/>
      <c r="G8" s="193">
        <v>0</v>
      </c>
      <c r="H8" s="192">
        <f t="shared" si="9"/>
        <v>1147523.0006250001</v>
      </c>
      <c r="I8">
        <v>2020</v>
      </c>
      <c r="J8" s="71" t="s">
        <v>6</v>
      </c>
      <c r="K8" s="192">
        <f t="shared" si="5"/>
        <v>2095485.3225</v>
      </c>
      <c r="L8" s="192">
        <f t="shared" si="0"/>
        <v>73341.986287500011</v>
      </c>
      <c r="M8" s="192">
        <f t="shared" si="1"/>
        <v>2168827.3087875</v>
      </c>
      <c r="N8" s="186"/>
      <c r="O8" s="193">
        <v>0</v>
      </c>
      <c r="P8" s="192">
        <f t="shared" si="2"/>
        <v>2168827.3087875</v>
      </c>
      <c r="Q8">
        <v>2020</v>
      </c>
      <c r="R8" s="71" t="s">
        <v>13</v>
      </c>
      <c r="S8" s="193">
        <f>X7+1000000</f>
        <v>2714311.8250000002</v>
      </c>
      <c r="T8" s="192">
        <f t="shared" si="10"/>
        <v>95000.913875000013</v>
      </c>
      <c r="U8" s="192">
        <f t="shared" si="7"/>
        <v>2809312.7388750003</v>
      </c>
      <c r="V8" s="186"/>
      <c r="W8" s="193">
        <v>300000</v>
      </c>
      <c r="X8" s="192">
        <f t="shared" si="11"/>
        <v>2509312.7388750003</v>
      </c>
    </row>
    <row r="9" spans="1:24" x14ac:dyDescent="0.2">
      <c r="A9">
        <v>2020</v>
      </c>
      <c r="B9" s="71" t="s">
        <v>8</v>
      </c>
      <c r="C9" s="192">
        <f t="shared" si="3"/>
        <v>1147523.0006250001</v>
      </c>
      <c r="D9" s="192">
        <f t="shared" si="8"/>
        <v>40163.305021875007</v>
      </c>
      <c r="E9" s="192">
        <f t="shared" si="4"/>
        <v>1187686.3056468752</v>
      </c>
      <c r="F9" s="186"/>
      <c r="G9" s="193">
        <v>0</v>
      </c>
      <c r="H9" s="192">
        <f t="shared" si="9"/>
        <v>1187686.3056468752</v>
      </c>
      <c r="I9">
        <v>2020</v>
      </c>
      <c r="J9" s="71" t="s">
        <v>7</v>
      </c>
      <c r="K9" s="192">
        <f t="shared" si="5"/>
        <v>2168827.3087875</v>
      </c>
      <c r="L9" s="192">
        <f t="shared" si="0"/>
        <v>75908.95580756251</v>
      </c>
      <c r="M9" s="192">
        <f t="shared" si="1"/>
        <v>2244736.2645950625</v>
      </c>
      <c r="N9" s="186"/>
      <c r="O9" s="193">
        <v>240000</v>
      </c>
      <c r="P9" s="192">
        <f t="shared" si="2"/>
        <v>2004736.2645950625</v>
      </c>
      <c r="Q9">
        <v>2021</v>
      </c>
      <c r="R9" s="71" t="s">
        <v>2</v>
      </c>
      <c r="S9" s="192">
        <f t="shared" si="6"/>
        <v>2509312.7388750003</v>
      </c>
      <c r="T9" s="192">
        <f t="shared" si="10"/>
        <v>87825.945860625012</v>
      </c>
      <c r="U9" s="192">
        <f t="shared" si="7"/>
        <v>2597138.6847356251</v>
      </c>
      <c r="V9" s="186"/>
      <c r="W9" s="193">
        <v>300000</v>
      </c>
      <c r="X9" s="192">
        <f t="shared" si="11"/>
        <v>2297138.6847356251</v>
      </c>
    </row>
    <row r="10" spans="1:24" x14ac:dyDescent="0.2">
      <c r="A10">
        <v>2020</v>
      </c>
      <c r="B10" s="190" t="s">
        <v>9</v>
      </c>
      <c r="C10" s="192">
        <f t="shared" si="3"/>
        <v>1187686.3056468752</v>
      </c>
      <c r="D10" s="192">
        <f t="shared" si="8"/>
        <v>41569.020697640633</v>
      </c>
      <c r="E10" s="192">
        <f t="shared" si="4"/>
        <v>1229255.3263445159</v>
      </c>
      <c r="F10" s="186"/>
      <c r="G10" s="193">
        <v>0</v>
      </c>
      <c r="H10" s="192">
        <f t="shared" si="9"/>
        <v>1229255.3263445159</v>
      </c>
      <c r="I10">
        <v>2020</v>
      </c>
      <c r="J10" s="71" t="s">
        <v>8</v>
      </c>
      <c r="K10" s="192">
        <f t="shared" si="5"/>
        <v>2004736.2645950625</v>
      </c>
      <c r="L10" s="192">
        <f t="shared" si="0"/>
        <v>70165.76926082719</v>
      </c>
      <c r="M10" s="192">
        <f t="shared" si="1"/>
        <v>2074902.0338558897</v>
      </c>
      <c r="N10" s="186"/>
      <c r="O10" s="193">
        <v>120000</v>
      </c>
      <c r="P10" s="192">
        <f t="shared" si="2"/>
        <v>1954902.0338558897</v>
      </c>
      <c r="Q10">
        <v>2021</v>
      </c>
      <c r="R10" s="71" t="s">
        <v>3</v>
      </c>
      <c r="S10" s="192">
        <f t="shared" si="6"/>
        <v>2297138.6847356251</v>
      </c>
      <c r="T10" s="192">
        <f t="shared" si="10"/>
        <v>80399.853965746879</v>
      </c>
      <c r="U10" s="192">
        <f t="shared" si="7"/>
        <v>2377538.5387013718</v>
      </c>
      <c r="V10" s="186"/>
      <c r="W10" s="193">
        <v>300000</v>
      </c>
      <c r="X10" s="192">
        <f t="shared" si="11"/>
        <v>2077538.5387013718</v>
      </c>
    </row>
    <row r="11" spans="1:24" x14ac:dyDescent="0.2">
      <c r="A11">
        <v>2020</v>
      </c>
      <c r="B11" s="71" t="s">
        <v>10</v>
      </c>
      <c r="C11" s="192">
        <f t="shared" si="3"/>
        <v>1229255.3263445159</v>
      </c>
      <c r="D11" s="192">
        <f t="shared" si="8"/>
        <v>43023.936422058061</v>
      </c>
      <c r="E11" s="192">
        <f t="shared" si="4"/>
        <v>1272279.262766574</v>
      </c>
      <c r="F11" s="186"/>
      <c r="G11" s="193">
        <v>400000</v>
      </c>
      <c r="H11" s="192">
        <f t="shared" si="9"/>
        <v>872279.26276657404</v>
      </c>
      <c r="I11">
        <v>2020</v>
      </c>
      <c r="J11" s="71" t="s">
        <v>9</v>
      </c>
      <c r="K11" s="192">
        <f t="shared" si="5"/>
        <v>1954902.0338558897</v>
      </c>
      <c r="L11" s="192">
        <f t="shared" si="0"/>
        <v>68421.571184956148</v>
      </c>
      <c r="M11" s="192">
        <f t="shared" si="1"/>
        <v>2023323.6050408459</v>
      </c>
      <c r="N11" s="186"/>
      <c r="O11" s="193">
        <v>120000</v>
      </c>
      <c r="P11" s="192">
        <f t="shared" si="2"/>
        <v>1903323.6050408459</v>
      </c>
      <c r="Q11">
        <v>2021</v>
      </c>
      <c r="R11" s="71" t="s">
        <v>4</v>
      </c>
      <c r="S11" s="192">
        <f t="shared" si="6"/>
        <v>2077538.5387013718</v>
      </c>
      <c r="T11" s="192">
        <f t="shared" si="10"/>
        <v>72713.848854548021</v>
      </c>
      <c r="U11" s="192">
        <f t="shared" si="7"/>
        <v>2150252.3875559196</v>
      </c>
      <c r="V11" s="186"/>
      <c r="W11" s="193">
        <v>300000</v>
      </c>
      <c r="X11" s="192">
        <f t="shared" si="11"/>
        <v>1850252.3875559196</v>
      </c>
    </row>
    <row r="12" spans="1:24" x14ac:dyDescent="0.2">
      <c r="A12">
        <v>2020</v>
      </c>
      <c r="B12" s="71" t="s">
        <v>11</v>
      </c>
      <c r="C12" s="192">
        <f t="shared" si="3"/>
        <v>872279.26276657404</v>
      </c>
      <c r="D12" s="192">
        <f t="shared" si="8"/>
        <v>30529.774196830094</v>
      </c>
      <c r="E12" s="192">
        <f t="shared" si="4"/>
        <v>902809.03696340416</v>
      </c>
      <c r="F12" s="186"/>
      <c r="G12" s="192"/>
      <c r="H12" s="192">
        <f t="shared" si="9"/>
        <v>902809.03696340416</v>
      </c>
      <c r="I12">
        <v>2020</v>
      </c>
      <c r="J12" s="71" t="s">
        <v>10</v>
      </c>
      <c r="K12" s="192">
        <f t="shared" si="5"/>
        <v>1903323.6050408459</v>
      </c>
      <c r="L12" s="192">
        <f t="shared" si="0"/>
        <v>66616.326176429618</v>
      </c>
      <c r="M12" s="192">
        <f t="shared" si="1"/>
        <v>1969939.9312172756</v>
      </c>
      <c r="N12" s="186"/>
      <c r="O12" s="193">
        <v>600000</v>
      </c>
      <c r="P12" s="192">
        <f t="shared" si="2"/>
        <v>1369939.9312172756</v>
      </c>
      <c r="Q12">
        <v>2021</v>
      </c>
      <c r="R12" s="71" t="s">
        <v>5</v>
      </c>
      <c r="S12" s="193">
        <v>3150252</v>
      </c>
      <c r="T12" s="192">
        <f>S12*3.5%</f>
        <v>110258.82</v>
      </c>
      <c r="U12" s="192">
        <f t="shared" ref="U12:U18" si="12">S12+T12</f>
        <v>3260510.82</v>
      </c>
      <c r="V12" s="186"/>
      <c r="W12" s="193">
        <v>300000</v>
      </c>
      <c r="X12" s="192">
        <f t="shared" si="11"/>
        <v>2960510.82</v>
      </c>
    </row>
    <row r="13" spans="1:24" x14ac:dyDescent="0.2">
      <c r="A13">
        <v>2020</v>
      </c>
      <c r="B13" s="71" t="s">
        <v>12</v>
      </c>
      <c r="C13" s="192">
        <f>H12</f>
        <v>902809.03696340416</v>
      </c>
      <c r="D13" s="192">
        <f>C13*3.5%</f>
        <v>31598.316293719148</v>
      </c>
      <c r="E13" s="192">
        <f>C13+D13</f>
        <v>934407.35325712326</v>
      </c>
      <c r="F13" s="186"/>
      <c r="G13" s="192"/>
      <c r="H13" s="192">
        <f t="shared" si="9"/>
        <v>934407.35325712326</v>
      </c>
      <c r="I13">
        <v>2020</v>
      </c>
      <c r="J13" s="71" t="s">
        <v>11</v>
      </c>
      <c r="K13" s="192">
        <f t="shared" si="5"/>
        <v>1369939.9312172756</v>
      </c>
      <c r="L13" s="192">
        <f t="shared" si="0"/>
        <v>47947.897592604648</v>
      </c>
      <c r="M13" s="192">
        <f t="shared" si="1"/>
        <v>1417887.8288098802</v>
      </c>
      <c r="N13" s="186"/>
      <c r="O13" s="192"/>
      <c r="P13" s="192">
        <f t="shared" si="2"/>
        <v>1417887.8288098802</v>
      </c>
      <c r="Q13">
        <v>2021</v>
      </c>
      <c r="R13" s="71" t="s">
        <v>6</v>
      </c>
      <c r="S13" s="192">
        <f>X12</f>
        <v>2960510.82</v>
      </c>
      <c r="T13" s="192">
        <f t="shared" si="10"/>
        <v>103617.8787</v>
      </c>
      <c r="U13" s="192">
        <f t="shared" si="12"/>
        <v>3064128.6986999996</v>
      </c>
      <c r="V13" s="186"/>
      <c r="W13" s="193">
        <v>300000</v>
      </c>
      <c r="X13" s="192">
        <f t="shared" si="11"/>
        <v>2764128.6986999996</v>
      </c>
    </row>
    <row r="14" spans="1:24" x14ac:dyDescent="0.2">
      <c r="A14">
        <v>2020</v>
      </c>
      <c r="B14" s="71" t="s">
        <v>13</v>
      </c>
      <c r="C14" s="192">
        <f>H13</f>
        <v>934407.35325712326</v>
      </c>
      <c r="D14" s="192">
        <f>C14*3.5%</f>
        <v>32704.257363999317</v>
      </c>
      <c r="E14" s="192">
        <f>C14+D14</f>
        <v>967111.61062112253</v>
      </c>
      <c r="F14" s="186"/>
      <c r="G14" s="192"/>
      <c r="H14" s="192">
        <f t="shared" si="9"/>
        <v>967111.61062112253</v>
      </c>
      <c r="I14">
        <v>2020</v>
      </c>
      <c r="J14" s="71" t="s">
        <v>12</v>
      </c>
      <c r="K14" s="192">
        <f t="shared" si="5"/>
        <v>1417887.8288098802</v>
      </c>
      <c r="L14" s="192">
        <f t="shared" si="0"/>
        <v>49626.074008345808</v>
      </c>
      <c r="M14" s="192">
        <f t="shared" si="1"/>
        <v>1467513.902818226</v>
      </c>
      <c r="N14" s="186"/>
      <c r="O14" s="192"/>
      <c r="P14" s="192">
        <f t="shared" si="2"/>
        <v>1467513.902818226</v>
      </c>
      <c r="Q14">
        <v>2021</v>
      </c>
      <c r="R14" s="71" t="s">
        <v>7</v>
      </c>
      <c r="S14" s="192">
        <f>X13</f>
        <v>2764128.6986999996</v>
      </c>
      <c r="T14" s="192">
        <f>S14*3.5%</f>
        <v>96744.504454499998</v>
      </c>
      <c r="U14" s="192">
        <f t="shared" si="12"/>
        <v>2860873.2031544996</v>
      </c>
      <c r="V14" s="186"/>
      <c r="W14" s="193">
        <v>300000</v>
      </c>
      <c r="X14" s="192">
        <f t="shared" si="11"/>
        <v>2560873.2031544996</v>
      </c>
    </row>
    <row r="15" spans="1:24" x14ac:dyDescent="0.2">
      <c r="A15">
        <v>2021</v>
      </c>
      <c r="B15" s="71" t="s">
        <v>2</v>
      </c>
      <c r="C15" s="192">
        <f>H14</f>
        <v>967111.61062112253</v>
      </c>
      <c r="D15" s="192">
        <f>C15*3.5%</f>
        <v>33848.906371739293</v>
      </c>
      <c r="E15" s="192">
        <f>C15+D15</f>
        <v>1000960.5169928619</v>
      </c>
      <c r="F15" s="186"/>
      <c r="G15" s="192"/>
      <c r="H15" s="192">
        <f t="shared" si="9"/>
        <v>1000960.5169928619</v>
      </c>
      <c r="I15">
        <v>2020</v>
      </c>
      <c r="J15" s="71" t="s">
        <v>13</v>
      </c>
      <c r="K15" s="192">
        <f t="shared" si="5"/>
        <v>1467513.902818226</v>
      </c>
      <c r="L15" s="192">
        <f t="shared" si="0"/>
        <v>51362.986598637915</v>
      </c>
      <c r="M15" s="192">
        <f t="shared" si="1"/>
        <v>1518876.8894168639</v>
      </c>
      <c r="N15" s="186"/>
      <c r="O15" s="192"/>
      <c r="P15" s="192">
        <f t="shared" si="2"/>
        <v>1518876.8894168639</v>
      </c>
      <c r="Q15">
        <v>2021</v>
      </c>
      <c r="R15" s="71" t="s">
        <v>8</v>
      </c>
      <c r="S15" s="192">
        <f>X14</f>
        <v>2560873.2031544996</v>
      </c>
      <c r="T15" s="192">
        <f>S15*3.5%</f>
        <v>89630.562110407496</v>
      </c>
      <c r="U15" s="192">
        <f t="shared" si="12"/>
        <v>2650503.7652649069</v>
      </c>
      <c r="V15" s="186"/>
      <c r="W15" s="193">
        <v>300000</v>
      </c>
      <c r="X15" s="192">
        <f t="shared" si="11"/>
        <v>2350503.7652649069</v>
      </c>
    </row>
    <row r="16" spans="1:24" x14ac:dyDescent="0.2">
      <c r="A16">
        <v>2021</v>
      </c>
      <c r="B16" s="71" t="s">
        <v>3</v>
      </c>
      <c r="C16" s="192">
        <f>H15</f>
        <v>1000960.5169928619</v>
      </c>
      <c r="D16" s="192">
        <f>C16*3.5%</f>
        <v>35033.618094750171</v>
      </c>
      <c r="E16" s="192">
        <f>C16+D16</f>
        <v>1035994.1350876121</v>
      </c>
      <c r="F16" s="186"/>
      <c r="G16" s="192"/>
      <c r="H16" s="192">
        <f t="shared" si="9"/>
        <v>1035994.1350876121</v>
      </c>
      <c r="I16">
        <v>2021</v>
      </c>
      <c r="J16" s="71" t="s">
        <v>2</v>
      </c>
      <c r="K16" s="192">
        <f t="shared" si="5"/>
        <v>1518876.8894168639</v>
      </c>
      <c r="L16" s="192">
        <f t="shared" si="0"/>
        <v>53160.691129590239</v>
      </c>
      <c r="M16" s="192">
        <f t="shared" si="1"/>
        <v>1572037.5805464541</v>
      </c>
      <c r="N16" s="186"/>
      <c r="O16" s="192"/>
      <c r="P16" s="192">
        <f t="shared" si="2"/>
        <v>1572037.5805464541</v>
      </c>
      <c r="Q16">
        <v>2021</v>
      </c>
      <c r="R16" s="71" t="s">
        <v>9</v>
      </c>
      <c r="S16" s="192">
        <f>X15</f>
        <v>2350503.7652649069</v>
      </c>
      <c r="T16" s="192">
        <f>S16*3.5%</f>
        <v>82267.631784271754</v>
      </c>
      <c r="U16" s="192">
        <f t="shared" si="12"/>
        <v>2432771.3970491788</v>
      </c>
      <c r="V16" s="186"/>
      <c r="W16" s="193">
        <v>300000</v>
      </c>
      <c r="X16" s="192">
        <f t="shared" si="11"/>
        <v>2132771.3970491788</v>
      </c>
    </row>
    <row r="17" spans="1:24" x14ac:dyDescent="0.2">
      <c r="A17">
        <v>2021</v>
      </c>
      <c r="B17" s="71" t="s">
        <v>4</v>
      </c>
      <c r="C17" s="192">
        <f t="shared" ref="C17:C34" si="13">H16</f>
        <v>1035994.1350876121</v>
      </c>
      <c r="D17" s="192">
        <f t="shared" ref="D17:D34" si="14">C17*3.5%</f>
        <v>36259.794728066423</v>
      </c>
      <c r="E17" s="192">
        <f t="shared" ref="E17:E34" si="15">C17+D17</f>
        <v>1072253.9298156784</v>
      </c>
      <c r="F17" s="186"/>
      <c r="G17" s="192"/>
      <c r="H17" s="192">
        <f t="shared" ref="H17:H34" si="16">E17-G17</f>
        <v>1072253.9298156784</v>
      </c>
      <c r="I17">
        <v>2021</v>
      </c>
      <c r="J17" s="71" t="s">
        <v>3</v>
      </c>
      <c r="K17" s="192">
        <f t="shared" si="5"/>
        <v>1572037.5805464541</v>
      </c>
      <c r="L17" s="192">
        <f t="shared" si="0"/>
        <v>55021.315319125897</v>
      </c>
      <c r="M17" s="192">
        <f t="shared" si="1"/>
        <v>1627058.8958655801</v>
      </c>
      <c r="N17" s="186"/>
      <c r="O17" s="192"/>
      <c r="P17" s="192">
        <f t="shared" si="2"/>
        <v>1627058.8958655801</v>
      </c>
      <c r="Q17">
        <v>2021</v>
      </c>
      <c r="R17" s="71" t="s">
        <v>10</v>
      </c>
      <c r="S17" s="193">
        <v>3632771</v>
      </c>
      <c r="T17" s="192">
        <f>S17*3.5%</f>
        <v>127146.98500000002</v>
      </c>
      <c r="U17" s="192">
        <f t="shared" si="12"/>
        <v>3759917.9849999999</v>
      </c>
      <c r="V17" s="186"/>
      <c r="W17" s="193">
        <v>300000</v>
      </c>
      <c r="X17" s="192">
        <f>U17-W17</f>
        <v>3459917.9849999999</v>
      </c>
    </row>
    <row r="18" spans="1:24" x14ac:dyDescent="0.2">
      <c r="A18">
        <v>2021</v>
      </c>
      <c r="B18" s="71" t="s">
        <v>5</v>
      </c>
      <c r="C18" s="192">
        <f t="shared" si="13"/>
        <v>1072253.9298156784</v>
      </c>
      <c r="D18" s="192">
        <f t="shared" si="14"/>
        <v>37528.88754354875</v>
      </c>
      <c r="E18" s="192">
        <f t="shared" si="15"/>
        <v>1109782.8173592272</v>
      </c>
      <c r="F18" s="186"/>
      <c r="G18" s="192"/>
      <c r="H18" s="192">
        <f t="shared" si="16"/>
        <v>1109782.8173592272</v>
      </c>
      <c r="I18">
        <v>2021</v>
      </c>
      <c r="J18" s="71" t="s">
        <v>4</v>
      </c>
      <c r="K18" s="192">
        <f t="shared" si="5"/>
        <v>1627058.8958655801</v>
      </c>
      <c r="L18" s="192">
        <f t="shared" si="0"/>
        <v>56947.061355295307</v>
      </c>
      <c r="M18" s="192">
        <f t="shared" si="1"/>
        <v>1684005.9572208754</v>
      </c>
      <c r="N18" s="186"/>
      <c r="O18" s="192"/>
      <c r="P18" s="192">
        <f t="shared" si="2"/>
        <v>1684005.9572208754</v>
      </c>
      <c r="Q18">
        <v>2021</v>
      </c>
      <c r="R18" s="71" t="s">
        <v>11</v>
      </c>
      <c r="S18" s="192">
        <f>X17</f>
        <v>3459917.9849999999</v>
      </c>
      <c r="T18" s="192">
        <f>S18*3.5%</f>
        <v>121097.12947500001</v>
      </c>
      <c r="U18" s="192">
        <f t="shared" si="12"/>
        <v>3581015.1144749997</v>
      </c>
      <c r="V18" s="186"/>
      <c r="W18" s="192">
        <v>250000</v>
      </c>
      <c r="X18" s="192">
        <f>U18-W18</f>
        <v>3331015.1144749997</v>
      </c>
    </row>
    <row r="19" spans="1:24" x14ac:dyDescent="0.2">
      <c r="A19">
        <v>2021</v>
      </c>
      <c r="B19" s="71" t="s">
        <v>6</v>
      </c>
      <c r="C19" s="192">
        <f t="shared" si="13"/>
        <v>1109782.8173592272</v>
      </c>
      <c r="D19" s="192">
        <f t="shared" si="14"/>
        <v>38842.398607572955</v>
      </c>
      <c r="E19" s="192">
        <f t="shared" si="15"/>
        <v>1148625.2159668002</v>
      </c>
      <c r="F19" s="186"/>
      <c r="G19" s="192"/>
      <c r="H19" s="192">
        <f t="shared" si="16"/>
        <v>1148625.2159668002</v>
      </c>
      <c r="I19">
        <v>2021</v>
      </c>
      <c r="J19" s="71" t="s">
        <v>5</v>
      </c>
      <c r="K19" s="192">
        <f t="shared" si="5"/>
        <v>1684005.9572208754</v>
      </c>
      <c r="L19" s="192">
        <f t="shared" si="0"/>
        <v>58940.208502730646</v>
      </c>
      <c r="M19" s="192">
        <f t="shared" si="1"/>
        <v>1742946.165723606</v>
      </c>
      <c r="N19" s="186"/>
      <c r="O19" s="192"/>
      <c r="P19" s="192">
        <f t="shared" si="2"/>
        <v>1742946.165723606</v>
      </c>
      <c r="Q19">
        <v>2021</v>
      </c>
      <c r="R19" s="71" t="s">
        <v>12</v>
      </c>
      <c r="S19" s="192">
        <f t="shared" ref="S19:S25" si="17">X18</f>
        <v>3331015.1144749997</v>
      </c>
      <c r="T19" s="192">
        <f t="shared" ref="T19:T25" si="18">S19*3.5%</f>
        <v>116585.529006625</v>
      </c>
      <c r="U19" s="192">
        <f t="shared" ref="U19:U25" si="19">S19+T19</f>
        <v>3447600.6434816248</v>
      </c>
      <c r="V19" s="186"/>
      <c r="W19" s="192">
        <v>250000</v>
      </c>
      <c r="X19" s="192">
        <f t="shared" ref="X19:X25" si="20">U19-W19</f>
        <v>3197600.6434816248</v>
      </c>
    </row>
    <row r="20" spans="1:24" x14ac:dyDescent="0.2">
      <c r="A20">
        <v>2021</v>
      </c>
      <c r="B20" s="71" t="s">
        <v>7</v>
      </c>
      <c r="C20" s="192">
        <f t="shared" si="13"/>
        <v>1148625.2159668002</v>
      </c>
      <c r="D20" s="192">
        <f t="shared" si="14"/>
        <v>40201.882558838013</v>
      </c>
      <c r="E20" s="192">
        <f t="shared" si="15"/>
        <v>1188827.0985256382</v>
      </c>
      <c r="F20" s="186"/>
      <c r="G20" s="192"/>
      <c r="H20" s="192">
        <f t="shared" si="16"/>
        <v>1188827.0985256382</v>
      </c>
      <c r="I20">
        <v>2021</v>
      </c>
      <c r="J20" s="71" t="s">
        <v>6</v>
      </c>
      <c r="K20" s="192">
        <f t="shared" si="5"/>
        <v>1742946.165723606</v>
      </c>
      <c r="L20" s="192">
        <f t="shared" si="0"/>
        <v>61003.115800326217</v>
      </c>
      <c r="M20" s="192">
        <f t="shared" si="1"/>
        <v>1803949.2815239322</v>
      </c>
      <c r="N20" s="186"/>
      <c r="O20" s="192"/>
      <c r="P20" s="192">
        <f t="shared" si="2"/>
        <v>1803949.2815239322</v>
      </c>
      <c r="Q20">
        <v>2021</v>
      </c>
      <c r="R20" s="71" t="s">
        <v>13</v>
      </c>
      <c r="S20" s="192">
        <f t="shared" si="17"/>
        <v>3197600.6434816248</v>
      </c>
      <c r="T20" s="192">
        <f t="shared" si="18"/>
        <v>111916.02252185688</v>
      </c>
      <c r="U20" s="192">
        <f t="shared" si="19"/>
        <v>3309516.6660034815</v>
      </c>
      <c r="V20" s="186"/>
      <c r="W20" s="192">
        <v>250000</v>
      </c>
      <c r="X20" s="192">
        <f t="shared" si="20"/>
        <v>3059516.6660034815</v>
      </c>
    </row>
    <row r="21" spans="1:24" x14ac:dyDescent="0.2">
      <c r="A21">
        <v>2021</v>
      </c>
      <c r="B21" s="71" t="s">
        <v>8</v>
      </c>
      <c r="C21" s="192">
        <f t="shared" si="13"/>
        <v>1188827.0985256382</v>
      </c>
      <c r="D21" s="192">
        <f t="shared" si="14"/>
        <v>41608.948448397343</v>
      </c>
      <c r="E21" s="192">
        <f t="shared" si="15"/>
        <v>1230436.0469740357</v>
      </c>
      <c r="F21" s="186"/>
      <c r="G21" s="192"/>
      <c r="H21" s="192">
        <f t="shared" si="16"/>
        <v>1230436.0469740357</v>
      </c>
      <c r="I21">
        <v>2021</v>
      </c>
      <c r="J21" s="71" t="s">
        <v>7</v>
      </c>
      <c r="K21" s="192">
        <f t="shared" si="5"/>
        <v>1803949.2815239322</v>
      </c>
      <c r="L21" s="192">
        <f t="shared" si="0"/>
        <v>63138.224853337633</v>
      </c>
      <c r="M21" s="192">
        <f t="shared" si="1"/>
        <v>1867087.50637727</v>
      </c>
      <c r="N21" s="186"/>
      <c r="O21" s="192"/>
      <c r="P21" s="192">
        <f t="shared" si="2"/>
        <v>1867087.50637727</v>
      </c>
      <c r="Q21">
        <v>2022</v>
      </c>
      <c r="R21" s="71" t="s">
        <v>2</v>
      </c>
      <c r="S21" s="192">
        <f t="shared" si="17"/>
        <v>3059516.6660034815</v>
      </c>
      <c r="T21" s="192">
        <f t="shared" si="18"/>
        <v>107083.08331012186</v>
      </c>
      <c r="U21" s="192">
        <f t="shared" si="19"/>
        <v>3166599.7493136032</v>
      </c>
      <c r="V21" s="186"/>
      <c r="W21" s="192">
        <v>250000</v>
      </c>
      <c r="X21" s="192">
        <f t="shared" si="20"/>
        <v>2916599.7493136032</v>
      </c>
    </row>
    <row r="22" spans="1:24" x14ac:dyDescent="0.2">
      <c r="A22">
        <v>2021</v>
      </c>
      <c r="B22" s="71" t="s">
        <v>9</v>
      </c>
      <c r="C22" s="192">
        <f t="shared" si="13"/>
        <v>1230436.0469740357</v>
      </c>
      <c r="D22" s="192">
        <f t="shared" si="14"/>
        <v>43065.261644091253</v>
      </c>
      <c r="E22" s="192">
        <f t="shared" si="15"/>
        <v>1273501.3086181269</v>
      </c>
      <c r="F22" s="186"/>
      <c r="G22" s="192"/>
      <c r="H22" s="192">
        <f t="shared" si="16"/>
        <v>1273501.3086181269</v>
      </c>
      <c r="I22">
        <v>2021</v>
      </c>
      <c r="J22" s="71" t="s">
        <v>8</v>
      </c>
      <c r="K22" s="192">
        <f t="shared" si="5"/>
        <v>1867087.50637727</v>
      </c>
      <c r="L22" s="192">
        <f t="shared" si="0"/>
        <v>65348.062723204457</v>
      </c>
      <c r="M22" s="192">
        <f t="shared" si="1"/>
        <v>1932435.5691004745</v>
      </c>
      <c r="N22" s="186"/>
      <c r="O22" s="192"/>
      <c r="P22" s="192">
        <f t="shared" si="2"/>
        <v>1932435.5691004745</v>
      </c>
      <c r="Q22">
        <v>2022</v>
      </c>
      <c r="R22" s="71" t="s">
        <v>3</v>
      </c>
      <c r="S22" s="192">
        <f t="shared" si="17"/>
        <v>2916599.7493136032</v>
      </c>
      <c r="T22" s="192">
        <f t="shared" si="18"/>
        <v>102080.99122597612</v>
      </c>
      <c r="U22" s="192">
        <f t="shared" si="19"/>
        <v>3018680.7405395792</v>
      </c>
      <c r="V22" s="186"/>
      <c r="W22" s="192">
        <v>210000</v>
      </c>
      <c r="X22" s="192">
        <f t="shared" si="20"/>
        <v>2808680.7405395792</v>
      </c>
    </row>
    <row r="23" spans="1:24" x14ac:dyDescent="0.2">
      <c r="A23">
        <v>2021</v>
      </c>
      <c r="B23" s="71" t="s">
        <v>10</v>
      </c>
      <c r="C23" s="192">
        <f t="shared" si="13"/>
        <v>1273501.3086181269</v>
      </c>
      <c r="D23" s="192">
        <f t="shared" si="14"/>
        <v>44572.545801634449</v>
      </c>
      <c r="E23" s="192">
        <f t="shared" si="15"/>
        <v>1318073.8544197613</v>
      </c>
      <c r="F23" s="186"/>
      <c r="G23" s="192"/>
      <c r="H23" s="192">
        <f t="shared" si="16"/>
        <v>1318073.8544197613</v>
      </c>
      <c r="I23">
        <v>2021</v>
      </c>
      <c r="J23" s="71" t="s">
        <v>9</v>
      </c>
      <c r="K23" s="192">
        <f t="shared" si="5"/>
        <v>1932435.5691004745</v>
      </c>
      <c r="L23" s="192">
        <f t="shared" si="0"/>
        <v>67635.244918516619</v>
      </c>
      <c r="M23" s="192">
        <f t="shared" si="1"/>
        <v>2000070.8140189911</v>
      </c>
      <c r="N23" s="186"/>
      <c r="O23" s="192"/>
      <c r="P23" s="192">
        <f t="shared" si="2"/>
        <v>2000070.8140189911</v>
      </c>
      <c r="Q23">
        <v>2022</v>
      </c>
      <c r="R23" s="71" t="s">
        <v>4</v>
      </c>
      <c r="S23" s="192">
        <f t="shared" si="17"/>
        <v>2808680.7405395792</v>
      </c>
      <c r="T23" s="192">
        <f t="shared" si="18"/>
        <v>98303.825918885283</v>
      </c>
      <c r="U23" s="192">
        <f t="shared" si="19"/>
        <v>2906984.5664584646</v>
      </c>
      <c r="V23" s="186"/>
      <c r="W23" s="192">
        <v>200000</v>
      </c>
      <c r="X23" s="192">
        <f t="shared" si="20"/>
        <v>2706984.5664584646</v>
      </c>
    </row>
    <row r="24" spans="1:24" x14ac:dyDescent="0.2">
      <c r="A24">
        <v>2021</v>
      </c>
      <c r="B24" s="71" t="s">
        <v>11</v>
      </c>
      <c r="C24" s="192">
        <f t="shared" si="13"/>
        <v>1318073.8544197613</v>
      </c>
      <c r="D24" s="192">
        <f t="shared" si="14"/>
        <v>46132.584904691648</v>
      </c>
      <c r="E24" s="192">
        <f t="shared" si="15"/>
        <v>1364206.439324453</v>
      </c>
      <c r="F24" s="186"/>
      <c r="G24" s="192"/>
      <c r="H24" s="192">
        <f t="shared" si="16"/>
        <v>1364206.439324453</v>
      </c>
      <c r="I24">
        <v>2021</v>
      </c>
      <c r="J24" s="71" t="s">
        <v>10</v>
      </c>
      <c r="K24" s="192">
        <f t="shared" si="5"/>
        <v>2000070.8140189911</v>
      </c>
      <c r="L24" s="192">
        <f t="shared" si="0"/>
        <v>70002.478490664696</v>
      </c>
      <c r="M24" s="192">
        <f t="shared" si="1"/>
        <v>2070073.2925096557</v>
      </c>
      <c r="N24" s="186"/>
      <c r="O24" s="192"/>
      <c r="P24" s="192">
        <f t="shared" si="2"/>
        <v>2070073.2925096557</v>
      </c>
      <c r="Q24">
        <v>2022</v>
      </c>
      <c r="R24" s="71" t="s">
        <v>5</v>
      </c>
      <c r="S24" s="192">
        <f t="shared" si="17"/>
        <v>2706984.5664584646</v>
      </c>
      <c r="T24" s="192">
        <f t="shared" si="18"/>
        <v>94744.459826046266</v>
      </c>
      <c r="U24" s="192">
        <f t="shared" si="19"/>
        <v>2801729.0262845107</v>
      </c>
      <c r="V24" s="186"/>
      <c r="W24" s="192"/>
      <c r="X24" s="192">
        <f t="shared" si="20"/>
        <v>2801729.0262845107</v>
      </c>
    </row>
    <row r="25" spans="1:24" x14ac:dyDescent="0.2">
      <c r="A25">
        <v>2021</v>
      </c>
      <c r="B25" s="71" t="s">
        <v>12</v>
      </c>
      <c r="C25" s="192">
        <f t="shared" si="13"/>
        <v>1364206.439324453</v>
      </c>
      <c r="D25" s="192">
        <f t="shared" si="14"/>
        <v>47747.225376355862</v>
      </c>
      <c r="E25" s="192">
        <f t="shared" si="15"/>
        <v>1411953.6647008089</v>
      </c>
      <c r="F25" s="186"/>
      <c r="G25" s="192"/>
      <c r="H25" s="192">
        <f t="shared" si="16"/>
        <v>1411953.6647008089</v>
      </c>
      <c r="I25">
        <v>2021</v>
      </c>
      <c r="J25" s="71" t="s">
        <v>11</v>
      </c>
      <c r="K25" s="192">
        <f t="shared" si="5"/>
        <v>2070073.2925096557</v>
      </c>
      <c r="L25" s="192">
        <f t="shared" si="0"/>
        <v>72452.56523783796</v>
      </c>
      <c r="M25" s="192">
        <f t="shared" si="1"/>
        <v>2142525.8577474938</v>
      </c>
      <c r="N25" s="186"/>
      <c r="O25" s="192"/>
      <c r="P25" s="192">
        <f t="shared" si="2"/>
        <v>2142525.8577474938</v>
      </c>
      <c r="Q25">
        <v>2022</v>
      </c>
      <c r="R25" s="71" t="s">
        <v>6</v>
      </c>
      <c r="S25" s="192">
        <f t="shared" si="17"/>
        <v>2801729.0262845107</v>
      </c>
      <c r="T25" s="192">
        <f t="shared" si="18"/>
        <v>98060.515919957892</v>
      </c>
      <c r="U25" s="192">
        <f t="shared" si="19"/>
        <v>2899789.5422044685</v>
      </c>
      <c r="V25" s="186"/>
      <c r="W25" s="192"/>
      <c r="X25" s="192">
        <f t="shared" si="20"/>
        <v>2899789.5422044685</v>
      </c>
    </row>
    <row r="26" spans="1:24" x14ac:dyDescent="0.2">
      <c r="A26">
        <v>2021</v>
      </c>
      <c r="B26" s="71" t="s">
        <v>13</v>
      </c>
      <c r="C26" s="192">
        <f t="shared" si="13"/>
        <v>1411953.6647008089</v>
      </c>
      <c r="D26" s="192">
        <f t="shared" si="14"/>
        <v>49418.378264528321</v>
      </c>
      <c r="E26" s="192">
        <f t="shared" si="15"/>
        <v>1461372.0429653372</v>
      </c>
      <c r="F26" s="186"/>
      <c r="G26" s="192"/>
      <c r="H26" s="192">
        <f t="shared" si="16"/>
        <v>1461372.0429653372</v>
      </c>
      <c r="I26">
        <v>2021</v>
      </c>
      <c r="J26" s="71" t="s">
        <v>12</v>
      </c>
      <c r="K26" s="192">
        <f t="shared" si="5"/>
        <v>2142525.8577474938</v>
      </c>
      <c r="L26" s="192">
        <f t="shared" si="0"/>
        <v>74988.405021162296</v>
      </c>
      <c r="M26" s="192">
        <f t="shared" si="1"/>
        <v>2217514.262768656</v>
      </c>
      <c r="N26" s="186"/>
      <c r="O26" s="192"/>
      <c r="P26" s="192">
        <f t="shared" si="2"/>
        <v>2217514.262768656</v>
      </c>
      <c r="Q26">
        <v>2022</v>
      </c>
      <c r="R26" s="71" t="s">
        <v>7</v>
      </c>
      <c r="S26" s="192">
        <f t="shared" ref="S26:S32" si="21">X25</f>
        <v>2899789.5422044685</v>
      </c>
      <c r="T26" s="192">
        <f t="shared" ref="T26:T32" si="22">S26*3.5%</f>
        <v>101492.63397715641</v>
      </c>
      <c r="U26" s="192">
        <f t="shared" ref="U26:U32" si="23">S26+T26</f>
        <v>3001282.1761816251</v>
      </c>
      <c r="V26" s="186"/>
      <c r="W26" s="192"/>
      <c r="X26" s="192">
        <f t="shared" ref="X26:X32" si="24">U26-W26</f>
        <v>3001282.1761816251</v>
      </c>
    </row>
    <row r="27" spans="1:24" x14ac:dyDescent="0.2">
      <c r="A27">
        <v>2022</v>
      </c>
      <c r="B27" s="71" t="s">
        <v>2</v>
      </c>
      <c r="C27" s="192">
        <f t="shared" si="13"/>
        <v>1461372.0429653372</v>
      </c>
      <c r="D27" s="192">
        <f t="shared" si="14"/>
        <v>51148.021503786804</v>
      </c>
      <c r="E27" s="192">
        <f t="shared" si="15"/>
        <v>1512520.064469124</v>
      </c>
      <c r="F27" s="186"/>
      <c r="G27" s="192"/>
      <c r="H27" s="192">
        <f t="shared" si="16"/>
        <v>1512520.064469124</v>
      </c>
      <c r="I27">
        <v>2021</v>
      </c>
      <c r="J27" s="71" t="s">
        <v>13</v>
      </c>
      <c r="K27" s="192">
        <f t="shared" si="5"/>
        <v>2217514.262768656</v>
      </c>
      <c r="L27" s="192">
        <f t="shared" si="0"/>
        <v>77612.999196902965</v>
      </c>
      <c r="M27" s="192">
        <f t="shared" si="1"/>
        <v>2295127.2619655589</v>
      </c>
      <c r="N27" s="186"/>
      <c r="O27" s="192"/>
      <c r="P27" s="192">
        <f t="shared" si="2"/>
        <v>2295127.2619655589</v>
      </c>
      <c r="Q27">
        <v>2022</v>
      </c>
      <c r="R27" s="71" t="s">
        <v>8</v>
      </c>
      <c r="S27" s="192">
        <f t="shared" si="21"/>
        <v>3001282.1761816251</v>
      </c>
      <c r="T27" s="192">
        <f t="shared" si="22"/>
        <v>105044.87616635689</v>
      </c>
      <c r="U27" s="192">
        <f t="shared" si="23"/>
        <v>3106327.0523479818</v>
      </c>
      <c r="V27" s="186"/>
      <c r="W27" s="192"/>
      <c r="X27" s="192">
        <f t="shared" si="24"/>
        <v>3106327.0523479818</v>
      </c>
    </row>
    <row r="28" spans="1:24" x14ac:dyDescent="0.2">
      <c r="A28">
        <v>2022</v>
      </c>
      <c r="B28" s="71" t="s">
        <v>3</v>
      </c>
      <c r="C28" s="192">
        <f t="shared" si="13"/>
        <v>1512520.064469124</v>
      </c>
      <c r="D28" s="192">
        <f t="shared" si="14"/>
        <v>52938.202256419347</v>
      </c>
      <c r="E28" s="192">
        <f t="shared" si="15"/>
        <v>1565458.2667255434</v>
      </c>
      <c r="F28" s="186"/>
      <c r="G28" s="192"/>
      <c r="H28" s="192">
        <f t="shared" si="16"/>
        <v>1565458.2667255434</v>
      </c>
      <c r="I28">
        <v>2022</v>
      </c>
      <c r="J28" s="71" t="s">
        <v>2</v>
      </c>
      <c r="K28" s="192">
        <f t="shared" si="5"/>
        <v>2295127.2619655589</v>
      </c>
      <c r="L28" s="192">
        <f t="shared" si="0"/>
        <v>80329.454168794575</v>
      </c>
      <c r="M28" s="192">
        <f t="shared" si="1"/>
        <v>2375456.7161343535</v>
      </c>
      <c r="N28" s="186"/>
      <c r="O28" s="192"/>
      <c r="P28" s="192">
        <f t="shared" si="2"/>
        <v>2375456.7161343535</v>
      </c>
      <c r="Q28">
        <v>2022</v>
      </c>
      <c r="R28" s="71" t="s">
        <v>9</v>
      </c>
      <c r="S28" s="192">
        <f t="shared" si="21"/>
        <v>3106327.0523479818</v>
      </c>
      <c r="T28" s="192">
        <f t="shared" si="22"/>
        <v>108721.44683217937</v>
      </c>
      <c r="U28" s="192">
        <f t="shared" si="23"/>
        <v>3215048.4991801614</v>
      </c>
      <c r="V28" s="186"/>
      <c r="W28" s="192"/>
      <c r="X28" s="192">
        <f t="shared" si="24"/>
        <v>3215048.4991801614</v>
      </c>
    </row>
    <row r="29" spans="1:24" x14ac:dyDescent="0.2">
      <c r="A29">
        <v>2022</v>
      </c>
      <c r="B29" s="71" t="s">
        <v>4</v>
      </c>
      <c r="C29" s="192">
        <f t="shared" si="13"/>
        <v>1565458.2667255434</v>
      </c>
      <c r="D29" s="192">
        <f t="shared" si="14"/>
        <v>54791.039335394024</v>
      </c>
      <c r="E29" s="192">
        <f t="shared" si="15"/>
        <v>1620249.3060609375</v>
      </c>
      <c r="F29" s="186"/>
      <c r="G29" s="192"/>
      <c r="H29" s="192">
        <f t="shared" si="16"/>
        <v>1620249.3060609375</v>
      </c>
      <c r="I29">
        <v>2022</v>
      </c>
      <c r="J29" s="71" t="s">
        <v>3</v>
      </c>
      <c r="K29" s="192">
        <f t="shared" si="5"/>
        <v>2375456.7161343535</v>
      </c>
      <c r="L29" s="192">
        <f t="shared" si="0"/>
        <v>83140.985064702385</v>
      </c>
      <c r="M29" s="192">
        <f t="shared" si="1"/>
        <v>2458597.7011990561</v>
      </c>
      <c r="N29" s="186"/>
      <c r="O29" s="192"/>
      <c r="P29" s="192">
        <f t="shared" si="2"/>
        <v>2458597.7011990561</v>
      </c>
      <c r="Q29">
        <v>2022</v>
      </c>
      <c r="R29" s="71" t="s">
        <v>10</v>
      </c>
      <c r="S29" s="192">
        <f t="shared" si="21"/>
        <v>3215048.4991801614</v>
      </c>
      <c r="T29" s="192">
        <f t="shared" si="22"/>
        <v>112526.69747130566</v>
      </c>
      <c r="U29" s="192">
        <f t="shared" si="23"/>
        <v>3327575.1966514671</v>
      </c>
      <c r="V29" s="186"/>
      <c r="W29" s="192"/>
      <c r="X29" s="192">
        <f t="shared" si="24"/>
        <v>3327575.1966514671</v>
      </c>
    </row>
    <row r="30" spans="1:24" x14ac:dyDescent="0.2">
      <c r="A30">
        <v>2022</v>
      </c>
      <c r="B30" s="71" t="s">
        <v>5</v>
      </c>
      <c r="C30" s="192">
        <f t="shared" si="13"/>
        <v>1620249.3060609375</v>
      </c>
      <c r="D30" s="192">
        <f t="shared" si="14"/>
        <v>56708.725712132815</v>
      </c>
      <c r="E30" s="192">
        <f t="shared" si="15"/>
        <v>1676958.0317730703</v>
      </c>
      <c r="F30" s="186"/>
      <c r="G30" s="192"/>
      <c r="H30" s="192">
        <f t="shared" si="16"/>
        <v>1676958.0317730703</v>
      </c>
      <c r="I30">
        <v>2022</v>
      </c>
      <c r="J30" s="71" t="s">
        <v>4</v>
      </c>
      <c r="K30" s="192">
        <f t="shared" si="5"/>
        <v>2458597.7011990561</v>
      </c>
      <c r="L30" s="192">
        <f t="shared" si="0"/>
        <v>86050.91954196697</v>
      </c>
      <c r="M30" s="192">
        <f t="shared" si="1"/>
        <v>2544648.6207410232</v>
      </c>
      <c r="N30" s="186"/>
      <c r="O30" s="192"/>
      <c r="P30" s="192">
        <f t="shared" si="2"/>
        <v>2544648.6207410232</v>
      </c>
      <c r="Q30">
        <v>2022</v>
      </c>
      <c r="R30" s="71" t="s">
        <v>11</v>
      </c>
      <c r="S30" s="192">
        <f t="shared" si="21"/>
        <v>3327575.1966514671</v>
      </c>
      <c r="T30" s="192">
        <f t="shared" si="22"/>
        <v>116465.13188280136</v>
      </c>
      <c r="U30" s="192">
        <f t="shared" si="23"/>
        <v>3444040.3285342683</v>
      </c>
      <c r="V30" s="186"/>
      <c r="W30" s="192"/>
      <c r="X30" s="192">
        <f t="shared" si="24"/>
        <v>3444040.3285342683</v>
      </c>
    </row>
    <row r="31" spans="1:24" x14ac:dyDescent="0.2">
      <c r="A31">
        <v>2022</v>
      </c>
      <c r="B31" s="71" t="s">
        <v>6</v>
      </c>
      <c r="C31" s="192">
        <f t="shared" si="13"/>
        <v>1676958.0317730703</v>
      </c>
      <c r="D31" s="192">
        <f t="shared" si="14"/>
        <v>58693.53111205747</v>
      </c>
      <c r="E31" s="192">
        <f t="shared" si="15"/>
        <v>1735651.5628851277</v>
      </c>
      <c r="F31" s="186"/>
      <c r="G31" s="192"/>
      <c r="H31" s="192">
        <f t="shared" si="16"/>
        <v>1735651.5628851277</v>
      </c>
      <c r="I31">
        <v>2022</v>
      </c>
      <c r="J31" s="71" t="s">
        <v>5</v>
      </c>
      <c r="K31" s="192">
        <f t="shared" si="5"/>
        <v>2544648.6207410232</v>
      </c>
      <c r="L31" s="192">
        <f t="shared" si="0"/>
        <v>89062.701725935825</v>
      </c>
      <c r="M31" s="192">
        <f t="shared" si="1"/>
        <v>2633711.3224669592</v>
      </c>
      <c r="N31" s="186"/>
      <c r="O31" s="192"/>
      <c r="P31" s="192">
        <f t="shared" si="2"/>
        <v>2633711.3224669592</v>
      </c>
      <c r="Q31">
        <v>2022</v>
      </c>
      <c r="R31" s="71" t="s">
        <v>12</v>
      </c>
      <c r="S31" s="192">
        <f t="shared" si="21"/>
        <v>3444040.3285342683</v>
      </c>
      <c r="T31" s="192">
        <f t="shared" si="22"/>
        <v>120541.4114986994</v>
      </c>
      <c r="U31" s="192">
        <f t="shared" si="23"/>
        <v>3564581.7400329676</v>
      </c>
      <c r="V31" s="186"/>
      <c r="W31" s="192"/>
      <c r="X31" s="192">
        <f t="shared" si="24"/>
        <v>3564581.7400329676</v>
      </c>
    </row>
    <row r="32" spans="1:24" x14ac:dyDescent="0.2">
      <c r="A32">
        <v>2022</v>
      </c>
      <c r="B32" s="71" t="s">
        <v>7</v>
      </c>
      <c r="C32" s="192">
        <f t="shared" si="13"/>
        <v>1735651.5628851277</v>
      </c>
      <c r="D32" s="192">
        <f t="shared" si="14"/>
        <v>60747.804700979475</v>
      </c>
      <c r="E32" s="192">
        <f t="shared" si="15"/>
        <v>1796399.3675861072</v>
      </c>
      <c r="F32" s="186"/>
      <c r="G32" s="192"/>
      <c r="H32" s="192">
        <f t="shared" si="16"/>
        <v>1796399.3675861072</v>
      </c>
      <c r="I32">
        <v>2022</v>
      </c>
      <c r="J32" s="71" t="s">
        <v>6</v>
      </c>
      <c r="K32" s="192">
        <f t="shared" si="5"/>
        <v>2633711.3224669592</v>
      </c>
      <c r="L32" s="192">
        <f t="shared" si="0"/>
        <v>92179.896286343588</v>
      </c>
      <c r="M32" s="192">
        <f t="shared" si="1"/>
        <v>2725891.2187533029</v>
      </c>
      <c r="N32" s="186"/>
      <c r="O32" s="192"/>
      <c r="P32" s="192">
        <f t="shared" si="2"/>
        <v>2725891.2187533029</v>
      </c>
      <c r="Q32">
        <v>2022</v>
      </c>
      <c r="R32" s="71" t="s">
        <v>13</v>
      </c>
      <c r="S32" s="192">
        <f t="shared" si="21"/>
        <v>3564581.7400329676</v>
      </c>
      <c r="T32" s="192">
        <f t="shared" si="22"/>
        <v>124760.36090115388</v>
      </c>
      <c r="U32" s="192">
        <f t="shared" si="23"/>
        <v>3689342.1009341218</v>
      </c>
      <c r="V32" s="186"/>
      <c r="W32" s="192"/>
      <c r="X32" s="192">
        <f t="shared" si="24"/>
        <v>3689342.1009341218</v>
      </c>
    </row>
    <row r="33" spans="1:24" x14ac:dyDescent="0.2">
      <c r="A33">
        <v>2022</v>
      </c>
      <c r="B33" s="71" t="s">
        <v>8</v>
      </c>
      <c r="C33" s="192">
        <f t="shared" si="13"/>
        <v>1796399.3675861072</v>
      </c>
      <c r="D33" s="192">
        <f t="shared" si="14"/>
        <v>62873.977865513756</v>
      </c>
      <c r="E33" s="192">
        <f t="shared" si="15"/>
        <v>1859273.3454516209</v>
      </c>
      <c r="F33" s="186"/>
      <c r="G33" s="192"/>
      <c r="H33" s="192">
        <f t="shared" si="16"/>
        <v>1859273.3454516209</v>
      </c>
      <c r="I33">
        <v>2022</v>
      </c>
      <c r="J33" s="71" t="s">
        <v>7</v>
      </c>
      <c r="K33" s="192">
        <f t="shared" si="5"/>
        <v>2725891.2187533029</v>
      </c>
      <c r="L33" s="192">
        <f t="shared" si="0"/>
        <v>95406.192656365616</v>
      </c>
      <c r="M33" s="192">
        <f t="shared" si="1"/>
        <v>2821297.4114096686</v>
      </c>
      <c r="N33" s="186"/>
      <c r="O33" s="192"/>
      <c r="P33" s="192">
        <f t="shared" si="2"/>
        <v>2821297.4114096686</v>
      </c>
      <c r="R33" s="71"/>
      <c r="S33" s="192"/>
      <c r="T33" s="192"/>
      <c r="U33" s="192"/>
      <c r="V33" s="186"/>
      <c r="W33" s="192"/>
      <c r="X33" s="192"/>
    </row>
    <row r="34" spans="1:24" x14ac:dyDescent="0.2">
      <c r="A34">
        <v>2022</v>
      </c>
      <c r="B34" s="71" t="s">
        <v>9</v>
      </c>
      <c r="C34" s="192">
        <f t="shared" si="13"/>
        <v>1859273.3454516209</v>
      </c>
      <c r="D34" s="192">
        <f t="shared" si="14"/>
        <v>65074.567090806733</v>
      </c>
      <c r="E34" s="192">
        <f t="shared" si="15"/>
        <v>1924347.9125424277</v>
      </c>
      <c r="F34" s="186"/>
      <c r="G34" s="192"/>
      <c r="H34" s="192">
        <f t="shared" si="16"/>
        <v>1924347.9125424277</v>
      </c>
      <c r="I34">
        <v>2022</v>
      </c>
      <c r="J34" s="71" t="s">
        <v>8</v>
      </c>
      <c r="K34" s="192">
        <f t="shared" si="5"/>
        <v>2821297.4114096686</v>
      </c>
      <c r="L34" s="192">
        <f t="shared" si="0"/>
        <v>98745.409399338416</v>
      </c>
      <c r="M34" s="192">
        <f t="shared" si="1"/>
        <v>2920042.8208090072</v>
      </c>
      <c r="N34" s="186"/>
      <c r="O34" s="192"/>
      <c r="P34" s="192">
        <f t="shared" si="2"/>
        <v>2920042.8208090072</v>
      </c>
      <c r="R34" s="71"/>
      <c r="S34" s="192"/>
      <c r="T34" s="192"/>
      <c r="U34" s="192"/>
      <c r="V34" s="186"/>
      <c r="W34" s="192"/>
      <c r="X34" s="192"/>
    </row>
    <row r="40" spans="1:24" x14ac:dyDescent="0.2">
      <c r="K40" s="72"/>
      <c r="L40" s="72"/>
      <c r="M40" s="72"/>
      <c r="O40" s="72"/>
      <c r="P40" s="72"/>
      <c r="S40" s="72"/>
      <c r="T40" s="72"/>
      <c r="U40" s="72"/>
      <c r="W40" s="72"/>
      <c r="X40" s="72"/>
    </row>
    <row r="42" spans="1:24" x14ac:dyDescent="0.2">
      <c r="B42" s="383" t="s">
        <v>2976</v>
      </c>
      <c r="C42" s="383"/>
      <c r="D42" s="383"/>
      <c r="E42" s="383"/>
      <c r="F42" s="383"/>
      <c r="G42" s="383"/>
      <c r="H42" s="383"/>
      <c r="J42" s="383" t="s">
        <v>3850</v>
      </c>
      <c r="K42" s="383"/>
      <c r="L42" s="383"/>
      <c r="M42" s="383"/>
      <c r="N42" s="383"/>
      <c r="O42" s="383"/>
      <c r="P42" s="383"/>
      <c r="R42" s="383" t="s">
        <v>3851</v>
      </c>
      <c r="S42" s="383"/>
      <c r="T42" s="383"/>
      <c r="U42" s="383"/>
      <c r="V42" s="383"/>
      <c r="W42" s="383"/>
      <c r="X42" s="383"/>
    </row>
    <row r="43" spans="1:24" ht="9" customHeight="1" x14ac:dyDescent="0.2"/>
    <row r="44" spans="1:24" x14ac:dyDescent="0.2">
      <c r="B44" s="190" t="s">
        <v>2997</v>
      </c>
      <c r="C44" s="190" t="s">
        <v>92</v>
      </c>
      <c r="D44" s="190" t="s">
        <v>3849</v>
      </c>
      <c r="E44" s="190" t="s">
        <v>14</v>
      </c>
      <c r="F44" s="190"/>
      <c r="G44" s="190" t="s">
        <v>163</v>
      </c>
      <c r="H44" s="190" t="s">
        <v>2998</v>
      </c>
      <c r="J44" s="190" t="s">
        <v>2997</v>
      </c>
      <c r="K44" s="190" t="s">
        <v>92</v>
      </c>
      <c r="L44" s="190" t="s">
        <v>3849</v>
      </c>
      <c r="M44" s="190" t="s">
        <v>14</v>
      </c>
      <c r="N44" s="190"/>
      <c r="O44" s="190" t="s">
        <v>163</v>
      </c>
      <c r="P44" s="190" t="s">
        <v>2998</v>
      </c>
      <c r="R44" s="190" t="s">
        <v>2997</v>
      </c>
      <c r="S44" s="190" t="s">
        <v>92</v>
      </c>
      <c r="T44" s="190" t="s">
        <v>3849</v>
      </c>
      <c r="U44" s="190" t="s">
        <v>14</v>
      </c>
      <c r="V44" s="190"/>
      <c r="W44" s="190" t="s">
        <v>163</v>
      </c>
      <c r="X44" s="190" t="s">
        <v>2998</v>
      </c>
    </row>
    <row r="45" spans="1:24" x14ac:dyDescent="0.2">
      <c r="B45" s="71" t="s">
        <v>3</v>
      </c>
      <c r="C45" s="191">
        <v>8000000</v>
      </c>
      <c r="D45" s="192">
        <f>C45*3.5%</f>
        <v>280000</v>
      </c>
      <c r="E45" s="192">
        <f>C45+D45</f>
        <v>8280000</v>
      </c>
      <c r="F45" s="186"/>
      <c r="G45" s="193">
        <v>280000</v>
      </c>
      <c r="H45" s="192">
        <f>E45-G45</f>
        <v>8000000</v>
      </c>
      <c r="I45">
        <v>2020</v>
      </c>
      <c r="J45" s="71" t="s">
        <v>12</v>
      </c>
      <c r="K45" s="191">
        <v>1300000</v>
      </c>
      <c r="L45" s="192">
        <f t="shared" ref="L45:L68" si="25">K45*3.5%</f>
        <v>45500.000000000007</v>
      </c>
      <c r="M45" s="192">
        <f t="shared" ref="M45:M68" si="26">K45+L45</f>
        <v>1345500</v>
      </c>
      <c r="N45" s="186"/>
      <c r="O45" s="193">
        <v>12000</v>
      </c>
      <c r="P45" s="192">
        <f t="shared" ref="P45:P68" si="27">M45-O45</f>
        <v>1333500</v>
      </c>
      <c r="Q45">
        <v>2020</v>
      </c>
      <c r="R45" s="71" t="s">
        <v>10</v>
      </c>
      <c r="S45" s="191">
        <v>2000000</v>
      </c>
      <c r="T45" s="192">
        <f>S45*3.5%</f>
        <v>70000</v>
      </c>
      <c r="U45" s="192">
        <f>S45+T45</f>
        <v>2070000</v>
      </c>
      <c r="V45" s="186"/>
      <c r="W45" s="193">
        <v>70000</v>
      </c>
      <c r="X45" s="192">
        <f>U45-W45</f>
        <v>2000000</v>
      </c>
    </row>
    <row r="46" spans="1:24" x14ac:dyDescent="0.2">
      <c r="B46" s="71" t="s">
        <v>4</v>
      </c>
      <c r="C46" s="192">
        <f t="shared" ref="C46:C56" si="28">H45</f>
        <v>8000000</v>
      </c>
      <c r="D46" s="192">
        <f>C46*3.5%</f>
        <v>280000</v>
      </c>
      <c r="E46" s="192">
        <f t="shared" ref="E46:E55" si="29">C46+D46</f>
        <v>8280000</v>
      </c>
      <c r="F46" s="186"/>
      <c r="G46" s="193">
        <v>0</v>
      </c>
      <c r="H46" s="192">
        <f>E46-G46</f>
        <v>8280000</v>
      </c>
      <c r="I46">
        <v>2020</v>
      </c>
      <c r="J46" s="71" t="s">
        <v>13</v>
      </c>
      <c r="K46" s="192">
        <f t="shared" ref="K46:K68" si="30">P45</f>
        <v>1333500</v>
      </c>
      <c r="L46" s="192">
        <f t="shared" si="25"/>
        <v>46672.500000000007</v>
      </c>
      <c r="M46" s="192">
        <f t="shared" si="26"/>
        <v>1380172.5</v>
      </c>
      <c r="N46" s="186"/>
      <c r="O46" s="193">
        <v>200000</v>
      </c>
      <c r="P46" s="192">
        <f t="shared" si="27"/>
        <v>1180172.5</v>
      </c>
      <c r="Q46">
        <v>2020</v>
      </c>
      <c r="R46" s="71" t="s">
        <v>11</v>
      </c>
      <c r="S46" s="192">
        <f t="shared" ref="S46:S52" si="31">X45</f>
        <v>2000000</v>
      </c>
      <c r="T46" s="192">
        <f>S46*3.5%</f>
        <v>70000</v>
      </c>
      <c r="U46" s="192">
        <f t="shared" ref="U46:U52" si="32">S46+T46</f>
        <v>2070000</v>
      </c>
      <c r="V46" s="186"/>
      <c r="W46" s="193">
        <v>70000</v>
      </c>
      <c r="X46" s="192">
        <f>U46-W46</f>
        <v>2000000</v>
      </c>
    </row>
    <row r="47" spans="1:24" x14ac:dyDescent="0.2">
      <c r="B47" s="71" t="s">
        <v>5</v>
      </c>
      <c r="C47" s="192">
        <f t="shared" si="28"/>
        <v>8280000</v>
      </c>
      <c r="D47" s="192">
        <f t="shared" ref="D47:D56" si="33">C47*3.5%</f>
        <v>289800</v>
      </c>
      <c r="E47" s="192">
        <f t="shared" si="29"/>
        <v>8569800</v>
      </c>
      <c r="F47" s="186"/>
      <c r="G47" s="193">
        <v>1000000</v>
      </c>
      <c r="H47" s="192">
        <f t="shared" ref="H47:H56" si="34">E47-G47</f>
        <v>7569800</v>
      </c>
      <c r="I47">
        <v>2021</v>
      </c>
      <c r="J47" s="71" t="s">
        <v>2</v>
      </c>
      <c r="K47" s="192">
        <f t="shared" si="30"/>
        <v>1180172.5</v>
      </c>
      <c r="L47" s="192">
        <f t="shared" si="25"/>
        <v>41306.037500000006</v>
      </c>
      <c r="M47" s="192">
        <f t="shared" si="26"/>
        <v>1221478.5375000001</v>
      </c>
      <c r="N47" s="186"/>
      <c r="O47" s="193">
        <v>100000</v>
      </c>
      <c r="P47" s="192">
        <f t="shared" si="27"/>
        <v>1121478.5375000001</v>
      </c>
      <c r="Q47">
        <v>2020</v>
      </c>
      <c r="R47" s="71" t="s">
        <v>12</v>
      </c>
      <c r="S47" s="192">
        <f t="shared" si="31"/>
        <v>2000000</v>
      </c>
      <c r="T47" s="192">
        <f t="shared" ref="T47:T57" si="35">S47*3.5%</f>
        <v>70000</v>
      </c>
      <c r="U47" s="192">
        <f t="shared" si="32"/>
        <v>2070000</v>
      </c>
      <c r="V47" s="186"/>
      <c r="W47" s="193">
        <v>0</v>
      </c>
      <c r="X47" s="192">
        <f t="shared" ref="X47:X57" si="36">U47-W47</f>
        <v>2070000</v>
      </c>
    </row>
    <row r="48" spans="1:24" x14ac:dyDescent="0.2">
      <c r="B48" s="71" t="s">
        <v>6</v>
      </c>
      <c r="C48" s="192">
        <f t="shared" si="28"/>
        <v>7569800</v>
      </c>
      <c r="D48" s="192">
        <f t="shared" si="33"/>
        <v>264943</v>
      </c>
      <c r="E48" s="192">
        <f t="shared" si="29"/>
        <v>7834743</v>
      </c>
      <c r="F48" s="186"/>
      <c r="G48" s="193">
        <v>1000000</v>
      </c>
      <c r="H48" s="192">
        <f t="shared" si="34"/>
        <v>6834743</v>
      </c>
      <c r="I48">
        <v>2021</v>
      </c>
      <c r="J48" s="71" t="s">
        <v>3</v>
      </c>
      <c r="K48" s="192">
        <f t="shared" si="30"/>
        <v>1121478.5375000001</v>
      </c>
      <c r="L48" s="192">
        <f t="shared" si="25"/>
        <v>39251.748812500009</v>
      </c>
      <c r="M48" s="192">
        <f t="shared" si="26"/>
        <v>1160730.2863125</v>
      </c>
      <c r="N48" s="186"/>
      <c r="O48" s="193">
        <v>100000</v>
      </c>
      <c r="P48" s="192">
        <f t="shared" si="27"/>
        <v>1060730.2863125</v>
      </c>
      <c r="Q48">
        <v>2020</v>
      </c>
      <c r="R48" s="71" t="s">
        <v>13</v>
      </c>
      <c r="S48" s="192">
        <f t="shared" si="31"/>
        <v>2070000</v>
      </c>
      <c r="T48" s="192">
        <f t="shared" si="35"/>
        <v>72450</v>
      </c>
      <c r="U48" s="192">
        <f t="shared" si="32"/>
        <v>2142450</v>
      </c>
      <c r="V48" s="186"/>
      <c r="W48" s="193">
        <v>140000</v>
      </c>
      <c r="X48" s="192">
        <f t="shared" si="36"/>
        <v>2002450</v>
      </c>
    </row>
    <row r="49" spans="2:24" x14ac:dyDescent="0.2">
      <c r="B49" s="71" t="s">
        <v>7</v>
      </c>
      <c r="C49" s="192">
        <f t="shared" si="28"/>
        <v>6834743</v>
      </c>
      <c r="D49" s="192">
        <f t="shared" si="33"/>
        <v>239216.00500000003</v>
      </c>
      <c r="E49" s="192">
        <f t="shared" si="29"/>
        <v>7073959.0049999999</v>
      </c>
      <c r="F49" s="186"/>
      <c r="G49" s="193">
        <v>1488000</v>
      </c>
      <c r="H49" s="192">
        <f t="shared" si="34"/>
        <v>5585959.0049999999</v>
      </c>
      <c r="I49">
        <v>2021</v>
      </c>
      <c r="J49" s="71" t="s">
        <v>4</v>
      </c>
      <c r="K49" s="192">
        <f t="shared" si="30"/>
        <v>1060730.2863125</v>
      </c>
      <c r="L49" s="192">
        <f t="shared" si="25"/>
        <v>37125.560020937504</v>
      </c>
      <c r="M49" s="192">
        <f t="shared" si="26"/>
        <v>1097855.8463334376</v>
      </c>
      <c r="N49" s="186"/>
      <c r="O49" s="193">
        <v>0</v>
      </c>
      <c r="P49" s="192">
        <f t="shared" si="27"/>
        <v>1097855.8463334376</v>
      </c>
      <c r="Q49">
        <v>2021</v>
      </c>
      <c r="R49" s="71" t="s">
        <v>2</v>
      </c>
      <c r="S49" s="192">
        <f t="shared" si="31"/>
        <v>2002450</v>
      </c>
      <c r="T49" s="192">
        <f t="shared" si="35"/>
        <v>70085.75</v>
      </c>
      <c r="U49" s="192">
        <f t="shared" si="32"/>
        <v>2072535.75</v>
      </c>
      <c r="V49" s="186"/>
      <c r="W49" s="193">
        <v>70000</v>
      </c>
      <c r="X49" s="192">
        <f t="shared" si="36"/>
        <v>2002535.75</v>
      </c>
    </row>
    <row r="50" spans="2:24" x14ac:dyDescent="0.2">
      <c r="B50" s="71" t="s">
        <v>8</v>
      </c>
      <c r="C50" s="192">
        <f t="shared" si="28"/>
        <v>5585959.0049999999</v>
      </c>
      <c r="D50" s="192">
        <f t="shared" si="33"/>
        <v>195508.56517500003</v>
      </c>
      <c r="E50" s="192">
        <f t="shared" si="29"/>
        <v>5781467.5701749995</v>
      </c>
      <c r="F50" s="186"/>
      <c r="G50" s="193">
        <v>0</v>
      </c>
      <c r="H50" s="192">
        <f t="shared" si="34"/>
        <v>5781467.5701749995</v>
      </c>
      <c r="I50">
        <v>2021</v>
      </c>
      <c r="J50" s="71" t="s">
        <v>5</v>
      </c>
      <c r="K50" s="192">
        <f t="shared" si="30"/>
        <v>1097855.8463334376</v>
      </c>
      <c r="L50" s="192">
        <f t="shared" si="25"/>
        <v>38424.954621670317</v>
      </c>
      <c r="M50" s="192">
        <f t="shared" si="26"/>
        <v>1136280.8009551079</v>
      </c>
      <c r="N50" s="186"/>
      <c r="O50" s="193">
        <v>25000</v>
      </c>
      <c r="P50" s="192">
        <f t="shared" si="27"/>
        <v>1111280.8009551079</v>
      </c>
      <c r="Q50">
        <v>2021</v>
      </c>
      <c r="R50" s="71" t="s">
        <v>3</v>
      </c>
      <c r="S50" s="192">
        <f t="shared" si="31"/>
        <v>2002535.75</v>
      </c>
      <c r="T50" s="192">
        <f t="shared" si="35"/>
        <v>70088.751250000001</v>
      </c>
      <c r="U50" s="192">
        <f t="shared" si="32"/>
        <v>2072624.50125</v>
      </c>
      <c r="V50" s="186"/>
      <c r="W50" s="193">
        <v>70000</v>
      </c>
      <c r="X50" s="192">
        <f t="shared" si="36"/>
        <v>2002624.50125</v>
      </c>
    </row>
    <row r="51" spans="2:24" x14ac:dyDescent="0.2">
      <c r="B51" s="71" t="s">
        <v>9</v>
      </c>
      <c r="C51" s="192">
        <f t="shared" si="28"/>
        <v>5781467.5701749995</v>
      </c>
      <c r="D51" s="192">
        <f t="shared" si="33"/>
        <v>202351.36495612501</v>
      </c>
      <c r="E51" s="192">
        <f t="shared" si="29"/>
        <v>5983818.9351311242</v>
      </c>
      <c r="F51" s="186"/>
      <c r="G51" s="193">
        <v>500000</v>
      </c>
      <c r="H51" s="192">
        <f t="shared" si="34"/>
        <v>5483818.9351311242</v>
      </c>
      <c r="I51">
        <v>2021</v>
      </c>
      <c r="J51" s="71" t="s">
        <v>6</v>
      </c>
      <c r="K51" s="192">
        <f t="shared" si="30"/>
        <v>1111280.8009551079</v>
      </c>
      <c r="L51" s="192">
        <f t="shared" si="25"/>
        <v>38894.828033428777</v>
      </c>
      <c r="M51" s="192">
        <f t="shared" si="26"/>
        <v>1150175.6289885368</v>
      </c>
      <c r="N51" s="186"/>
      <c r="O51" s="193">
        <v>0</v>
      </c>
      <c r="P51" s="192">
        <f t="shared" si="27"/>
        <v>1150175.6289885368</v>
      </c>
      <c r="Q51">
        <v>2021</v>
      </c>
      <c r="R51" s="71" t="s">
        <v>4</v>
      </c>
      <c r="S51" s="192">
        <f t="shared" si="31"/>
        <v>2002624.50125</v>
      </c>
      <c r="T51" s="192">
        <f t="shared" si="35"/>
        <v>70091.857543750011</v>
      </c>
      <c r="U51" s="192">
        <f t="shared" si="32"/>
        <v>2072716.3587937499</v>
      </c>
      <c r="V51" s="186"/>
      <c r="W51" s="193">
        <v>0</v>
      </c>
      <c r="X51" s="192">
        <f t="shared" si="36"/>
        <v>2072716.3587937499</v>
      </c>
    </row>
    <row r="52" spans="2:24" x14ac:dyDescent="0.2">
      <c r="B52" s="71" t="s">
        <v>10</v>
      </c>
      <c r="C52" s="192">
        <f t="shared" si="28"/>
        <v>5483818.9351311242</v>
      </c>
      <c r="D52" s="192">
        <f t="shared" si="33"/>
        <v>191933.66272958936</v>
      </c>
      <c r="E52" s="192">
        <f t="shared" si="29"/>
        <v>5675752.5978607135</v>
      </c>
      <c r="F52" s="186"/>
      <c r="G52" s="193">
        <v>0</v>
      </c>
      <c r="H52" s="192">
        <f t="shared" si="34"/>
        <v>5675752.5978607135</v>
      </c>
      <c r="I52">
        <v>2021</v>
      </c>
      <c r="J52" s="71" t="s">
        <v>7</v>
      </c>
      <c r="K52" s="192">
        <f t="shared" si="30"/>
        <v>1150175.6289885368</v>
      </c>
      <c r="L52" s="192">
        <f t="shared" si="25"/>
        <v>40256.147014598791</v>
      </c>
      <c r="M52" s="192">
        <f t="shared" si="26"/>
        <v>1190431.7760031356</v>
      </c>
      <c r="N52" s="186"/>
      <c r="O52" s="193">
        <v>117000</v>
      </c>
      <c r="P52" s="192">
        <f t="shared" si="27"/>
        <v>1073431.7760031356</v>
      </c>
      <c r="Q52">
        <v>2021</v>
      </c>
      <c r="R52" s="71" t="s">
        <v>5</v>
      </c>
      <c r="S52" s="192">
        <f t="shared" si="31"/>
        <v>2072716.3587937499</v>
      </c>
      <c r="T52" s="192">
        <f t="shared" si="35"/>
        <v>72545.072557781255</v>
      </c>
      <c r="U52" s="192">
        <f t="shared" si="32"/>
        <v>2145261.4313515313</v>
      </c>
      <c r="V52" s="186"/>
      <c r="W52" s="193">
        <v>70000</v>
      </c>
      <c r="X52" s="192">
        <f t="shared" si="36"/>
        <v>2075261.4313515313</v>
      </c>
    </row>
    <row r="53" spans="2:24" x14ac:dyDescent="0.2">
      <c r="B53" s="71" t="s">
        <v>11</v>
      </c>
      <c r="C53" s="192">
        <f t="shared" si="28"/>
        <v>5675752.5978607135</v>
      </c>
      <c r="D53" s="192">
        <f t="shared" si="33"/>
        <v>198651.340925125</v>
      </c>
      <c r="E53" s="192">
        <f t="shared" si="29"/>
        <v>5874403.9387858389</v>
      </c>
      <c r="F53" s="186"/>
      <c r="G53" s="193">
        <v>1000000</v>
      </c>
      <c r="H53" s="192">
        <f t="shared" si="34"/>
        <v>4874403.9387858389</v>
      </c>
      <c r="I53">
        <v>2021</v>
      </c>
      <c r="J53" s="71" t="s">
        <v>8</v>
      </c>
      <c r="K53" s="192">
        <f t="shared" si="30"/>
        <v>1073431.7760031356</v>
      </c>
      <c r="L53" s="192">
        <f t="shared" si="25"/>
        <v>37570.112160109747</v>
      </c>
      <c r="M53" s="192">
        <f t="shared" si="26"/>
        <v>1111001.8881632453</v>
      </c>
      <c r="N53" s="186"/>
      <c r="O53" s="193">
        <v>0</v>
      </c>
      <c r="P53" s="192">
        <f t="shared" si="27"/>
        <v>1111001.8881632453</v>
      </c>
      <c r="Q53">
        <v>2021</v>
      </c>
      <c r="R53" s="71" t="s">
        <v>6</v>
      </c>
      <c r="S53" s="192">
        <f t="shared" ref="S53:S62" si="37">X52</f>
        <v>2075261.4313515313</v>
      </c>
      <c r="T53" s="192">
        <f>S53*3.5%</f>
        <v>72634.150097303602</v>
      </c>
      <c r="U53" s="192">
        <f>S53+T53</f>
        <v>2147895.5814488349</v>
      </c>
      <c r="V53" s="186"/>
      <c r="W53" s="193">
        <v>70000</v>
      </c>
      <c r="X53" s="192">
        <f>U53-W53</f>
        <v>2077895.5814488349</v>
      </c>
    </row>
    <row r="54" spans="2:24" x14ac:dyDescent="0.2">
      <c r="B54" s="71" t="s">
        <v>12</v>
      </c>
      <c r="C54" s="193">
        <f>H53+2000000</f>
        <v>6874403.9387858389</v>
      </c>
      <c r="D54" s="192">
        <f t="shared" si="33"/>
        <v>240604.13785750439</v>
      </c>
      <c r="E54" s="192">
        <f t="shared" si="29"/>
        <v>7115008.0766433431</v>
      </c>
      <c r="F54" s="186"/>
      <c r="G54" s="193">
        <v>2000000</v>
      </c>
      <c r="H54" s="192">
        <f t="shared" si="34"/>
        <v>5115008.0766433431</v>
      </c>
      <c r="I54">
        <v>2021</v>
      </c>
      <c r="J54" s="71" t="s">
        <v>9</v>
      </c>
      <c r="K54" s="192">
        <f t="shared" si="30"/>
        <v>1111001.8881632453</v>
      </c>
      <c r="L54" s="192">
        <f t="shared" si="25"/>
        <v>38885.066085713588</v>
      </c>
      <c r="M54" s="192">
        <f t="shared" si="26"/>
        <v>1149886.954248959</v>
      </c>
      <c r="N54" s="186"/>
      <c r="O54" s="193">
        <v>0</v>
      </c>
      <c r="P54" s="192">
        <f t="shared" si="27"/>
        <v>1149886.954248959</v>
      </c>
      <c r="Q54">
        <v>2021</v>
      </c>
      <c r="R54" s="71" t="s">
        <v>7</v>
      </c>
      <c r="S54" s="192">
        <f t="shared" si="37"/>
        <v>2077895.5814488349</v>
      </c>
      <c r="T54" s="192">
        <f>S54*3.5%</f>
        <v>72726.34535070922</v>
      </c>
      <c r="U54" s="192">
        <f>S54+T54</f>
        <v>2150621.9267995441</v>
      </c>
      <c r="V54" s="186"/>
      <c r="W54" s="193">
        <v>70000</v>
      </c>
      <c r="X54" s="192">
        <f>U54-W54</f>
        <v>2080621.9267995441</v>
      </c>
    </row>
    <row r="55" spans="2:24" x14ac:dyDescent="0.2">
      <c r="B55" s="71" t="s">
        <v>13</v>
      </c>
      <c r="C55" s="192">
        <f t="shared" si="28"/>
        <v>5115008.0766433431</v>
      </c>
      <c r="D55" s="192">
        <f t="shared" si="33"/>
        <v>179025.28268251702</v>
      </c>
      <c r="E55" s="192">
        <f t="shared" si="29"/>
        <v>5294033.3593258597</v>
      </c>
      <c r="F55" s="186"/>
      <c r="G55" s="193">
        <v>0</v>
      </c>
      <c r="H55" s="192">
        <f t="shared" si="34"/>
        <v>5294033.3593258597</v>
      </c>
      <c r="I55">
        <v>2021</v>
      </c>
      <c r="J55" s="71" t="s">
        <v>10</v>
      </c>
      <c r="K55" s="192">
        <f t="shared" si="30"/>
        <v>1149886.954248959</v>
      </c>
      <c r="L55" s="192">
        <f t="shared" si="25"/>
        <v>40246.043398713569</v>
      </c>
      <c r="M55" s="192">
        <f t="shared" si="26"/>
        <v>1190132.9976476724</v>
      </c>
      <c r="N55" s="186"/>
      <c r="O55" s="193">
        <v>0</v>
      </c>
      <c r="P55" s="192">
        <f t="shared" si="27"/>
        <v>1190132.9976476724</v>
      </c>
      <c r="Q55">
        <v>2021</v>
      </c>
      <c r="R55" s="71" t="s">
        <v>8</v>
      </c>
      <c r="S55" s="192">
        <f t="shared" si="37"/>
        <v>2080621.9267995441</v>
      </c>
      <c r="T55" s="192">
        <f>S55*3.5%</f>
        <v>72821.767437984046</v>
      </c>
      <c r="U55" s="192">
        <f>S55+T55</f>
        <v>2153443.6942375284</v>
      </c>
      <c r="V55" s="186"/>
      <c r="W55" s="193">
        <v>0</v>
      </c>
      <c r="X55" s="192">
        <f>U55-W55</f>
        <v>2153443.6942375284</v>
      </c>
    </row>
    <row r="56" spans="2:24" x14ac:dyDescent="0.2">
      <c r="B56" s="71" t="s">
        <v>2</v>
      </c>
      <c r="C56" s="192">
        <f t="shared" si="28"/>
        <v>5294033.3593258597</v>
      </c>
      <c r="D56" s="192">
        <f t="shared" si="33"/>
        <v>185291.1675764051</v>
      </c>
      <c r="E56" s="192">
        <f>C56+D56</f>
        <v>5479324.5269022649</v>
      </c>
      <c r="F56" s="186"/>
      <c r="G56" s="193">
        <v>0</v>
      </c>
      <c r="H56" s="192">
        <f t="shared" si="34"/>
        <v>5479324.5269022649</v>
      </c>
      <c r="I56">
        <v>2021</v>
      </c>
      <c r="J56" s="71" t="s">
        <v>11</v>
      </c>
      <c r="K56" s="192">
        <f t="shared" si="30"/>
        <v>1190132.9976476724</v>
      </c>
      <c r="L56" s="192">
        <f t="shared" si="25"/>
        <v>41654.654917668537</v>
      </c>
      <c r="M56" s="192">
        <f t="shared" si="26"/>
        <v>1231787.652565341</v>
      </c>
      <c r="N56" s="186"/>
      <c r="O56" s="193">
        <v>0</v>
      </c>
      <c r="P56" s="192">
        <f t="shared" si="27"/>
        <v>1231787.652565341</v>
      </c>
      <c r="Q56">
        <v>2021</v>
      </c>
      <c r="R56" s="71" t="s">
        <v>9</v>
      </c>
      <c r="S56" s="192">
        <f t="shared" si="37"/>
        <v>2153443.6942375284</v>
      </c>
      <c r="T56" s="192">
        <f t="shared" si="35"/>
        <v>75370.5292983135</v>
      </c>
      <c r="U56" s="192">
        <f>S56+T56</f>
        <v>2228814.2235358418</v>
      </c>
      <c r="V56" s="186"/>
      <c r="W56" s="193">
        <v>0</v>
      </c>
      <c r="X56" s="192">
        <f t="shared" si="36"/>
        <v>2228814.2235358418</v>
      </c>
    </row>
    <row r="57" spans="2:24" x14ac:dyDescent="0.2">
      <c r="B57" s="71" t="s">
        <v>3</v>
      </c>
      <c r="C57" s="192">
        <f>H56</f>
        <v>5479324.5269022649</v>
      </c>
      <c r="D57" s="192">
        <f>C57*3.5%</f>
        <v>191776.3584415793</v>
      </c>
      <c r="E57" s="192">
        <f>C57+D57</f>
        <v>5671100.8853438441</v>
      </c>
      <c r="F57" s="186"/>
      <c r="G57" s="193">
        <v>0</v>
      </c>
      <c r="H57" s="192">
        <f>E57-G57</f>
        <v>5671100.8853438441</v>
      </c>
      <c r="I57">
        <v>2021</v>
      </c>
      <c r="J57" s="71" t="s">
        <v>12</v>
      </c>
      <c r="K57" s="192">
        <f t="shared" si="30"/>
        <v>1231787.652565341</v>
      </c>
      <c r="L57" s="192">
        <f t="shared" si="25"/>
        <v>43112.567839786941</v>
      </c>
      <c r="M57" s="192">
        <f t="shared" si="26"/>
        <v>1274900.2204051279</v>
      </c>
      <c r="N57" s="186"/>
      <c r="O57" s="193">
        <v>0</v>
      </c>
      <c r="P57" s="192">
        <f t="shared" si="27"/>
        <v>1274900.2204051279</v>
      </c>
      <c r="Q57">
        <v>2021</v>
      </c>
      <c r="R57" s="71" t="s">
        <v>10</v>
      </c>
      <c r="S57" s="192">
        <f t="shared" si="37"/>
        <v>2228814.2235358418</v>
      </c>
      <c r="T57" s="192">
        <f t="shared" si="35"/>
        <v>78008.497823754471</v>
      </c>
      <c r="U57" s="192">
        <f t="shared" ref="U57:U62" si="38">S57+T57</f>
        <v>2306822.7213595961</v>
      </c>
      <c r="V57" s="186"/>
      <c r="W57" s="193">
        <v>0</v>
      </c>
      <c r="X57" s="192">
        <f t="shared" si="36"/>
        <v>2306822.7213595961</v>
      </c>
    </row>
    <row r="58" spans="2:24" x14ac:dyDescent="0.2">
      <c r="B58" s="71" t="s">
        <v>4</v>
      </c>
      <c r="C58" s="192"/>
      <c r="D58" s="192"/>
      <c r="E58" s="192"/>
      <c r="F58" s="186"/>
      <c r="G58" s="193"/>
      <c r="H58" s="192"/>
      <c r="I58">
        <v>2021</v>
      </c>
      <c r="J58" s="71" t="s">
        <v>13</v>
      </c>
      <c r="K58" s="192">
        <f t="shared" si="30"/>
        <v>1274900.2204051279</v>
      </c>
      <c r="L58" s="192">
        <f t="shared" si="25"/>
        <v>44621.507714179483</v>
      </c>
      <c r="M58" s="192">
        <f t="shared" si="26"/>
        <v>1319521.7281193074</v>
      </c>
      <c r="N58" s="186"/>
      <c r="O58" s="193">
        <v>0</v>
      </c>
      <c r="P58" s="192">
        <f t="shared" si="27"/>
        <v>1319521.7281193074</v>
      </c>
      <c r="Q58">
        <v>2021</v>
      </c>
      <c r="R58" s="71" t="s">
        <v>11</v>
      </c>
      <c r="S58" s="192">
        <f t="shared" si="37"/>
        <v>2306822.7213595961</v>
      </c>
      <c r="T58" s="192">
        <f>S58*3.5%</f>
        <v>80738.795247585876</v>
      </c>
      <c r="U58" s="192">
        <f t="shared" si="38"/>
        <v>2387561.5166071821</v>
      </c>
      <c r="V58" s="186"/>
      <c r="W58" s="193">
        <v>0</v>
      </c>
      <c r="X58" s="192">
        <f>U58-W58</f>
        <v>2387561.5166071821</v>
      </c>
    </row>
    <row r="59" spans="2:24" x14ac:dyDescent="0.2">
      <c r="B59" s="71" t="s">
        <v>5</v>
      </c>
      <c r="C59" s="192"/>
      <c r="D59" s="192"/>
      <c r="E59" s="192"/>
      <c r="F59" s="186"/>
      <c r="G59" s="193"/>
      <c r="H59" s="192"/>
      <c r="I59">
        <v>2022</v>
      </c>
      <c r="J59" s="71" t="s">
        <v>2</v>
      </c>
      <c r="K59" s="192">
        <f t="shared" si="30"/>
        <v>1319521.7281193074</v>
      </c>
      <c r="L59" s="192">
        <f t="shared" si="25"/>
        <v>46183.260484175764</v>
      </c>
      <c r="M59" s="192">
        <f t="shared" si="26"/>
        <v>1365704.9886034832</v>
      </c>
      <c r="N59" s="186"/>
      <c r="O59" s="193">
        <v>282000</v>
      </c>
      <c r="P59" s="192">
        <f t="shared" si="27"/>
        <v>1083704.9886034832</v>
      </c>
      <c r="Q59">
        <v>2021</v>
      </c>
      <c r="R59" s="71" t="s">
        <v>12</v>
      </c>
      <c r="S59" s="192">
        <f t="shared" si="37"/>
        <v>2387561.5166071821</v>
      </c>
      <c r="T59" s="192">
        <f>S59*3.5%</f>
        <v>83564.653081251381</v>
      </c>
      <c r="U59" s="192">
        <f t="shared" si="38"/>
        <v>2471126.1696884334</v>
      </c>
      <c r="V59" s="186"/>
      <c r="W59" s="193">
        <v>0</v>
      </c>
      <c r="X59" s="192">
        <f>U59-W59</f>
        <v>2471126.1696884334</v>
      </c>
    </row>
    <row r="60" spans="2:24" x14ac:dyDescent="0.2">
      <c r="B60" s="71" t="s">
        <v>6</v>
      </c>
      <c r="C60" s="192"/>
      <c r="D60" s="192"/>
      <c r="E60" s="192"/>
      <c r="F60" s="186"/>
      <c r="G60" s="193"/>
      <c r="H60" s="192"/>
      <c r="I60">
        <v>2022</v>
      </c>
      <c r="J60" s="71" t="s">
        <v>3</v>
      </c>
      <c r="K60" s="192">
        <f t="shared" si="30"/>
        <v>1083704.9886034832</v>
      </c>
      <c r="L60" s="192">
        <f t="shared" si="25"/>
        <v>37929.674601121915</v>
      </c>
      <c r="M60" s="192">
        <f t="shared" si="26"/>
        <v>1121634.663204605</v>
      </c>
      <c r="N60" s="186"/>
      <c r="O60" s="193">
        <v>0</v>
      </c>
      <c r="P60" s="192">
        <f t="shared" si="27"/>
        <v>1121634.663204605</v>
      </c>
      <c r="Q60">
        <v>2021</v>
      </c>
      <c r="R60" s="71" t="s">
        <v>13</v>
      </c>
      <c r="S60" s="192">
        <f t="shared" si="37"/>
        <v>2471126.1696884334</v>
      </c>
      <c r="T60" s="192">
        <f>S60*3.5%</f>
        <v>86489.415939095183</v>
      </c>
      <c r="U60" s="192">
        <f t="shared" si="38"/>
        <v>2557615.5856275284</v>
      </c>
      <c r="V60" s="186"/>
      <c r="W60" s="193">
        <v>0</v>
      </c>
      <c r="X60" s="192">
        <f>U60-W60</f>
        <v>2557615.5856275284</v>
      </c>
    </row>
    <row r="61" spans="2:24" x14ac:dyDescent="0.2">
      <c r="B61" s="71" t="s">
        <v>7</v>
      </c>
      <c r="C61" s="192"/>
      <c r="D61" s="192"/>
      <c r="E61" s="192"/>
      <c r="F61" s="186"/>
      <c r="G61" s="193"/>
      <c r="H61" s="192"/>
      <c r="I61">
        <v>2022</v>
      </c>
      <c r="J61" s="71" t="s">
        <v>4</v>
      </c>
      <c r="K61" s="192">
        <f t="shared" si="30"/>
        <v>1121634.663204605</v>
      </c>
      <c r="L61" s="192">
        <f t="shared" si="25"/>
        <v>39257.213212161179</v>
      </c>
      <c r="M61" s="192">
        <f t="shared" si="26"/>
        <v>1160891.8764167661</v>
      </c>
      <c r="N61" s="186"/>
      <c r="O61" s="193">
        <v>0</v>
      </c>
      <c r="P61" s="192">
        <f t="shared" si="27"/>
        <v>1160891.8764167661</v>
      </c>
      <c r="Q61">
        <v>2022</v>
      </c>
      <c r="R61" s="71" t="s">
        <v>2</v>
      </c>
      <c r="S61" s="192">
        <f t="shared" si="37"/>
        <v>2557615.5856275284</v>
      </c>
      <c r="T61" s="192">
        <f>S61*3.5%</f>
        <v>89516.545496963503</v>
      </c>
      <c r="U61" s="192">
        <f t="shared" si="38"/>
        <v>2647132.1311244918</v>
      </c>
      <c r="V61" s="186"/>
      <c r="W61" s="193">
        <v>0</v>
      </c>
      <c r="X61" s="192">
        <f>U61-W61</f>
        <v>2647132.1311244918</v>
      </c>
    </row>
    <row r="62" spans="2:24" x14ac:dyDescent="0.2">
      <c r="I62">
        <v>2022</v>
      </c>
      <c r="J62" s="71" t="s">
        <v>5</v>
      </c>
      <c r="K62" s="192">
        <f t="shared" si="30"/>
        <v>1160891.8764167661</v>
      </c>
      <c r="L62" s="192">
        <f t="shared" si="25"/>
        <v>40631.21567458682</v>
      </c>
      <c r="M62" s="192">
        <f t="shared" si="26"/>
        <v>1201523.0920913529</v>
      </c>
      <c r="N62" s="186"/>
      <c r="O62" s="193">
        <v>0</v>
      </c>
      <c r="P62" s="192">
        <f t="shared" si="27"/>
        <v>1201523.0920913529</v>
      </c>
      <c r="Q62">
        <v>2022</v>
      </c>
      <c r="R62" s="71" t="s">
        <v>3</v>
      </c>
      <c r="S62" s="192">
        <f t="shared" si="37"/>
        <v>2647132.1311244918</v>
      </c>
      <c r="T62" s="192">
        <f>S62*3.5%</f>
        <v>92649.62458935722</v>
      </c>
      <c r="U62" s="192">
        <f t="shared" si="38"/>
        <v>2739781.7557138489</v>
      </c>
      <c r="V62" s="186"/>
      <c r="W62" s="193">
        <v>0</v>
      </c>
      <c r="X62" s="192">
        <f>U62-W62</f>
        <v>2739781.7557138489</v>
      </c>
    </row>
    <row r="63" spans="2:24" x14ac:dyDescent="0.2">
      <c r="I63">
        <v>2022</v>
      </c>
      <c r="J63" s="71" t="s">
        <v>6</v>
      </c>
      <c r="K63" s="192">
        <f t="shared" si="30"/>
        <v>1201523.0920913529</v>
      </c>
      <c r="L63" s="192">
        <f t="shared" si="25"/>
        <v>42053.308223197353</v>
      </c>
      <c r="M63" s="192">
        <f t="shared" si="26"/>
        <v>1243576.4003145504</v>
      </c>
      <c r="N63" s="186"/>
      <c r="O63" s="193">
        <v>0</v>
      </c>
      <c r="P63" s="192">
        <f t="shared" si="27"/>
        <v>1243576.4003145504</v>
      </c>
      <c r="Q63">
        <v>2022</v>
      </c>
      <c r="R63" s="71" t="s">
        <v>4</v>
      </c>
      <c r="S63" s="192"/>
      <c r="T63" s="192"/>
      <c r="U63" s="192"/>
      <c r="V63" s="186"/>
      <c r="W63" s="193"/>
      <c r="X63" s="192"/>
    </row>
    <row r="64" spans="2:24" x14ac:dyDescent="0.2">
      <c r="I64">
        <v>2022</v>
      </c>
      <c r="J64" s="71" t="s">
        <v>7</v>
      </c>
      <c r="K64" s="192">
        <f t="shared" si="30"/>
        <v>1243576.4003145504</v>
      </c>
      <c r="L64" s="192">
        <f t="shared" si="25"/>
        <v>43525.174011009265</v>
      </c>
      <c r="M64" s="192">
        <f t="shared" si="26"/>
        <v>1287101.5743255597</v>
      </c>
      <c r="N64" s="186"/>
      <c r="O64" s="193">
        <v>0</v>
      </c>
      <c r="P64" s="192">
        <f t="shared" si="27"/>
        <v>1287101.5743255597</v>
      </c>
      <c r="Q64">
        <v>2022</v>
      </c>
      <c r="R64" s="71" t="s">
        <v>5</v>
      </c>
      <c r="S64" s="192"/>
      <c r="T64" s="192"/>
      <c r="U64" s="192"/>
      <c r="V64" s="186"/>
      <c r="W64" s="193"/>
      <c r="X64" s="192"/>
    </row>
    <row r="65" spans="1:24" x14ac:dyDescent="0.2">
      <c r="I65">
        <v>2022</v>
      </c>
      <c r="J65" s="71" t="s">
        <v>8</v>
      </c>
      <c r="K65" s="192">
        <f t="shared" si="30"/>
        <v>1287101.5743255597</v>
      </c>
      <c r="L65" s="192">
        <f t="shared" si="25"/>
        <v>45048.555101394595</v>
      </c>
      <c r="M65" s="192">
        <f t="shared" si="26"/>
        <v>1332150.1294269543</v>
      </c>
      <c r="N65" s="186"/>
      <c r="O65" s="193">
        <v>0</v>
      </c>
      <c r="P65" s="192">
        <f t="shared" si="27"/>
        <v>1332150.1294269543</v>
      </c>
      <c r="Q65">
        <v>2022</v>
      </c>
      <c r="R65" s="71" t="s">
        <v>6</v>
      </c>
      <c r="S65" s="192"/>
      <c r="T65" s="192"/>
      <c r="U65" s="192"/>
      <c r="V65" s="186"/>
      <c r="W65" s="193"/>
      <c r="X65" s="192"/>
    </row>
    <row r="66" spans="1:24" x14ac:dyDescent="0.2">
      <c r="I66">
        <v>2022</v>
      </c>
      <c r="J66" s="71" t="s">
        <v>9</v>
      </c>
      <c r="K66" s="192">
        <f t="shared" si="30"/>
        <v>1332150.1294269543</v>
      </c>
      <c r="L66" s="192">
        <f t="shared" si="25"/>
        <v>46625.254529943406</v>
      </c>
      <c r="M66" s="192">
        <f t="shared" si="26"/>
        <v>1378775.3839568978</v>
      </c>
      <c r="N66" s="186"/>
      <c r="O66" s="193">
        <v>0</v>
      </c>
      <c r="P66" s="192">
        <f t="shared" si="27"/>
        <v>1378775.3839568978</v>
      </c>
      <c r="Q66">
        <v>2022</v>
      </c>
      <c r="R66" s="71" t="s">
        <v>7</v>
      </c>
      <c r="S66" s="192"/>
      <c r="T66" s="192"/>
      <c r="U66" s="192"/>
      <c r="V66" s="186"/>
      <c r="W66" s="193"/>
      <c r="X66" s="192"/>
    </row>
    <row r="67" spans="1:24" x14ac:dyDescent="0.2">
      <c r="I67">
        <v>2022</v>
      </c>
      <c r="J67" s="71" t="s">
        <v>10</v>
      </c>
      <c r="K67" s="192">
        <f t="shared" si="30"/>
        <v>1378775.3839568978</v>
      </c>
      <c r="L67" s="192">
        <f t="shared" si="25"/>
        <v>48257.138438491427</v>
      </c>
      <c r="M67" s="192">
        <f t="shared" si="26"/>
        <v>1427032.5223953892</v>
      </c>
      <c r="N67" s="186"/>
      <c r="O67" s="193">
        <v>0</v>
      </c>
      <c r="P67" s="192">
        <f t="shared" si="27"/>
        <v>1427032.5223953892</v>
      </c>
      <c r="Q67">
        <v>2022</v>
      </c>
      <c r="R67" s="71" t="s">
        <v>8</v>
      </c>
      <c r="S67" s="192"/>
      <c r="T67" s="192"/>
      <c r="U67" s="192"/>
      <c r="V67" s="186"/>
      <c r="W67" s="193"/>
      <c r="X67" s="192"/>
    </row>
    <row r="68" spans="1:24" x14ac:dyDescent="0.2">
      <c r="I68">
        <v>2022</v>
      </c>
      <c r="J68" s="71" t="s">
        <v>11</v>
      </c>
      <c r="K68" s="192">
        <f t="shared" si="30"/>
        <v>1427032.5223953892</v>
      </c>
      <c r="L68" s="192">
        <f t="shared" si="25"/>
        <v>49946.138283838627</v>
      </c>
      <c r="M68" s="192">
        <f t="shared" si="26"/>
        <v>1476978.6606792277</v>
      </c>
      <c r="N68" s="186"/>
      <c r="O68" s="193">
        <v>0</v>
      </c>
      <c r="P68" s="192">
        <f t="shared" si="27"/>
        <v>1476978.6606792277</v>
      </c>
      <c r="Q68">
        <v>2022</v>
      </c>
      <c r="R68" s="71" t="s">
        <v>9</v>
      </c>
      <c r="S68" s="192"/>
      <c r="T68" s="192"/>
      <c r="U68" s="192"/>
      <c r="V68" s="186"/>
      <c r="W68" s="193"/>
      <c r="X68" s="192"/>
    </row>
    <row r="74" spans="1:24" x14ac:dyDescent="0.2">
      <c r="R74" s="401">
        <v>3.5</v>
      </c>
      <c r="S74" s="401"/>
      <c r="T74" s="401"/>
      <c r="U74" s="401"/>
      <c r="V74" s="401"/>
      <c r="W74" s="401"/>
      <c r="X74" s="401"/>
    </row>
    <row r="75" spans="1:24" x14ac:dyDescent="0.2">
      <c r="B75" s="383" t="s">
        <v>3852</v>
      </c>
      <c r="C75" s="383"/>
      <c r="D75" s="383"/>
      <c r="E75" s="383"/>
      <c r="F75" s="383"/>
      <c r="G75" s="383"/>
      <c r="H75" s="383"/>
      <c r="J75" s="383" t="s">
        <v>198</v>
      </c>
      <c r="K75" s="383"/>
      <c r="L75" s="383"/>
      <c r="M75" s="383"/>
      <c r="N75" s="383"/>
      <c r="O75" s="383"/>
      <c r="P75" s="383"/>
      <c r="R75" s="383" t="s">
        <v>2982</v>
      </c>
      <c r="S75" s="383"/>
      <c r="T75" s="383"/>
      <c r="U75" s="383"/>
      <c r="V75" s="383"/>
      <c r="W75" s="383"/>
      <c r="X75" s="383"/>
    </row>
    <row r="76" spans="1:24" x14ac:dyDescent="0.2">
      <c r="R76" s="401"/>
      <c r="S76" s="401"/>
      <c r="T76" s="401"/>
      <c r="U76" s="401"/>
      <c r="V76" s="401"/>
      <c r="W76" s="401"/>
      <c r="X76" s="401"/>
    </row>
    <row r="77" spans="1:24" x14ac:dyDescent="0.2">
      <c r="B77" s="190" t="s">
        <v>2997</v>
      </c>
      <c r="C77" s="190" t="s">
        <v>92</v>
      </c>
      <c r="D77" s="190" t="s">
        <v>3849</v>
      </c>
      <c r="E77" s="190" t="s">
        <v>14</v>
      </c>
      <c r="F77" s="190"/>
      <c r="G77" s="190" t="s">
        <v>163</v>
      </c>
      <c r="H77" s="190" t="s">
        <v>2998</v>
      </c>
      <c r="J77" s="190" t="s">
        <v>2997</v>
      </c>
      <c r="K77" s="190" t="s">
        <v>92</v>
      </c>
      <c r="L77" s="190" t="s">
        <v>3849</v>
      </c>
      <c r="M77" s="190" t="s">
        <v>14</v>
      </c>
      <c r="N77" s="190"/>
      <c r="O77" s="190" t="s">
        <v>163</v>
      </c>
      <c r="P77" s="190" t="s">
        <v>2998</v>
      </c>
      <c r="R77" s="190" t="s">
        <v>2997</v>
      </c>
      <c r="S77" s="190" t="s">
        <v>92</v>
      </c>
      <c r="T77" s="190" t="s">
        <v>3849</v>
      </c>
      <c r="U77" s="190" t="s">
        <v>14</v>
      </c>
      <c r="V77" s="190"/>
      <c r="W77" s="190" t="s">
        <v>163</v>
      </c>
      <c r="X77" s="190" t="s">
        <v>2998</v>
      </c>
    </row>
    <row r="78" spans="1:24" x14ac:dyDescent="0.2">
      <c r="A78">
        <v>2021</v>
      </c>
      <c r="B78" s="71" t="s">
        <v>13</v>
      </c>
      <c r="C78" s="191">
        <v>4000000</v>
      </c>
      <c r="D78" s="192">
        <f>C78*3.5%</f>
        <v>140000</v>
      </c>
      <c r="E78" s="192">
        <f>C78+D78</f>
        <v>4140000</v>
      </c>
      <c r="F78" s="186"/>
      <c r="G78" s="193">
        <v>0</v>
      </c>
      <c r="H78" s="192">
        <f t="shared" ref="H78:H86" si="39">E78-G78</f>
        <v>4140000</v>
      </c>
      <c r="J78" s="71" t="s">
        <v>5</v>
      </c>
      <c r="K78" s="191">
        <v>2000000</v>
      </c>
      <c r="L78" s="192">
        <f t="shared" ref="L78:L84" si="40">K78*3.5%</f>
        <v>70000</v>
      </c>
      <c r="M78" s="192">
        <f>K78+L78</f>
        <v>2070000</v>
      </c>
      <c r="N78" s="186"/>
      <c r="O78" s="193"/>
      <c r="P78" s="192">
        <f t="shared" ref="P78:P86" si="41">M78-O78</f>
        <v>2070000</v>
      </c>
      <c r="Q78">
        <v>2021</v>
      </c>
      <c r="R78" s="71" t="s">
        <v>5</v>
      </c>
      <c r="S78" s="191">
        <v>2000000</v>
      </c>
      <c r="T78" s="192">
        <f>S78*3.5%</f>
        <v>70000</v>
      </c>
      <c r="U78" s="192">
        <f>S78+T78</f>
        <v>2070000</v>
      </c>
      <c r="V78" s="186"/>
      <c r="W78" s="193">
        <v>120000</v>
      </c>
      <c r="X78" s="192">
        <f>U78-W78</f>
        <v>1950000</v>
      </c>
    </row>
    <row r="79" spans="1:24" x14ac:dyDescent="0.2">
      <c r="A79">
        <v>2022</v>
      </c>
      <c r="B79" s="71" t="s">
        <v>2</v>
      </c>
      <c r="C79" s="192">
        <f t="shared" ref="C79:C86" si="42">H78</f>
        <v>4140000</v>
      </c>
      <c r="D79" s="192">
        <f>C79*3.5%</f>
        <v>144900</v>
      </c>
      <c r="E79" s="192">
        <f t="shared" ref="E79:E84" si="43">C79+D79</f>
        <v>4284900</v>
      </c>
      <c r="F79" s="186"/>
      <c r="G79" s="193">
        <v>100000</v>
      </c>
      <c r="H79" s="192">
        <f t="shared" si="39"/>
        <v>4184900</v>
      </c>
      <c r="J79" s="71" t="s">
        <v>6</v>
      </c>
      <c r="K79" s="192">
        <f t="shared" ref="K79:K86" si="44">P78</f>
        <v>2070000</v>
      </c>
      <c r="L79" s="192">
        <f t="shared" si="40"/>
        <v>72450</v>
      </c>
      <c r="M79" s="192">
        <f t="shared" ref="M79:M84" si="45">K79+L79</f>
        <v>2142450</v>
      </c>
      <c r="N79" s="186"/>
      <c r="O79" s="193"/>
      <c r="P79" s="192">
        <f t="shared" si="41"/>
        <v>2142450</v>
      </c>
      <c r="Q79">
        <v>2021</v>
      </c>
      <c r="R79" s="71" t="s">
        <v>6</v>
      </c>
      <c r="S79" s="192">
        <f t="shared" ref="S79:S89" si="46">X78</f>
        <v>1950000</v>
      </c>
      <c r="T79" s="192">
        <f>S79*3.5%</f>
        <v>68250</v>
      </c>
      <c r="U79" s="192">
        <f t="shared" ref="U79:U89" si="47">S79+T79</f>
        <v>2018250</v>
      </c>
      <c r="V79" s="186"/>
      <c r="W79" s="193">
        <v>120000</v>
      </c>
      <c r="X79" s="192">
        <f>U79-W79</f>
        <v>1898250</v>
      </c>
    </row>
    <row r="80" spans="1:24" x14ac:dyDescent="0.2">
      <c r="A80">
        <v>2022</v>
      </c>
      <c r="B80" s="71" t="s">
        <v>3</v>
      </c>
      <c r="C80" s="192">
        <f t="shared" si="42"/>
        <v>4184900</v>
      </c>
      <c r="D80" s="192">
        <f t="shared" ref="D80:D86" si="48">C80*3.5%</f>
        <v>146471.5</v>
      </c>
      <c r="E80" s="192">
        <f t="shared" si="43"/>
        <v>4331371.5</v>
      </c>
      <c r="F80" s="186"/>
      <c r="G80" s="193">
        <v>0</v>
      </c>
      <c r="H80" s="192">
        <f t="shared" si="39"/>
        <v>4331371.5</v>
      </c>
      <c r="J80" s="71" t="s">
        <v>7</v>
      </c>
      <c r="K80" s="192">
        <f t="shared" si="44"/>
        <v>2142450</v>
      </c>
      <c r="L80" s="192">
        <f t="shared" si="40"/>
        <v>74985.75</v>
      </c>
      <c r="M80" s="192">
        <f t="shared" si="45"/>
        <v>2217435.75</v>
      </c>
      <c r="N80" s="186"/>
      <c r="O80" s="193"/>
      <c r="P80" s="192">
        <f t="shared" si="41"/>
        <v>2217435.75</v>
      </c>
      <c r="Q80">
        <v>2021</v>
      </c>
      <c r="R80" s="71" t="s">
        <v>7</v>
      </c>
      <c r="S80" s="192">
        <f t="shared" si="46"/>
        <v>1898250</v>
      </c>
      <c r="T80" s="192">
        <f t="shared" ref="T80:T89" si="49">S80*3.5%</f>
        <v>66438.75</v>
      </c>
      <c r="U80" s="192">
        <f t="shared" si="47"/>
        <v>1964688.75</v>
      </c>
      <c r="V80" s="186"/>
      <c r="W80" s="193">
        <v>100000</v>
      </c>
      <c r="X80" s="192">
        <f t="shared" ref="X80:X89" si="50">U80-W80</f>
        <v>1864688.75</v>
      </c>
    </row>
    <row r="81" spans="1:24" x14ac:dyDescent="0.2">
      <c r="A81">
        <v>2022</v>
      </c>
      <c r="B81" s="71" t="s">
        <v>4</v>
      </c>
      <c r="C81" s="192">
        <f t="shared" si="42"/>
        <v>4331371.5</v>
      </c>
      <c r="D81" s="192">
        <f t="shared" si="48"/>
        <v>151598.0025</v>
      </c>
      <c r="E81" s="192">
        <f t="shared" si="43"/>
        <v>4482969.5025000004</v>
      </c>
      <c r="F81" s="186"/>
      <c r="G81" s="193">
        <v>0</v>
      </c>
      <c r="H81" s="192">
        <f t="shared" si="39"/>
        <v>4482969.5025000004</v>
      </c>
      <c r="J81" s="71" t="s">
        <v>8</v>
      </c>
      <c r="K81" s="192">
        <f t="shared" si="44"/>
        <v>2217435.75</v>
      </c>
      <c r="L81" s="192">
        <f t="shared" si="40"/>
        <v>77610.251250000001</v>
      </c>
      <c r="M81" s="192">
        <f t="shared" si="45"/>
        <v>2295046.0012500002</v>
      </c>
      <c r="N81" s="186"/>
      <c r="O81" s="193"/>
      <c r="P81" s="192">
        <f t="shared" si="41"/>
        <v>2295046.0012500002</v>
      </c>
      <c r="Q81">
        <v>2021</v>
      </c>
      <c r="R81" s="71" t="s">
        <v>8</v>
      </c>
      <c r="S81" s="192">
        <f t="shared" si="46"/>
        <v>1864688.75</v>
      </c>
      <c r="T81" s="192">
        <f t="shared" si="49"/>
        <v>65264.106250000004</v>
      </c>
      <c r="U81" s="192">
        <f t="shared" si="47"/>
        <v>1929952.85625</v>
      </c>
      <c r="V81" s="186"/>
      <c r="W81" s="193">
        <v>50000</v>
      </c>
      <c r="X81" s="192">
        <f t="shared" si="50"/>
        <v>1879952.85625</v>
      </c>
    </row>
    <row r="82" spans="1:24" x14ac:dyDescent="0.2">
      <c r="A82">
        <v>2022</v>
      </c>
      <c r="B82" s="71" t="s">
        <v>5</v>
      </c>
      <c r="C82" s="192">
        <f t="shared" si="42"/>
        <v>4482969.5025000004</v>
      </c>
      <c r="D82" s="192">
        <f t="shared" si="48"/>
        <v>156903.93258750002</v>
      </c>
      <c r="E82" s="192">
        <f t="shared" si="43"/>
        <v>4639873.4350875001</v>
      </c>
      <c r="F82" s="186"/>
      <c r="G82" s="193">
        <v>0</v>
      </c>
      <c r="H82" s="192">
        <f t="shared" si="39"/>
        <v>4639873.4350875001</v>
      </c>
      <c r="J82" s="71" t="s">
        <v>9</v>
      </c>
      <c r="K82" s="192">
        <f t="shared" si="44"/>
        <v>2295046.0012500002</v>
      </c>
      <c r="L82" s="192">
        <f t="shared" si="40"/>
        <v>80326.610043750014</v>
      </c>
      <c r="M82" s="192">
        <f t="shared" si="45"/>
        <v>2375372.6112937503</v>
      </c>
      <c r="N82" s="186"/>
      <c r="O82" s="193"/>
      <c r="P82" s="192">
        <f t="shared" si="41"/>
        <v>2375372.6112937503</v>
      </c>
      <c r="Q82">
        <v>2021</v>
      </c>
      <c r="R82" s="71" t="s">
        <v>9</v>
      </c>
      <c r="S82" s="192">
        <f t="shared" si="46"/>
        <v>1879952.85625</v>
      </c>
      <c r="T82" s="192">
        <f t="shared" si="49"/>
        <v>65798.349968750001</v>
      </c>
      <c r="U82" s="192">
        <f t="shared" si="47"/>
        <v>1945751.20621875</v>
      </c>
      <c r="V82" s="186"/>
      <c r="W82" s="193">
        <v>0</v>
      </c>
      <c r="X82" s="192">
        <f t="shared" si="50"/>
        <v>1945751.20621875</v>
      </c>
    </row>
    <row r="83" spans="1:24" x14ac:dyDescent="0.2">
      <c r="A83">
        <v>2022</v>
      </c>
      <c r="B83" s="71" t="s">
        <v>6</v>
      </c>
      <c r="C83" s="192">
        <f t="shared" si="42"/>
        <v>4639873.4350875001</v>
      </c>
      <c r="D83" s="192">
        <f t="shared" si="48"/>
        <v>162395.57022806251</v>
      </c>
      <c r="E83" s="192">
        <f t="shared" si="43"/>
        <v>4802269.0053155627</v>
      </c>
      <c r="F83" s="186"/>
      <c r="G83" s="193">
        <v>0</v>
      </c>
      <c r="H83" s="192">
        <f t="shared" si="39"/>
        <v>4802269.0053155627</v>
      </c>
      <c r="J83" s="71" t="s">
        <v>10</v>
      </c>
      <c r="K83" s="192">
        <f t="shared" si="44"/>
        <v>2375372.6112937503</v>
      </c>
      <c r="L83" s="192">
        <f t="shared" si="40"/>
        <v>83138.041395281267</v>
      </c>
      <c r="M83" s="192">
        <f t="shared" si="45"/>
        <v>2458510.6526890318</v>
      </c>
      <c r="N83" s="186"/>
      <c r="O83" s="193"/>
      <c r="P83" s="192">
        <f t="shared" si="41"/>
        <v>2458510.6526890318</v>
      </c>
      <c r="Q83">
        <v>2021</v>
      </c>
      <c r="R83" s="71" t="s">
        <v>10</v>
      </c>
      <c r="S83" s="192">
        <f t="shared" si="46"/>
        <v>1945751.20621875</v>
      </c>
      <c r="T83" s="192">
        <f t="shared" si="49"/>
        <v>68101.292217656257</v>
      </c>
      <c r="U83" s="192">
        <f t="shared" si="47"/>
        <v>2013852.4984364063</v>
      </c>
      <c r="V83" s="186"/>
      <c r="W83" s="193">
        <v>300000</v>
      </c>
      <c r="X83" s="192">
        <f t="shared" si="50"/>
        <v>1713852.4984364063</v>
      </c>
    </row>
    <row r="84" spans="1:24" x14ac:dyDescent="0.2">
      <c r="A84">
        <v>2022</v>
      </c>
      <c r="B84" s="71" t="s">
        <v>7</v>
      </c>
      <c r="C84" s="192">
        <f t="shared" si="42"/>
        <v>4802269.0053155627</v>
      </c>
      <c r="D84" s="192">
        <f t="shared" si="48"/>
        <v>168079.4151860447</v>
      </c>
      <c r="E84" s="192">
        <f t="shared" si="43"/>
        <v>4970348.4205016075</v>
      </c>
      <c r="F84" s="186"/>
      <c r="G84" s="193">
        <v>0</v>
      </c>
      <c r="H84" s="192">
        <f t="shared" si="39"/>
        <v>4970348.4205016075</v>
      </c>
      <c r="J84" s="71" t="s">
        <v>11</v>
      </c>
      <c r="K84" s="192">
        <f t="shared" si="44"/>
        <v>2458510.6526890318</v>
      </c>
      <c r="L84" s="192">
        <f t="shared" si="40"/>
        <v>86047.872844116122</v>
      </c>
      <c r="M84" s="192">
        <f t="shared" si="45"/>
        <v>2544558.5255331481</v>
      </c>
      <c r="N84" s="186"/>
      <c r="O84" s="193"/>
      <c r="P84" s="192">
        <f t="shared" si="41"/>
        <v>2544558.5255331481</v>
      </c>
      <c r="Q84">
        <v>2021</v>
      </c>
      <c r="R84" s="71" t="s">
        <v>11</v>
      </c>
      <c r="S84" s="192">
        <f t="shared" si="46"/>
        <v>1713852.4984364063</v>
      </c>
      <c r="T84" s="192">
        <f t="shared" si="49"/>
        <v>59984.837445274228</v>
      </c>
      <c r="U84" s="192">
        <f t="shared" si="47"/>
        <v>1773837.3358816805</v>
      </c>
      <c r="V84" s="186"/>
      <c r="W84" s="193"/>
      <c r="X84" s="192">
        <f t="shared" si="50"/>
        <v>1773837.3358816805</v>
      </c>
    </row>
    <row r="85" spans="1:24" x14ac:dyDescent="0.2">
      <c r="A85">
        <v>2022</v>
      </c>
      <c r="B85" s="71" t="s">
        <v>8</v>
      </c>
      <c r="C85" s="192">
        <f t="shared" si="42"/>
        <v>4970348.4205016075</v>
      </c>
      <c r="D85" s="192">
        <f t="shared" si="48"/>
        <v>173962.19471755627</v>
      </c>
      <c r="E85" s="192">
        <f>C85+D85</f>
        <v>5144310.6152191637</v>
      </c>
      <c r="F85" s="186"/>
      <c r="G85" s="193">
        <v>0</v>
      </c>
      <c r="H85" s="192">
        <f t="shared" si="39"/>
        <v>5144310.6152191637</v>
      </c>
      <c r="J85" s="71" t="s">
        <v>12</v>
      </c>
      <c r="K85" s="192">
        <f t="shared" si="44"/>
        <v>2544558.5255331481</v>
      </c>
      <c r="L85" s="192"/>
      <c r="M85" s="192">
        <f>K85+L85</f>
        <v>2544558.5255331481</v>
      </c>
      <c r="N85" s="186"/>
      <c r="O85" s="193"/>
      <c r="P85" s="192">
        <f t="shared" si="41"/>
        <v>2544558.5255331481</v>
      </c>
      <c r="Q85">
        <v>2021</v>
      </c>
      <c r="R85" s="71" t="s">
        <v>12</v>
      </c>
      <c r="S85" s="192">
        <f t="shared" si="46"/>
        <v>1773837.3358816805</v>
      </c>
      <c r="T85" s="192">
        <f t="shared" si="49"/>
        <v>62084.306755858823</v>
      </c>
      <c r="U85" s="192">
        <f t="shared" si="47"/>
        <v>1835921.6426375392</v>
      </c>
      <c r="V85" s="186"/>
      <c r="W85" s="193">
        <v>200000</v>
      </c>
      <c r="X85" s="192">
        <f t="shared" si="50"/>
        <v>1635921.6426375392</v>
      </c>
    </row>
    <row r="86" spans="1:24" x14ac:dyDescent="0.2">
      <c r="A86">
        <v>2022</v>
      </c>
      <c r="B86" s="71" t="s">
        <v>9</v>
      </c>
      <c r="C86" s="192">
        <f t="shared" si="42"/>
        <v>5144310.6152191637</v>
      </c>
      <c r="D86" s="192">
        <f t="shared" si="48"/>
        <v>180050.87153267075</v>
      </c>
      <c r="E86" s="192">
        <f>C86+D86</f>
        <v>5324361.4867518349</v>
      </c>
      <c r="F86" s="186"/>
      <c r="G86" s="193">
        <v>0</v>
      </c>
      <c r="H86" s="192">
        <f t="shared" si="39"/>
        <v>5324361.4867518349</v>
      </c>
      <c r="J86" s="71" t="s">
        <v>13</v>
      </c>
      <c r="K86" s="192">
        <f t="shared" si="44"/>
        <v>2544558.5255331481</v>
      </c>
      <c r="L86" s="192"/>
      <c r="M86" s="192">
        <f>K86+L86</f>
        <v>2544558.5255331481</v>
      </c>
      <c r="N86" s="186"/>
      <c r="O86" s="193"/>
      <c r="P86" s="192">
        <f t="shared" si="41"/>
        <v>2544558.5255331481</v>
      </c>
      <c r="Q86">
        <v>2021</v>
      </c>
      <c r="R86" s="71" t="s">
        <v>13</v>
      </c>
      <c r="S86" s="192">
        <f t="shared" si="46"/>
        <v>1635921.6426375392</v>
      </c>
      <c r="T86" s="192">
        <f t="shared" si="49"/>
        <v>57257.257492313875</v>
      </c>
      <c r="U86" s="192">
        <f t="shared" si="47"/>
        <v>1693178.900129853</v>
      </c>
      <c r="V86" s="186"/>
      <c r="W86" s="193">
        <v>100000</v>
      </c>
      <c r="X86" s="192">
        <f t="shared" si="50"/>
        <v>1593178.900129853</v>
      </c>
    </row>
    <row r="87" spans="1:24" x14ac:dyDescent="0.2">
      <c r="J87" s="71" t="s">
        <v>2</v>
      </c>
      <c r="K87" s="192"/>
      <c r="L87" s="192"/>
      <c r="M87" s="192"/>
      <c r="N87" s="186"/>
      <c r="O87" s="192"/>
      <c r="P87" s="192"/>
      <c r="Q87">
        <v>2022</v>
      </c>
      <c r="R87" s="71" t="s">
        <v>2</v>
      </c>
      <c r="S87" s="192">
        <f t="shared" si="46"/>
        <v>1593178.900129853</v>
      </c>
      <c r="T87" s="192">
        <f t="shared" si="49"/>
        <v>55761.261504544862</v>
      </c>
      <c r="U87" s="192">
        <f t="shared" si="47"/>
        <v>1648940.1616343979</v>
      </c>
      <c r="V87" s="186"/>
      <c r="W87" s="193">
        <v>200000</v>
      </c>
      <c r="X87" s="192">
        <f t="shared" si="50"/>
        <v>1448940.1616343979</v>
      </c>
    </row>
    <row r="88" spans="1:24" x14ac:dyDescent="0.2">
      <c r="J88" s="71" t="s">
        <v>3</v>
      </c>
      <c r="K88" s="192"/>
      <c r="L88" s="192"/>
      <c r="M88" s="192"/>
      <c r="N88" s="186"/>
      <c r="O88" s="192"/>
      <c r="P88" s="192"/>
      <c r="Q88">
        <v>2022</v>
      </c>
      <c r="R88" s="71" t="s">
        <v>3</v>
      </c>
      <c r="S88" s="192">
        <f t="shared" si="46"/>
        <v>1448940.1616343979</v>
      </c>
      <c r="T88" s="192">
        <f t="shared" si="49"/>
        <v>50712.905657203934</v>
      </c>
      <c r="U88" s="192">
        <f t="shared" si="47"/>
        <v>1499653.0672916018</v>
      </c>
      <c r="V88" s="186"/>
      <c r="W88" s="193">
        <v>150000</v>
      </c>
      <c r="X88" s="192">
        <f t="shared" si="50"/>
        <v>1349653.0672916018</v>
      </c>
    </row>
    <row r="89" spans="1:24" x14ac:dyDescent="0.2">
      <c r="J89" s="71" t="s">
        <v>4</v>
      </c>
      <c r="K89" s="192"/>
      <c r="L89" s="192"/>
      <c r="M89" s="192"/>
      <c r="N89" s="186"/>
      <c r="O89" s="192"/>
      <c r="P89" s="192"/>
      <c r="Q89">
        <v>2022</v>
      </c>
      <c r="R89" s="71" t="s">
        <v>4</v>
      </c>
      <c r="S89" s="192">
        <f t="shared" si="46"/>
        <v>1349653.0672916018</v>
      </c>
      <c r="T89" s="192">
        <f t="shared" si="49"/>
        <v>47237.85735520607</v>
      </c>
      <c r="U89" s="192">
        <f t="shared" si="47"/>
        <v>1396890.9246468078</v>
      </c>
      <c r="V89" s="186"/>
      <c r="W89" s="193"/>
      <c r="X89" s="192">
        <f t="shared" si="50"/>
        <v>1396890.9246468078</v>
      </c>
    </row>
    <row r="90" spans="1:24" x14ac:dyDescent="0.2">
      <c r="O90" s="72"/>
      <c r="P90" s="72"/>
    </row>
    <row r="91" spans="1:24" x14ac:dyDescent="0.2">
      <c r="K91" s="72"/>
      <c r="L91" s="72"/>
      <c r="M91" s="72"/>
      <c r="P91" s="72"/>
    </row>
    <row r="98" spans="1:24" x14ac:dyDescent="0.2">
      <c r="B98" s="383" t="s">
        <v>3853</v>
      </c>
      <c r="C98" s="383"/>
      <c r="D98" s="383"/>
      <c r="E98" s="383"/>
      <c r="F98" s="383"/>
      <c r="G98" s="383"/>
      <c r="H98" s="383"/>
      <c r="J98" s="383" t="s">
        <v>3854</v>
      </c>
      <c r="K98" s="383"/>
      <c r="L98" s="383"/>
      <c r="M98" s="383"/>
      <c r="N98" s="383"/>
      <c r="O98" s="383"/>
      <c r="P98" s="383"/>
      <c r="R98" s="383" t="s">
        <v>3855</v>
      </c>
      <c r="S98" s="383"/>
      <c r="T98" s="383"/>
      <c r="U98" s="383"/>
      <c r="V98" s="383"/>
      <c r="W98" s="383"/>
      <c r="X98" s="383"/>
    </row>
    <row r="100" spans="1:24" x14ac:dyDescent="0.2">
      <c r="B100" s="190" t="s">
        <v>2997</v>
      </c>
      <c r="C100" s="190" t="s">
        <v>92</v>
      </c>
      <c r="D100" s="190" t="s">
        <v>3849</v>
      </c>
      <c r="E100" s="190" t="s">
        <v>14</v>
      </c>
      <c r="F100" s="190"/>
      <c r="G100" s="190" t="s">
        <v>163</v>
      </c>
      <c r="H100" s="190" t="s">
        <v>2998</v>
      </c>
      <c r="J100" s="190" t="s">
        <v>2997</v>
      </c>
      <c r="K100" s="190" t="s">
        <v>92</v>
      </c>
      <c r="L100" s="190" t="s">
        <v>3849</v>
      </c>
      <c r="M100" s="190" t="s">
        <v>14</v>
      </c>
      <c r="N100" s="190"/>
      <c r="O100" s="190" t="s">
        <v>163</v>
      </c>
      <c r="P100" s="190" t="s">
        <v>2998</v>
      </c>
      <c r="R100" s="190" t="s">
        <v>2997</v>
      </c>
      <c r="S100" s="190" t="s">
        <v>92</v>
      </c>
      <c r="T100" s="190" t="s">
        <v>3849</v>
      </c>
      <c r="U100" s="190" t="s">
        <v>14</v>
      </c>
      <c r="V100" s="190"/>
      <c r="W100" s="190" t="s">
        <v>163</v>
      </c>
      <c r="X100" s="190" t="s">
        <v>2998</v>
      </c>
    </row>
    <row r="101" spans="1:24" x14ac:dyDescent="0.2">
      <c r="A101">
        <v>2020</v>
      </c>
      <c r="B101" s="71" t="s">
        <v>2</v>
      </c>
      <c r="C101" s="191">
        <v>600000</v>
      </c>
      <c r="D101" s="192">
        <f>C101*3.5%</f>
        <v>21000.000000000004</v>
      </c>
      <c r="E101" s="192">
        <f>C101+D101</f>
        <v>621000</v>
      </c>
      <c r="F101" s="186"/>
      <c r="G101" s="193">
        <v>0</v>
      </c>
      <c r="H101" s="192">
        <f t="shared" ref="H101:H112" si="51">E101-G101</f>
        <v>621000</v>
      </c>
      <c r="I101">
        <v>2020</v>
      </c>
      <c r="J101" s="71" t="s">
        <v>3</v>
      </c>
      <c r="K101" s="191">
        <v>2000000</v>
      </c>
      <c r="L101" s="192">
        <f>K101*3.5%</f>
        <v>70000</v>
      </c>
      <c r="M101" s="192">
        <f>K101+L101</f>
        <v>2070000</v>
      </c>
      <c r="N101" s="186"/>
      <c r="O101" s="193">
        <v>0</v>
      </c>
      <c r="P101" s="192">
        <f t="shared" ref="P101:P111" si="52">M101-O101</f>
        <v>2070000</v>
      </c>
      <c r="Q101">
        <v>2020</v>
      </c>
      <c r="R101" s="71" t="s">
        <v>2</v>
      </c>
      <c r="S101" s="191">
        <v>1000000</v>
      </c>
      <c r="T101" s="192">
        <f t="shared" ref="T101:T106" si="53">S101*3.5%</f>
        <v>35000</v>
      </c>
      <c r="U101" s="192">
        <f t="shared" ref="U101:U106" si="54">S101+T101</f>
        <v>1035000</v>
      </c>
      <c r="V101" s="186"/>
      <c r="W101" s="193"/>
      <c r="X101" s="192">
        <f t="shared" ref="X101:X106" si="55">U101-W101</f>
        <v>1035000</v>
      </c>
    </row>
    <row r="102" spans="1:24" x14ac:dyDescent="0.2">
      <c r="A102">
        <v>2020</v>
      </c>
      <c r="B102" s="71" t="s">
        <v>3</v>
      </c>
      <c r="C102" s="192">
        <f t="shared" ref="C102:C112" si="56">H101</f>
        <v>621000</v>
      </c>
      <c r="D102" s="192">
        <f>C102*3.5%</f>
        <v>21735.000000000004</v>
      </c>
      <c r="E102" s="192">
        <f t="shared" ref="E102:E107" si="57">C102+D102</f>
        <v>642735</v>
      </c>
      <c r="F102" s="186"/>
      <c r="G102" s="193">
        <v>21000</v>
      </c>
      <c r="H102" s="192">
        <f t="shared" si="51"/>
        <v>621735</v>
      </c>
      <c r="I102">
        <v>2020</v>
      </c>
      <c r="J102" s="71" t="s">
        <v>4</v>
      </c>
      <c r="K102" s="192">
        <f t="shared" ref="K102:K111" si="58">P101</f>
        <v>2070000</v>
      </c>
      <c r="L102" s="192">
        <f>K102*3.5%</f>
        <v>72450</v>
      </c>
      <c r="M102" s="192">
        <f t="shared" ref="M102:M107" si="59">K102+L102</f>
        <v>2142450</v>
      </c>
      <c r="N102" s="186"/>
      <c r="O102" s="193">
        <v>53000</v>
      </c>
      <c r="P102" s="192">
        <f t="shared" si="52"/>
        <v>2089450</v>
      </c>
      <c r="Q102">
        <v>2020</v>
      </c>
      <c r="R102" s="71" t="s">
        <v>3</v>
      </c>
      <c r="S102" s="192">
        <f>X101</f>
        <v>1035000</v>
      </c>
      <c r="T102" s="192">
        <f t="shared" si="53"/>
        <v>36225</v>
      </c>
      <c r="U102" s="192">
        <f t="shared" si="54"/>
        <v>1071225</v>
      </c>
      <c r="V102" s="186"/>
      <c r="W102" s="193"/>
      <c r="X102" s="192">
        <f t="shared" si="55"/>
        <v>1071225</v>
      </c>
    </row>
    <row r="103" spans="1:24" x14ac:dyDescent="0.2">
      <c r="A103">
        <v>2020</v>
      </c>
      <c r="B103" s="71" t="s">
        <v>4</v>
      </c>
      <c r="C103" s="192">
        <f t="shared" si="56"/>
        <v>621735</v>
      </c>
      <c r="D103" s="192">
        <f t="shared" ref="D103:D112" si="60">C103*3.5%</f>
        <v>21760.725000000002</v>
      </c>
      <c r="E103" s="192">
        <f t="shared" si="57"/>
        <v>643495.72499999998</v>
      </c>
      <c r="F103" s="186"/>
      <c r="G103" s="193">
        <v>21000</v>
      </c>
      <c r="H103" s="192">
        <f t="shared" si="51"/>
        <v>622495.72499999998</v>
      </c>
      <c r="I103">
        <v>2020</v>
      </c>
      <c r="J103" s="71" t="s">
        <v>5</v>
      </c>
      <c r="K103" s="192">
        <f t="shared" si="58"/>
        <v>2089450</v>
      </c>
      <c r="L103" s="192">
        <f t="shared" ref="L103:L111" si="61">K103*3.5%</f>
        <v>73130.75</v>
      </c>
      <c r="M103" s="192">
        <f t="shared" si="59"/>
        <v>2162580.75</v>
      </c>
      <c r="N103" s="186"/>
      <c r="O103" s="193">
        <v>0</v>
      </c>
      <c r="P103" s="192">
        <f t="shared" si="52"/>
        <v>2162580.75</v>
      </c>
      <c r="Q103">
        <v>2020</v>
      </c>
      <c r="R103" s="71" t="s">
        <v>4</v>
      </c>
      <c r="S103" s="192">
        <f>X102</f>
        <v>1071225</v>
      </c>
      <c r="T103" s="192">
        <f t="shared" si="53"/>
        <v>37492.875</v>
      </c>
      <c r="U103" s="192">
        <f t="shared" si="54"/>
        <v>1108717.875</v>
      </c>
      <c r="V103" s="186"/>
      <c r="W103" s="193"/>
      <c r="X103" s="192">
        <f t="shared" si="55"/>
        <v>1108717.875</v>
      </c>
    </row>
    <row r="104" spans="1:24" x14ac:dyDescent="0.2">
      <c r="A104">
        <v>2020</v>
      </c>
      <c r="B104" s="71" t="s">
        <v>5</v>
      </c>
      <c r="C104" s="192">
        <f t="shared" si="56"/>
        <v>622495.72499999998</v>
      </c>
      <c r="D104" s="192">
        <f t="shared" si="60"/>
        <v>21787.350375000002</v>
      </c>
      <c r="E104" s="192">
        <f t="shared" si="57"/>
        <v>644283.07537500001</v>
      </c>
      <c r="F104" s="186"/>
      <c r="G104" s="193">
        <v>21000</v>
      </c>
      <c r="H104" s="192">
        <f t="shared" si="51"/>
        <v>623283.07537500001</v>
      </c>
      <c r="I104">
        <v>2020</v>
      </c>
      <c r="J104" s="71" t="s">
        <v>6</v>
      </c>
      <c r="K104" s="192">
        <f t="shared" si="58"/>
        <v>2162580.75</v>
      </c>
      <c r="L104" s="192">
        <f t="shared" si="61"/>
        <v>75690.326250000013</v>
      </c>
      <c r="M104" s="192">
        <f t="shared" si="59"/>
        <v>2238271.0762499999</v>
      </c>
      <c r="N104" s="186"/>
      <c r="O104" s="193">
        <v>0</v>
      </c>
      <c r="P104" s="192">
        <f t="shared" si="52"/>
        <v>2238271.0762499999</v>
      </c>
      <c r="Q104">
        <v>2020</v>
      </c>
      <c r="R104" s="71" t="s">
        <v>5</v>
      </c>
      <c r="S104" s="192">
        <f>X103</f>
        <v>1108717.875</v>
      </c>
      <c r="T104" s="192">
        <f t="shared" si="53"/>
        <v>38805.125625000001</v>
      </c>
      <c r="U104" s="192">
        <f t="shared" si="54"/>
        <v>1147523.0006250001</v>
      </c>
      <c r="V104" s="186"/>
      <c r="W104" s="193"/>
      <c r="X104" s="192">
        <f t="shared" si="55"/>
        <v>1147523.0006250001</v>
      </c>
    </row>
    <row r="105" spans="1:24" x14ac:dyDescent="0.2">
      <c r="A105">
        <v>2020</v>
      </c>
      <c r="B105" s="71" t="s">
        <v>6</v>
      </c>
      <c r="C105" s="192">
        <f t="shared" si="56"/>
        <v>623283.07537500001</v>
      </c>
      <c r="D105" s="192">
        <f t="shared" si="60"/>
        <v>21814.907638125002</v>
      </c>
      <c r="E105" s="192">
        <f t="shared" si="57"/>
        <v>645097.98301312502</v>
      </c>
      <c r="F105" s="186"/>
      <c r="G105" s="193">
        <v>0</v>
      </c>
      <c r="H105" s="192">
        <f t="shared" si="51"/>
        <v>645097.98301312502</v>
      </c>
      <c r="I105">
        <v>2020</v>
      </c>
      <c r="J105" s="71" t="s">
        <v>7</v>
      </c>
      <c r="K105" s="192">
        <f t="shared" si="58"/>
        <v>2238271.0762499999</v>
      </c>
      <c r="L105" s="192">
        <f t="shared" si="61"/>
        <v>78339.487668750007</v>
      </c>
      <c r="M105" s="192">
        <f t="shared" si="59"/>
        <v>2316610.5639187498</v>
      </c>
      <c r="N105" s="186"/>
      <c r="O105" s="193">
        <v>0</v>
      </c>
      <c r="P105" s="192">
        <f t="shared" si="52"/>
        <v>2316610.5639187498</v>
      </c>
      <c r="Q105">
        <v>2020</v>
      </c>
      <c r="R105" s="71" t="s">
        <v>6</v>
      </c>
      <c r="S105" s="192">
        <f>X104</f>
        <v>1147523.0006250001</v>
      </c>
      <c r="T105" s="192">
        <f t="shared" si="53"/>
        <v>40163.305021875007</v>
      </c>
      <c r="U105" s="192">
        <f t="shared" si="54"/>
        <v>1187686.3056468752</v>
      </c>
      <c r="V105" s="186"/>
      <c r="W105" s="193"/>
      <c r="X105" s="192">
        <f t="shared" si="55"/>
        <v>1187686.3056468752</v>
      </c>
    </row>
    <row r="106" spans="1:24" x14ac:dyDescent="0.2">
      <c r="A106">
        <v>2020</v>
      </c>
      <c r="B106" s="71" t="s">
        <v>7</v>
      </c>
      <c r="C106" s="192">
        <f t="shared" si="56"/>
        <v>645097.98301312502</v>
      </c>
      <c r="D106" s="192">
        <f t="shared" si="60"/>
        <v>22578.429405459377</v>
      </c>
      <c r="E106" s="192">
        <f t="shared" si="57"/>
        <v>667676.41241858434</v>
      </c>
      <c r="F106" s="186"/>
      <c r="G106" s="193">
        <v>0</v>
      </c>
      <c r="H106" s="192">
        <f t="shared" si="51"/>
        <v>667676.41241858434</v>
      </c>
      <c r="I106">
        <v>2020</v>
      </c>
      <c r="J106" s="71" t="s">
        <v>8</v>
      </c>
      <c r="K106" s="192">
        <f t="shared" si="58"/>
        <v>2316610.5639187498</v>
      </c>
      <c r="L106" s="192">
        <f t="shared" si="61"/>
        <v>81081.369737156245</v>
      </c>
      <c r="M106" s="192">
        <f t="shared" si="59"/>
        <v>2397691.933655906</v>
      </c>
      <c r="N106" s="186"/>
      <c r="O106" s="193">
        <v>0</v>
      </c>
      <c r="P106" s="192">
        <f t="shared" si="52"/>
        <v>2397691.933655906</v>
      </c>
      <c r="Q106">
        <v>2020</v>
      </c>
      <c r="R106" s="71" t="s">
        <v>7</v>
      </c>
      <c r="S106" s="192">
        <f>X105</f>
        <v>1187686.3056468752</v>
      </c>
      <c r="T106" s="192">
        <f t="shared" si="53"/>
        <v>41569.020697640633</v>
      </c>
      <c r="U106" s="192">
        <f t="shared" si="54"/>
        <v>1229255.3263445159</v>
      </c>
      <c r="V106" s="186"/>
      <c r="W106" s="193"/>
      <c r="X106" s="192">
        <f t="shared" si="55"/>
        <v>1229255.3263445159</v>
      </c>
    </row>
    <row r="107" spans="1:24" x14ac:dyDescent="0.2">
      <c r="A107">
        <v>2020</v>
      </c>
      <c r="B107" s="71" t="s">
        <v>8</v>
      </c>
      <c r="C107" s="192">
        <f t="shared" si="56"/>
        <v>667676.41241858434</v>
      </c>
      <c r="D107" s="192">
        <f t="shared" si="60"/>
        <v>23368.674434650453</v>
      </c>
      <c r="E107" s="192">
        <f t="shared" si="57"/>
        <v>691045.0868532348</v>
      </c>
      <c r="F107" s="186"/>
      <c r="G107" s="193">
        <v>0</v>
      </c>
      <c r="H107" s="192">
        <f t="shared" si="51"/>
        <v>691045.0868532348</v>
      </c>
      <c r="I107">
        <v>2020</v>
      </c>
      <c r="J107" s="71" t="s">
        <v>9</v>
      </c>
      <c r="K107" s="192">
        <f t="shared" si="58"/>
        <v>2397691.933655906</v>
      </c>
      <c r="L107" s="192">
        <f t="shared" si="61"/>
        <v>83919.217677956723</v>
      </c>
      <c r="M107" s="192">
        <f t="shared" si="59"/>
        <v>2481611.1513338629</v>
      </c>
      <c r="N107" s="186"/>
      <c r="O107" s="193">
        <v>0</v>
      </c>
      <c r="P107" s="192">
        <f t="shared" si="52"/>
        <v>2481611.1513338629</v>
      </c>
      <c r="Q107">
        <v>2020</v>
      </c>
      <c r="R107" s="71" t="s">
        <v>8</v>
      </c>
      <c r="S107" s="192">
        <f t="shared" ref="S107:S126" si="62">X106</f>
        <v>1229255.3263445159</v>
      </c>
      <c r="T107" s="192">
        <f t="shared" ref="T107:T126" si="63">S107*3.5%</f>
        <v>43023.936422058061</v>
      </c>
      <c r="U107" s="192">
        <f t="shared" ref="U107:U126" si="64">S107+T107</f>
        <v>1272279.262766574</v>
      </c>
      <c r="V107" s="186"/>
      <c r="W107" s="193"/>
      <c r="X107" s="192">
        <f t="shared" ref="X107:X126" si="65">U107-W107</f>
        <v>1272279.262766574</v>
      </c>
    </row>
    <row r="108" spans="1:24" x14ac:dyDescent="0.2">
      <c r="A108">
        <v>2020</v>
      </c>
      <c r="B108" s="71" t="s">
        <v>9</v>
      </c>
      <c r="C108" s="192">
        <f t="shared" si="56"/>
        <v>691045.0868532348</v>
      </c>
      <c r="D108" s="192">
        <f t="shared" si="60"/>
        <v>24186.57803986322</v>
      </c>
      <c r="E108" s="192">
        <f>C108+D108</f>
        <v>715231.66489309806</v>
      </c>
      <c r="F108" s="186"/>
      <c r="G108" s="193">
        <v>0</v>
      </c>
      <c r="H108" s="192">
        <f t="shared" si="51"/>
        <v>715231.66489309806</v>
      </c>
      <c r="I108">
        <v>2020</v>
      </c>
      <c r="J108" s="71" t="s">
        <v>10</v>
      </c>
      <c r="K108" s="192">
        <f t="shared" si="58"/>
        <v>2481611.1513338629</v>
      </c>
      <c r="L108" s="192">
        <f t="shared" si="61"/>
        <v>86856.390296685204</v>
      </c>
      <c r="M108" s="192">
        <f>K108+L108</f>
        <v>2568467.541630548</v>
      </c>
      <c r="N108" s="186"/>
      <c r="O108" s="193">
        <v>0</v>
      </c>
      <c r="P108" s="192">
        <f t="shared" si="52"/>
        <v>2568467.541630548</v>
      </c>
      <c r="Q108">
        <v>2020</v>
      </c>
      <c r="R108" s="71" t="s">
        <v>9</v>
      </c>
      <c r="S108" s="192">
        <f t="shared" si="62"/>
        <v>1272279.262766574</v>
      </c>
      <c r="T108" s="192">
        <f t="shared" si="63"/>
        <v>44529.774196830098</v>
      </c>
      <c r="U108" s="192">
        <f t="shared" si="64"/>
        <v>1316809.0369634042</v>
      </c>
      <c r="V108" s="186"/>
      <c r="W108" s="193"/>
      <c r="X108" s="192">
        <f t="shared" si="65"/>
        <v>1316809.0369634042</v>
      </c>
    </row>
    <row r="109" spans="1:24" x14ac:dyDescent="0.2">
      <c r="A109">
        <v>2020</v>
      </c>
      <c r="B109" s="71" t="s">
        <v>10</v>
      </c>
      <c r="C109" s="192">
        <f t="shared" si="56"/>
        <v>715231.66489309806</v>
      </c>
      <c r="D109" s="192">
        <f t="shared" si="60"/>
        <v>25033.108271258436</v>
      </c>
      <c r="E109" s="192">
        <f>C109+D109</f>
        <v>740264.77316435648</v>
      </c>
      <c r="F109" s="186"/>
      <c r="G109" s="193">
        <v>600000</v>
      </c>
      <c r="H109" s="192">
        <f t="shared" si="51"/>
        <v>140264.77316435648</v>
      </c>
      <c r="I109">
        <v>2020</v>
      </c>
      <c r="J109" s="71" t="s">
        <v>11</v>
      </c>
      <c r="K109" s="192">
        <f t="shared" si="58"/>
        <v>2568467.541630548</v>
      </c>
      <c r="L109" s="192">
        <f t="shared" si="61"/>
        <v>89896.363957069188</v>
      </c>
      <c r="M109" s="192">
        <f>K109+L109</f>
        <v>2658363.9055876173</v>
      </c>
      <c r="N109" s="186"/>
      <c r="O109" s="193">
        <v>0</v>
      </c>
      <c r="P109" s="192">
        <f t="shared" si="52"/>
        <v>2658363.9055876173</v>
      </c>
      <c r="Q109">
        <v>2020</v>
      </c>
      <c r="R109" s="71" t="s">
        <v>10</v>
      </c>
      <c r="S109" s="192">
        <f t="shared" si="62"/>
        <v>1316809.0369634042</v>
      </c>
      <c r="T109" s="192">
        <f t="shared" si="63"/>
        <v>46088.316293719152</v>
      </c>
      <c r="U109" s="192">
        <f t="shared" si="64"/>
        <v>1362897.3532571234</v>
      </c>
      <c r="V109" s="186"/>
      <c r="W109" s="193"/>
      <c r="X109" s="192">
        <f t="shared" si="65"/>
        <v>1362897.3532571234</v>
      </c>
    </row>
    <row r="110" spans="1:24" x14ac:dyDescent="0.2">
      <c r="A110">
        <v>2020</v>
      </c>
      <c r="B110" s="71" t="s">
        <v>11</v>
      </c>
      <c r="C110" s="192">
        <f t="shared" si="56"/>
        <v>140264.77316435648</v>
      </c>
      <c r="D110" s="192">
        <f t="shared" si="60"/>
        <v>4909.2670607524769</v>
      </c>
      <c r="E110" s="192">
        <f>C110+D110</f>
        <v>145174.04022510894</v>
      </c>
      <c r="F110" s="186"/>
      <c r="G110" s="193">
        <v>0</v>
      </c>
      <c r="H110" s="192">
        <f t="shared" si="51"/>
        <v>145174.04022510894</v>
      </c>
      <c r="I110">
        <v>2020</v>
      </c>
      <c r="J110" s="71" t="s">
        <v>12</v>
      </c>
      <c r="K110" s="192">
        <f t="shared" si="58"/>
        <v>2658363.9055876173</v>
      </c>
      <c r="L110" s="192">
        <f t="shared" si="61"/>
        <v>93042.736695566608</v>
      </c>
      <c r="M110" s="192">
        <f>K110+L110</f>
        <v>2751406.642283184</v>
      </c>
      <c r="N110" s="186"/>
      <c r="O110" s="193">
        <v>0</v>
      </c>
      <c r="P110" s="192">
        <f t="shared" si="52"/>
        <v>2751406.642283184</v>
      </c>
      <c r="Q110">
        <v>2020</v>
      </c>
      <c r="R110" s="71" t="s">
        <v>11</v>
      </c>
      <c r="S110" s="192">
        <f t="shared" si="62"/>
        <v>1362897.3532571234</v>
      </c>
      <c r="T110" s="192">
        <f t="shared" si="63"/>
        <v>47701.407363999322</v>
      </c>
      <c r="U110" s="192">
        <f t="shared" si="64"/>
        <v>1410598.7606211228</v>
      </c>
      <c r="V110" s="186"/>
      <c r="W110" s="193"/>
      <c r="X110" s="192">
        <f t="shared" si="65"/>
        <v>1410598.7606211228</v>
      </c>
    </row>
    <row r="111" spans="1:24" x14ac:dyDescent="0.2">
      <c r="A111">
        <v>2020</v>
      </c>
      <c r="B111" s="71" t="s">
        <v>12</v>
      </c>
      <c r="C111" s="192">
        <f t="shared" si="56"/>
        <v>145174.04022510894</v>
      </c>
      <c r="D111" s="192">
        <f t="shared" si="60"/>
        <v>5081.0914078788137</v>
      </c>
      <c r="E111" s="192">
        <f>C111+D111</f>
        <v>150255.13163298776</v>
      </c>
      <c r="F111" s="186"/>
      <c r="G111" s="193">
        <v>0</v>
      </c>
      <c r="H111" s="192">
        <f t="shared" si="51"/>
        <v>150255.13163298776</v>
      </c>
      <c r="I111">
        <v>2020</v>
      </c>
      <c r="J111" s="71" t="s">
        <v>13</v>
      </c>
      <c r="K111" s="192">
        <f t="shared" si="58"/>
        <v>2751406.642283184</v>
      </c>
      <c r="L111" s="192">
        <f t="shared" si="61"/>
        <v>96299.232479911443</v>
      </c>
      <c r="M111" s="192">
        <f>K111+L111</f>
        <v>2847705.8747630953</v>
      </c>
      <c r="N111" s="186"/>
      <c r="O111" s="193">
        <v>0</v>
      </c>
      <c r="P111" s="192">
        <f t="shared" si="52"/>
        <v>2847705.8747630953</v>
      </c>
      <c r="Q111">
        <v>2020</v>
      </c>
      <c r="R111" s="71" t="s">
        <v>12</v>
      </c>
      <c r="S111" s="192">
        <f t="shared" si="62"/>
        <v>1410598.7606211228</v>
      </c>
      <c r="T111" s="192">
        <f t="shared" si="63"/>
        <v>49370.9566217393</v>
      </c>
      <c r="U111" s="192">
        <f t="shared" si="64"/>
        <v>1459969.7172428621</v>
      </c>
      <c r="V111" s="186"/>
      <c r="W111" s="193"/>
      <c r="X111" s="192">
        <f t="shared" si="65"/>
        <v>1459969.7172428621</v>
      </c>
    </row>
    <row r="112" spans="1:24" x14ac:dyDescent="0.2">
      <c r="A112">
        <v>2020</v>
      </c>
      <c r="B112" s="71" t="s">
        <v>13</v>
      </c>
      <c r="C112" s="192">
        <f t="shared" si="56"/>
        <v>150255.13163298776</v>
      </c>
      <c r="D112" s="192">
        <f t="shared" si="60"/>
        <v>5258.9296071545723</v>
      </c>
      <c r="E112" s="192">
        <f>C112+D112</f>
        <v>155514.06124014233</v>
      </c>
      <c r="F112" s="186"/>
      <c r="G112" s="193">
        <v>0</v>
      </c>
      <c r="H112" s="192">
        <f t="shared" si="51"/>
        <v>155514.06124014233</v>
      </c>
      <c r="I112">
        <v>2021</v>
      </c>
      <c r="J112" s="71" t="s">
        <v>2</v>
      </c>
      <c r="K112" s="192">
        <f t="shared" ref="K112:K135" si="66">P111</f>
        <v>2847705.8747630953</v>
      </c>
      <c r="L112" s="192">
        <f t="shared" ref="L112:L135" si="67">K112*3.5%</f>
        <v>99669.70561670835</v>
      </c>
      <c r="M112" s="192">
        <f t="shared" ref="M112:M135" si="68">K112+L112</f>
        <v>2947375.5803798037</v>
      </c>
      <c r="N112" s="186"/>
      <c r="O112" s="193">
        <v>0</v>
      </c>
      <c r="P112" s="192">
        <f t="shared" ref="P112:P135" si="69">M112-O112</f>
        <v>2947375.5803798037</v>
      </c>
      <c r="Q112">
        <v>2020</v>
      </c>
      <c r="R112" s="71" t="s">
        <v>13</v>
      </c>
      <c r="S112" s="192">
        <f t="shared" si="62"/>
        <v>1459969.7172428621</v>
      </c>
      <c r="T112" s="192">
        <f t="shared" si="63"/>
        <v>51098.940103500179</v>
      </c>
      <c r="U112" s="192">
        <f t="shared" si="64"/>
        <v>1511068.6573463622</v>
      </c>
      <c r="V112" s="186"/>
      <c r="W112" s="193"/>
      <c r="X112" s="192">
        <f t="shared" si="65"/>
        <v>1511068.6573463622</v>
      </c>
    </row>
    <row r="113" spans="1:24" x14ac:dyDescent="0.2">
      <c r="A113">
        <v>2021</v>
      </c>
      <c r="B113" s="71" t="s">
        <v>2</v>
      </c>
      <c r="C113" s="192">
        <f t="shared" ref="C113:C124" si="70">H112</f>
        <v>155514.06124014233</v>
      </c>
      <c r="D113" s="192">
        <f t="shared" ref="D113:D124" si="71">C113*3.5%</f>
        <v>5442.992143404982</v>
      </c>
      <c r="E113" s="192">
        <f t="shared" ref="E113:E124" si="72">C113+D113</f>
        <v>160957.05338354732</v>
      </c>
      <c r="F113" s="186"/>
      <c r="G113" s="193">
        <v>0</v>
      </c>
      <c r="H113" s="192">
        <f t="shared" ref="H113:H124" si="73">E113-G113</f>
        <v>160957.05338354732</v>
      </c>
      <c r="I113">
        <v>2021</v>
      </c>
      <c r="J113" s="71" t="s">
        <v>3</v>
      </c>
      <c r="K113" s="192">
        <f t="shared" si="66"/>
        <v>2947375.5803798037</v>
      </c>
      <c r="L113" s="192">
        <f t="shared" si="67"/>
        <v>103158.14531329313</v>
      </c>
      <c r="M113" s="192">
        <f t="shared" si="68"/>
        <v>3050533.7256930969</v>
      </c>
      <c r="N113" s="186"/>
      <c r="O113" s="193">
        <v>0</v>
      </c>
      <c r="P113" s="192">
        <f t="shared" si="69"/>
        <v>3050533.7256930969</v>
      </c>
      <c r="Q113">
        <v>2021</v>
      </c>
      <c r="R113" s="71" t="s">
        <v>2</v>
      </c>
      <c r="S113" s="192">
        <f t="shared" si="62"/>
        <v>1511068.6573463622</v>
      </c>
      <c r="T113" s="192">
        <f t="shared" si="63"/>
        <v>52887.403007122681</v>
      </c>
      <c r="U113" s="192">
        <f t="shared" si="64"/>
        <v>1563956.0603534849</v>
      </c>
      <c r="V113" s="186"/>
      <c r="W113" s="193"/>
      <c r="X113" s="192">
        <f t="shared" si="65"/>
        <v>1563956.0603534849</v>
      </c>
    </row>
    <row r="114" spans="1:24" x14ac:dyDescent="0.2">
      <c r="A114">
        <v>2021</v>
      </c>
      <c r="B114" s="71" t="s">
        <v>3</v>
      </c>
      <c r="C114" s="192">
        <f t="shared" si="70"/>
        <v>160957.05338354732</v>
      </c>
      <c r="D114" s="192">
        <f t="shared" si="71"/>
        <v>5633.4968684241567</v>
      </c>
      <c r="E114" s="192">
        <f t="shared" si="72"/>
        <v>166590.55025197146</v>
      </c>
      <c r="F114" s="186"/>
      <c r="G114" s="193">
        <v>0</v>
      </c>
      <c r="H114" s="192">
        <f t="shared" si="73"/>
        <v>166590.55025197146</v>
      </c>
      <c r="I114">
        <v>2021</v>
      </c>
      <c r="J114" s="71" t="s">
        <v>4</v>
      </c>
      <c r="K114" s="192">
        <f t="shared" si="66"/>
        <v>3050533.7256930969</v>
      </c>
      <c r="L114" s="192">
        <f t="shared" si="67"/>
        <v>106768.6803992584</v>
      </c>
      <c r="M114" s="192">
        <f t="shared" si="68"/>
        <v>3157302.4060923555</v>
      </c>
      <c r="N114" s="186"/>
      <c r="O114" s="193">
        <v>0</v>
      </c>
      <c r="P114" s="192">
        <f t="shared" si="69"/>
        <v>3157302.4060923555</v>
      </c>
      <c r="Q114">
        <v>2021</v>
      </c>
      <c r="R114" s="71" t="s">
        <v>3</v>
      </c>
      <c r="S114" s="192">
        <f t="shared" si="62"/>
        <v>1563956.0603534849</v>
      </c>
      <c r="T114" s="192">
        <f t="shared" si="63"/>
        <v>54738.462112371977</v>
      </c>
      <c r="U114" s="192">
        <f t="shared" si="64"/>
        <v>1618694.522465857</v>
      </c>
      <c r="V114" s="186"/>
      <c r="W114" s="193"/>
      <c r="X114" s="192">
        <f t="shared" si="65"/>
        <v>1618694.522465857</v>
      </c>
    </row>
    <row r="115" spans="1:24" x14ac:dyDescent="0.2">
      <c r="A115">
        <v>2021</v>
      </c>
      <c r="B115" s="71" t="s">
        <v>4</v>
      </c>
      <c r="C115" s="192">
        <f t="shared" si="70"/>
        <v>166590.55025197146</v>
      </c>
      <c r="D115" s="192">
        <f t="shared" si="71"/>
        <v>5830.6692588190017</v>
      </c>
      <c r="E115" s="192">
        <f t="shared" si="72"/>
        <v>172421.21951079046</v>
      </c>
      <c r="F115" s="186"/>
      <c r="G115" s="193">
        <v>0</v>
      </c>
      <c r="H115" s="192">
        <f t="shared" si="73"/>
        <v>172421.21951079046</v>
      </c>
      <c r="I115">
        <v>2021</v>
      </c>
      <c r="J115" s="71" t="s">
        <v>5</v>
      </c>
      <c r="K115" s="192">
        <f t="shared" si="66"/>
        <v>3157302.4060923555</v>
      </c>
      <c r="L115" s="192">
        <f t="shared" si="67"/>
        <v>110505.58421323245</v>
      </c>
      <c r="M115" s="192">
        <f t="shared" si="68"/>
        <v>3267807.9903055881</v>
      </c>
      <c r="N115" s="186"/>
      <c r="O115" s="193">
        <v>0</v>
      </c>
      <c r="P115" s="192">
        <f t="shared" si="69"/>
        <v>3267807.9903055881</v>
      </c>
      <c r="Q115">
        <v>2021</v>
      </c>
      <c r="R115" s="71" t="s">
        <v>4</v>
      </c>
      <c r="S115" s="192">
        <f t="shared" si="62"/>
        <v>1618694.522465857</v>
      </c>
      <c r="T115" s="192">
        <f t="shared" si="63"/>
        <v>56654.308286305</v>
      </c>
      <c r="U115" s="192">
        <f t="shared" si="64"/>
        <v>1675348.830752162</v>
      </c>
      <c r="V115" s="186"/>
      <c r="W115" s="193"/>
      <c r="X115" s="192">
        <f t="shared" si="65"/>
        <v>1675348.830752162</v>
      </c>
    </row>
    <row r="116" spans="1:24" x14ac:dyDescent="0.2">
      <c r="A116">
        <v>2021</v>
      </c>
      <c r="B116" s="71" t="s">
        <v>5</v>
      </c>
      <c r="C116" s="192">
        <f t="shared" si="70"/>
        <v>172421.21951079046</v>
      </c>
      <c r="D116" s="192">
        <f t="shared" si="71"/>
        <v>6034.7426828776661</v>
      </c>
      <c r="E116" s="192">
        <f t="shared" si="72"/>
        <v>178455.96219366812</v>
      </c>
      <c r="F116" s="186"/>
      <c r="G116" s="193">
        <v>0</v>
      </c>
      <c r="H116" s="192">
        <f t="shared" si="73"/>
        <v>178455.96219366812</v>
      </c>
      <c r="I116">
        <v>2021</v>
      </c>
      <c r="J116" s="71" t="s">
        <v>6</v>
      </c>
      <c r="K116" s="192">
        <f t="shared" si="66"/>
        <v>3267807.9903055881</v>
      </c>
      <c r="L116" s="192">
        <f t="shared" si="67"/>
        <v>114373.2796606956</v>
      </c>
      <c r="M116" s="192">
        <f t="shared" si="68"/>
        <v>3382181.2699662838</v>
      </c>
      <c r="N116" s="186"/>
      <c r="O116" s="193">
        <v>0</v>
      </c>
      <c r="P116" s="192">
        <f t="shared" si="69"/>
        <v>3382181.2699662838</v>
      </c>
      <c r="Q116">
        <v>2021</v>
      </c>
      <c r="R116" s="71" t="s">
        <v>5</v>
      </c>
      <c r="S116" s="192">
        <f t="shared" si="62"/>
        <v>1675348.830752162</v>
      </c>
      <c r="T116" s="192">
        <f t="shared" si="63"/>
        <v>58637.209076325678</v>
      </c>
      <c r="U116" s="192">
        <f t="shared" si="64"/>
        <v>1733986.0398284877</v>
      </c>
      <c r="V116" s="186"/>
      <c r="W116" s="193"/>
      <c r="X116" s="192">
        <f t="shared" si="65"/>
        <v>1733986.0398284877</v>
      </c>
    </row>
    <row r="117" spans="1:24" x14ac:dyDescent="0.2">
      <c r="A117">
        <v>2021</v>
      </c>
      <c r="B117" s="71" t="s">
        <v>6</v>
      </c>
      <c r="C117" s="192">
        <f t="shared" si="70"/>
        <v>178455.96219366812</v>
      </c>
      <c r="D117" s="192">
        <f t="shared" si="71"/>
        <v>6245.9586767783849</v>
      </c>
      <c r="E117" s="192">
        <f t="shared" si="72"/>
        <v>184701.92087044651</v>
      </c>
      <c r="F117" s="186"/>
      <c r="G117" s="193">
        <v>0</v>
      </c>
      <c r="H117" s="192">
        <f t="shared" si="73"/>
        <v>184701.92087044651</v>
      </c>
      <c r="I117">
        <v>2021</v>
      </c>
      <c r="J117" s="71" t="s">
        <v>7</v>
      </c>
      <c r="K117" s="192">
        <f t="shared" si="66"/>
        <v>3382181.2699662838</v>
      </c>
      <c r="L117" s="192">
        <f t="shared" si="67"/>
        <v>118376.34444881995</v>
      </c>
      <c r="M117" s="192">
        <f t="shared" si="68"/>
        <v>3500557.6144151036</v>
      </c>
      <c r="N117" s="186"/>
      <c r="O117" s="193">
        <v>0</v>
      </c>
      <c r="P117" s="192">
        <f t="shared" si="69"/>
        <v>3500557.6144151036</v>
      </c>
      <c r="Q117">
        <v>2021</v>
      </c>
      <c r="R117" s="71" t="s">
        <v>6</v>
      </c>
      <c r="S117" s="192">
        <f t="shared" si="62"/>
        <v>1733986.0398284877</v>
      </c>
      <c r="T117" s="192">
        <f t="shared" si="63"/>
        <v>60689.511393997076</v>
      </c>
      <c r="U117" s="192">
        <f t="shared" si="64"/>
        <v>1794675.5512224848</v>
      </c>
      <c r="V117" s="186"/>
      <c r="W117" s="193"/>
      <c r="X117" s="192">
        <f t="shared" si="65"/>
        <v>1794675.5512224848</v>
      </c>
    </row>
    <row r="118" spans="1:24" x14ac:dyDescent="0.2">
      <c r="A118">
        <v>2021</v>
      </c>
      <c r="B118" s="71" t="s">
        <v>7</v>
      </c>
      <c r="C118" s="192">
        <f t="shared" si="70"/>
        <v>184701.92087044651</v>
      </c>
      <c r="D118" s="192">
        <f t="shared" si="71"/>
        <v>6464.5672304656282</v>
      </c>
      <c r="E118" s="192">
        <f t="shared" si="72"/>
        <v>191166.48810091213</v>
      </c>
      <c r="F118" s="186"/>
      <c r="G118" s="193">
        <v>0</v>
      </c>
      <c r="H118" s="192">
        <f t="shared" si="73"/>
        <v>191166.48810091213</v>
      </c>
      <c r="I118">
        <v>2021</v>
      </c>
      <c r="J118" s="71" t="s">
        <v>8</v>
      </c>
      <c r="K118" s="192">
        <f t="shared" si="66"/>
        <v>3500557.6144151036</v>
      </c>
      <c r="L118" s="192">
        <f t="shared" si="67"/>
        <v>122519.51650452864</v>
      </c>
      <c r="M118" s="192">
        <f t="shared" si="68"/>
        <v>3623077.130919632</v>
      </c>
      <c r="N118" s="186"/>
      <c r="O118" s="193">
        <v>0</v>
      </c>
      <c r="P118" s="192">
        <f t="shared" si="69"/>
        <v>3623077.130919632</v>
      </c>
      <c r="Q118">
        <v>2021</v>
      </c>
      <c r="R118" s="71" t="s">
        <v>7</v>
      </c>
      <c r="S118" s="192">
        <f t="shared" si="62"/>
        <v>1794675.5512224848</v>
      </c>
      <c r="T118" s="192">
        <f t="shared" si="63"/>
        <v>62813.644292786972</v>
      </c>
      <c r="U118" s="192">
        <f t="shared" si="64"/>
        <v>1857489.1955152717</v>
      </c>
      <c r="V118" s="186"/>
      <c r="W118" s="193"/>
      <c r="X118" s="192">
        <f t="shared" si="65"/>
        <v>1857489.1955152717</v>
      </c>
    </row>
    <row r="119" spans="1:24" x14ac:dyDescent="0.2">
      <c r="A119">
        <v>2021</v>
      </c>
      <c r="B119" s="71" t="s">
        <v>8</v>
      </c>
      <c r="C119" s="192">
        <f t="shared" si="70"/>
        <v>191166.48810091213</v>
      </c>
      <c r="D119" s="192">
        <f t="shared" si="71"/>
        <v>6690.8270835319254</v>
      </c>
      <c r="E119" s="192">
        <f t="shared" si="72"/>
        <v>197857.31518444404</v>
      </c>
      <c r="F119" s="186"/>
      <c r="G119" s="193">
        <v>0</v>
      </c>
      <c r="H119" s="192">
        <f t="shared" si="73"/>
        <v>197857.31518444404</v>
      </c>
      <c r="I119">
        <v>2021</v>
      </c>
      <c r="J119" s="71" t="s">
        <v>9</v>
      </c>
      <c r="K119" s="192">
        <f t="shared" si="66"/>
        <v>3623077.130919632</v>
      </c>
      <c r="L119" s="192">
        <f t="shared" si="67"/>
        <v>126807.69958218714</v>
      </c>
      <c r="M119" s="192">
        <f t="shared" si="68"/>
        <v>3749884.830501819</v>
      </c>
      <c r="N119" s="186"/>
      <c r="O119" s="193">
        <v>0</v>
      </c>
      <c r="P119" s="192">
        <f t="shared" si="69"/>
        <v>3749884.830501819</v>
      </c>
      <c r="Q119">
        <v>2021</v>
      </c>
      <c r="R119" s="71" t="s">
        <v>8</v>
      </c>
      <c r="S119" s="192">
        <f t="shared" si="62"/>
        <v>1857489.1955152717</v>
      </c>
      <c r="T119" s="192">
        <f t="shared" si="63"/>
        <v>65012.121843034518</v>
      </c>
      <c r="U119" s="192">
        <f t="shared" si="64"/>
        <v>1922501.3173583061</v>
      </c>
      <c r="V119" s="186"/>
      <c r="W119" s="193"/>
      <c r="X119" s="192">
        <f t="shared" si="65"/>
        <v>1922501.3173583061</v>
      </c>
    </row>
    <row r="120" spans="1:24" x14ac:dyDescent="0.2">
      <c r="A120">
        <v>2021</v>
      </c>
      <c r="B120" s="71" t="s">
        <v>9</v>
      </c>
      <c r="C120" s="192">
        <f t="shared" si="70"/>
        <v>197857.31518444404</v>
      </c>
      <c r="D120" s="192">
        <f t="shared" si="71"/>
        <v>6925.0060314555421</v>
      </c>
      <c r="E120" s="192">
        <f t="shared" si="72"/>
        <v>204782.32121589957</v>
      </c>
      <c r="F120" s="186"/>
      <c r="G120" s="193">
        <v>0</v>
      </c>
      <c r="H120" s="192">
        <f t="shared" si="73"/>
        <v>204782.32121589957</v>
      </c>
      <c r="I120">
        <v>2021</v>
      </c>
      <c r="J120" s="71" t="s">
        <v>10</v>
      </c>
      <c r="K120" s="192">
        <f t="shared" si="66"/>
        <v>3749884.830501819</v>
      </c>
      <c r="L120" s="192">
        <f t="shared" si="67"/>
        <v>131245.96906756368</v>
      </c>
      <c r="M120" s="192">
        <f t="shared" si="68"/>
        <v>3881130.7995693828</v>
      </c>
      <c r="N120" s="186"/>
      <c r="O120" s="193">
        <v>0</v>
      </c>
      <c r="P120" s="192">
        <f t="shared" si="69"/>
        <v>3881130.7995693828</v>
      </c>
      <c r="Q120">
        <v>2021</v>
      </c>
      <c r="R120" s="71" t="s">
        <v>9</v>
      </c>
      <c r="S120" s="192">
        <f t="shared" si="62"/>
        <v>1922501.3173583061</v>
      </c>
      <c r="T120" s="192">
        <f t="shared" si="63"/>
        <v>67287.546107540722</v>
      </c>
      <c r="U120" s="192">
        <f t="shared" si="64"/>
        <v>1989788.863465847</v>
      </c>
      <c r="V120" s="186"/>
      <c r="W120" s="193"/>
      <c r="X120" s="192">
        <f t="shared" si="65"/>
        <v>1989788.863465847</v>
      </c>
    </row>
    <row r="121" spans="1:24" x14ac:dyDescent="0.2">
      <c r="A121">
        <v>2021</v>
      </c>
      <c r="B121" s="71" t="s">
        <v>10</v>
      </c>
      <c r="C121" s="192">
        <f t="shared" si="70"/>
        <v>204782.32121589957</v>
      </c>
      <c r="D121" s="192">
        <f t="shared" si="71"/>
        <v>7167.3812425564856</v>
      </c>
      <c r="E121" s="192">
        <f t="shared" si="72"/>
        <v>211949.70245845607</v>
      </c>
      <c r="F121" s="186"/>
      <c r="G121" s="193">
        <v>0</v>
      </c>
      <c r="H121" s="192">
        <f t="shared" si="73"/>
        <v>211949.70245845607</v>
      </c>
      <c r="I121">
        <v>2021</v>
      </c>
      <c r="J121" s="71" t="s">
        <v>11</v>
      </c>
      <c r="K121" s="192">
        <f t="shared" si="66"/>
        <v>3881130.7995693828</v>
      </c>
      <c r="L121" s="192">
        <f t="shared" si="67"/>
        <v>135839.57798492842</v>
      </c>
      <c r="M121" s="192">
        <f t="shared" si="68"/>
        <v>4016970.3775543114</v>
      </c>
      <c r="N121" s="186"/>
      <c r="O121" s="193">
        <v>0</v>
      </c>
      <c r="P121" s="192">
        <f t="shared" si="69"/>
        <v>4016970.3775543114</v>
      </c>
      <c r="Q121">
        <v>2021</v>
      </c>
      <c r="R121" s="71" t="s">
        <v>10</v>
      </c>
      <c r="S121" s="192">
        <f t="shared" si="62"/>
        <v>1989788.863465847</v>
      </c>
      <c r="T121" s="192">
        <f t="shared" si="63"/>
        <v>69642.610221304654</v>
      </c>
      <c r="U121" s="192">
        <f t="shared" si="64"/>
        <v>2059431.4736871517</v>
      </c>
      <c r="V121" s="186"/>
      <c r="W121" s="193"/>
      <c r="X121" s="192">
        <f t="shared" si="65"/>
        <v>2059431.4736871517</v>
      </c>
    </row>
    <row r="122" spans="1:24" x14ac:dyDescent="0.2">
      <c r="A122">
        <v>2021</v>
      </c>
      <c r="B122" s="71" t="s">
        <v>11</v>
      </c>
      <c r="C122" s="192">
        <f t="shared" si="70"/>
        <v>211949.70245845607</v>
      </c>
      <c r="D122" s="192">
        <f t="shared" si="71"/>
        <v>7418.2395860459628</v>
      </c>
      <c r="E122" s="192">
        <f t="shared" si="72"/>
        <v>219367.94204450204</v>
      </c>
      <c r="F122" s="186"/>
      <c r="G122" s="193">
        <v>0</v>
      </c>
      <c r="H122" s="192">
        <f t="shared" si="73"/>
        <v>219367.94204450204</v>
      </c>
      <c r="I122">
        <v>2021</v>
      </c>
      <c r="J122" s="71" t="s">
        <v>12</v>
      </c>
      <c r="K122" s="192">
        <f t="shared" si="66"/>
        <v>4016970.3775543114</v>
      </c>
      <c r="L122" s="192">
        <f t="shared" si="67"/>
        <v>140593.96321440092</v>
      </c>
      <c r="M122" s="192">
        <f t="shared" si="68"/>
        <v>4157564.3407687126</v>
      </c>
      <c r="N122" s="186"/>
      <c r="O122" s="193">
        <v>0</v>
      </c>
      <c r="P122" s="192">
        <f t="shared" si="69"/>
        <v>4157564.3407687126</v>
      </c>
      <c r="Q122">
        <v>2021</v>
      </c>
      <c r="R122" s="71" t="s">
        <v>11</v>
      </c>
      <c r="S122" s="192">
        <f t="shared" si="62"/>
        <v>2059431.4736871517</v>
      </c>
      <c r="T122" s="192">
        <f t="shared" si="63"/>
        <v>72080.101579050315</v>
      </c>
      <c r="U122" s="192">
        <f t="shared" si="64"/>
        <v>2131511.575266202</v>
      </c>
      <c r="V122" s="186"/>
      <c r="W122" s="193"/>
      <c r="X122" s="192">
        <f t="shared" si="65"/>
        <v>2131511.575266202</v>
      </c>
    </row>
    <row r="123" spans="1:24" x14ac:dyDescent="0.2">
      <c r="A123">
        <v>2021</v>
      </c>
      <c r="B123" s="71" t="s">
        <v>12</v>
      </c>
      <c r="C123" s="192">
        <f t="shared" si="70"/>
        <v>219367.94204450204</v>
      </c>
      <c r="D123" s="192">
        <f t="shared" si="71"/>
        <v>7677.877971557572</v>
      </c>
      <c r="E123" s="192">
        <f t="shared" si="72"/>
        <v>227045.82001605962</v>
      </c>
      <c r="F123" s="186"/>
      <c r="G123" s="193">
        <v>0</v>
      </c>
      <c r="H123" s="192">
        <f t="shared" si="73"/>
        <v>227045.82001605962</v>
      </c>
      <c r="I123">
        <v>2021</v>
      </c>
      <c r="J123" s="71" t="s">
        <v>13</v>
      </c>
      <c r="K123" s="192">
        <f t="shared" si="66"/>
        <v>4157564.3407687126</v>
      </c>
      <c r="L123" s="192">
        <f t="shared" si="67"/>
        <v>145514.75192690495</v>
      </c>
      <c r="M123" s="192">
        <f t="shared" si="68"/>
        <v>4303079.0926956171</v>
      </c>
      <c r="N123" s="186"/>
      <c r="O123" s="193">
        <v>0</v>
      </c>
      <c r="P123" s="192">
        <f t="shared" si="69"/>
        <v>4303079.0926956171</v>
      </c>
      <c r="Q123">
        <v>2021</v>
      </c>
      <c r="R123" s="71" t="s">
        <v>12</v>
      </c>
      <c r="S123" s="192">
        <f t="shared" si="62"/>
        <v>2131511.575266202</v>
      </c>
      <c r="T123" s="192">
        <f t="shared" si="63"/>
        <v>74602.905134317072</v>
      </c>
      <c r="U123" s="192">
        <f t="shared" si="64"/>
        <v>2206114.480400519</v>
      </c>
      <c r="V123" s="186"/>
      <c r="W123" s="193"/>
      <c r="X123" s="192">
        <f t="shared" si="65"/>
        <v>2206114.480400519</v>
      </c>
    </row>
    <row r="124" spans="1:24" x14ac:dyDescent="0.2">
      <c r="A124">
        <v>2021</v>
      </c>
      <c r="B124" s="71" t="s">
        <v>13</v>
      </c>
      <c r="C124" s="192">
        <f t="shared" si="70"/>
        <v>227045.82001605962</v>
      </c>
      <c r="D124" s="192">
        <f t="shared" si="71"/>
        <v>7946.6037005620874</v>
      </c>
      <c r="E124" s="192">
        <f t="shared" si="72"/>
        <v>234992.42371662171</v>
      </c>
      <c r="F124" s="186"/>
      <c r="G124" s="193">
        <v>0</v>
      </c>
      <c r="H124" s="192">
        <f t="shared" si="73"/>
        <v>234992.42371662171</v>
      </c>
      <c r="I124">
        <v>2022</v>
      </c>
      <c r="J124" s="71" t="s">
        <v>2</v>
      </c>
      <c r="K124" s="192">
        <f t="shared" si="66"/>
        <v>4303079.0926956171</v>
      </c>
      <c r="L124" s="192">
        <f t="shared" si="67"/>
        <v>150607.7682443466</v>
      </c>
      <c r="M124" s="192">
        <f t="shared" si="68"/>
        <v>4453686.8609399637</v>
      </c>
      <c r="N124" s="186"/>
      <c r="O124" s="193">
        <v>0</v>
      </c>
      <c r="P124" s="192">
        <f t="shared" si="69"/>
        <v>4453686.8609399637</v>
      </c>
      <c r="Q124">
        <v>2021</v>
      </c>
      <c r="R124" s="71" t="s">
        <v>13</v>
      </c>
      <c r="S124" s="192">
        <f t="shared" si="62"/>
        <v>2206114.480400519</v>
      </c>
      <c r="T124" s="192">
        <f t="shared" si="63"/>
        <v>77214.006814018168</v>
      </c>
      <c r="U124" s="192">
        <f t="shared" si="64"/>
        <v>2283328.4872145373</v>
      </c>
      <c r="V124" s="186"/>
      <c r="W124" s="193"/>
      <c r="X124" s="192">
        <f t="shared" si="65"/>
        <v>2283328.4872145373</v>
      </c>
    </row>
    <row r="125" spans="1:24" x14ac:dyDescent="0.2">
      <c r="A125">
        <v>2022</v>
      </c>
      <c r="B125" s="71" t="s">
        <v>2</v>
      </c>
      <c r="C125" s="192">
        <f t="shared" ref="C125:C136" si="74">H124</f>
        <v>234992.42371662171</v>
      </c>
      <c r="D125" s="192">
        <f t="shared" ref="D125:D136" si="75">C125*3.5%</f>
        <v>8224.7348300817612</v>
      </c>
      <c r="E125" s="192">
        <f t="shared" ref="E125:E136" si="76">C125+D125</f>
        <v>243217.15854670346</v>
      </c>
      <c r="F125" s="186"/>
      <c r="G125" s="193">
        <v>0</v>
      </c>
      <c r="H125" s="192">
        <f t="shared" ref="H125:H136" si="77">E125-G125</f>
        <v>243217.15854670346</v>
      </c>
      <c r="I125">
        <v>2022</v>
      </c>
      <c r="J125" s="71" t="s">
        <v>3</v>
      </c>
      <c r="K125" s="192">
        <f t="shared" si="66"/>
        <v>4453686.8609399637</v>
      </c>
      <c r="L125" s="192">
        <f t="shared" si="67"/>
        <v>155879.04013289875</v>
      </c>
      <c r="M125" s="192">
        <f t="shared" si="68"/>
        <v>4609565.9010728626</v>
      </c>
      <c r="N125" s="186"/>
      <c r="O125" s="193">
        <v>2000000</v>
      </c>
      <c r="P125" s="192">
        <f t="shared" si="69"/>
        <v>2609565.9010728626</v>
      </c>
      <c r="Q125">
        <v>2022</v>
      </c>
      <c r="R125" s="71" t="s">
        <v>2</v>
      </c>
      <c r="S125" s="192">
        <f t="shared" si="62"/>
        <v>2283328.4872145373</v>
      </c>
      <c r="T125" s="192">
        <f t="shared" si="63"/>
        <v>79916.497052508814</v>
      </c>
      <c r="U125" s="192">
        <f t="shared" si="64"/>
        <v>2363244.9842670462</v>
      </c>
      <c r="V125" s="186"/>
      <c r="W125" s="193"/>
      <c r="X125" s="192">
        <f t="shared" si="65"/>
        <v>2363244.9842670462</v>
      </c>
    </row>
    <row r="126" spans="1:24" x14ac:dyDescent="0.2">
      <c r="A126">
        <v>2022</v>
      </c>
      <c r="B126" s="71" t="s">
        <v>3</v>
      </c>
      <c r="C126" s="192">
        <f t="shared" si="74"/>
        <v>243217.15854670346</v>
      </c>
      <c r="D126" s="192">
        <f t="shared" si="75"/>
        <v>8512.6005491346223</v>
      </c>
      <c r="E126" s="192">
        <f t="shared" si="76"/>
        <v>251729.75909583809</v>
      </c>
      <c r="F126" s="186"/>
      <c r="G126" s="193">
        <v>0</v>
      </c>
      <c r="H126" s="192">
        <f t="shared" si="77"/>
        <v>251729.75909583809</v>
      </c>
      <c r="I126">
        <v>2022</v>
      </c>
      <c r="J126" s="71" t="s">
        <v>4</v>
      </c>
      <c r="K126" s="192">
        <f t="shared" si="66"/>
        <v>2609565.9010728626</v>
      </c>
      <c r="L126" s="192">
        <f t="shared" si="67"/>
        <v>91334.806537550205</v>
      </c>
      <c r="M126" s="192">
        <f t="shared" si="68"/>
        <v>2700900.707610413</v>
      </c>
      <c r="N126" s="186"/>
      <c r="O126" s="193">
        <v>0</v>
      </c>
      <c r="P126" s="192">
        <f t="shared" si="69"/>
        <v>2700900.707610413</v>
      </c>
      <c r="Q126">
        <v>2022</v>
      </c>
      <c r="R126" s="71" t="s">
        <v>3</v>
      </c>
      <c r="S126" s="192">
        <f t="shared" si="62"/>
        <v>2363244.9842670462</v>
      </c>
      <c r="T126" s="192">
        <f t="shared" si="63"/>
        <v>82713.574449346619</v>
      </c>
      <c r="U126" s="192">
        <f t="shared" si="64"/>
        <v>2445958.5587163926</v>
      </c>
      <c r="V126" s="186"/>
      <c r="W126" s="193"/>
      <c r="X126" s="192">
        <f t="shared" si="65"/>
        <v>2445958.5587163926</v>
      </c>
    </row>
    <row r="127" spans="1:24" x14ac:dyDescent="0.2">
      <c r="A127">
        <v>2022</v>
      </c>
      <c r="B127" s="71" t="s">
        <v>4</v>
      </c>
      <c r="C127" s="192">
        <f t="shared" si="74"/>
        <v>251729.75909583809</v>
      </c>
      <c r="D127" s="192">
        <f t="shared" si="75"/>
        <v>8810.5415683543342</v>
      </c>
      <c r="E127" s="192">
        <f t="shared" si="76"/>
        <v>260540.30066419241</v>
      </c>
      <c r="F127" s="186"/>
      <c r="G127" s="193">
        <v>0</v>
      </c>
      <c r="H127" s="192">
        <f t="shared" si="77"/>
        <v>260540.30066419241</v>
      </c>
      <c r="I127">
        <v>2022</v>
      </c>
      <c r="J127" s="71" t="s">
        <v>5</v>
      </c>
      <c r="K127" s="192">
        <f t="shared" si="66"/>
        <v>2700900.707610413</v>
      </c>
      <c r="L127" s="192">
        <f t="shared" si="67"/>
        <v>94531.52476636447</v>
      </c>
      <c r="M127" s="192">
        <f t="shared" si="68"/>
        <v>2795432.2323767776</v>
      </c>
      <c r="N127" s="186"/>
      <c r="O127" s="193">
        <v>0</v>
      </c>
      <c r="P127" s="192">
        <f t="shared" si="69"/>
        <v>2795432.2323767776</v>
      </c>
      <c r="Q127">
        <v>2022</v>
      </c>
      <c r="R127" s="71" t="s">
        <v>4</v>
      </c>
      <c r="S127" s="187"/>
      <c r="T127" s="187"/>
      <c r="U127" s="187"/>
      <c r="V127" s="187"/>
      <c r="W127" s="187"/>
      <c r="X127" s="187"/>
    </row>
    <row r="128" spans="1:24" x14ac:dyDescent="0.2">
      <c r="A128">
        <v>2022</v>
      </c>
      <c r="B128" s="71" t="s">
        <v>5</v>
      </c>
      <c r="C128" s="192">
        <f t="shared" si="74"/>
        <v>260540.30066419241</v>
      </c>
      <c r="D128" s="192">
        <f t="shared" si="75"/>
        <v>9118.9105232467355</v>
      </c>
      <c r="E128" s="192">
        <f t="shared" si="76"/>
        <v>269659.21118743916</v>
      </c>
      <c r="F128" s="186"/>
      <c r="G128" s="193">
        <v>0</v>
      </c>
      <c r="H128" s="192">
        <f t="shared" si="77"/>
        <v>269659.21118743916</v>
      </c>
      <c r="I128">
        <v>2022</v>
      </c>
      <c r="J128" s="71" t="s">
        <v>6</v>
      </c>
      <c r="K128" s="192">
        <f t="shared" si="66"/>
        <v>2795432.2323767776</v>
      </c>
      <c r="L128" s="192">
        <f t="shared" si="67"/>
        <v>97840.128133187231</v>
      </c>
      <c r="M128" s="192">
        <f t="shared" si="68"/>
        <v>2893272.3605099646</v>
      </c>
      <c r="N128" s="186"/>
      <c r="O128" s="193">
        <v>0</v>
      </c>
      <c r="P128" s="192">
        <f t="shared" si="69"/>
        <v>2893272.3605099646</v>
      </c>
      <c r="Q128">
        <v>2022</v>
      </c>
      <c r="R128" s="71" t="s">
        <v>5</v>
      </c>
      <c r="S128" s="187"/>
      <c r="T128" s="187"/>
      <c r="U128" s="187"/>
      <c r="V128" s="187"/>
      <c r="W128" s="187"/>
      <c r="X128" s="187"/>
    </row>
    <row r="129" spans="1:24" x14ac:dyDescent="0.2">
      <c r="A129">
        <v>2022</v>
      </c>
      <c r="B129" s="71" t="s">
        <v>6</v>
      </c>
      <c r="C129" s="192">
        <f t="shared" si="74"/>
        <v>269659.21118743916</v>
      </c>
      <c r="D129" s="192">
        <f t="shared" si="75"/>
        <v>9438.0723915603721</v>
      </c>
      <c r="E129" s="192">
        <f t="shared" si="76"/>
        <v>279097.28357899952</v>
      </c>
      <c r="F129" s="186"/>
      <c r="G129" s="193">
        <v>0</v>
      </c>
      <c r="H129" s="192">
        <f t="shared" si="77"/>
        <v>279097.28357899952</v>
      </c>
      <c r="I129">
        <v>2022</v>
      </c>
      <c r="J129" s="71" t="s">
        <v>7</v>
      </c>
      <c r="K129" s="192">
        <f t="shared" si="66"/>
        <v>2893272.3605099646</v>
      </c>
      <c r="L129" s="192">
        <f t="shared" si="67"/>
        <v>101264.53261784877</v>
      </c>
      <c r="M129" s="192">
        <f t="shared" si="68"/>
        <v>2994536.8931278135</v>
      </c>
      <c r="N129" s="186"/>
      <c r="O129" s="193">
        <v>0</v>
      </c>
      <c r="P129" s="192">
        <f t="shared" si="69"/>
        <v>2994536.8931278135</v>
      </c>
      <c r="Q129">
        <v>2022</v>
      </c>
      <c r="R129" s="71" t="s">
        <v>6</v>
      </c>
      <c r="S129" s="187"/>
      <c r="T129" s="187"/>
      <c r="U129" s="187"/>
      <c r="V129" s="187"/>
      <c r="W129" s="187"/>
      <c r="X129" s="187"/>
    </row>
    <row r="130" spans="1:24" x14ac:dyDescent="0.2">
      <c r="A130">
        <v>2022</v>
      </c>
      <c r="B130" s="71" t="s">
        <v>7</v>
      </c>
      <c r="C130" s="192">
        <f t="shared" si="74"/>
        <v>279097.28357899952</v>
      </c>
      <c r="D130" s="192">
        <f t="shared" si="75"/>
        <v>9768.4049252649838</v>
      </c>
      <c r="E130" s="192">
        <f t="shared" si="76"/>
        <v>288865.68850426452</v>
      </c>
      <c r="F130" s="186"/>
      <c r="G130" s="193">
        <v>0</v>
      </c>
      <c r="H130" s="192">
        <f t="shared" si="77"/>
        <v>288865.68850426452</v>
      </c>
      <c r="I130">
        <v>2022</v>
      </c>
      <c r="J130" s="71" t="s">
        <v>8</v>
      </c>
      <c r="K130" s="192">
        <f t="shared" si="66"/>
        <v>2994536.8931278135</v>
      </c>
      <c r="L130" s="192">
        <f t="shared" si="67"/>
        <v>104808.79125947348</v>
      </c>
      <c r="M130" s="192">
        <f t="shared" si="68"/>
        <v>3099345.6843872871</v>
      </c>
      <c r="N130" s="186"/>
      <c r="O130" s="193">
        <v>0</v>
      </c>
      <c r="P130" s="192">
        <f t="shared" si="69"/>
        <v>3099345.6843872871</v>
      </c>
      <c r="Q130">
        <v>2022</v>
      </c>
      <c r="R130" s="71" t="s">
        <v>7</v>
      </c>
      <c r="S130" s="187"/>
      <c r="T130" s="187"/>
      <c r="U130" s="187"/>
      <c r="V130" s="187"/>
      <c r="W130" s="187"/>
      <c r="X130" s="187"/>
    </row>
    <row r="131" spans="1:24" x14ac:dyDescent="0.2">
      <c r="A131">
        <v>2022</v>
      </c>
      <c r="B131" s="71" t="s">
        <v>8</v>
      </c>
      <c r="C131" s="192">
        <f t="shared" si="74"/>
        <v>288865.68850426452</v>
      </c>
      <c r="D131" s="192">
        <f t="shared" si="75"/>
        <v>10110.299097649258</v>
      </c>
      <c r="E131" s="192">
        <f t="shared" si="76"/>
        <v>298975.98760191374</v>
      </c>
      <c r="F131" s="186"/>
      <c r="G131" s="193">
        <v>0</v>
      </c>
      <c r="H131" s="192">
        <f t="shared" si="77"/>
        <v>298975.98760191374</v>
      </c>
      <c r="I131">
        <v>2022</v>
      </c>
      <c r="J131" s="71" t="s">
        <v>9</v>
      </c>
      <c r="K131" s="192">
        <f t="shared" si="66"/>
        <v>3099345.6843872871</v>
      </c>
      <c r="L131" s="192">
        <f t="shared" si="67"/>
        <v>108477.09895355506</v>
      </c>
      <c r="M131" s="192">
        <f t="shared" si="68"/>
        <v>3207822.783340842</v>
      </c>
      <c r="N131" s="186"/>
      <c r="O131" s="193">
        <v>0</v>
      </c>
      <c r="P131" s="192">
        <f t="shared" si="69"/>
        <v>3207822.783340842</v>
      </c>
      <c r="Q131">
        <v>2022</v>
      </c>
      <c r="R131" s="71" t="s">
        <v>8</v>
      </c>
      <c r="S131" s="187"/>
      <c r="T131" s="187"/>
      <c r="U131" s="187"/>
      <c r="V131" s="187"/>
      <c r="W131" s="187"/>
      <c r="X131" s="187"/>
    </row>
    <row r="132" spans="1:24" x14ac:dyDescent="0.2">
      <c r="A132">
        <v>2022</v>
      </c>
      <c r="B132" s="71" t="s">
        <v>9</v>
      </c>
      <c r="C132" s="192">
        <f t="shared" si="74"/>
        <v>298975.98760191374</v>
      </c>
      <c r="D132" s="192">
        <f t="shared" si="75"/>
        <v>10464.159566066983</v>
      </c>
      <c r="E132" s="192">
        <f t="shared" si="76"/>
        <v>309440.14716798073</v>
      </c>
      <c r="F132" s="186"/>
      <c r="G132" s="193">
        <v>0</v>
      </c>
      <c r="H132" s="192">
        <f t="shared" si="77"/>
        <v>309440.14716798073</v>
      </c>
      <c r="I132">
        <v>2022</v>
      </c>
      <c r="J132" s="71" t="s">
        <v>10</v>
      </c>
      <c r="K132" s="192">
        <f t="shared" si="66"/>
        <v>3207822.783340842</v>
      </c>
      <c r="L132" s="192">
        <f t="shared" si="67"/>
        <v>112273.79741692948</v>
      </c>
      <c r="M132" s="192">
        <f t="shared" si="68"/>
        <v>3320096.5807577716</v>
      </c>
      <c r="N132" s="186"/>
      <c r="O132" s="193">
        <v>0</v>
      </c>
      <c r="P132" s="192">
        <f t="shared" si="69"/>
        <v>3320096.5807577716</v>
      </c>
      <c r="Q132">
        <v>2022</v>
      </c>
      <c r="R132" s="71" t="s">
        <v>9</v>
      </c>
      <c r="S132" s="187"/>
      <c r="T132" s="187"/>
      <c r="U132" s="187"/>
      <c r="V132" s="187"/>
      <c r="W132" s="187"/>
      <c r="X132" s="187"/>
    </row>
    <row r="133" spans="1:24" x14ac:dyDescent="0.2">
      <c r="A133">
        <v>2022</v>
      </c>
      <c r="B133" s="71" t="s">
        <v>10</v>
      </c>
      <c r="C133" s="192">
        <f t="shared" si="74"/>
        <v>309440.14716798073</v>
      </c>
      <c r="D133" s="192">
        <f t="shared" si="75"/>
        <v>10830.405150879327</v>
      </c>
      <c r="E133" s="192">
        <f t="shared" si="76"/>
        <v>320270.55231886008</v>
      </c>
      <c r="F133" s="186"/>
      <c r="G133" s="193">
        <v>0</v>
      </c>
      <c r="H133" s="192">
        <f t="shared" si="77"/>
        <v>320270.55231886008</v>
      </c>
      <c r="I133">
        <v>2022</v>
      </c>
      <c r="J133" s="71" t="s">
        <v>11</v>
      </c>
      <c r="K133" s="192">
        <f t="shared" si="66"/>
        <v>3320096.5807577716</v>
      </c>
      <c r="L133" s="192">
        <f t="shared" si="67"/>
        <v>116203.38032652202</v>
      </c>
      <c r="M133" s="192">
        <f t="shared" si="68"/>
        <v>3436299.9610842937</v>
      </c>
      <c r="N133" s="186"/>
      <c r="O133" s="193">
        <v>0</v>
      </c>
      <c r="P133" s="192">
        <f t="shared" si="69"/>
        <v>3436299.9610842937</v>
      </c>
      <c r="Q133">
        <v>2022</v>
      </c>
      <c r="R133" s="71" t="s">
        <v>10</v>
      </c>
      <c r="S133" s="187"/>
      <c r="T133" s="187"/>
      <c r="U133" s="187"/>
      <c r="V133" s="187"/>
      <c r="W133" s="187"/>
      <c r="X133" s="187"/>
    </row>
    <row r="134" spans="1:24" x14ac:dyDescent="0.2">
      <c r="A134">
        <v>2022</v>
      </c>
      <c r="B134" s="71" t="s">
        <v>11</v>
      </c>
      <c r="C134" s="192">
        <f t="shared" si="74"/>
        <v>320270.55231886008</v>
      </c>
      <c r="D134" s="192">
        <f t="shared" si="75"/>
        <v>11209.469331160104</v>
      </c>
      <c r="E134" s="192">
        <f t="shared" si="76"/>
        <v>331480.02165002021</v>
      </c>
      <c r="F134" s="186"/>
      <c r="G134" s="193">
        <v>0</v>
      </c>
      <c r="H134" s="192">
        <f t="shared" si="77"/>
        <v>331480.02165002021</v>
      </c>
      <c r="I134">
        <v>2022</v>
      </c>
      <c r="J134" s="71" t="s">
        <v>12</v>
      </c>
      <c r="K134" s="192">
        <f t="shared" si="66"/>
        <v>3436299.9610842937</v>
      </c>
      <c r="L134" s="192">
        <f t="shared" si="67"/>
        <v>120270.4986379503</v>
      </c>
      <c r="M134" s="192">
        <f t="shared" si="68"/>
        <v>3556570.4597222442</v>
      </c>
      <c r="N134" s="186"/>
      <c r="O134" s="193">
        <v>0</v>
      </c>
      <c r="P134" s="192">
        <f t="shared" si="69"/>
        <v>3556570.4597222442</v>
      </c>
      <c r="Q134">
        <v>2022</v>
      </c>
      <c r="R134" s="71" t="s">
        <v>11</v>
      </c>
      <c r="S134" s="187"/>
      <c r="T134" s="187"/>
      <c r="U134" s="187"/>
      <c r="V134" s="187"/>
      <c r="W134" s="187"/>
      <c r="X134" s="187"/>
    </row>
    <row r="135" spans="1:24" x14ac:dyDescent="0.2">
      <c r="A135">
        <v>2022</v>
      </c>
      <c r="B135" s="71" t="s">
        <v>12</v>
      </c>
      <c r="C135" s="192">
        <f t="shared" si="74"/>
        <v>331480.02165002021</v>
      </c>
      <c r="D135" s="192">
        <f t="shared" si="75"/>
        <v>11601.800757750709</v>
      </c>
      <c r="E135" s="192">
        <f t="shared" si="76"/>
        <v>343081.8224077709</v>
      </c>
      <c r="F135" s="186"/>
      <c r="G135" s="193">
        <v>0</v>
      </c>
      <c r="H135" s="192">
        <f t="shared" si="77"/>
        <v>343081.8224077709</v>
      </c>
      <c r="I135">
        <v>2022</v>
      </c>
      <c r="J135" s="71" t="s">
        <v>13</v>
      </c>
      <c r="K135" s="192">
        <f t="shared" si="66"/>
        <v>3556570.4597222442</v>
      </c>
      <c r="L135" s="192">
        <f t="shared" si="67"/>
        <v>124479.96609027855</v>
      </c>
      <c r="M135" s="192">
        <f t="shared" si="68"/>
        <v>3681050.4258125229</v>
      </c>
      <c r="N135" s="186"/>
      <c r="O135" s="193">
        <v>0</v>
      </c>
      <c r="P135" s="192">
        <f t="shared" si="69"/>
        <v>3681050.4258125229</v>
      </c>
      <c r="Q135">
        <v>2022</v>
      </c>
      <c r="R135" s="71" t="s">
        <v>12</v>
      </c>
      <c r="S135" s="187"/>
      <c r="T135" s="187"/>
      <c r="U135" s="187"/>
      <c r="V135" s="187"/>
      <c r="W135" s="187"/>
      <c r="X135" s="187"/>
    </row>
    <row r="136" spans="1:24" x14ac:dyDescent="0.2">
      <c r="A136">
        <v>2022</v>
      </c>
      <c r="B136" s="71" t="s">
        <v>13</v>
      </c>
      <c r="C136" s="192">
        <f t="shared" si="74"/>
        <v>343081.8224077709</v>
      </c>
      <c r="D136" s="192">
        <f t="shared" si="75"/>
        <v>12007.863784271984</v>
      </c>
      <c r="E136" s="192">
        <f t="shared" si="76"/>
        <v>355089.68619204289</v>
      </c>
      <c r="F136" s="186"/>
      <c r="G136" s="193">
        <v>0</v>
      </c>
      <c r="H136" s="192">
        <f t="shared" si="77"/>
        <v>355089.68619204289</v>
      </c>
      <c r="I136">
        <v>2022</v>
      </c>
      <c r="J136" s="71" t="s">
        <v>2</v>
      </c>
      <c r="K136" s="192">
        <f>P135</f>
        <v>3681050.4258125229</v>
      </c>
      <c r="L136" s="192">
        <f>K136*3.5%</f>
        <v>128836.76490343831</v>
      </c>
      <c r="M136" s="192">
        <f>K136+L136</f>
        <v>3809887.1907159612</v>
      </c>
      <c r="N136" s="186"/>
      <c r="O136" s="193">
        <v>0</v>
      </c>
      <c r="P136" s="192">
        <f>M136-O136</f>
        <v>3809887.1907159612</v>
      </c>
      <c r="Q136">
        <v>2022</v>
      </c>
      <c r="R136" s="71" t="s">
        <v>13</v>
      </c>
      <c r="S136" s="187"/>
      <c r="T136" s="187"/>
      <c r="U136" s="187"/>
      <c r="V136" s="187"/>
      <c r="W136" s="187"/>
      <c r="X136" s="187"/>
    </row>
  </sheetData>
  <mergeCells count="14">
    <mergeCell ref="B98:H98"/>
    <mergeCell ref="J98:P98"/>
    <mergeCell ref="B2:H2"/>
    <mergeCell ref="R2:X2"/>
    <mergeCell ref="B42:H42"/>
    <mergeCell ref="B75:H75"/>
    <mergeCell ref="J75:P75"/>
    <mergeCell ref="J42:P42"/>
    <mergeCell ref="R98:X98"/>
    <mergeCell ref="R76:X76"/>
    <mergeCell ref="J2:P2"/>
    <mergeCell ref="R74:X74"/>
    <mergeCell ref="R42:X42"/>
    <mergeCell ref="R75:X75"/>
  </mergeCells>
  <phoneticPr fontId="10" type="noConversion"/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E1CFA-14A2-EC4E-BBD1-C1694357B7CC}">
  <dimension ref="A1:J7"/>
  <sheetViews>
    <sheetView tabSelected="1" zoomScale="200" workbookViewId="0">
      <selection activeCell="G20" sqref="G20"/>
    </sheetView>
  </sheetViews>
  <sheetFormatPr baseColWidth="10" defaultRowHeight="15" x14ac:dyDescent="0.2"/>
  <cols>
    <col min="1" max="1" width="3.33203125" style="1" bestFit="1" customWidth="1"/>
    <col min="2" max="2" width="11.6640625" customWidth="1"/>
    <col min="3" max="3" width="23.6640625" customWidth="1"/>
    <col min="4" max="4" width="12.6640625" customWidth="1"/>
    <col min="5" max="5" width="9.1640625" bestFit="1" customWidth="1"/>
    <col min="6" max="6" width="15" customWidth="1"/>
    <col min="7" max="7" width="11.1640625" bestFit="1" customWidth="1"/>
    <col min="8" max="8" width="8.33203125" style="1" bestFit="1" customWidth="1"/>
    <col min="9" max="9" width="6.6640625" bestFit="1" customWidth="1"/>
  </cols>
  <sheetData>
    <row r="1" spans="1:10" x14ac:dyDescent="0.2">
      <c r="A1" s="190" t="s">
        <v>3845</v>
      </c>
      <c r="B1" s="190" t="s">
        <v>3846</v>
      </c>
      <c r="C1" s="190" t="s">
        <v>4352</v>
      </c>
      <c r="D1" s="190" t="s">
        <v>4988</v>
      </c>
      <c r="E1" s="190" t="s">
        <v>4989</v>
      </c>
      <c r="F1" s="190" t="s">
        <v>4991</v>
      </c>
      <c r="G1" s="190" t="s">
        <v>4994</v>
      </c>
      <c r="H1" s="190" t="s">
        <v>5236</v>
      </c>
      <c r="I1" s="190" t="s">
        <v>5237</v>
      </c>
    </row>
    <row r="2" spans="1:10" x14ac:dyDescent="0.2">
      <c r="A2" s="186">
        <v>1</v>
      </c>
      <c r="B2" s="187" t="s">
        <v>4983</v>
      </c>
      <c r="C2" s="270" t="s">
        <v>4993</v>
      </c>
      <c r="D2" s="187" t="s">
        <v>4987</v>
      </c>
      <c r="E2" s="187">
        <v>10752590</v>
      </c>
      <c r="F2" s="187" t="s">
        <v>4992</v>
      </c>
      <c r="G2" s="187">
        <v>3207593673</v>
      </c>
      <c r="H2" s="186">
        <v>1300</v>
      </c>
      <c r="I2" s="187">
        <v>200</v>
      </c>
    </row>
    <row r="3" spans="1:10" ht="14" customHeight="1" x14ac:dyDescent="0.2">
      <c r="A3" s="186">
        <v>2</v>
      </c>
      <c r="B3" s="187" t="s">
        <v>4984</v>
      </c>
      <c r="C3" s="270" t="s">
        <v>4985</v>
      </c>
      <c r="D3" s="187" t="s">
        <v>4986</v>
      </c>
      <c r="E3" s="187">
        <v>10772130</v>
      </c>
      <c r="F3" s="379" t="s">
        <v>4990</v>
      </c>
      <c r="G3" s="187">
        <v>3175225336</v>
      </c>
      <c r="H3" s="186">
        <v>1268</v>
      </c>
      <c r="I3" s="187"/>
      <c r="J3" t="s">
        <v>3233</v>
      </c>
    </row>
    <row r="4" spans="1:10" ht="15" customHeight="1" x14ac:dyDescent="0.2">
      <c r="A4" s="186">
        <v>3</v>
      </c>
      <c r="B4" s="187" t="s">
        <v>4996</v>
      </c>
      <c r="C4" s="270" t="s">
        <v>4995</v>
      </c>
      <c r="D4" s="187" t="s">
        <v>4997</v>
      </c>
      <c r="E4" s="187">
        <v>10772318</v>
      </c>
      <c r="F4" s="379" t="s">
        <v>5235</v>
      </c>
      <c r="G4" s="187">
        <v>3008511288</v>
      </c>
      <c r="H4" s="186"/>
      <c r="I4" s="187"/>
    </row>
    <row r="5" spans="1:10" x14ac:dyDescent="0.2">
      <c r="A5" s="186">
        <v>4</v>
      </c>
      <c r="B5" s="187"/>
      <c r="C5" s="187"/>
      <c r="D5" s="187"/>
      <c r="E5" s="187"/>
      <c r="F5" s="187"/>
      <c r="G5" s="187"/>
      <c r="H5" s="186"/>
      <c r="I5" s="187"/>
    </row>
    <row r="6" spans="1:10" x14ac:dyDescent="0.2">
      <c r="A6" s="186"/>
      <c r="B6" s="187"/>
      <c r="C6" s="187"/>
      <c r="D6" s="187"/>
      <c r="E6" s="187"/>
      <c r="F6" s="187"/>
      <c r="G6" s="187"/>
      <c r="H6" s="186"/>
      <c r="I6" s="187"/>
    </row>
    <row r="7" spans="1:10" x14ac:dyDescent="0.2">
      <c r="A7" s="186"/>
      <c r="B7" s="187"/>
      <c r="C7" s="187"/>
      <c r="D7" s="187"/>
      <c r="E7" s="187"/>
      <c r="F7" s="187"/>
      <c r="G7" s="187"/>
      <c r="H7" s="186"/>
      <c r="I7" s="187"/>
    </row>
  </sheetData>
  <hyperlinks>
    <hyperlink ref="C3" r:id="rId1" xr:uid="{EC70979F-6DF9-1945-BE0B-CF38B3E0961B}"/>
    <hyperlink ref="C2" r:id="rId2" xr:uid="{B80DDC4E-C6C5-6041-A83E-3CA7CA2ED83B}"/>
    <hyperlink ref="C4" r:id="rId3" xr:uid="{E1CFC904-8029-4447-AA4A-31EF53E473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BRAYAN</vt:lpstr>
      <vt:lpstr>GASTOS</vt:lpstr>
      <vt:lpstr>PROYECTOS</vt:lpstr>
      <vt:lpstr>APP</vt:lpstr>
      <vt:lpstr>INFORME GASTOS</vt:lpstr>
      <vt:lpstr>PRESTAMOS</vt:lpstr>
      <vt:lpstr>cuenta</vt:lpstr>
      <vt:lpstr>mensual</vt:lpstr>
      <vt:lpstr>INTERESES</vt:lpstr>
      <vt:lpstr>Vantage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Brayan Garcia Vidal</dc:creator>
  <cp:keywords/>
  <dc:description/>
  <cp:lastModifiedBy>Office</cp:lastModifiedBy>
  <cp:revision/>
  <cp:lastPrinted>2024-12-30T21:52:47Z</cp:lastPrinted>
  <dcterms:created xsi:type="dcterms:W3CDTF">2018-09-25T18:22:34Z</dcterms:created>
  <dcterms:modified xsi:type="dcterms:W3CDTF">2026-07-04T15:37:08Z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